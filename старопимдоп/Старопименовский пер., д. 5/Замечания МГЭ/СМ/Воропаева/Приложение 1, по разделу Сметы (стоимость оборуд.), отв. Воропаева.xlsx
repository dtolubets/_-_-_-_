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БЛОК 3\200 ПТЦА\01 Калькуляции\! соц.культ-быт\! 01. Школы, ДОУ, учеб.заведения\! 57945-1_9 Школа_Старопименовский пер., д.5\01_Обоснования\Воропаева\"/>
    </mc:Choice>
  </mc:AlternateContent>
  <bookViews>
    <workbookView xWindow="0" yWindow="0" windowWidth="23040" windowHeight="7176"/>
  </bookViews>
  <sheets>
    <sheet name="02-01-01" sheetId="1" r:id="rId1"/>
  </sheets>
  <externalReferences>
    <externalReference r:id="rId2"/>
  </externalReferences>
  <definedNames>
    <definedName name="_xlnm._FilterDatabase" localSheetId="0" hidden="1">'02-01-01'!$A$4:$AQ$5135</definedName>
    <definedName name="_xlnm.Print_Titles" localSheetId="0">'02-01-01'!$30:$30</definedName>
    <definedName name="_xlnm.Print_Area" localSheetId="0">'02-01-01'!$A$4:$K$5136</definedName>
  </definedNames>
  <calcPr calcId="162913"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134" i="1" l="1"/>
  <c r="C5134" i="1"/>
  <c r="H5131" i="1"/>
  <c r="C5131" i="1"/>
  <c r="J5128" i="1"/>
  <c r="I5128" i="1"/>
  <c r="J5127" i="1"/>
  <c r="I5127" i="1"/>
  <c r="A5126" i="1"/>
  <c r="J5124" i="1"/>
  <c r="I5124" i="1"/>
  <c r="J5123" i="1"/>
  <c r="I5123" i="1"/>
  <c r="A5122" i="1"/>
  <c r="J5120" i="1"/>
  <c r="I5120" i="1"/>
  <c r="J5119" i="1"/>
  <c r="I5119" i="1"/>
  <c r="A5118" i="1"/>
  <c r="J5116" i="1"/>
  <c r="I5116" i="1"/>
  <c r="J5115" i="1"/>
  <c r="I5115" i="1"/>
  <c r="A5114" i="1"/>
  <c r="V5110" i="1"/>
  <c r="U5110" i="1"/>
  <c r="T5110" i="1"/>
  <c r="S5110" i="1"/>
  <c r="R5110" i="1"/>
  <c r="Q5110" i="1"/>
  <c r="K5110" i="1"/>
  <c r="P5111" i="1" s="1"/>
  <c r="J5110" i="1"/>
  <c r="I5110" i="1"/>
  <c r="O5111" i="1" s="1"/>
  <c r="H5110" i="1"/>
  <c r="F5110" i="1"/>
  <c r="E5110" i="1"/>
  <c r="M5110" i="1" s="1"/>
  <c r="D5110" i="1"/>
  <c r="B5110" i="1"/>
  <c r="J5107" i="1"/>
  <c r="H5107" i="1"/>
  <c r="I5105" i="1"/>
  <c r="H5105" i="1"/>
  <c r="E5105" i="1"/>
  <c r="J5104" i="1"/>
  <c r="I5104" i="1"/>
  <c r="E5104" i="1"/>
  <c r="J5103" i="1"/>
  <c r="E5103" i="1"/>
  <c r="K5102" i="1"/>
  <c r="J5102" i="1"/>
  <c r="I5102" i="1"/>
  <c r="H5102" i="1"/>
  <c r="F5102" i="1"/>
  <c r="K5101" i="1"/>
  <c r="J5101" i="1"/>
  <c r="I5101" i="1"/>
  <c r="H5101" i="1"/>
  <c r="F5101" i="1"/>
  <c r="K5100" i="1"/>
  <c r="J5100" i="1"/>
  <c r="I5100" i="1"/>
  <c r="H5100" i="1"/>
  <c r="F5100" i="1"/>
  <c r="K5099" i="1"/>
  <c r="J5099" i="1"/>
  <c r="I5099" i="1"/>
  <c r="H5099" i="1"/>
  <c r="F5099" i="1"/>
  <c r="C5098" i="1"/>
  <c r="V5097" i="1"/>
  <c r="U5097" i="1"/>
  <c r="T5097" i="1"/>
  <c r="K5104" i="1" s="1"/>
  <c r="S5097" i="1"/>
  <c r="R5097" i="1"/>
  <c r="K5103" i="1" s="1"/>
  <c r="Q5097" i="1"/>
  <c r="I5103" i="1" s="1"/>
  <c r="E5097" i="1"/>
  <c r="D5097" i="1"/>
  <c r="B5097" i="1"/>
  <c r="A5096" i="1"/>
  <c r="J5094" i="1"/>
  <c r="I5094" i="1"/>
  <c r="J5093" i="1"/>
  <c r="I5093" i="1"/>
  <c r="A5092" i="1"/>
  <c r="O5089" i="1"/>
  <c r="V5088" i="1"/>
  <c r="U5088" i="1"/>
  <c r="T5088" i="1"/>
  <c r="S5088" i="1"/>
  <c r="R5088" i="1"/>
  <c r="Q5088" i="1"/>
  <c r="M5088" i="1"/>
  <c r="K5088" i="1"/>
  <c r="J5088" i="1"/>
  <c r="I5088" i="1"/>
  <c r="H5089" i="1" s="1"/>
  <c r="H5088" i="1"/>
  <c r="F5088" i="1"/>
  <c r="E5088" i="1"/>
  <c r="D5088" i="1"/>
  <c r="B5088" i="1"/>
  <c r="O5086" i="1"/>
  <c r="H5086" i="1"/>
  <c r="V5085" i="1"/>
  <c r="U5085" i="1"/>
  <c r="T5085" i="1"/>
  <c r="S5085" i="1"/>
  <c r="R5085" i="1"/>
  <c r="Q5085" i="1"/>
  <c r="M5085" i="1"/>
  <c r="K5085" i="1"/>
  <c r="P5086" i="1" s="1"/>
  <c r="J5085" i="1"/>
  <c r="I5085" i="1"/>
  <c r="H5085" i="1"/>
  <c r="F5085" i="1"/>
  <c r="E5085" i="1"/>
  <c r="D5085" i="1"/>
  <c r="B5085" i="1"/>
  <c r="V5082" i="1"/>
  <c r="U5082" i="1"/>
  <c r="T5082" i="1"/>
  <c r="S5082" i="1"/>
  <c r="R5082" i="1"/>
  <c r="Q5082" i="1"/>
  <c r="K5082" i="1"/>
  <c r="J5083" i="1" s="1"/>
  <c r="J5082" i="1"/>
  <c r="I5082" i="1"/>
  <c r="H5082" i="1"/>
  <c r="F5082" i="1"/>
  <c r="E5082" i="1"/>
  <c r="M5082" i="1" s="1"/>
  <c r="D5082" i="1"/>
  <c r="B5082" i="1"/>
  <c r="V5079" i="1"/>
  <c r="U5079" i="1"/>
  <c r="T5079" i="1"/>
  <c r="S5079" i="1"/>
  <c r="R5079" i="1"/>
  <c r="Q5079" i="1"/>
  <c r="K5079" i="1"/>
  <c r="P5080" i="1" s="1"/>
  <c r="J5079" i="1"/>
  <c r="I5079" i="1"/>
  <c r="O5080" i="1" s="1"/>
  <c r="H5079" i="1"/>
  <c r="F5079" i="1"/>
  <c r="E5079" i="1"/>
  <c r="M5079" i="1" s="1"/>
  <c r="D5079" i="1"/>
  <c r="B5079" i="1"/>
  <c r="V5076" i="1"/>
  <c r="U5076" i="1"/>
  <c r="T5076" i="1"/>
  <c r="S5076" i="1"/>
  <c r="R5076" i="1"/>
  <c r="Q5076" i="1"/>
  <c r="M5076" i="1"/>
  <c r="K5076" i="1"/>
  <c r="P5077" i="1" s="1"/>
  <c r="J5076" i="1"/>
  <c r="I5076" i="1"/>
  <c r="O5077" i="1" s="1"/>
  <c r="H5076" i="1"/>
  <c r="F5076" i="1"/>
  <c r="E5076" i="1"/>
  <c r="D5076" i="1"/>
  <c r="B5076" i="1"/>
  <c r="J5074" i="1"/>
  <c r="V5073" i="1"/>
  <c r="U5073" i="1"/>
  <c r="T5073" i="1"/>
  <c r="S5073" i="1"/>
  <c r="R5073" i="1"/>
  <c r="Q5073" i="1"/>
  <c r="K5073" i="1"/>
  <c r="P5074" i="1" s="1"/>
  <c r="J5073" i="1"/>
  <c r="I5073" i="1"/>
  <c r="O5074" i="1" s="1"/>
  <c r="H5073" i="1"/>
  <c r="F5073" i="1"/>
  <c r="E5073" i="1"/>
  <c r="M5073" i="1" s="1"/>
  <c r="D5073" i="1"/>
  <c r="B5073" i="1"/>
  <c r="J5070" i="1"/>
  <c r="H5070" i="1"/>
  <c r="I5068" i="1"/>
  <c r="H5068" i="1"/>
  <c r="E5068" i="1"/>
  <c r="J5067" i="1"/>
  <c r="E5067" i="1"/>
  <c r="J5066" i="1"/>
  <c r="E5066" i="1"/>
  <c r="V5065" i="1"/>
  <c r="U5065" i="1"/>
  <c r="T5065" i="1"/>
  <c r="S5065" i="1"/>
  <c r="R5065" i="1"/>
  <c r="Q5065" i="1"/>
  <c r="I5066" i="1" s="1"/>
  <c r="K5065" i="1"/>
  <c r="J5065" i="1"/>
  <c r="I5065" i="1"/>
  <c r="H5065" i="1"/>
  <c r="F5065" i="1"/>
  <c r="E5065" i="1"/>
  <c r="D5065" i="1"/>
  <c r="B5065" i="1"/>
  <c r="K5064" i="1"/>
  <c r="J5064" i="1"/>
  <c r="I5064" i="1"/>
  <c r="H5064" i="1"/>
  <c r="F5064" i="1"/>
  <c r="K5063" i="1"/>
  <c r="J5063" i="1"/>
  <c r="I5063" i="1"/>
  <c r="H5063" i="1"/>
  <c r="F5063" i="1"/>
  <c r="K5062" i="1"/>
  <c r="J5062" i="1"/>
  <c r="I5062" i="1"/>
  <c r="H5062" i="1"/>
  <c r="F5062" i="1"/>
  <c r="C5061" i="1"/>
  <c r="V5060" i="1"/>
  <c r="U5060" i="1"/>
  <c r="T5060" i="1"/>
  <c r="K5067" i="1" s="1"/>
  <c r="S5060" i="1"/>
  <c r="I5067" i="1" s="1"/>
  <c r="R5060" i="1"/>
  <c r="Q5060" i="1"/>
  <c r="E5060" i="1"/>
  <c r="D5060" i="1"/>
  <c r="B5060" i="1"/>
  <c r="A5059" i="1"/>
  <c r="J5057" i="1"/>
  <c r="I5057" i="1"/>
  <c r="J5056" i="1"/>
  <c r="I5056" i="1"/>
  <c r="A5055" i="1"/>
  <c r="J5051" i="1"/>
  <c r="H5051" i="1"/>
  <c r="I5049" i="1"/>
  <c r="H5049" i="1"/>
  <c r="E5049" i="1"/>
  <c r="K5048" i="1"/>
  <c r="J5048" i="1"/>
  <c r="E5048" i="1"/>
  <c r="J5047" i="1"/>
  <c r="E5047" i="1"/>
  <c r="K5046" i="1"/>
  <c r="J5046" i="1"/>
  <c r="I5046" i="1"/>
  <c r="H5046" i="1"/>
  <c r="F5046" i="1"/>
  <c r="K5045" i="1"/>
  <c r="J5045" i="1"/>
  <c r="I5045" i="1"/>
  <c r="H5045" i="1"/>
  <c r="F5045" i="1"/>
  <c r="K5044" i="1"/>
  <c r="J5044" i="1"/>
  <c r="I5044" i="1"/>
  <c r="H5044" i="1"/>
  <c r="F5044" i="1"/>
  <c r="C5043" i="1"/>
  <c r="V5042" i="1"/>
  <c r="U5042" i="1"/>
  <c r="T5042" i="1"/>
  <c r="S5042" i="1"/>
  <c r="I5048" i="1" s="1"/>
  <c r="R5042" i="1"/>
  <c r="K5047" i="1" s="1"/>
  <c r="Q5042" i="1"/>
  <c r="I5047" i="1" s="1"/>
  <c r="E5042" i="1"/>
  <c r="D5042" i="1"/>
  <c r="B5042" i="1"/>
  <c r="A5041" i="1"/>
  <c r="A5039" i="1"/>
  <c r="J5037" i="1"/>
  <c r="I5037" i="1"/>
  <c r="J5036" i="1"/>
  <c r="I5036" i="1"/>
  <c r="A5035" i="1"/>
  <c r="J5031" i="1"/>
  <c r="H5031" i="1"/>
  <c r="I5029" i="1"/>
  <c r="H5029" i="1"/>
  <c r="E5029" i="1"/>
  <c r="J5028" i="1"/>
  <c r="E5028" i="1"/>
  <c r="J5027" i="1"/>
  <c r="E5027" i="1"/>
  <c r="V5026" i="1"/>
  <c r="U5026" i="1"/>
  <c r="T5026" i="1"/>
  <c r="S5026" i="1"/>
  <c r="R5026" i="1"/>
  <c r="Q5026" i="1"/>
  <c r="I5027" i="1" s="1"/>
  <c r="K5026" i="1"/>
  <c r="J5026" i="1"/>
  <c r="I5026" i="1"/>
  <c r="H5026" i="1"/>
  <c r="F5026" i="1"/>
  <c r="E5026" i="1"/>
  <c r="M5026" i="1" s="1"/>
  <c r="D5026" i="1"/>
  <c r="B5026" i="1"/>
  <c r="K5025" i="1"/>
  <c r="J5025" i="1"/>
  <c r="I5025" i="1"/>
  <c r="H5025" i="1"/>
  <c r="F5025" i="1"/>
  <c r="K5024" i="1"/>
  <c r="J5024" i="1"/>
  <c r="I5024" i="1"/>
  <c r="H5024" i="1"/>
  <c r="F5024" i="1"/>
  <c r="K5023" i="1"/>
  <c r="J5023" i="1"/>
  <c r="I5023" i="1"/>
  <c r="H5023" i="1"/>
  <c r="F5023" i="1"/>
  <c r="K5022" i="1"/>
  <c r="J5022" i="1"/>
  <c r="I5022" i="1"/>
  <c r="H5022" i="1"/>
  <c r="F5022" i="1"/>
  <c r="C5021" i="1"/>
  <c r="V5020" i="1"/>
  <c r="U5020" i="1"/>
  <c r="T5020" i="1"/>
  <c r="K5028" i="1" s="1"/>
  <c r="S5020" i="1"/>
  <c r="I5028" i="1" s="1"/>
  <c r="R5020" i="1"/>
  <c r="Q5020" i="1"/>
  <c r="E5020" i="1"/>
  <c r="D5020" i="1"/>
  <c r="B5020" i="1"/>
  <c r="A5019" i="1"/>
  <c r="J5017" i="1"/>
  <c r="I5017" i="1"/>
  <c r="J5016" i="1"/>
  <c r="I5016" i="1"/>
  <c r="A5015" i="1"/>
  <c r="O5012" i="1"/>
  <c r="H5012" i="1"/>
  <c r="V5011" i="1"/>
  <c r="U5011" i="1"/>
  <c r="T5011" i="1"/>
  <c r="S5011" i="1"/>
  <c r="R5011" i="1"/>
  <c r="Q5011" i="1"/>
  <c r="K5011" i="1"/>
  <c r="P5012" i="1" s="1"/>
  <c r="J5011" i="1"/>
  <c r="I5011" i="1"/>
  <c r="H5011" i="1"/>
  <c r="F5011" i="1"/>
  <c r="E5011" i="1"/>
  <c r="M5011" i="1" s="1"/>
  <c r="D5011" i="1"/>
  <c r="B5011" i="1"/>
  <c r="J5008" i="1"/>
  <c r="H5008" i="1"/>
  <c r="I5006" i="1"/>
  <c r="H5006" i="1"/>
  <c r="E5006" i="1"/>
  <c r="J5005" i="1"/>
  <c r="E5005" i="1"/>
  <c r="J5004" i="1"/>
  <c r="E5004" i="1"/>
  <c r="V5003" i="1"/>
  <c r="U5003" i="1"/>
  <c r="T5003" i="1"/>
  <c r="S5003" i="1"/>
  <c r="I5005" i="1" s="1"/>
  <c r="R5003" i="1"/>
  <c r="Q5003" i="1"/>
  <c r="K5003" i="1"/>
  <c r="J5003" i="1"/>
  <c r="I5003" i="1"/>
  <c r="H5003" i="1"/>
  <c r="F5003" i="1"/>
  <c r="E5003" i="1"/>
  <c r="M5003" i="1" s="1"/>
  <c r="D5003" i="1"/>
  <c r="B5003" i="1"/>
  <c r="K5002" i="1"/>
  <c r="J5002" i="1"/>
  <c r="I5002" i="1"/>
  <c r="H5002" i="1"/>
  <c r="F5002" i="1"/>
  <c r="K5001" i="1"/>
  <c r="J5001" i="1"/>
  <c r="I5001" i="1"/>
  <c r="H5001" i="1"/>
  <c r="F5001" i="1"/>
  <c r="K5000" i="1"/>
  <c r="J5000" i="1"/>
  <c r="I5000" i="1"/>
  <c r="H5000" i="1"/>
  <c r="F5000" i="1"/>
  <c r="K4999" i="1"/>
  <c r="J4999" i="1"/>
  <c r="I4999" i="1"/>
  <c r="H4999" i="1"/>
  <c r="F4999" i="1"/>
  <c r="C4998" i="1"/>
  <c r="V4997" i="1"/>
  <c r="U4997" i="1"/>
  <c r="T4997" i="1"/>
  <c r="S4997" i="1"/>
  <c r="R4997" i="1"/>
  <c r="K5004" i="1" s="1"/>
  <c r="Q4997" i="1"/>
  <c r="E4997" i="1"/>
  <c r="D4997" i="1"/>
  <c r="B4997" i="1"/>
  <c r="A4996" i="1"/>
  <c r="J4994" i="1"/>
  <c r="I4994" i="1"/>
  <c r="J4993" i="1"/>
  <c r="I4993" i="1"/>
  <c r="A4992" i="1"/>
  <c r="J4988" i="1"/>
  <c r="H4988" i="1"/>
  <c r="I4986" i="1"/>
  <c r="H4986" i="1"/>
  <c r="E4986" i="1"/>
  <c r="K4985" i="1"/>
  <c r="J4985" i="1"/>
  <c r="E4985" i="1"/>
  <c r="J4984" i="1"/>
  <c r="E4984" i="1"/>
  <c r="K4983" i="1"/>
  <c r="J4983" i="1"/>
  <c r="I4983" i="1"/>
  <c r="H4983" i="1"/>
  <c r="F4983" i="1"/>
  <c r="K4982" i="1"/>
  <c r="J4982" i="1"/>
  <c r="I4982" i="1"/>
  <c r="H4982" i="1"/>
  <c r="F4982" i="1"/>
  <c r="K4981" i="1"/>
  <c r="J4981" i="1"/>
  <c r="I4981" i="1"/>
  <c r="H4981" i="1"/>
  <c r="F4981" i="1"/>
  <c r="C4980" i="1"/>
  <c r="V4979" i="1"/>
  <c r="U4979" i="1"/>
  <c r="T4979" i="1"/>
  <c r="S4979" i="1"/>
  <c r="I4985" i="1" s="1"/>
  <c r="R4979" i="1"/>
  <c r="K4984" i="1" s="1"/>
  <c r="Q4979" i="1"/>
  <c r="I4984" i="1" s="1"/>
  <c r="E4979" i="1"/>
  <c r="D4979" i="1"/>
  <c r="B4979" i="1"/>
  <c r="A4978" i="1"/>
  <c r="J4976" i="1"/>
  <c r="I4976" i="1"/>
  <c r="J4975" i="1"/>
  <c r="I4975" i="1"/>
  <c r="A4974" i="1"/>
  <c r="J4972" i="1"/>
  <c r="I4972" i="1"/>
  <c r="J4971" i="1"/>
  <c r="I4971" i="1"/>
  <c r="AQ4970" i="1"/>
  <c r="A4970" i="1"/>
  <c r="V4966" i="1"/>
  <c r="U4966" i="1"/>
  <c r="T4966" i="1"/>
  <c r="S4966" i="1"/>
  <c r="R4966" i="1"/>
  <c r="Q4966" i="1"/>
  <c r="K4966" i="1"/>
  <c r="P4967" i="1" s="1"/>
  <c r="J4966" i="1"/>
  <c r="I4966" i="1"/>
  <c r="O4967" i="1" s="1"/>
  <c r="H4966" i="1"/>
  <c r="F4966" i="1"/>
  <c r="E4966" i="1"/>
  <c r="M4966" i="1" s="1"/>
  <c r="D4966" i="1"/>
  <c r="B4966" i="1"/>
  <c r="J4963" i="1"/>
  <c r="H4963" i="1"/>
  <c r="I4961" i="1"/>
  <c r="H4961" i="1"/>
  <c r="E4961" i="1"/>
  <c r="J4960" i="1"/>
  <c r="E4960" i="1"/>
  <c r="J4959" i="1"/>
  <c r="E4959" i="1"/>
  <c r="V4958" i="1"/>
  <c r="U4958" i="1"/>
  <c r="T4958" i="1"/>
  <c r="S4958" i="1"/>
  <c r="R4958" i="1"/>
  <c r="Q4958" i="1"/>
  <c r="K4958" i="1"/>
  <c r="J4958" i="1"/>
  <c r="I4958" i="1"/>
  <c r="H4958" i="1"/>
  <c r="F4958" i="1"/>
  <c r="E4958" i="1"/>
  <c r="M4958" i="1" s="1"/>
  <c r="D4958" i="1"/>
  <c r="B4958" i="1"/>
  <c r="K4957" i="1"/>
  <c r="J4957" i="1"/>
  <c r="I4957" i="1"/>
  <c r="H4957" i="1"/>
  <c r="F4957" i="1"/>
  <c r="K4956" i="1"/>
  <c r="J4956" i="1"/>
  <c r="I4956" i="1"/>
  <c r="H4956" i="1"/>
  <c r="F4956" i="1"/>
  <c r="K4955" i="1"/>
  <c r="J4955" i="1"/>
  <c r="I4955" i="1"/>
  <c r="H4955" i="1"/>
  <c r="F4955" i="1"/>
  <c r="K4954" i="1"/>
  <c r="J4954" i="1"/>
  <c r="I4954" i="1"/>
  <c r="H4954" i="1"/>
  <c r="F4954" i="1"/>
  <c r="C4953" i="1"/>
  <c r="V4952" i="1"/>
  <c r="U4952" i="1"/>
  <c r="T4952" i="1"/>
  <c r="S4952" i="1"/>
  <c r="I4960" i="1" s="1"/>
  <c r="R4952" i="1"/>
  <c r="Q4952" i="1"/>
  <c r="E4952" i="1"/>
  <c r="D4952" i="1"/>
  <c r="B4952" i="1"/>
  <c r="A4951" i="1"/>
  <c r="J4949" i="1"/>
  <c r="I4949" i="1"/>
  <c r="J4948" i="1"/>
  <c r="I4948" i="1"/>
  <c r="AQ4947" i="1"/>
  <c r="A4947" i="1"/>
  <c r="J4943" i="1"/>
  <c r="H4943" i="1"/>
  <c r="I4941" i="1"/>
  <c r="H4941" i="1"/>
  <c r="E4941" i="1"/>
  <c r="J4940" i="1"/>
  <c r="E4940" i="1"/>
  <c r="J4939" i="1"/>
  <c r="E4939" i="1"/>
  <c r="V4938" i="1"/>
  <c r="U4938" i="1"/>
  <c r="T4938" i="1"/>
  <c r="S4938" i="1"/>
  <c r="R4938" i="1"/>
  <c r="Q4938" i="1"/>
  <c r="M4938" i="1"/>
  <c r="K4938" i="1"/>
  <c r="J4938" i="1"/>
  <c r="I4938" i="1"/>
  <c r="H4938" i="1"/>
  <c r="F4938" i="1"/>
  <c r="E4938" i="1"/>
  <c r="D4938" i="1"/>
  <c r="B4938" i="1"/>
  <c r="V4937" i="1"/>
  <c r="U4937" i="1"/>
  <c r="T4937" i="1"/>
  <c r="S4937" i="1"/>
  <c r="R4937" i="1"/>
  <c r="Q4937" i="1"/>
  <c r="M4937" i="1"/>
  <c r="K4937" i="1"/>
  <c r="J4937" i="1"/>
  <c r="I4937" i="1"/>
  <c r="H4937" i="1"/>
  <c r="F4937" i="1"/>
  <c r="E4937" i="1"/>
  <c r="D4937" i="1"/>
  <c r="B4937" i="1"/>
  <c r="V4936" i="1"/>
  <c r="U4936" i="1"/>
  <c r="T4936" i="1"/>
  <c r="S4936" i="1"/>
  <c r="R4936" i="1"/>
  <c r="Q4936" i="1"/>
  <c r="K4936" i="1"/>
  <c r="J4936" i="1"/>
  <c r="I4936" i="1"/>
  <c r="H4936" i="1"/>
  <c r="F4936" i="1"/>
  <c r="E4936" i="1"/>
  <c r="D4936" i="1"/>
  <c r="B4936" i="1"/>
  <c r="K4935" i="1"/>
  <c r="J4935" i="1"/>
  <c r="I4935" i="1"/>
  <c r="H4935" i="1"/>
  <c r="F4935" i="1"/>
  <c r="K4934" i="1"/>
  <c r="J4934" i="1"/>
  <c r="I4934" i="1"/>
  <c r="H4934" i="1"/>
  <c r="F4934" i="1"/>
  <c r="K4933" i="1"/>
  <c r="J4933" i="1"/>
  <c r="I4933" i="1"/>
  <c r="H4933" i="1"/>
  <c r="F4933" i="1"/>
  <c r="C4932" i="1"/>
  <c r="V4931" i="1"/>
  <c r="U4931" i="1"/>
  <c r="T4931" i="1"/>
  <c r="S4931" i="1"/>
  <c r="R4931" i="1"/>
  <c r="Q4931" i="1"/>
  <c r="I4939" i="1" s="1"/>
  <c r="E4931" i="1"/>
  <c r="D4931" i="1"/>
  <c r="B4931" i="1"/>
  <c r="A4930" i="1"/>
  <c r="J4928" i="1"/>
  <c r="I4928" i="1"/>
  <c r="J4927" i="1"/>
  <c r="I4927" i="1"/>
  <c r="A4926" i="1"/>
  <c r="J4922" i="1"/>
  <c r="H4922" i="1"/>
  <c r="I4920" i="1"/>
  <c r="H4920" i="1"/>
  <c r="E4920" i="1"/>
  <c r="J4919" i="1"/>
  <c r="E4919" i="1"/>
  <c r="J4918" i="1"/>
  <c r="E4918" i="1"/>
  <c r="V4917" i="1"/>
  <c r="U4917" i="1"/>
  <c r="T4917" i="1"/>
  <c r="S4917" i="1"/>
  <c r="R4917" i="1"/>
  <c r="Q4917" i="1"/>
  <c r="K4917" i="1"/>
  <c r="J4917" i="1"/>
  <c r="I4917" i="1"/>
  <c r="H4917" i="1"/>
  <c r="F4917" i="1"/>
  <c r="E4917" i="1"/>
  <c r="D4917" i="1"/>
  <c r="B4917" i="1"/>
  <c r="V4916" i="1"/>
  <c r="U4916" i="1"/>
  <c r="T4916" i="1"/>
  <c r="S4916" i="1"/>
  <c r="R4916" i="1"/>
  <c r="Q4916" i="1"/>
  <c r="K4916" i="1"/>
  <c r="J4916" i="1"/>
  <c r="I4916" i="1"/>
  <c r="H4916" i="1"/>
  <c r="F4916" i="1"/>
  <c r="E4916" i="1"/>
  <c r="D4916" i="1"/>
  <c r="B4916" i="1"/>
  <c r="V4915" i="1"/>
  <c r="U4915" i="1"/>
  <c r="T4915" i="1"/>
  <c r="S4915" i="1"/>
  <c r="R4915" i="1"/>
  <c r="Q4915" i="1"/>
  <c r="K4915" i="1"/>
  <c r="J4915" i="1"/>
  <c r="I4915" i="1"/>
  <c r="H4915" i="1"/>
  <c r="F4915" i="1"/>
  <c r="E4915" i="1"/>
  <c r="D4915" i="1"/>
  <c r="B4915" i="1"/>
  <c r="V4914" i="1"/>
  <c r="U4914" i="1"/>
  <c r="T4914" i="1"/>
  <c r="K4919" i="1" s="1"/>
  <c r="S4914" i="1"/>
  <c r="R4914" i="1"/>
  <c r="Q4914" i="1"/>
  <c r="K4914" i="1"/>
  <c r="J4914" i="1"/>
  <c r="I4914" i="1"/>
  <c r="H4914" i="1"/>
  <c r="F4914" i="1"/>
  <c r="E4914" i="1"/>
  <c r="D4914" i="1"/>
  <c r="B4914" i="1"/>
  <c r="V4913" i="1"/>
  <c r="U4913" i="1"/>
  <c r="T4913" i="1"/>
  <c r="S4913" i="1"/>
  <c r="R4913" i="1"/>
  <c r="Q4913" i="1"/>
  <c r="K4913" i="1"/>
  <c r="J4913" i="1"/>
  <c r="I4913" i="1"/>
  <c r="H4913" i="1"/>
  <c r="F4913" i="1"/>
  <c r="E4913" i="1"/>
  <c r="D4913" i="1"/>
  <c r="B4913" i="1"/>
  <c r="K4912" i="1"/>
  <c r="J4912" i="1"/>
  <c r="I4912" i="1"/>
  <c r="H4912" i="1"/>
  <c r="F4912" i="1"/>
  <c r="K4911" i="1"/>
  <c r="J4911" i="1"/>
  <c r="I4911" i="1"/>
  <c r="H4911" i="1"/>
  <c r="F4911" i="1"/>
  <c r="K4910" i="1"/>
  <c r="J4910" i="1"/>
  <c r="I4910" i="1"/>
  <c r="H4910" i="1"/>
  <c r="F4910" i="1"/>
  <c r="K4909" i="1"/>
  <c r="J4909" i="1"/>
  <c r="I4909" i="1"/>
  <c r="H4909" i="1"/>
  <c r="F4909" i="1"/>
  <c r="C4908" i="1"/>
  <c r="V4907" i="1"/>
  <c r="U4907" i="1"/>
  <c r="T4907" i="1"/>
  <c r="S4907" i="1"/>
  <c r="R4907" i="1"/>
  <c r="Q4907" i="1"/>
  <c r="E4907" i="1"/>
  <c r="D4907" i="1"/>
  <c r="B4907" i="1"/>
  <c r="A4906" i="1"/>
  <c r="J4904" i="1"/>
  <c r="I4904" i="1"/>
  <c r="J4903" i="1"/>
  <c r="I4903" i="1"/>
  <c r="A4902" i="1"/>
  <c r="J4898" i="1"/>
  <c r="H4898" i="1"/>
  <c r="I4896" i="1"/>
  <c r="H4896" i="1"/>
  <c r="E4896" i="1"/>
  <c r="J4895" i="1"/>
  <c r="I4895" i="1"/>
  <c r="E4895" i="1"/>
  <c r="K4894" i="1"/>
  <c r="J4894" i="1"/>
  <c r="E4894" i="1"/>
  <c r="K4893" i="1"/>
  <c r="J4893" i="1"/>
  <c r="I4893" i="1"/>
  <c r="H4893" i="1"/>
  <c r="F4893" i="1"/>
  <c r="K4892" i="1"/>
  <c r="J4892" i="1"/>
  <c r="I4892" i="1"/>
  <c r="H4892" i="1"/>
  <c r="F4892" i="1"/>
  <c r="K4891" i="1"/>
  <c r="J4891" i="1"/>
  <c r="I4891" i="1"/>
  <c r="H4891" i="1"/>
  <c r="F4891" i="1"/>
  <c r="C4890" i="1"/>
  <c r="V4889" i="1"/>
  <c r="U4889" i="1"/>
  <c r="T4889" i="1"/>
  <c r="K4895" i="1" s="1"/>
  <c r="S4889" i="1"/>
  <c r="R4889" i="1"/>
  <c r="Q4889" i="1"/>
  <c r="I4894" i="1" s="1"/>
  <c r="E4889" i="1"/>
  <c r="D4889" i="1"/>
  <c r="B4889" i="1"/>
  <c r="J4886" i="1"/>
  <c r="H4886" i="1"/>
  <c r="I4884" i="1"/>
  <c r="H4884" i="1"/>
  <c r="E4884" i="1"/>
  <c r="J4883" i="1"/>
  <c r="I4883" i="1"/>
  <c r="E4883" i="1"/>
  <c r="J4882" i="1"/>
  <c r="E4882" i="1"/>
  <c r="K4881" i="1"/>
  <c r="J4881" i="1"/>
  <c r="I4881" i="1"/>
  <c r="H4881" i="1"/>
  <c r="F4881" i="1"/>
  <c r="C4880" i="1"/>
  <c r="V4879" i="1"/>
  <c r="U4879" i="1"/>
  <c r="T4879" i="1"/>
  <c r="K4883" i="1" s="1"/>
  <c r="S4879" i="1"/>
  <c r="R4879" i="1"/>
  <c r="K4882" i="1" s="1"/>
  <c r="Q4879" i="1"/>
  <c r="I4882" i="1" s="1"/>
  <c r="E4879" i="1"/>
  <c r="D4879" i="1"/>
  <c r="B4879" i="1"/>
  <c r="J4876" i="1"/>
  <c r="H4876" i="1"/>
  <c r="I4874" i="1"/>
  <c r="H4874" i="1"/>
  <c r="E4874" i="1"/>
  <c r="K4873" i="1"/>
  <c r="J4873" i="1"/>
  <c r="E4873" i="1"/>
  <c r="J4872" i="1"/>
  <c r="E4872" i="1"/>
  <c r="K4871" i="1"/>
  <c r="J4871" i="1"/>
  <c r="I4871" i="1"/>
  <c r="H4871" i="1"/>
  <c r="F4871" i="1"/>
  <c r="C4870" i="1"/>
  <c r="V4869" i="1"/>
  <c r="U4869" i="1"/>
  <c r="T4869" i="1"/>
  <c r="S4869" i="1"/>
  <c r="I4873" i="1" s="1"/>
  <c r="R4869" i="1"/>
  <c r="K4872" i="1" s="1"/>
  <c r="Q4869" i="1"/>
  <c r="I4872" i="1" s="1"/>
  <c r="E4869" i="1"/>
  <c r="D4869" i="1"/>
  <c r="B4869" i="1"/>
  <c r="A4868" i="1"/>
  <c r="A4866" i="1"/>
  <c r="J4864" i="1"/>
  <c r="I4864" i="1"/>
  <c r="J4863" i="1"/>
  <c r="I4863" i="1"/>
  <c r="A4862" i="1"/>
  <c r="J4860" i="1"/>
  <c r="I4860" i="1"/>
  <c r="J4859" i="1"/>
  <c r="I4859" i="1"/>
  <c r="A4858" i="1"/>
  <c r="J4854" i="1"/>
  <c r="H4854" i="1"/>
  <c r="I4852" i="1"/>
  <c r="H4852" i="1"/>
  <c r="E4852" i="1"/>
  <c r="J4851" i="1"/>
  <c r="E4851" i="1"/>
  <c r="J4850" i="1"/>
  <c r="E4850" i="1"/>
  <c r="V4849" i="1"/>
  <c r="U4849" i="1"/>
  <c r="T4849" i="1"/>
  <c r="S4849" i="1"/>
  <c r="I4851" i="1" s="1"/>
  <c r="R4849" i="1"/>
  <c r="K4850" i="1" s="1"/>
  <c r="Q4849" i="1"/>
  <c r="I4850" i="1" s="1"/>
  <c r="K4849" i="1"/>
  <c r="J4849" i="1"/>
  <c r="I4849" i="1"/>
  <c r="H4849" i="1"/>
  <c r="F4849" i="1"/>
  <c r="E4849" i="1"/>
  <c r="M4849" i="1" s="1"/>
  <c r="D4849" i="1"/>
  <c r="B4849" i="1"/>
  <c r="K4848" i="1"/>
  <c r="J4848" i="1"/>
  <c r="I4848" i="1"/>
  <c r="H4848" i="1"/>
  <c r="F4848" i="1"/>
  <c r="K4847" i="1"/>
  <c r="J4847" i="1"/>
  <c r="I4847" i="1"/>
  <c r="H4847" i="1"/>
  <c r="F4847" i="1"/>
  <c r="K4846" i="1"/>
  <c r="J4846" i="1"/>
  <c r="I4846" i="1"/>
  <c r="H4846" i="1"/>
  <c r="F4846" i="1"/>
  <c r="K4845" i="1"/>
  <c r="J4845" i="1"/>
  <c r="I4845" i="1"/>
  <c r="H4845" i="1"/>
  <c r="F4845" i="1"/>
  <c r="C4844" i="1"/>
  <c r="V4843" i="1"/>
  <c r="U4843" i="1"/>
  <c r="T4843" i="1"/>
  <c r="S4843" i="1"/>
  <c r="R4843" i="1"/>
  <c r="Q4843" i="1"/>
  <c r="E4843" i="1"/>
  <c r="D4843" i="1"/>
  <c r="B4843" i="1"/>
  <c r="A4842" i="1"/>
  <c r="J4840" i="1"/>
  <c r="I4840" i="1"/>
  <c r="J4839" i="1"/>
  <c r="I4839" i="1"/>
  <c r="A4838" i="1"/>
  <c r="J4834" i="1"/>
  <c r="H4834" i="1"/>
  <c r="I4832" i="1"/>
  <c r="H4832" i="1"/>
  <c r="E4832" i="1"/>
  <c r="J4831" i="1"/>
  <c r="E4831" i="1"/>
  <c r="J4830" i="1"/>
  <c r="E4830" i="1"/>
  <c r="V4829" i="1"/>
  <c r="U4829" i="1"/>
  <c r="T4829" i="1"/>
  <c r="S4829" i="1"/>
  <c r="R4829" i="1"/>
  <c r="Q4829" i="1"/>
  <c r="K4829" i="1"/>
  <c r="J4829" i="1"/>
  <c r="I4829" i="1"/>
  <c r="H4829" i="1"/>
  <c r="F4829" i="1"/>
  <c r="E4829" i="1"/>
  <c r="M4829" i="1" s="1"/>
  <c r="D4829" i="1"/>
  <c r="B4829" i="1"/>
  <c r="V4828" i="1"/>
  <c r="U4828" i="1"/>
  <c r="T4828" i="1"/>
  <c r="S4828" i="1"/>
  <c r="R4828" i="1"/>
  <c r="Q4828" i="1"/>
  <c r="K4828" i="1"/>
  <c r="J4828" i="1"/>
  <c r="I4828" i="1"/>
  <c r="H4828" i="1"/>
  <c r="F4828" i="1"/>
  <c r="E4828" i="1"/>
  <c r="D4828" i="1"/>
  <c r="B4828" i="1"/>
  <c r="K4827" i="1"/>
  <c r="J4827" i="1"/>
  <c r="I4827" i="1"/>
  <c r="H4827" i="1"/>
  <c r="F4827" i="1"/>
  <c r="K4826" i="1"/>
  <c r="J4826" i="1"/>
  <c r="I4826" i="1"/>
  <c r="H4826" i="1"/>
  <c r="F4826" i="1"/>
  <c r="K4825" i="1"/>
  <c r="J4825" i="1"/>
  <c r="I4825" i="1"/>
  <c r="H4825" i="1"/>
  <c r="F4825" i="1"/>
  <c r="K4824" i="1"/>
  <c r="J4824" i="1"/>
  <c r="I4824" i="1"/>
  <c r="H4824" i="1"/>
  <c r="F4824" i="1"/>
  <c r="C4823" i="1"/>
  <c r="V4822" i="1"/>
  <c r="U4822" i="1"/>
  <c r="T4822" i="1"/>
  <c r="S4822" i="1"/>
  <c r="R4822" i="1"/>
  <c r="Q4822" i="1"/>
  <c r="I4830" i="1" s="1"/>
  <c r="E4822" i="1"/>
  <c r="D4822" i="1"/>
  <c r="B4822" i="1"/>
  <c r="J4819" i="1"/>
  <c r="H4819" i="1"/>
  <c r="I4817" i="1"/>
  <c r="H4817" i="1"/>
  <c r="E4817" i="1"/>
  <c r="J4816" i="1"/>
  <c r="E4816" i="1"/>
  <c r="J4815" i="1"/>
  <c r="E4815" i="1"/>
  <c r="V4814" i="1"/>
  <c r="U4814" i="1"/>
  <c r="T4814" i="1"/>
  <c r="S4814" i="1"/>
  <c r="R4814" i="1"/>
  <c r="Q4814" i="1"/>
  <c r="K4814" i="1"/>
  <c r="J4814" i="1"/>
  <c r="I4814" i="1"/>
  <c r="H4814" i="1"/>
  <c r="F4814" i="1"/>
  <c r="E4814" i="1"/>
  <c r="D4814" i="1"/>
  <c r="B4814" i="1"/>
  <c r="V4813" i="1"/>
  <c r="U4813" i="1"/>
  <c r="T4813" i="1"/>
  <c r="S4813" i="1"/>
  <c r="R4813" i="1"/>
  <c r="Q4813" i="1"/>
  <c r="K4813" i="1"/>
  <c r="J4813" i="1"/>
  <c r="I4813" i="1"/>
  <c r="H4813" i="1"/>
  <c r="F4813" i="1"/>
  <c r="E4813" i="1"/>
  <c r="D4813" i="1"/>
  <c r="B4813" i="1"/>
  <c r="K4812" i="1"/>
  <c r="J4812" i="1"/>
  <c r="I4812" i="1"/>
  <c r="H4812" i="1"/>
  <c r="F4812" i="1"/>
  <c r="K4811" i="1"/>
  <c r="J4811" i="1"/>
  <c r="I4811" i="1"/>
  <c r="H4811" i="1"/>
  <c r="F4811" i="1"/>
  <c r="K4810" i="1"/>
  <c r="J4810" i="1"/>
  <c r="I4810" i="1"/>
  <c r="H4810" i="1"/>
  <c r="F4810" i="1"/>
  <c r="K4809" i="1"/>
  <c r="J4809" i="1"/>
  <c r="I4809" i="1"/>
  <c r="H4809" i="1"/>
  <c r="F4809" i="1"/>
  <c r="C4808" i="1"/>
  <c r="V4807" i="1"/>
  <c r="U4807" i="1"/>
  <c r="T4807" i="1"/>
  <c r="S4807" i="1"/>
  <c r="R4807" i="1"/>
  <c r="K4815" i="1" s="1"/>
  <c r="Q4807" i="1"/>
  <c r="E4807" i="1"/>
  <c r="D4807" i="1"/>
  <c r="B4807" i="1"/>
  <c r="J4804" i="1"/>
  <c r="H4804" i="1"/>
  <c r="I4802" i="1"/>
  <c r="H4802" i="1"/>
  <c r="E4802" i="1"/>
  <c r="J4801" i="1"/>
  <c r="E4801" i="1"/>
  <c r="J4800" i="1"/>
  <c r="E4800" i="1"/>
  <c r="V4799" i="1"/>
  <c r="U4799" i="1"/>
  <c r="T4799" i="1"/>
  <c r="S4799" i="1"/>
  <c r="R4799" i="1"/>
  <c r="Q4799" i="1"/>
  <c r="K4799" i="1"/>
  <c r="J4799" i="1"/>
  <c r="I4799" i="1"/>
  <c r="H4799" i="1"/>
  <c r="F4799" i="1"/>
  <c r="E4799" i="1"/>
  <c r="D4799" i="1"/>
  <c r="B4799" i="1"/>
  <c r="V4798" i="1"/>
  <c r="U4798" i="1"/>
  <c r="T4798" i="1"/>
  <c r="S4798" i="1"/>
  <c r="R4798" i="1"/>
  <c r="Q4798" i="1"/>
  <c r="K4798" i="1"/>
  <c r="J4798" i="1"/>
  <c r="I4798" i="1"/>
  <c r="H4798" i="1"/>
  <c r="F4798" i="1"/>
  <c r="E4798" i="1"/>
  <c r="D4798" i="1"/>
  <c r="B4798" i="1"/>
  <c r="V4797" i="1"/>
  <c r="U4797" i="1"/>
  <c r="T4797" i="1"/>
  <c r="S4797" i="1"/>
  <c r="R4797" i="1"/>
  <c r="Q4797" i="1"/>
  <c r="K4797" i="1"/>
  <c r="J4797" i="1"/>
  <c r="I4797" i="1"/>
  <c r="H4797" i="1"/>
  <c r="F4797" i="1"/>
  <c r="E4797" i="1"/>
  <c r="D4797" i="1"/>
  <c r="B4797" i="1"/>
  <c r="V4796" i="1"/>
  <c r="U4796" i="1"/>
  <c r="T4796" i="1"/>
  <c r="S4796" i="1"/>
  <c r="R4796" i="1"/>
  <c r="Q4796" i="1"/>
  <c r="K4796" i="1"/>
  <c r="J4796" i="1"/>
  <c r="I4796" i="1"/>
  <c r="H4796" i="1"/>
  <c r="F4796" i="1"/>
  <c r="E4796" i="1"/>
  <c r="D4796" i="1"/>
  <c r="B4796" i="1"/>
  <c r="V4795" i="1"/>
  <c r="U4795" i="1"/>
  <c r="T4795" i="1"/>
  <c r="S4795" i="1"/>
  <c r="R4795" i="1"/>
  <c r="Q4795" i="1"/>
  <c r="K4795" i="1"/>
  <c r="J4795" i="1"/>
  <c r="I4795" i="1"/>
  <c r="H4795" i="1"/>
  <c r="F4795" i="1"/>
  <c r="E4795" i="1"/>
  <c r="D4795" i="1"/>
  <c r="B4795" i="1"/>
  <c r="K4794" i="1"/>
  <c r="J4794" i="1"/>
  <c r="I4794" i="1"/>
  <c r="H4794" i="1"/>
  <c r="F4794" i="1"/>
  <c r="K4793" i="1"/>
  <c r="J4793" i="1"/>
  <c r="I4793" i="1"/>
  <c r="H4793" i="1"/>
  <c r="F4793" i="1"/>
  <c r="K4792" i="1"/>
  <c r="J4792" i="1"/>
  <c r="I4792" i="1"/>
  <c r="H4792" i="1"/>
  <c r="F4792" i="1"/>
  <c r="K4791" i="1"/>
  <c r="J4791" i="1"/>
  <c r="I4791" i="1"/>
  <c r="H4791" i="1"/>
  <c r="F4791" i="1"/>
  <c r="C4790" i="1"/>
  <c r="V4789" i="1"/>
  <c r="U4789" i="1"/>
  <c r="T4789" i="1"/>
  <c r="K4801" i="1" s="1"/>
  <c r="S4789" i="1"/>
  <c r="I4801" i="1" s="1"/>
  <c r="R4789" i="1"/>
  <c r="Q4789" i="1"/>
  <c r="E4789" i="1"/>
  <c r="D4789" i="1"/>
  <c r="B4789" i="1"/>
  <c r="J4786" i="1"/>
  <c r="H4786" i="1"/>
  <c r="I4784" i="1"/>
  <c r="H4784" i="1"/>
  <c r="E4784" i="1"/>
  <c r="J4783" i="1"/>
  <c r="E4783" i="1"/>
  <c r="J4782" i="1"/>
  <c r="E4782" i="1"/>
  <c r="V4781" i="1"/>
  <c r="U4781" i="1"/>
  <c r="T4781" i="1"/>
  <c r="S4781" i="1"/>
  <c r="R4781" i="1"/>
  <c r="Q4781" i="1"/>
  <c r="K4781" i="1"/>
  <c r="J4781" i="1"/>
  <c r="I4781" i="1"/>
  <c r="H4781" i="1"/>
  <c r="F4781" i="1"/>
  <c r="E4781" i="1"/>
  <c r="D4781" i="1"/>
  <c r="B4781" i="1"/>
  <c r="V4780" i="1"/>
  <c r="U4780" i="1"/>
  <c r="T4780" i="1"/>
  <c r="S4780" i="1"/>
  <c r="R4780" i="1"/>
  <c r="Q4780" i="1"/>
  <c r="K4780" i="1"/>
  <c r="J4780" i="1"/>
  <c r="I4780" i="1"/>
  <c r="H4780" i="1"/>
  <c r="F4780" i="1"/>
  <c r="E4780" i="1"/>
  <c r="D4780" i="1"/>
  <c r="B4780" i="1"/>
  <c r="V4779" i="1"/>
  <c r="U4779" i="1"/>
  <c r="T4779" i="1"/>
  <c r="S4779" i="1"/>
  <c r="R4779" i="1"/>
  <c r="Q4779" i="1"/>
  <c r="K4779" i="1"/>
  <c r="J4779" i="1"/>
  <c r="I4779" i="1"/>
  <c r="H4779" i="1"/>
  <c r="F4779" i="1"/>
  <c r="E4779" i="1"/>
  <c r="D4779" i="1"/>
  <c r="B4779" i="1"/>
  <c r="V4778" i="1"/>
  <c r="U4778" i="1"/>
  <c r="T4778" i="1"/>
  <c r="S4778" i="1"/>
  <c r="R4778" i="1"/>
  <c r="Q4778" i="1"/>
  <c r="K4778" i="1"/>
  <c r="J4778" i="1"/>
  <c r="I4778" i="1"/>
  <c r="H4778" i="1"/>
  <c r="F4778" i="1"/>
  <c r="E4778" i="1"/>
  <c r="D4778" i="1"/>
  <c r="B4778" i="1"/>
  <c r="V4777" i="1"/>
  <c r="U4777" i="1"/>
  <c r="T4777" i="1"/>
  <c r="S4777" i="1"/>
  <c r="R4777" i="1"/>
  <c r="Q4777" i="1"/>
  <c r="K4777" i="1"/>
  <c r="J4777" i="1"/>
  <c r="I4777" i="1"/>
  <c r="H4777" i="1"/>
  <c r="F4777" i="1"/>
  <c r="E4777" i="1"/>
  <c r="D4777" i="1"/>
  <c r="B4777" i="1"/>
  <c r="K4776" i="1"/>
  <c r="J4776" i="1"/>
  <c r="I4776" i="1"/>
  <c r="H4776" i="1"/>
  <c r="F4776" i="1"/>
  <c r="K4775" i="1"/>
  <c r="J4775" i="1"/>
  <c r="I4775" i="1"/>
  <c r="H4775" i="1"/>
  <c r="F4775" i="1"/>
  <c r="K4774" i="1"/>
  <c r="J4774" i="1"/>
  <c r="I4774" i="1"/>
  <c r="H4774" i="1"/>
  <c r="F4774" i="1"/>
  <c r="K4773" i="1"/>
  <c r="J4773" i="1"/>
  <c r="I4773" i="1"/>
  <c r="H4773" i="1"/>
  <c r="F4773" i="1"/>
  <c r="C4772" i="1"/>
  <c r="V4771" i="1"/>
  <c r="U4771" i="1"/>
  <c r="T4771" i="1"/>
  <c r="S4771" i="1"/>
  <c r="R4771" i="1"/>
  <c r="Q4771" i="1"/>
  <c r="E4771" i="1"/>
  <c r="D4771" i="1"/>
  <c r="B4771" i="1"/>
  <c r="A4770" i="1"/>
  <c r="J4768" i="1"/>
  <c r="I4768" i="1"/>
  <c r="J4767" i="1"/>
  <c r="I4767" i="1"/>
  <c r="A4766" i="1"/>
  <c r="J4762" i="1"/>
  <c r="H4762" i="1"/>
  <c r="I4760" i="1"/>
  <c r="H4760" i="1"/>
  <c r="E4760" i="1"/>
  <c r="J4759" i="1"/>
  <c r="E4759" i="1"/>
  <c r="J4758" i="1"/>
  <c r="E4758" i="1"/>
  <c r="V4757" i="1"/>
  <c r="U4757" i="1"/>
  <c r="T4757" i="1"/>
  <c r="S4757" i="1"/>
  <c r="R4757" i="1"/>
  <c r="Q4757" i="1"/>
  <c r="K4757" i="1"/>
  <c r="J4757" i="1"/>
  <c r="I4757" i="1"/>
  <c r="H4757" i="1"/>
  <c r="F4757" i="1"/>
  <c r="E4757" i="1"/>
  <c r="D4757" i="1"/>
  <c r="B4757" i="1"/>
  <c r="V4756" i="1"/>
  <c r="U4756" i="1"/>
  <c r="T4756" i="1"/>
  <c r="S4756" i="1"/>
  <c r="R4756" i="1"/>
  <c r="Q4756" i="1"/>
  <c r="K4756" i="1"/>
  <c r="J4756" i="1"/>
  <c r="I4756" i="1"/>
  <c r="H4756" i="1"/>
  <c r="F4756" i="1"/>
  <c r="E4756" i="1"/>
  <c r="D4756" i="1"/>
  <c r="B4756" i="1"/>
  <c r="V4755" i="1"/>
  <c r="U4755" i="1"/>
  <c r="T4755" i="1"/>
  <c r="S4755" i="1"/>
  <c r="R4755" i="1"/>
  <c r="Q4755" i="1"/>
  <c r="K4755" i="1"/>
  <c r="J4755" i="1"/>
  <c r="I4755" i="1"/>
  <c r="H4755" i="1"/>
  <c r="F4755" i="1"/>
  <c r="E4755" i="1"/>
  <c r="D4755" i="1"/>
  <c r="B4755" i="1"/>
  <c r="V4754" i="1"/>
  <c r="U4754" i="1"/>
  <c r="T4754" i="1"/>
  <c r="S4754" i="1"/>
  <c r="R4754" i="1"/>
  <c r="Q4754" i="1"/>
  <c r="K4754" i="1"/>
  <c r="J4754" i="1"/>
  <c r="I4754" i="1"/>
  <c r="H4754" i="1"/>
  <c r="F4754" i="1"/>
  <c r="E4754" i="1"/>
  <c r="D4754" i="1"/>
  <c r="B4754" i="1"/>
  <c r="V4753" i="1"/>
  <c r="U4753" i="1"/>
  <c r="T4753" i="1"/>
  <c r="S4753" i="1"/>
  <c r="R4753" i="1"/>
  <c r="Q4753" i="1"/>
  <c r="K4753" i="1"/>
  <c r="J4753" i="1"/>
  <c r="I4753" i="1"/>
  <c r="H4753" i="1"/>
  <c r="F4753" i="1"/>
  <c r="E4753" i="1"/>
  <c r="D4753" i="1"/>
  <c r="B4753" i="1"/>
  <c r="K4752" i="1"/>
  <c r="J4752" i="1"/>
  <c r="I4752" i="1"/>
  <c r="H4752" i="1"/>
  <c r="F4752" i="1"/>
  <c r="K4751" i="1"/>
  <c r="J4751" i="1"/>
  <c r="I4751" i="1"/>
  <c r="H4751" i="1"/>
  <c r="F4751" i="1"/>
  <c r="K4750" i="1"/>
  <c r="J4750" i="1"/>
  <c r="I4750" i="1"/>
  <c r="H4750" i="1"/>
  <c r="F4750" i="1"/>
  <c r="K4749" i="1"/>
  <c r="J4749" i="1"/>
  <c r="I4749" i="1"/>
  <c r="H4749" i="1"/>
  <c r="F4749" i="1"/>
  <c r="C4748" i="1"/>
  <c r="V4747" i="1"/>
  <c r="U4747" i="1"/>
  <c r="T4747" i="1"/>
  <c r="S4747" i="1"/>
  <c r="R4747" i="1"/>
  <c r="K4758" i="1" s="1"/>
  <c r="Q4747" i="1"/>
  <c r="I4758" i="1" s="1"/>
  <c r="E4747" i="1"/>
  <c r="D4747" i="1"/>
  <c r="B4747" i="1"/>
  <c r="J4744" i="1"/>
  <c r="H4744" i="1"/>
  <c r="I4742" i="1"/>
  <c r="H4742" i="1"/>
  <c r="E4742" i="1"/>
  <c r="J4741" i="1"/>
  <c r="E4741" i="1"/>
  <c r="J4740" i="1"/>
  <c r="E4740" i="1"/>
  <c r="V4739" i="1"/>
  <c r="U4739" i="1"/>
  <c r="T4739" i="1"/>
  <c r="S4739" i="1"/>
  <c r="R4739" i="1"/>
  <c r="Q4739" i="1"/>
  <c r="K4739" i="1"/>
  <c r="J4739" i="1"/>
  <c r="I4739" i="1"/>
  <c r="H4739" i="1"/>
  <c r="F4739" i="1"/>
  <c r="E4739" i="1"/>
  <c r="D4739" i="1"/>
  <c r="B4739" i="1"/>
  <c r="V4738" i="1"/>
  <c r="U4738" i="1"/>
  <c r="T4738" i="1"/>
  <c r="S4738" i="1"/>
  <c r="R4738" i="1"/>
  <c r="Q4738" i="1"/>
  <c r="K4738" i="1"/>
  <c r="J4738" i="1"/>
  <c r="I4738" i="1"/>
  <c r="H4738" i="1"/>
  <c r="F4738" i="1"/>
  <c r="E4738" i="1"/>
  <c r="D4738" i="1"/>
  <c r="B4738" i="1"/>
  <c r="V4737" i="1"/>
  <c r="U4737" i="1"/>
  <c r="T4737" i="1"/>
  <c r="S4737" i="1"/>
  <c r="R4737" i="1"/>
  <c r="Q4737" i="1"/>
  <c r="K4737" i="1"/>
  <c r="J4737" i="1"/>
  <c r="I4737" i="1"/>
  <c r="H4737" i="1"/>
  <c r="F4737" i="1"/>
  <c r="E4737" i="1"/>
  <c r="D4737" i="1"/>
  <c r="B4737" i="1"/>
  <c r="V4736" i="1"/>
  <c r="U4736" i="1"/>
  <c r="T4736" i="1"/>
  <c r="S4736" i="1"/>
  <c r="R4736" i="1"/>
  <c r="K4740" i="1" s="1"/>
  <c r="Q4736" i="1"/>
  <c r="K4736" i="1"/>
  <c r="J4736" i="1"/>
  <c r="I4736" i="1"/>
  <c r="H4736" i="1"/>
  <c r="F4736" i="1"/>
  <c r="E4736" i="1"/>
  <c r="D4736" i="1"/>
  <c r="B4736" i="1"/>
  <c r="V4735" i="1"/>
  <c r="U4735" i="1"/>
  <c r="T4735" i="1"/>
  <c r="S4735" i="1"/>
  <c r="R4735" i="1"/>
  <c r="Q4735" i="1"/>
  <c r="K4735" i="1"/>
  <c r="J4735" i="1"/>
  <c r="I4735" i="1"/>
  <c r="H4735" i="1"/>
  <c r="F4735" i="1"/>
  <c r="E4735" i="1"/>
  <c r="D4735" i="1"/>
  <c r="B4735" i="1"/>
  <c r="K4734" i="1"/>
  <c r="J4734" i="1"/>
  <c r="I4734" i="1"/>
  <c r="H4734" i="1"/>
  <c r="F4734" i="1"/>
  <c r="K4733" i="1"/>
  <c r="J4733" i="1"/>
  <c r="I4733" i="1"/>
  <c r="H4733" i="1"/>
  <c r="F4733" i="1"/>
  <c r="K4732" i="1"/>
  <c r="J4732" i="1"/>
  <c r="I4732" i="1"/>
  <c r="H4732" i="1"/>
  <c r="F4732" i="1"/>
  <c r="K4731" i="1"/>
  <c r="J4731" i="1"/>
  <c r="I4731" i="1"/>
  <c r="H4731" i="1"/>
  <c r="F4731" i="1"/>
  <c r="C4730" i="1"/>
  <c r="V4729" i="1"/>
  <c r="U4729" i="1"/>
  <c r="T4729" i="1"/>
  <c r="S4729" i="1"/>
  <c r="R4729" i="1"/>
  <c r="Q4729" i="1"/>
  <c r="E4729" i="1"/>
  <c r="D4729" i="1"/>
  <c r="B4729" i="1"/>
  <c r="A4728" i="1"/>
  <c r="J4726" i="1"/>
  <c r="I4726" i="1"/>
  <c r="J4725" i="1"/>
  <c r="I4725" i="1"/>
  <c r="A4724" i="1"/>
  <c r="J4720" i="1"/>
  <c r="H4720" i="1"/>
  <c r="I4718" i="1"/>
  <c r="H4718" i="1"/>
  <c r="E4718" i="1"/>
  <c r="J4717" i="1"/>
  <c r="E4717" i="1"/>
  <c r="J4716" i="1"/>
  <c r="E4716" i="1"/>
  <c r="V4715" i="1"/>
  <c r="U4715" i="1"/>
  <c r="T4715" i="1"/>
  <c r="S4715" i="1"/>
  <c r="R4715" i="1"/>
  <c r="Q4715" i="1"/>
  <c r="K4715" i="1"/>
  <c r="J4715" i="1"/>
  <c r="I4715" i="1"/>
  <c r="H4715" i="1"/>
  <c r="F4715" i="1"/>
  <c r="E4715" i="1"/>
  <c r="D4715" i="1"/>
  <c r="B4715" i="1"/>
  <c r="V4714" i="1"/>
  <c r="U4714" i="1"/>
  <c r="T4714" i="1"/>
  <c r="S4714" i="1"/>
  <c r="R4714" i="1"/>
  <c r="Q4714" i="1"/>
  <c r="K4714" i="1"/>
  <c r="J4714" i="1"/>
  <c r="I4714" i="1"/>
  <c r="H4714" i="1"/>
  <c r="F4714" i="1"/>
  <c r="E4714" i="1"/>
  <c r="D4714" i="1"/>
  <c r="B4714" i="1"/>
  <c r="V4713" i="1"/>
  <c r="U4713" i="1"/>
  <c r="T4713" i="1"/>
  <c r="S4713" i="1"/>
  <c r="R4713" i="1"/>
  <c r="Q4713" i="1"/>
  <c r="K4713" i="1"/>
  <c r="J4713" i="1"/>
  <c r="I4713" i="1"/>
  <c r="H4713" i="1"/>
  <c r="F4713" i="1"/>
  <c r="E4713" i="1"/>
  <c r="D4713" i="1"/>
  <c r="B4713" i="1"/>
  <c r="V4712" i="1"/>
  <c r="U4712" i="1"/>
  <c r="T4712" i="1"/>
  <c r="S4712" i="1"/>
  <c r="R4712" i="1"/>
  <c r="Q4712" i="1"/>
  <c r="K4712" i="1"/>
  <c r="J4712" i="1"/>
  <c r="I4712" i="1"/>
  <c r="H4712" i="1"/>
  <c r="F4712" i="1"/>
  <c r="E4712" i="1"/>
  <c r="D4712" i="1"/>
  <c r="B4712" i="1"/>
  <c r="V4711" i="1"/>
  <c r="U4711" i="1"/>
  <c r="T4711" i="1"/>
  <c r="S4711" i="1"/>
  <c r="R4711" i="1"/>
  <c r="Q4711" i="1"/>
  <c r="K4711" i="1"/>
  <c r="J4711" i="1"/>
  <c r="I4711" i="1"/>
  <c r="H4711" i="1"/>
  <c r="F4711" i="1"/>
  <c r="E4711" i="1"/>
  <c r="D4711" i="1"/>
  <c r="B4711" i="1"/>
  <c r="K4710" i="1"/>
  <c r="J4710" i="1"/>
  <c r="I4710" i="1"/>
  <c r="H4710" i="1"/>
  <c r="F4710" i="1"/>
  <c r="K4709" i="1"/>
  <c r="J4709" i="1"/>
  <c r="I4709" i="1"/>
  <c r="H4709" i="1"/>
  <c r="F4709" i="1"/>
  <c r="K4708" i="1"/>
  <c r="J4708" i="1"/>
  <c r="I4708" i="1"/>
  <c r="H4708" i="1"/>
  <c r="F4708" i="1"/>
  <c r="K4707" i="1"/>
  <c r="J4707" i="1"/>
  <c r="I4707" i="1"/>
  <c r="H4707" i="1"/>
  <c r="F4707" i="1"/>
  <c r="C4706" i="1"/>
  <c r="V4705" i="1"/>
  <c r="U4705" i="1"/>
  <c r="T4705" i="1"/>
  <c r="S4705" i="1"/>
  <c r="R4705" i="1"/>
  <c r="Q4705" i="1"/>
  <c r="I4716" i="1" s="1"/>
  <c r="E4705" i="1"/>
  <c r="D4705" i="1"/>
  <c r="B4705" i="1"/>
  <c r="J4702" i="1"/>
  <c r="H4702" i="1"/>
  <c r="I4700" i="1"/>
  <c r="H4700" i="1"/>
  <c r="E4700" i="1"/>
  <c r="J4699" i="1"/>
  <c r="E4699" i="1"/>
  <c r="J4698" i="1"/>
  <c r="E4698" i="1"/>
  <c r="V4697" i="1"/>
  <c r="U4697" i="1"/>
  <c r="T4697" i="1"/>
  <c r="S4697" i="1"/>
  <c r="R4697" i="1"/>
  <c r="Q4697" i="1"/>
  <c r="K4697" i="1"/>
  <c r="J4697" i="1"/>
  <c r="I4697" i="1"/>
  <c r="H4697" i="1"/>
  <c r="F4697" i="1"/>
  <c r="E4697" i="1"/>
  <c r="D4697" i="1"/>
  <c r="B4697" i="1"/>
  <c r="K4696" i="1"/>
  <c r="J4696" i="1"/>
  <c r="I4696" i="1"/>
  <c r="H4696" i="1"/>
  <c r="F4696" i="1"/>
  <c r="K4695" i="1"/>
  <c r="J4695" i="1"/>
  <c r="I4695" i="1"/>
  <c r="H4695" i="1"/>
  <c r="F4695" i="1"/>
  <c r="K4694" i="1"/>
  <c r="J4694" i="1"/>
  <c r="I4694" i="1"/>
  <c r="H4694" i="1"/>
  <c r="F4694" i="1"/>
  <c r="K4693" i="1"/>
  <c r="J4693" i="1"/>
  <c r="I4693" i="1"/>
  <c r="H4693" i="1"/>
  <c r="F4693" i="1"/>
  <c r="C4692" i="1"/>
  <c r="V4691" i="1"/>
  <c r="U4691" i="1"/>
  <c r="T4691" i="1"/>
  <c r="K4699" i="1" s="1"/>
  <c r="S4691" i="1"/>
  <c r="I4699" i="1" s="1"/>
  <c r="R4691" i="1"/>
  <c r="K4698" i="1" s="1"/>
  <c r="J4703" i="1" s="1"/>
  <c r="Q4691" i="1"/>
  <c r="I4698" i="1" s="1"/>
  <c r="E4691" i="1"/>
  <c r="D4691" i="1"/>
  <c r="B4691" i="1"/>
  <c r="J4688" i="1"/>
  <c r="H4688" i="1"/>
  <c r="I4686" i="1"/>
  <c r="H4686" i="1"/>
  <c r="E4686" i="1"/>
  <c r="J4685" i="1"/>
  <c r="E4685" i="1"/>
  <c r="K4684" i="1"/>
  <c r="J4684" i="1"/>
  <c r="E4684" i="1"/>
  <c r="V4683" i="1"/>
  <c r="U4683" i="1"/>
  <c r="T4683" i="1"/>
  <c r="S4683" i="1"/>
  <c r="R4683" i="1"/>
  <c r="Q4683" i="1"/>
  <c r="K4683" i="1"/>
  <c r="J4683" i="1"/>
  <c r="I4683" i="1"/>
  <c r="H4683" i="1"/>
  <c r="F4683" i="1"/>
  <c r="E4683" i="1"/>
  <c r="D4683" i="1"/>
  <c r="B4683" i="1"/>
  <c r="K4682" i="1"/>
  <c r="J4682" i="1"/>
  <c r="I4682" i="1"/>
  <c r="H4682" i="1"/>
  <c r="F4682" i="1"/>
  <c r="K4681" i="1"/>
  <c r="J4681" i="1"/>
  <c r="I4681" i="1"/>
  <c r="H4681" i="1"/>
  <c r="F4681" i="1"/>
  <c r="K4680" i="1"/>
  <c r="J4680" i="1"/>
  <c r="I4680" i="1"/>
  <c r="H4680" i="1"/>
  <c r="F4680" i="1"/>
  <c r="K4679" i="1"/>
  <c r="J4679" i="1"/>
  <c r="I4679" i="1"/>
  <c r="H4679" i="1"/>
  <c r="F4679" i="1"/>
  <c r="C4678" i="1"/>
  <c r="V4677" i="1"/>
  <c r="U4677" i="1"/>
  <c r="T4677" i="1"/>
  <c r="S4677" i="1"/>
  <c r="I4685" i="1" s="1"/>
  <c r="R4677" i="1"/>
  <c r="Q4677" i="1"/>
  <c r="E4677" i="1"/>
  <c r="D4677" i="1"/>
  <c r="B4677" i="1"/>
  <c r="J4674" i="1"/>
  <c r="H4674" i="1"/>
  <c r="I4672" i="1"/>
  <c r="H4672" i="1"/>
  <c r="E4672" i="1"/>
  <c r="J4671" i="1"/>
  <c r="E4671" i="1"/>
  <c r="J4670" i="1"/>
  <c r="E4670" i="1"/>
  <c r="V4669" i="1"/>
  <c r="U4669" i="1"/>
  <c r="T4669" i="1"/>
  <c r="S4669" i="1"/>
  <c r="R4669" i="1"/>
  <c r="Q4669" i="1"/>
  <c r="K4669" i="1"/>
  <c r="J4669" i="1"/>
  <c r="I4669" i="1"/>
  <c r="H4669" i="1"/>
  <c r="F4669" i="1"/>
  <c r="E4669" i="1"/>
  <c r="D4669" i="1"/>
  <c r="B4669" i="1"/>
  <c r="K4668" i="1"/>
  <c r="J4668" i="1"/>
  <c r="I4668" i="1"/>
  <c r="H4668" i="1"/>
  <c r="F4668" i="1"/>
  <c r="K4667" i="1"/>
  <c r="J4667" i="1"/>
  <c r="I4667" i="1"/>
  <c r="H4667" i="1"/>
  <c r="F4667" i="1"/>
  <c r="C4666" i="1"/>
  <c r="V4665" i="1"/>
  <c r="U4665" i="1"/>
  <c r="T4665" i="1"/>
  <c r="K4671" i="1" s="1"/>
  <c r="S4665" i="1"/>
  <c r="R4665" i="1"/>
  <c r="Q4665" i="1"/>
  <c r="I4670" i="1" s="1"/>
  <c r="E4665" i="1"/>
  <c r="D4665" i="1"/>
  <c r="B4665" i="1"/>
  <c r="J4662" i="1"/>
  <c r="H4662" i="1"/>
  <c r="I4660" i="1"/>
  <c r="H4660" i="1"/>
  <c r="E4660" i="1"/>
  <c r="J4659" i="1"/>
  <c r="E4659" i="1"/>
  <c r="J4658" i="1"/>
  <c r="E4658" i="1"/>
  <c r="V4657" i="1"/>
  <c r="U4657" i="1"/>
  <c r="T4657" i="1"/>
  <c r="S4657" i="1"/>
  <c r="R4657" i="1"/>
  <c r="Q4657" i="1"/>
  <c r="K4657" i="1"/>
  <c r="J4657" i="1"/>
  <c r="I4657" i="1"/>
  <c r="H4657" i="1"/>
  <c r="F4657" i="1"/>
  <c r="E4657" i="1"/>
  <c r="D4657" i="1"/>
  <c r="B4657" i="1"/>
  <c r="K4656" i="1"/>
  <c r="J4656" i="1"/>
  <c r="I4656" i="1"/>
  <c r="H4656" i="1"/>
  <c r="F4656" i="1"/>
  <c r="K4655" i="1"/>
  <c r="J4655" i="1"/>
  <c r="I4655" i="1"/>
  <c r="H4655" i="1"/>
  <c r="F4655" i="1"/>
  <c r="K4654" i="1"/>
  <c r="J4654" i="1"/>
  <c r="I4654" i="1"/>
  <c r="H4654" i="1"/>
  <c r="F4654" i="1"/>
  <c r="C4653" i="1"/>
  <c r="V4652" i="1"/>
  <c r="U4652" i="1"/>
  <c r="T4652" i="1"/>
  <c r="K4659" i="1" s="1"/>
  <c r="S4652" i="1"/>
  <c r="I4659" i="1" s="1"/>
  <c r="R4652" i="1"/>
  <c r="Q4652" i="1"/>
  <c r="E4652" i="1"/>
  <c r="D4652" i="1"/>
  <c r="B4652" i="1"/>
  <c r="A4651" i="1"/>
  <c r="J4649" i="1"/>
  <c r="I4649" i="1"/>
  <c r="J4648" i="1"/>
  <c r="I4648" i="1"/>
  <c r="AQ4647" i="1"/>
  <c r="A4647" i="1"/>
  <c r="J4643" i="1"/>
  <c r="H4643" i="1"/>
  <c r="I4641" i="1"/>
  <c r="H4641" i="1"/>
  <c r="E4641" i="1"/>
  <c r="J4640" i="1"/>
  <c r="E4640" i="1"/>
  <c r="J4639" i="1"/>
  <c r="E4639" i="1"/>
  <c r="V4638" i="1"/>
  <c r="U4638" i="1"/>
  <c r="T4638" i="1"/>
  <c r="S4638" i="1"/>
  <c r="R4638" i="1"/>
  <c r="Q4638" i="1"/>
  <c r="I4639" i="1" s="1"/>
  <c r="K4638" i="1"/>
  <c r="J4638" i="1"/>
  <c r="I4638" i="1"/>
  <c r="H4638" i="1"/>
  <c r="F4638" i="1"/>
  <c r="E4638" i="1"/>
  <c r="M4638" i="1" s="1"/>
  <c r="D4638" i="1"/>
  <c r="B4638" i="1"/>
  <c r="V4637" i="1"/>
  <c r="U4637" i="1"/>
  <c r="T4637" i="1"/>
  <c r="S4637" i="1"/>
  <c r="R4637" i="1"/>
  <c r="Q4637" i="1"/>
  <c r="K4637" i="1"/>
  <c r="J4637" i="1"/>
  <c r="I4637" i="1"/>
  <c r="H4637" i="1"/>
  <c r="F4637" i="1"/>
  <c r="E4637" i="1"/>
  <c r="D4637" i="1"/>
  <c r="B4637" i="1"/>
  <c r="K4636" i="1"/>
  <c r="J4636" i="1"/>
  <c r="I4636" i="1"/>
  <c r="H4636" i="1"/>
  <c r="F4636" i="1"/>
  <c r="K4635" i="1"/>
  <c r="J4635" i="1"/>
  <c r="I4635" i="1"/>
  <c r="H4635" i="1"/>
  <c r="F4635" i="1"/>
  <c r="K4634" i="1"/>
  <c r="J4634" i="1"/>
  <c r="I4634" i="1"/>
  <c r="H4634" i="1"/>
  <c r="F4634" i="1"/>
  <c r="K4633" i="1"/>
  <c r="J4633" i="1"/>
  <c r="I4633" i="1"/>
  <c r="H4633" i="1"/>
  <c r="F4633" i="1"/>
  <c r="C4632" i="1"/>
  <c r="V4631" i="1"/>
  <c r="U4631" i="1"/>
  <c r="T4631" i="1"/>
  <c r="K4640" i="1" s="1"/>
  <c r="S4631" i="1"/>
  <c r="I4640" i="1" s="1"/>
  <c r="R4631" i="1"/>
  <c r="Q4631" i="1"/>
  <c r="E4631" i="1"/>
  <c r="D4631" i="1"/>
  <c r="B4631" i="1"/>
  <c r="J4628" i="1"/>
  <c r="H4628" i="1"/>
  <c r="I4626" i="1"/>
  <c r="H4626" i="1"/>
  <c r="E4626" i="1"/>
  <c r="J4625" i="1"/>
  <c r="E4625" i="1"/>
  <c r="J4624" i="1"/>
  <c r="E4624" i="1"/>
  <c r="V4623" i="1"/>
  <c r="U4623" i="1"/>
  <c r="T4623" i="1"/>
  <c r="S4623" i="1"/>
  <c r="R4623" i="1"/>
  <c r="Q4623" i="1"/>
  <c r="K4623" i="1"/>
  <c r="J4623" i="1"/>
  <c r="I4623" i="1"/>
  <c r="H4623" i="1"/>
  <c r="F4623" i="1"/>
  <c r="E4623" i="1"/>
  <c r="D4623" i="1"/>
  <c r="B4623" i="1"/>
  <c r="K4622" i="1"/>
  <c r="J4622" i="1"/>
  <c r="I4622" i="1"/>
  <c r="H4622" i="1"/>
  <c r="F4622" i="1"/>
  <c r="K4621" i="1"/>
  <c r="J4621" i="1"/>
  <c r="I4621" i="1"/>
  <c r="H4621" i="1"/>
  <c r="F4621" i="1"/>
  <c r="K4620" i="1"/>
  <c r="J4620" i="1"/>
  <c r="I4620" i="1"/>
  <c r="H4620" i="1"/>
  <c r="F4620" i="1"/>
  <c r="K4619" i="1"/>
  <c r="J4619" i="1"/>
  <c r="I4619" i="1"/>
  <c r="H4619" i="1"/>
  <c r="F4619" i="1"/>
  <c r="C4618" i="1"/>
  <c r="V4617" i="1"/>
  <c r="U4617" i="1"/>
  <c r="T4617" i="1"/>
  <c r="K4625" i="1" s="1"/>
  <c r="S4617" i="1"/>
  <c r="R4617" i="1"/>
  <c r="Q4617" i="1"/>
  <c r="E4617" i="1"/>
  <c r="D4617" i="1"/>
  <c r="B4617" i="1"/>
  <c r="J4614" i="1"/>
  <c r="H4614" i="1"/>
  <c r="I4612" i="1"/>
  <c r="H4612" i="1"/>
  <c r="E4612" i="1"/>
  <c r="J4611" i="1"/>
  <c r="E4611" i="1"/>
  <c r="J4610" i="1"/>
  <c r="E4610" i="1"/>
  <c r="V4609" i="1"/>
  <c r="U4609" i="1"/>
  <c r="T4609" i="1"/>
  <c r="S4609" i="1"/>
  <c r="R4609" i="1"/>
  <c r="Q4609" i="1"/>
  <c r="K4609" i="1"/>
  <c r="J4609" i="1"/>
  <c r="I4609" i="1"/>
  <c r="H4609" i="1"/>
  <c r="F4609" i="1"/>
  <c r="E4609" i="1"/>
  <c r="D4609" i="1"/>
  <c r="B4609" i="1"/>
  <c r="K4608" i="1"/>
  <c r="J4608" i="1"/>
  <c r="I4608" i="1"/>
  <c r="H4608" i="1"/>
  <c r="F4608" i="1"/>
  <c r="K4607" i="1"/>
  <c r="J4607" i="1"/>
  <c r="I4607" i="1"/>
  <c r="H4607" i="1"/>
  <c r="F4607" i="1"/>
  <c r="C4606" i="1"/>
  <c r="V4605" i="1"/>
  <c r="U4605" i="1"/>
  <c r="T4605" i="1"/>
  <c r="S4605" i="1"/>
  <c r="R4605" i="1"/>
  <c r="Q4605" i="1"/>
  <c r="I4610" i="1" s="1"/>
  <c r="E4605" i="1"/>
  <c r="D4605" i="1"/>
  <c r="B4605" i="1"/>
  <c r="J4602" i="1"/>
  <c r="H4602" i="1"/>
  <c r="I4600" i="1"/>
  <c r="H4600" i="1"/>
  <c r="E4600" i="1"/>
  <c r="J4599" i="1"/>
  <c r="E4599" i="1"/>
  <c r="J4598" i="1"/>
  <c r="E4598" i="1"/>
  <c r="V4597" i="1"/>
  <c r="U4597" i="1"/>
  <c r="T4597" i="1"/>
  <c r="S4597" i="1"/>
  <c r="R4597" i="1"/>
  <c r="Q4597" i="1"/>
  <c r="K4597" i="1"/>
  <c r="J4597" i="1"/>
  <c r="I4597" i="1"/>
  <c r="H4597" i="1"/>
  <c r="F4597" i="1"/>
  <c r="E4597" i="1"/>
  <c r="D4597" i="1"/>
  <c r="B4597" i="1"/>
  <c r="K4596" i="1"/>
  <c r="J4596" i="1"/>
  <c r="I4596" i="1"/>
  <c r="H4596" i="1"/>
  <c r="F4596" i="1"/>
  <c r="K4595" i="1"/>
  <c r="J4595" i="1"/>
  <c r="I4595" i="1"/>
  <c r="H4595" i="1"/>
  <c r="F4595" i="1"/>
  <c r="K4594" i="1"/>
  <c r="J4594" i="1"/>
  <c r="I4594" i="1"/>
  <c r="H4594" i="1"/>
  <c r="F4594" i="1"/>
  <c r="C4593" i="1"/>
  <c r="V4592" i="1"/>
  <c r="U4592" i="1"/>
  <c r="T4592" i="1"/>
  <c r="K4599" i="1" s="1"/>
  <c r="S4592" i="1"/>
  <c r="R4592" i="1"/>
  <c r="K4598" i="1" s="1"/>
  <c r="Q4592" i="1"/>
  <c r="I4598" i="1" s="1"/>
  <c r="E4592" i="1"/>
  <c r="D4592" i="1"/>
  <c r="B4592" i="1"/>
  <c r="A4591" i="1"/>
  <c r="J4589" i="1"/>
  <c r="I4589" i="1"/>
  <c r="J4588" i="1"/>
  <c r="I4588" i="1"/>
  <c r="A4587" i="1"/>
  <c r="J4583" i="1"/>
  <c r="H4583" i="1"/>
  <c r="I4581" i="1"/>
  <c r="H4581" i="1"/>
  <c r="E4581" i="1"/>
  <c r="J4580" i="1"/>
  <c r="E4580" i="1"/>
  <c r="J4579" i="1"/>
  <c r="E4579" i="1"/>
  <c r="V4578" i="1"/>
  <c r="U4578" i="1"/>
  <c r="T4578" i="1"/>
  <c r="S4578" i="1"/>
  <c r="R4578" i="1"/>
  <c r="K4579" i="1" s="1"/>
  <c r="Q4578" i="1"/>
  <c r="K4578" i="1"/>
  <c r="J4578" i="1"/>
  <c r="I4578" i="1"/>
  <c r="H4578" i="1"/>
  <c r="F4578" i="1"/>
  <c r="E4578" i="1"/>
  <c r="D4578" i="1"/>
  <c r="B4578" i="1"/>
  <c r="V4577" i="1"/>
  <c r="U4577" i="1"/>
  <c r="T4577" i="1"/>
  <c r="S4577" i="1"/>
  <c r="R4577" i="1"/>
  <c r="Q4577" i="1"/>
  <c r="K4577" i="1"/>
  <c r="J4577" i="1"/>
  <c r="I4577" i="1"/>
  <c r="H4577" i="1"/>
  <c r="F4577" i="1"/>
  <c r="E4577" i="1"/>
  <c r="D4577" i="1"/>
  <c r="B4577" i="1"/>
  <c r="V4576" i="1"/>
  <c r="U4576" i="1"/>
  <c r="T4576" i="1"/>
  <c r="S4576" i="1"/>
  <c r="R4576" i="1"/>
  <c r="Q4576" i="1"/>
  <c r="K4576" i="1"/>
  <c r="J4576" i="1"/>
  <c r="I4576" i="1"/>
  <c r="H4576" i="1"/>
  <c r="F4576" i="1"/>
  <c r="E4576" i="1"/>
  <c r="D4576" i="1"/>
  <c r="B4576" i="1"/>
  <c r="V4575" i="1"/>
  <c r="U4575" i="1"/>
  <c r="T4575" i="1"/>
  <c r="S4575" i="1"/>
  <c r="R4575" i="1"/>
  <c r="Q4575" i="1"/>
  <c r="K4575" i="1"/>
  <c r="J4575" i="1"/>
  <c r="I4575" i="1"/>
  <c r="H4575" i="1"/>
  <c r="F4575" i="1"/>
  <c r="E4575" i="1"/>
  <c r="D4575" i="1"/>
  <c r="B4575" i="1"/>
  <c r="V4574" i="1"/>
  <c r="U4574" i="1"/>
  <c r="T4574" i="1"/>
  <c r="S4574" i="1"/>
  <c r="R4574" i="1"/>
  <c r="Q4574" i="1"/>
  <c r="K4574" i="1"/>
  <c r="J4574" i="1"/>
  <c r="I4574" i="1"/>
  <c r="H4574" i="1"/>
  <c r="F4574" i="1"/>
  <c r="E4574" i="1"/>
  <c r="D4574" i="1"/>
  <c r="B4574" i="1"/>
  <c r="K4573" i="1"/>
  <c r="J4573" i="1"/>
  <c r="I4573" i="1"/>
  <c r="H4573" i="1"/>
  <c r="F4573" i="1"/>
  <c r="K4572" i="1"/>
  <c r="J4572" i="1"/>
  <c r="I4572" i="1"/>
  <c r="H4572" i="1"/>
  <c r="F4572" i="1"/>
  <c r="K4571" i="1"/>
  <c r="J4571" i="1"/>
  <c r="I4571" i="1"/>
  <c r="H4571" i="1"/>
  <c r="F4571" i="1"/>
  <c r="K4570" i="1"/>
  <c r="J4570" i="1"/>
  <c r="I4570" i="1"/>
  <c r="H4570" i="1"/>
  <c r="F4570" i="1"/>
  <c r="C4569" i="1"/>
  <c r="V4568" i="1"/>
  <c r="U4568" i="1"/>
  <c r="T4568" i="1"/>
  <c r="S4568" i="1"/>
  <c r="I4580" i="1" s="1"/>
  <c r="R4568" i="1"/>
  <c r="Q4568" i="1"/>
  <c r="E4568" i="1"/>
  <c r="D4568" i="1"/>
  <c r="B4568" i="1"/>
  <c r="J4565" i="1"/>
  <c r="H4565" i="1"/>
  <c r="I4563" i="1"/>
  <c r="H4563" i="1"/>
  <c r="E4563" i="1"/>
  <c r="J4562" i="1"/>
  <c r="E4562" i="1"/>
  <c r="J4561" i="1"/>
  <c r="E4561" i="1"/>
  <c r="V4560" i="1"/>
  <c r="U4560" i="1"/>
  <c r="T4560" i="1"/>
  <c r="S4560" i="1"/>
  <c r="R4560" i="1"/>
  <c r="Q4560" i="1"/>
  <c r="K4560" i="1"/>
  <c r="J4560" i="1"/>
  <c r="I4560" i="1"/>
  <c r="H4560" i="1"/>
  <c r="F4560" i="1"/>
  <c r="E4560" i="1"/>
  <c r="D4560" i="1"/>
  <c r="B4560" i="1"/>
  <c r="K4559" i="1"/>
  <c r="J4559" i="1"/>
  <c r="I4559" i="1"/>
  <c r="H4559" i="1"/>
  <c r="F4559" i="1"/>
  <c r="K4558" i="1"/>
  <c r="J4558" i="1"/>
  <c r="I4558" i="1"/>
  <c r="H4558" i="1"/>
  <c r="F4558" i="1"/>
  <c r="K4557" i="1"/>
  <c r="J4557" i="1"/>
  <c r="I4557" i="1"/>
  <c r="H4557" i="1"/>
  <c r="F4557" i="1"/>
  <c r="K4556" i="1"/>
  <c r="J4556" i="1"/>
  <c r="I4556" i="1"/>
  <c r="H4556" i="1"/>
  <c r="F4556" i="1"/>
  <c r="C4555" i="1"/>
  <c r="V4554" i="1"/>
  <c r="U4554" i="1"/>
  <c r="T4554" i="1"/>
  <c r="K4562" i="1" s="1"/>
  <c r="S4554" i="1"/>
  <c r="R4554" i="1"/>
  <c r="Q4554" i="1"/>
  <c r="E4554" i="1"/>
  <c r="D4554" i="1"/>
  <c r="B4554" i="1"/>
  <c r="J4551" i="1"/>
  <c r="H4551" i="1"/>
  <c r="I4549" i="1"/>
  <c r="H4549" i="1"/>
  <c r="E4549" i="1"/>
  <c r="J4548" i="1"/>
  <c r="E4548" i="1"/>
  <c r="J4547" i="1"/>
  <c r="E4547" i="1"/>
  <c r="V4546" i="1"/>
  <c r="U4546" i="1"/>
  <c r="T4546" i="1"/>
  <c r="S4546" i="1"/>
  <c r="R4546" i="1"/>
  <c r="Q4546" i="1"/>
  <c r="K4546" i="1"/>
  <c r="J4546" i="1"/>
  <c r="I4546" i="1"/>
  <c r="H4546" i="1"/>
  <c r="F4546" i="1"/>
  <c r="E4546" i="1"/>
  <c r="D4546" i="1"/>
  <c r="B4546" i="1"/>
  <c r="K4545" i="1"/>
  <c r="J4545" i="1"/>
  <c r="I4545" i="1"/>
  <c r="H4545" i="1"/>
  <c r="F4545" i="1"/>
  <c r="K4544" i="1"/>
  <c r="J4544" i="1"/>
  <c r="I4544" i="1"/>
  <c r="H4544" i="1"/>
  <c r="F4544" i="1"/>
  <c r="K4543" i="1"/>
  <c r="J4543" i="1"/>
  <c r="I4543" i="1"/>
  <c r="H4543" i="1"/>
  <c r="F4543" i="1"/>
  <c r="K4542" i="1"/>
  <c r="J4542" i="1"/>
  <c r="I4542" i="1"/>
  <c r="H4542" i="1"/>
  <c r="F4542" i="1"/>
  <c r="C4541" i="1"/>
  <c r="V4540" i="1"/>
  <c r="U4540" i="1"/>
  <c r="T4540" i="1"/>
  <c r="S4540" i="1"/>
  <c r="I4548" i="1" s="1"/>
  <c r="R4540" i="1"/>
  <c r="K4547" i="1" s="1"/>
  <c r="Q4540" i="1"/>
  <c r="E4540" i="1"/>
  <c r="D4540" i="1"/>
  <c r="B4540" i="1"/>
  <c r="J4537" i="1"/>
  <c r="H4537" i="1"/>
  <c r="I4535" i="1"/>
  <c r="H4535" i="1"/>
  <c r="E4535" i="1"/>
  <c r="J4534" i="1"/>
  <c r="E4534" i="1"/>
  <c r="J4533" i="1"/>
  <c r="I4533" i="1"/>
  <c r="O4538" i="1" s="1"/>
  <c r="E4533" i="1"/>
  <c r="V4532" i="1"/>
  <c r="U4532" i="1"/>
  <c r="T4532" i="1"/>
  <c r="S4532" i="1"/>
  <c r="I4534" i="1" s="1"/>
  <c r="R4532" i="1"/>
  <c r="K4533" i="1" s="1"/>
  <c r="Q4532" i="1"/>
  <c r="K4532" i="1"/>
  <c r="J4532" i="1"/>
  <c r="I4532" i="1"/>
  <c r="H4532" i="1"/>
  <c r="F4532" i="1"/>
  <c r="E4532" i="1"/>
  <c r="D4532" i="1"/>
  <c r="B4532" i="1"/>
  <c r="K4531" i="1"/>
  <c r="J4531" i="1"/>
  <c r="I4531" i="1"/>
  <c r="H4531" i="1"/>
  <c r="F4531" i="1"/>
  <c r="K4530" i="1"/>
  <c r="J4530" i="1"/>
  <c r="I4530" i="1"/>
  <c r="H4530" i="1"/>
  <c r="F4530" i="1"/>
  <c r="C4529" i="1"/>
  <c r="V4528" i="1"/>
  <c r="U4528" i="1"/>
  <c r="T4528" i="1"/>
  <c r="K4534" i="1" s="1"/>
  <c r="S4528" i="1"/>
  <c r="R4528" i="1"/>
  <c r="Q4528" i="1"/>
  <c r="E4528" i="1"/>
  <c r="D4528" i="1"/>
  <c r="B4528" i="1"/>
  <c r="J4525" i="1"/>
  <c r="H4525" i="1"/>
  <c r="I4523" i="1"/>
  <c r="H4523" i="1"/>
  <c r="E4523" i="1"/>
  <c r="J4522" i="1"/>
  <c r="E4522" i="1"/>
  <c r="J4521" i="1"/>
  <c r="E4521" i="1"/>
  <c r="V4520" i="1"/>
  <c r="U4520" i="1"/>
  <c r="T4520" i="1"/>
  <c r="S4520" i="1"/>
  <c r="R4520" i="1"/>
  <c r="Q4520" i="1"/>
  <c r="K4520" i="1"/>
  <c r="J4520" i="1"/>
  <c r="I4520" i="1"/>
  <c r="H4520" i="1"/>
  <c r="F4520" i="1"/>
  <c r="E4520" i="1"/>
  <c r="D4520" i="1"/>
  <c r="B4520" i="1"/>
  <c r="K4519" i="1"/>
  <c r="J4519" i="1"/>
  <c r="I4519" i="1"/>
  <c r="H4519" i="1"/>
  <c r="F4519" i="1"/>
  <c r="K4518" i="1"/>
  <c r="J4518" i="1"/>
  <c r="I4518" i="1"/>
  <c r="H4518" i="1"/>
  <c r="F4518" i="1"/>
  <c r="K4517" i="1"/>
  <c r="J4517" i="1"/>
  <c r="I4517" i="1"/>
  <c r="H4517" i="1"/>
  <c r="F4517" i="1"/>
  <c r="C4516" i="1"/>
  <c r="V4515" i="1"/>
  <c r="U4515" i="1"/>
  <c r="T4515" i="1"/>
  <c r="S4515" i="1"/>
  <c r="R4515" i="1"/>
  <c r="K4521" i="1" s="1"/>
  <c r="Q4515" i="1"/>
  <c r="E4515" i="1"/>
  <c r="D4515" i="1"/>
  <c r="B4515" i="1"/>
  <c r="A4514" i="1"/>
  <c r="J4512" i="1"/>
  <c r="I4512" i="1"/>
  <c r="J4511" i="1"/>
  <c r="I4511" i="1"/>
  <c r="AQ4510" i="1"/>
  <c r="A4510" i="1"/>
  <c r="J4506" i="1"/>
  <c r="H4506" i="1"/>
  <c r="I4504" i="1"/>
  <c r="H4504" i="1"/>
  <c r="E4504" i="1"/>
  <c r="J4503" i="1"/>
  <c r="E4503" i="1"/>
  <c r="J4502" i="1"/>
  <c r="E4502" i="1"/>
  <c r="V4501" i="1"/>
  <c r="U4501" i="1"/>
  <c r="T4501" i="1"/>
  <c r="S4501" i="1"/>
  <c r="R4501" i="1"/>
  <c r="Q4501" i="1"/>
  <c r="K4501" i="1"/>
  <c r="J4501" i="1"/>
  <c r="I4501" i="1"/>
  <c r="H4501" i="1"/>
  <c r="F4501" i="1"/>
  <c r="E4501" i="1"/>
  <c r="M4501" i="1" s="1"/>
  <c r="D4501" i="1"/>
  <c r="B4501" i="1"/>
  <c r="V4500" i="1"/>
  <c r="U4500" i="1"/>
  <c r="T4500" i="1"/>
  <c r="S4500" i="1"/>
  <c r="R4500" i="1"/>
  <c r="Q4500" i="1"/>
  <c r="K4500" i="1"/>
  <c r="J4500" i="1"/>
  <c r="I4500" i="1"/>
  <c r="H4500" i="1"/>
  <c r="F4500" i="1"/>
  <c r="E4500" i="1"/>
  <c r="D4500" i="1"/>
  <c r="B4500" i="1"/>
  <c r="K4499" i="1"/>
  <c r="J4499" i="1"/>
  <c r="I4499" i="1"/>
  <c r="H4499" i="1"/>
  <c r="F4499" i="1"/>
  <c r="K4498" i="1"/>
  <c r="J4498" i="1"/>
  <c r="I4498" i="1"/>
  <c r="H4498" i="1"/>
  <c r="F4498" i="1"/>
  <c r="K4497" i="1"/>
  <c r="J4497" i="1"/>
  <c r="I4497" i="1"/>
  <c r="H4497" i="1"/>
  <c r="F4497" i="1"/>
  <c r="K4496" i="1"/>
  <c r="J4496" i="1"/>
  <c r="I4496" i="1"/>
  <c r="H4496" i="1"/>
  <c r="F4496" i="1"/>
  <c r="C4495" i="1"/>
  <c r="V4494" i="1"/>
  <c r="U4494" i="1"/>
  <c r="T4494" i="1"/>
  <c r="S4494" i="1"/>
  <c r="R4494" i="1"/>
  <c r="K4502" i="1" s="1"/>
  <c r="Q4494" i="1"/>
  <c r="I4502" i="1" s="1"/>
  <c r="E4494" i="1"/>
  <c r="D4494" i="1"/>
  <c r="B4494" i="1"/>
  <c r="J4491" i="1"/>
  <c r="H4491" i="1"/>
  <c r="I4489" i="1"/>
  <c r="H4489" i="1"/>
  <c r="E4489" i="1"/>
  <c r="J4488" i="1"/>
  <c r="E4488" i="1"/>
  <c r="J4487" i="1"/>
  <c r="E4487" i="1"/>
  <c r="V4486" i="1"/>
  <c r="U4486" i="1"/>
  <c r="T4486" i="1"/>
  <c r="S4486" i="1"/>
  <c r="R4486" i="1"/>
  <c r="Q4486" i="1"/>
  <c r="K4486" i="1"/>
  <c r="J4486" i="1"/>
  <c r="I4486" i="1"/>
  <c r="H4486" i="1"/>
  <c r="F4486" i="1"/>
  <c r="E4486" i="1"/>
  <c r="D4486" i="1"/>
  <c r="B4486" i="1"/>
  <c r="K4485" i="1"/>
  <c r="J4485" i="1"/>
  <c r="I4485" i="1"/>
  <c r="H4485" i="1"/>
  <c r="F4485" i="1"/>
  <c r="K4484" i="1"/>
  <c r="J4484" i="1"/>
  <c r="I4484" i="1"/>
  <c r="H4484" i="1"/>
  <c r="F4484" i="1"/>
  <c r="K4483" i="1"/>
  <c r="J4483" i="1"/>
  <c r="I4483" i="1"/>
  <c r="H4483" i="1"/>
  <c r="F4483" i="1"/>
  <c r="K4482" i="1"/>
  <c r="J4482" i="1"/>
  <c r="I4482" i="1"/>
  <c r="H4482" i="1"/>
  <c r="F4482" i="1"/>
  <c r="C4481" i="1"/>
  <c r="V4480" i="1"/>
  <c r="U4480" i="1"/>
  <c r="T4480" i="1"/>
  <c r="K4488" i="1" s="1"/>
  <c r="S4480" i="1"/>
  <c r="I4488" i="1" s="1"/>
  <c r="R4480" i="1"/>
  <c r="Q4480" i="1"/>
  <c r="E4480" i="1"/>
  <c r="D4480" i="1"/>
  <c r="B4480" i="1"/>
  <c r="J4477" i="1"/>
  <c r="H4477" i="1"/>
  <c r="I4475" i="1"/>
  <c r="H4475" i="1"/>
  <c r="E4475" i="1"/>
  <c r="J4474" i="1"/>
  <c r="E4474" i="1"/>
  <c r="J4473" i="1"/>
  <c r="E4473" i="1"/>
  <c r="V4472" i="1"/>
  <c r="U4472" i="1"/>
  <c r="T4472" i="1"/>
  <c r="K4474" i="1" s="1"/>
  <c r="S4472" i="1"/>
  <c r="I4474" i="1" s="1"/>
  <c r="R4472" i="1"/>
  <c r="K4473" i="1" s="1"/>
  <c r="Q4472" i="1"/>
  <c r="K4472" i="1"/>
  <c r="J4472" i="1"/>
  <c r="I4472" i="1"/>
  <c r="H4472" i="1"/>
  <c r="F4472" i="1"/>
  <c r="E4472" i="1"/>
  <c r="D4472" i="1"/>
  <c r="B4472" i="1"/>
  <c r="K4471" i="1"/>
  <c r="J4471" i="1"/>
  <c r="I4471" i="1"/>
  <c r="H4471" i="1"/>
  <c r="F4471" i="1"/>
  <c r="K4470" i="1"/>
  <c r="J4470" i="1"/>
  <c r="I4470" i="1"/>
  <c r="H4470" i="1"/>
  <c r="F4470" i="1"/>
  <c r="C4469" i="1"/>
  <c r="V4468" i="1"/>
  <c r="U4468" i="1"/>
  <c r="T4468" i="1"/>
  <c r="S4468" i="1"/>
  <c r="R4468" i="1"/>
  <c r="Q4468" i="1"/>
  <c r="I4473" i="1" s="1"/>
  <c r="E4468" i="1"/>
  <c r="D4468" i="1"/>
  <c r="B4468" i="1"/>
  <c r="J4465" i="1"/>
  <c r="H4465" i="1"/>
  <c r="I4463" i="1"/>
  <c r="H4463" i="1"/>
  <c r="E4463" i="1"/>
  <c r="J4462" i="1"/>
  <c r="E4462" i="1"/>
  <c r="J4461" i="1"/>
  <c r="E4461" i="1"/>
  <c r="V4460" i="1"/>
  <c r="U4460" i="1"/>
  <c r="T4460" i="1"/>
  <c r="S4460" i="1"/>
  <c r="R4460" i="1"/>
  <c r="Q4460" i="1"/>
  <c r="I4461" i="1" s="1"/>
  <c r="K4460" i="1"/>
  <c r="J4460" i="1"/>
  <c r="I4460" i="1"/>
  <c r="H4460" i="1"/>
  <c r="F4460" i="1"/>
  <c r="E4460" i="1"/>
  <c r="D4460" i="1"/>
  <c r="B4460" i="1"/>
  <c r="K4459" i="1"/>
  <c r="J4459" i="1"/>
  <c r="I4459" i="1"/>
  <c r="H4459" i="1"/>
  <c r="F4459" i="1"/>
  <c r="K4458" i="1"/>
  <c r="J4458" i="1"/>
  <c r="I4458" i="1"/>
  <c r="H4458" i="1"/>
  <c r="F4458" i="1"/>
  <c r="K4457" i="1"/>
  <c r="J4457" i="1"/>
  <c r="I4457" i="1"/>
  <c r="H4466" i="1" s="1"/>
  <c r="H4457" i="1"/>
  <c r="F4457" i="1"/>
  <c r="C4456" i="1"/>
  <c r="V4455" i="1"/>
  <c r="U4455" i="1"/>
  <c r="T4455" i="1"/>
  <c r="S4455" i="1"/>
  <c r="I4462" i="1" s="1"/>
  <c r="R4455" i="1"/>
  <c r="Q4455" i="1"/>
  <c r="E4455" i="1"/>
  <c r="D4455" i="1"/>
  <c r="B4455" i="1"/>
  <c r="A4454" i="1"/>
  <c r="J4452" i="1"/>
  <c r="I4452" i="1"/>
  <c r="J4451" i="1"/>
  <c r="I4451" i="1"/>
  <c r="A4450" i="1"/>
  <c r="J4447" i="1"/>
  <c r="C4446" i="1"/>
  <c r="V4445" i="1"/>
  <c r="U4445" i="1"/>
  <c r="T4445" i="1"/>
  <c r="S4445" i="1"/>
  <c r="R4445" i="1"/>
  <c r="Q4445" i="1"/>
  <c r="K4445" i="1"/>
  <c r="P4447" i="1" s="1"/>
  <c r="J4445" i="1"/>
  <c r="I4445" i="1"/>
  <c r="H4447" i="1" s="1"/>
  <c r="H4445" i="1"/>
  <c r="F4445" i="1"/>
  <c r="E4445" i="1"/>
  <c r="D4445" i="1"/>
  <c r="B4445" i="1"/>
  <c r="J4442" i="1"/>
  <c r="H4442" i="1"/>
  <c r="I4440" i="1"/>
  <c r="H4440" i="1"/>
  <c r="E4440" i="1"/>
  <c r="J4439" i="1"/>
  <c r="E4439" i="1"/>
  <c r="J4438" i="1"/>
  <c r="I4438" i="1"/>
  <c r="H4443" i="1" s="1"/>
  <c r="E4438" i="1"/>
  <c r="V4437" i="1"/>
  <c r="U4437" i="1"/>
  <c r="T4437" i="1"/>
  <c r="S4437" i="1"/>
  <c r="R4437" i="1"/>
  <c r="K4438" i="1" s="1"/>
  <c r="Q4437" i="1"/>
  <c r="M4437" i="1"/>
  <c r="K4437" i="1"/>
  <c r="J4437" i="1"/>
  <c r="I4437" i="1"/>
  <c r="H4437" i="1"/>
  <c r="F4437" i="1"/>
  <c r="E4437" i="1"/>
  <c r="D4437" i="1"/>
  <c r="B4437" i="1"/>
  <c r="K4436" i="1"/>
  <c r="J4436" i="1"/>
  <c r="I4436" i="1"/>
  <c r="H4436" i="1"/>
  <c r="F4436" i="1"/>
  <c r="K4435" i="1"/>
  <c r="J4435" i="1"/>
  <c r="I4435" i="1"/>
  <c r="H4435" i="1"/>
  <c r="F4435" i="1"/>
  <c r="K4434" i="1"/>
  <c r="J4434" i="1"/>
  <c r="I4434" i="1"/>
  <c r="H4434" i="1"/>
  <c r="F4434" i="1"/>
  <c r="K4433" i="1"/>
  <c r="J4433" i="1"/>
  <c r="I4433" i="1"/>
  <c r="H4433" i="1"/>
  <c r="F4433" i="1"/>
  <c r="C4432" i="1"/>
  <c r="V4431" i="1"/>
  <c r="U4431" i="1"/>
  <c r="T4431" i="1"/>
  <c r="K4439" i="1" s="1"/>
  <c r="S4431" i="1"/>
  <c r="I4439" i="1" s="1"/>
  <c r="R4431" i="1"/>
  <c r="Q4431" i="1"/>
  <c r="E4431" i="1"/>
  <c r="D4431" i="1"/>
  <c r="B4431" i="1"/>
  <c r="J4428" i="1"/>
  <c r="H4428" i="1"/>
  <c r="I4426" i="1"/>
  <c r="H4426" i="1"/>
  <c r="E4426" i="1"/>
  <c r="J4425" i="1"/>
  <c r="E4425" i="1"/>
  <c r="J4424" i="1"/>
  <c r="E4424" i="1"/>
  <c r="V4423" i="1"/>
  <c r="U4423" i="1"/>
  <c r="T4423" i="1"/>
  <c r="S4423" i="1"/>
  <c r="R4423" i="1"/>
  <c r="Q4423" i="1"/>
  <c r="K4423" i="1"/>
  <c r="J4423" i="1"/>
  <c r="I4423" i="1"/>
  <c r="H4423" i="1"/>
  <c r="F4423" i="1"/>
  <c r="E4423" i="1"/>
  <c r="D4423" i="1"/>
  <c r="B4423" i="1"/>
  <c r="V4422" i="1"/>
  <c r="U4422" i="1"/>
  <c r="T4422" i="1"/>
  <c r="S4422" i="1"/>
  <c r="R4422" i="1"/>
  <c r="Q4422" i="1"/>
  <c r="K4422" i="1"/>
  <c r="J4422" i="1"/>
  <c r="I4422" i="1"/>
  <c r="H4422" i="1"/>
  <c r="F4422" i="1"/>
  <c r="E4422" i="1"/>
  <c r="D4422" i="1"/>
  <c r="B4422" i="1"/>
  <c r="V4421" i="1"/>
  <c r="U4421" i="1"/>
  <c r="T4421" i="1"/>
  <c r="S4421" i="1"/>
  <c r="R4421" i="1"/>
  <c r="Q4421" i="1"/>
  <c r="K4421" i="1"/>
  <c r="J4421" i="1"/>
  <c r="I4421" i="1"/>
  <c r="H4421" i="1"/>
  <c r="F4421" i="1"/>
  <c r="E4421" i="1"/>
  <c r="D4421" i="1"/>
  <c r="B4421" i="1"/>
  <c r="K4420" i="1"/>
  <c r="J4420" i="1"/>
  <c r="I4420" i="1"/>
  <c r="H4420" i="1"/>
  <c r="F4420" i="1"/>
  <c r="K4419" i="1"/>
  <c r="J4419" i="1"/>
  <c r="I4419" i="1"/>
  <c r="H4419" i="1"/>
  <c r="F4419" i="1"/>
  <c r="K4418" i="1"/>
  <c r="J4418" i="1"/>
  <c r="I4418" i="1"/>
  <c r="H4418" i="1"/>
  <c r="F4418" i="1"/>
  <c r="K4417" i="1"/>
  <c r="J4417" i="1"/>
  <c r="I4417" i="1"/>
  <c r="H4417" i="1"/>
  <c r="F4417" i="1"/>
  <c r="C4416" i="1"/>
  <c r="V4415" i="1"/>
  <c r="U4415" i="1"/>
  <c r="T4415" i="1"/>
  <c r="S4415" i="1"/>
  <c r="I4425" i="1" s="1"/>
  <c r="R4415" i="1"/>
  <c r="Q4415" i="1"/>
  <c r="I4424" i="1" s="1"/>
  <c r="E4415" i="1"/>
  <c r="D4415" i="1"/>
  <c r="B4415" i="1"/>
  <c r="J4413" i="1"/>
  <c r="V4412" i="1"/>
  <c r="U4412" i="1"/>
  <c r="T4412" i="1"/>
  <c r="S4412" i="1"/>
  <c r="R4412" i="1"/>
  <c r="Q4412" i="1"/>
  <c r="K4412" i="1"/>
  <c r="P4413" i="1" s="1"/>
  <c r="J4412" i="1"/>
  <c r="I4412" i="1"/>
  <c r="O4413" i="1" s="1"/>
  <c r="H4412" i="1"/>
  <c r="F4412" i="1"/>
  <c r="E4412" i="1"/>
  <c r="D4412" i="1"/>
  <c r="B4412" i="1"/>
  <c r="J4409" i="1"/>
  <c r="H4409" i="1"/>
  <c r="I4407" i="1"/>
  <c r="H4407" i="1"/>
  <c r="E4407" i="1"/>
  <c r="J4406" i="1"/>
  <c r="E4406" i="1"/>
  <c r="J4405" i="1"/>
  <c r="E4405" i="1"/>
  <c r="V4404" i="1"/>
  <c r="U4404" i="1"/>
  <c r="T4404" i="1"/>
  <c r="S4404" i="1"/>
  <c r="R4404" i="1"/>
  <c r="Q4404" i="1"/>
  <c r="K4404" i="1"/>
  <c r="J4404" i="1"/>
  <c r="I4404" i="1"/>
  <c r="H4404" i="1"/>
  <c r="F4404" i="1"/>
  <c r="E4404" i="1"/>
  <c r="D4404" i="1"/>
  <c r="B4404" i="1"/>
  <c r="V4403" i="1"/>
  <c r="U4403" i="1"/>
  <c r="T4403" i="1"/>
  <c r="S4403" i="1"/>
  <c r="R4403" i="1"/>
  <c r="Q4403" i="1"/>
  <c r="K4403" i="1"/>
  <c r="J4403" i="1"/>
  <c r="I4403" i="1"/>
  <c r="H4403" i="1"/>
  <c r="F4403" i="1"/>
  <c r="E4403" i="1"/>
  <c r="D4403" i="1"/>
  <c r="B4403" i="1"/>
  <c r="K4402" i="1"/>
  <c r="J4402" i="1"/>
  <c r="I4402" i="1"/>
  <c r="H4402" i="1"/>
  <c r="F4402" i="1"/>
  <c r="K4401" i="1"/>
  <c r="J4401" i="1"/>
  <c r="I4401" i="1"/>
  <c r="H4401" i="1"/>
  <c r="F4401" i="1"/>
  <c r="K4400" i="1"/>
  <c r="J4400" i="1"/>
  <c r="I4400" i="1"/>
  <c r="H4400" i="1"/>
  <c r="F4400" i="1"/>
  <c r="K4399" i="1"/>
  <c r="J4399" i="1"/>
  <c r="I4399" i="1"/>
  <c r="H4399" i="1"/>
  <c r="F4399" i="1"/>
  <c r="C4398" i="1"/>
  <c r="V4397" i="1"/>
  <c r="U4397" i="1"/>
  <c r="T4397" i="1"/>
  <c r="K4406" i="1" s="1"/>
  <c r="S4397" i="1"/>
  <c r="I4406" i="1" s="1"/>
  <c r="R4397" i="1"/>
  <c r="K4405" i="1" s="1"/>
  <c r="Q4397" i="1"/>
  <c r="E4397" i="1"/>
  <c r="D4397" i="1"/>
  <c r="B4397" i="1"/>
  <c r="J4394" i="1"/>
  <c r="H4394" i="1"/>
  <c r="I4392" i="1"/>
  <c r="H4392" i="1"/>
  <c r="E4392" i="1"/>
  <c r="J4391" i="1"/>
  <c r="E4391" i="1"/>
  <c r="K4390" i="1"/>
  <c r="J4390" i="1"/>
  <c r="E4390" i="1"/>
  <c r="V4389" i="1"/>
  <c r="U4389" i="1"/>
  <c r="T4389" i="1"/>
  <c r="S4389" i="1"/>
  <c r="I4391" i="1" s="1"/>
  <c r="R4389" i="1"/>
  <c r="Q4389" i="1"/>
  <c r="K4389" i="1"/>
  <c r="J4389" i="1"/>
  <c r="I4389" i="1"/>
  <c r="H4389" i="1"/>
  <c r="F4389" i="1"/>
  <c r="E4389" i="1"/>
  <c r="D4389" i="1"/>
  <c r="B4389" i="1"/>
  <c r="K4388" i="1"/>
  <c r="J4388" i="1"/>
  <c r="I4388" i="1"/>
  <c r="H4388" i="1"/>
  <c r="F4388" i="1"/>
  <c r="K4387" i="1"/>
  <c r="J4387" i="1"/>
  <c r="I4387" i="1"/>
  <c r="H4387" i="1"/>
  <c r="F4387" i="1"/>
  <c r="K4386" i="1"/>
  <c r="J4386" i="1"/>
  <c r="I4386" i="1"/>
  <c r="H4386" i="1"/>
  <c r="F4386" i="1"/>
  <c r="C4385" i="1"/>
  <c r="V4384" i="1"/>
  <c r="U4384" i="1"/>
  <c r="T4384" i="1"/>
  <c r="K4391" i="1" s="1"/>
  <c r="S4384" i="1"/>
  <c r="R4384" i="1"/>
  <c r="Q4384" i="1"/>
  <c r="E4384" i="1"/>
  <c r="D4384" i="1"/>
  <c r="B4384" i="1"/>
  <c r="A4383" i="1"/>
  <c r="J4381" i="1"/>
  <c r="I4381" i="1"/>
  <c r="J4380" i="1"/>
  <c r="I4380" i="1"/>
  <c r="A4379" i="1"/>
  <c r="J4375" i="1"/>
  <c r="H4375" i="1"/>
  <c r="I4373" i="1"/>
  <c r="H4373" i="1"/>
  <c r="E4373" i="1"/>
  <c r="J4372" i="1"/>
  <c r="E4372" i="1"/>
  <c r="J4371" i="1"/>
  <c r="E4371" i="1"/>
  <c r="V4370" i="1"/>
  <c r="U4370" i="1"/>
  <c r="T4370" i="1"/>
  <c r="S4370" i="1"/>
  <c r="R4370" i="1"/>
  <c r="Q4370" i="1"/>
  <c r="K4370" i="1"/>
  <c r="J4370" i="1"/>
  <c r="I4370" i="1"/>
  <c r="H4370" i="1"/>
  <c r="F4370" i="1"/>
  <c r="E4370" i="1"/>
  <c r="D4370" i="1"/>
  <c r="B4370" i="1"/>
  <c r="V4369" i="1"/>
  <c r="U4369" i="1"/>
  <c r="T4369" i="1"/>
  <c r="S4369" i="1"/>
  <c r="R4369" i="1"/>
  <c r="Q4369" i="1"/>
  <c r="K4369" i="1"/>
  <c r="J4369" i="1"/>
  <c r="I4369" i="1"/>
  <c r="H4369" i="1"/>
  <c r="F4369" i="1"/>
  <c r="E4369" i="1"/>
  <c r="D4369" i="1"/>
  <c r="B4369" i="1"/>
  <c r="V4368" i="1"/>
  <c r="U4368" i="1"/>
  <c r="T4368" i="1"/>
  <c r="S4368" i="1"/>
  <c r="R4368" i="1"/>
  <c r="Q4368" i="1"/>
  <c r="K4368" i="1"/>
  <c r="J4368" i="1"/>
  <c r="I4368" i="1"/>
  <c r="H4368" i="1"/>
  <c r="F4368" i="1"/>
  <c r="E4368" i="1"/>
  <c r="D4368" i="1"/>
  <c r="B4368" i="1"/>
  <c r="V4367" i="1"/>
  <c r="U4367" i="1"/>
  <c r="T4367" i="1"/>
  <c r="S4367" i="1"/>
  <c r="R4367" i="1"/>
  <c r="Q4367" i="1"/>
  <c r="K4367" i="1"/>
  <c r="J4367" i="1"/>
  <c r="I4367" i="1"/>
  <c r="H4367" i="1"/>
  <c r="F4367" i="1"/>
  <c r="E4367" i="1"/>
  <c r="D4367" i="1"/>
  <c r="B4367" i="1"/>
  <c r="V4366" i="1"/>
  <c r="U4366" i="1"/>
  <c r="T4366" i="1"/>
  <c r="K4372" i="1" s="1"/>
  <c r="S4366" i="1"/>
  <c r="R4366" i="1"/>
  <c r="Q4366" i="1"/>
  <c r="K4366" i="1"/>
  <c r="J4366" i="1"/>
  <c r="I4366" i="1"/>
  <c r="H4366" i="1"/>
  <c r="F4366" i="1"/>
  <c r="E4366" i="1"/>
  <c r="D4366" i="1"/>
  <c r="B4366" i="1"/>
  <c r="K4365" i="1"/>
  <c r="J4365" i="1"/>
  <c r="I4365" i="1"/>
  <c r="H4365" i="1"/>
  <c r="F4365" i="1"/>
  <c r="K4364" i="1"/>
  <c r="J4364" i="1"/>
  <c r="I4364" i="1"/>
  <c r="H4364" i="1"/>
  <c r="F4364" i="1"/>
  <c r="K4363" i="1"/>
  <c r="J4363" i="1"/>
  <c r="I4363" i="1"/>
  <c r="H4363" i="1"/>
  <c r="F4363" i="1"/>
  <c r="K4362" i="1"/>
  <c r="J4362" i="1"/>
  <c r="I4362" i="1"/>
  <c r="H4362" i="1"/>
  <c r="F4362" i="1"/>
  <c r="C4361" i="1"/>
  <c r="V4360" i="1"/>
  <c r="U4360" i="1"/>
  <c r="T4360" i="1"/>
  <c r="S4360" i="1"/>
  <c r="R4360" i="1"/>
  <c r="Q4360" i="1"/>
  <c r="E4360" i="1"/>
  <c r="D4360" i="1"/>
  <c r="B4360" i="1"/>
  <c r="J4357" i="1"/>
  <c r="H4357" i="1"/>
  <c r="I4355" i="1"/>
  <c r="H4355" i="1"/>
  <c r="E4355" i="1"/>
  <c r="J4354" i="1"/>
  <c r="E4354" i="1"/>
  <c r="J4353" i="1"/>
  <c r="E4353" i="1"/>
  <c r="V4352" i="1"/>
  <c r="U4352" i="1"/>
  <c r="T4352" i="1"/>
  <c r="S4352" i="1"/>
  <c r="R4352" i="1"/>
  <c r="Q4352" i="1"/>
  <c r="K4352" i="1"/>
  <c r="J4352" i="1"/>
  <c r="I4352" i="1"/>
  <c r="H4352" i="1"/>
  <c r="F4352" i="1"/>
  <c r="E4352" i="1"/>
  <c r="D4352" i="1"/>
  <c r="B4352" i="1"/>
  <c r="K4351" i="1"/>
  <c r="J4351" i="1"/>
  <c r="I4351" i="1"/>
  <c r="H4351" i="1"/>
  <c r="F4351" i="1"/>
  <c r="K4350" i="1"/>
  <c r="J4350" i="1"/>
  <c r="I4350" i="1"/>
  <c r="H4350" i="1"/>
  <c r="F4350" i="1"/>
  <c r="K4349" i="1"/>
  <c r="J4349" i="1"/>
  <c r="I4349" i="1"/>
  <c r="H4349" i="1"/>
  <c r="F4349" i="1"/>
  <c r="K4348" i="1"/>
  <c r="J4348" i="1"/>
  <c r="I4348" i="1"/>
  <c r="H4348" i="1"/>
  <c r="F4348" i="1"/>
  <c r="C4347" i="1"/>
  <c r="V4346" i="1"/>
  <c r="U4346" i="1"/>
  <c r="T4346" i="1"/>
  <c r="K4354" i="1" s="1"/>
  <c r="S4346" i="1"/>
  <c r="I4354" i="1" s="1"/>
  <c r="R4346" i="1"/>
  <c r="Q4346" i="1"/>
  <c r="I4353" i="1" s="1"/>
  <c r="E4346" i="1"/>
  <c r="D4346" i="1"/>
  <c r="B4346" i="1"/>
  <c r="J4343" i="1"/>
  <c r="H4343" i="1"/>
  <c r="I4341" i="1"/>
  <c r="H4341" i="1"/>
  <c r="E4341" i="1"/>
  <c r="J4340" i="1"/>
  <c r="E4340" i="1"/>
  <c r="J4339" i="1"/>
  <c r="E4339" i="1"/>
  <c r="V4338" i="1"/>
  <c r="U4338" i="1"/>
  <c r="T4338" i="1"/>
  <c r="S4338" i="1"/>
  <c r="R4338" i="1"/>
  <c r="Q4338" i="1"/>
  <c r="K4338" i="1"/>
  <c r="J4338" i="1"/>
  <c r="I4338" i="1"/>
  <c r="H4338" i="1"/>
  <c r="F4338" i="1"/>
  <c r="E4338" i="1"/>
  <c r="D4338" i="1"/>
  <c r="B4338" i="1"/>
  <c r="K4337" i="1"/>
  <c r="J4337" i="1"/>
  <c r="I4337" i="1"/>
  <c r="H4337" i="1"/>
  <c r="F4337" i="1"/>
  <c r="K4336" i="1"/>
  <c r="J4336" i="1"/>
  <c r="I4336" i="1"/>
  <c r="H4336" i="1"/>
  <c r="F4336" i="1"/>
  <c r="K4335" i="1"/>
  <c r="J4335" i="1"/>
  <c r="I4335" i="1"/>
  <c r="H4335" i="1"/>
  <c r="F4335" i="1"/>
  <c r="K4334" i="1"/>
  <c r="J4334" i="1"/>
  <c r="I4334" i="1"/>
  <c r="H4334" i="1"/>
  <c r="F4334" i="1"/>
  <c r="C4333" i="1"/>
  <c r="V4332" i="1"/>
  <c r="U4332" i="1"/>
  <c r="T4332" i="1"/>
  <c r="S4332" i="1"/>
  <c r="I4340" i="1" s="1"/>
  <c r="R4332" i="1"/>
  <c r="K4339" i="1" s="1"/>
  <c r="Q4332" i="1"/>
  <c r="E4332" i="1"/>
  <c r="D4332" i="1"/>
  <c r="B4332" i="1"/>
  <c r="J4329" i="1"/>
  <c r="H4329" i="1"/>
  <c r="I4327" i="1"/>
  <c r="H4327" i="1"/>
  <c r="E4327" i="1"/>
  <c r="J4326" i="1"/>
  <c r="E4326" i="1"/>
  <c r="J4325" i="1"/>
  <c r="E4325" i="1"/>
  <c r="V4324" i="1"/>
  <c r="U4324" i="1"/>
  <c r="T4324" i="1"/>
  <c r="K4326" i="1" s="1"/>
  <c r="S4324" i="1"/>
  <c r="R4324" i="1"/>
  <c r="K4325" i="1" s="1"/>
  <c r="Q4324" i="1"/>
  <c r="K4324" i="1"/>
  <c r="J4324" i="1"/>
  <c r="I4324" i="1"/>
  <c r="H4324" i="1"/>
  <c r="F4324" i="1"/>
  <c r="E4324" i="1"/>
  <c r="D4324" i="1"/>
  <c r="B4324" i="1"/>
  <c r="K4323" i="1"/>
  <c r="J4323" i="1"/>
  <c r="I4323" i="1"/>
  <c r="H4323" i="1"/>
  <c r="F4323" i="1"/>
  <c r="K4322" i="1"/>
  <c r="J4322" i="1"/>
  <c r="I4322" i="1"/>
  <c r="H4322" i="1"/>
  <c r="F4322" i="1"/>
  <c r="C4321" i="1"/>
  <c r="V4320" i="1"/>
  <c r="U4320" i="1"/>
  <c r="T4320" i="1"/>
  <c r="S4320" i="1"/>
  <c r="R4320" i="1"/>
  <c r="Q4320" i="1"/>
  <c r="I4325" i="1" s="1"/>
  <c r="E4320" i="1"/>
  <c r="D4320" i="1"/>
  <c r="B4320" i="1"/>
  <c r="J4317" i="1"/>
  <c r="H4317" i="1"/>
  <c r="I4315" i="1"/>
  <c r="H4315" i="1"/>
  <c r="E4315" i="1"/>
  <c r="J4314" i="1"/>
  <c r="E4314" i="1"/>
  <c r="J4313" i="1"/>
  <c r="E4313" i="1"/>
  <c r="V4312" i="1"/>
  <c r="U4312" i="1"/>
  <c r="T4312" i="1"/>
  <c r="S4312" i="1"/>
  <c r="R4312" i="1"/>
  <c r="Q4312" i="1"/>
  <c r="I4313" i="1" s="1"/>
  <c r="K4312" i="1"/>
  <c r="J4312" i="1"/>
  <c r="I4312" i="1"/>
  <c r="H4312" i="1"/>
  <c r="F4312" i="1"/>
  <c r="E4312" i="1"/>
  <c r="D4312" i="1"/>
  <c r="B4312" i="1"/>
  <c r="K4311" i="1"/>
  <c r="J4311" i="1"/>
  <c r="I4311" i="1"/>
  <c r="H4311" i="1"/>
  <c r="F4311" i="1"/>
  <c r="K4310" i="1"/>
  <c r="J4310" i="1"/>
  <c r="I4310" i="1"/>
  <c r="H4310" i="1"/>
  <c r="F4310" i="1"/>
  <c r="K4309" i="1"/>
  <c r="J4309" i="1"/>
  <c r="I4309" i="1"/>
  <c r="H4309" i="1"/>
  <c r="F4309" i="1"/>
  <c r="C4308" i="1"/>
  <c r="V4307" i="1"/>
  <c r="U4307" i="1"/>
  <c r="T4307" i="1"/>
  <c r="S4307" i="1"/>
  <c r="I4314" i="1" s="1"/>
  <c r="R4307" i="1"/>
  <c r="K4313" i="1" s="1"/>
  <c r="Q4307" i="1"/>
  <c r="E4307" i="1"/>
  <c r="D4307" i="1"/>
  <c r="B4307" i="1"/>
  <c r="A4306" i="1"/>
  <c r="J4304" i="1"/>
  <c r="I4304" i="1"/>
  <c r="J4303" i="1"/>
  <c r="I4303" i="1"/>
  <c r="AQ4302" i="1"/>
  <c r="A4302" i="1"/>
  <c r="J4298" i="1"/>
  <c r="H4298" i="1"/>
  <c r="I4296" i="1"/>
  <c r="H4296" i="1"/>
  <c r="E4296" i="1"/>
  <c r="J4295" i="1"/>
  <c r="E4295" i="1"/>
  <c r="J4294" i="1"/>
  <c r="I4294" i="1"/>
  <c r="E4294" i="1"/>
  <c r="V4293" i="1"/>
  <c r="U4293" i="1"/>
  <c r="T4293" i="1"/>
  <c r="S4293" i="1"/>
  <c r="R4293" i="1"/>
  <c r="Q4293" i="1"/>
  <c r="K4293" i="1"/>
  <c r="J4293" i="1"/>
  <c r="I4293" i="1"/>
  <c r="H4293" i="1"/>
  <c r="F4293" i="1"/>
  <c r="E4293" i="1"/>
  <c r="M4293" i="1" s="1"/>
  <c r="D4293" i="1"/>
  <c r="B4293" i="1"/>
  <c r="V4292" i="1"/>
  <c r="U4292" i="1"/>
  <c r="T4292" i="1"/>
  <c r="S4292" i="1"/>
  <c r="R4292" i="1"/>
  <c r="Q4292" i="1"/>
  <c r="K4292" i="1"/>
  <c r="J4292" i="1"/>
  <c r="I4292" i="1"/>
  <c r="H4292" i="1"/>
  <c r="F4292" i="1"/>
  <c r="E4292" i="1"/>
  <c r="D4292" i="1"/>
  <c r="B4292" i="1"/>
  <c r="K4291" i="1"/>
  <c r="J4291" i="1"/>
  <c r="I4291" i="1"/>
  <c r="H4291" i="1"/>
  <c r="F4291" i="1"/>
  <c r="K4290" i="1"/>
  <c r="J4290" i="1"/>
  <c r="I4290" i="1"/>
  <c r="H4290" i="1"/>
  <c r="F4290" i="1"/>
  <c r="K4289" i="1"/>
  <c r="J4289" i="1"/>
  <c r="I4289" i="1"/>
  <c r="H4289" i="1"/>
  <c r="F4289" i="1"/>
  <c r="K4288" i="1"/>
  <c r="J4288" i="1"/>
  <c r="I4288" i="1"/>
  <c r="H4288" i="1"/>
  <c r="F4288" i="1"/>
  <c r="C4287" i="1"/>
  <c r="V4286" i="1"/>
  <c r="U4286" i="1"/>
  <c r="T4286" i="1"/>
  <c r="K4295" i="1" s="1"/>
  <c r="S4286" i="1"/>
  <c r="R4286" i="1"/>
  <c r="Q4286" i="1"/>
  <c r="E4286" i="1"/>
  <c r="D4286" i="1"/>
  <c r="B4286" i="1"/>
  <c r="J4283" i="1"/>
  <c r="H4283" i="1"/>
  <c r="I4281" i="1"/>
  <c r="H4281" i="1"/>
  <c r="E4281" i="1"/>
  <c r="K4280" i="1"/>
  <c r="J4280" i="1"/>
  <c r="I4280" i="1"/>
  <c r="E4280" i="1"/>
  <c r="J4279" i="1"/>
  <c r="E4279" i="1"/>
  <c r="V4278" i="1"/>
  <c r="U4278" i="1"/>
  <c r="T4278" i="1"/>
  <c r="S4278" i="1"/>
  <c r="R4278" i="1"/>
  <c r="Q4278" i="1"/>
  <c r="K4278" i="1"/>
  <c r="J4278" i="1"/>
  <c r="I4278" i="1"/>
  <c r="H4278" i="1"/>
  <c r="F4278" i="1"/>
  <c r="E4278" i="1"/>
  <c r="D4278" i="1"/>
  <c r="B4278" i="1"/>
  <c r="K4277" i="1"/>
  <c r="J4277" i="1"/>
  <c r="I4277" i="1"/>
  <c r="H4277" i="1"/>
  <c r="F4277" i="1"/>
  <c r="K4276" i="1"/>
  <c r="J4276" i="1"/>
  <c r="I4276" i="1"/>
  <c r="H4276" i="1"/>
  <c r="F4276" i="1"/>
  <c r="K4275" i="1"/>
  <c r="J4275" i="1"/>
  <c r="I4275" i="1"/>
  <c r="H4275" i="1"/>
  <c r="F4275" i="1"/>
  <c r="K4274" i="1"/>
  <c r="P4284" i="1" s="1"/>
  <c r="J4274" i="1"/>
  <c r="I4274" i="1"/>
  <c r="H4274" i="1"/>
  <c r="F4274" i="1"/>
  <c r="C4273" i="1"/>
  <c r="V4272" i="1"/>
  <c r="U4272" i="1"/>
  <c r="T4272" i="1"/>
  <c r="S4272" i="1"/>
  <c r="R4272" i="1"/>
  <c r="K4279" i="1" s="1"/>
  <c r="Q4272" i="1"/>
  <c r="I4279" i="1" s="1"/>
  <c r="E4272" i="1"/>
  <c r="D4272" i="1"/>
  <c r="B4272" i="1"/>
  <c r="J4269" i="1"/>
  <c r="H4269" i="1"/>
  <c r="I4267" i="1"/>
  <c r="H4267" i="1"/>
  <c r="E4267" i="1"/>
  <c r="J4266" i="1"/>
  <c r="E4266" i="1"/>
  <c r="J4265" i="1"/>
  <c r="E4265" i="1"/>
  <c r="V4264" i="1"/>
  <c r="U4264" i="1"/>
  <c r="T4264" i="1"/>
  <c r="K4266" i="1" s="1"/>
  <c r="S4264" i="1"/>
  <c r="R4264" i="1"/>
  <c r="Q4264" i="1"/>
  <c r="K4264" i="1"/>
  <c r="J4264" i="1"/>
  <c r="I4264" i="1"/>
  <c r="H4264" i="1"/>
  <c r="F4264" i="1"/>
  <c r="E4264" i="1"/>
  <c r="D4264" i="1"/>
  <c r="B4264" i="1"/>
  <c r="K4263" i="1"/>
  <c r="J4263" i="1"/>
  <c r="I4263" i="1"/>
  <c r="H4263" i="1"/>
  <c r="F4263" i="1"/>
  <c r="K4262" i="1"/>
  <c r="J4262" i="1"/>
  <c r="I4262" i="1"/>
  <c r="H4262" i="1"/>
  <c r="F4262" i="1"/>
  <c r="C4261" i="1"/>
  <c r="V4260" i="1"/>
  <c r="U4260" i="1"/>
  <c r="T4260" i="1"/>
  <c r="S4260" i="1"/>
  <c r="R4260" i="1"/>
  <c r="K4265" i="1" s="1"/>
  <c r="Q4260" i="1"/>
  <c r="E4260" i="1"/>
  <c r="D4260" i="1"/>
  <c r="B4260" i="1"/>
  <c r="J4257" i="1"/>
  <c r="H4257" i="1"/>
  <c r="I4255" i="1"/>
  <c r="H4255" i="1"/>
  <c r="E4255" i="1"/>
  <c r="J4254" i="1"/>
  <c r="E4254" i="1"/>
  <c r="J4253" i="1"/>
  <c r="E4253" i="1"/>
  <c r="V4252" i="1"/>
  <c r="U4252" i="1"/>
  <c r="T4252" i="1"/>
  <c r="S4252" i="1"/>
  <c r="R4252" i="1"/>
  <c r="Q4252" i="1"/>
  <c r="K4252" i="1"/>
  <c r="J4252" i="1"/>
  <c r="I4252" i="1"/>
  <c r="H4252" i="1"/>
  <c r="F4252" i="1"/>
  <c r="E4252" i="1"/>
  <c r="D4252" i="1"/>
  <c r="B4252" i="1"/>
  <c r="K4251" i="1"/>
  <c r="J4251" i="1"/>
  <c r="I4251" i="1"/>
  <c r="H4251" i="1"/>
  <c r="F4251" i="1"/>
  <c r="K4250" i="1"/>
  <c r="J4250" i="1"/>
  <c r="I4250" i="1"/>
  <c r="H4250" i="1"/>
  <c r="F4250" i="1"/>
  <c r="K4249" i="1"/>
  <c r="J4249" i="1"/>
  <c r="I4249" i="1"/>
  <c r="H4249" i="1"/>
  <c r="F4249" i="1"/>
  <c r="C4248" i="1"/>
  <c r="V4247" i="1"/>
  <c r="U4247" i="1"/>
  <c r="T4247" i="1"/>
  <c r="S4247" i="1"/>
  <c r="R4247" i="1"/>
  <c r="Q4247" i="1"/>
  <c r="I4253" i="1" s="1"/>
  <c r="E4247" i="1"/>
  <c r="D4247" i="1"/>
  <c r="B4247" i="1"/>
  <c r="A4246" i="1"/>
  <c r="J4244" i="1"/>
  <c r="I4244" i="1"/>
  <c r="J4243" i="1"/>
  <c r="I4243" i="1"/>
  <c r="AQ4242" i="1"/>
  <c r="A4242" i="1"/>
  <c r="J4238" i="1"/>
  <c r="H4238" i="1"/>
  <c r="I4236" i="1"/>
  <c r="H4236" i="1"/>
  <c r="E4236" i="1"/>
  <c r="J4235" i="1"/>
  <c r="E4235" i="1"/>
  <c r="J4234" i="1"/>
  <c r="E4234" i="1"/>
  <c r="V4233" i="1"/>
  <c r="U4233" i="1"/>
  <c r="T4233" i="1"/>
  <c r="S4233" i="1"/>
  <c r="R4233" i="1"/>
  <c r="Q4233" i="1"/>
  <c r="K4233" i="1"/>
  <c r="J4233" i="1"/>
  <c r="I4233" i="1"/>
  <c r="H4233" i="1"/>
  <c r="F4233" i="1"/>
  <c r="E4233" i="1"/>
  <c r="M4233" i="1" s="1"/>
  <c r="D4233" i="1"/>
  <c r="B4233" i="1"/>
  <c r="V4232" i="1"/>
  <c r="U4232" i="1"/>
  <c r="T4232" i="1"/>
  <c r="S4232" i="1"/>
  <c r="R4232" i="1"/>
  <c r="Q4232" i="1"/>
  <c r="K4232" i="1"/>
  <c r="J4232" i="1"/>
  <c r="I4232" i="1"/>
  <c r="H4232" i="1"/>
  <c r="F4232" i="1"/>
  <c r="E4232" i="1"/>
  <c r="D4232" i="1"/>
  <c r="B4232" i="1"/>
  <c r="K4231" i="1"/>
  <c r="J4231" i="1"/>
  <c r="I4231" i="1"/>
  <c r="H4231" i="1"/>
  <c r="F4231" i="1"/>
  <c r="K4230" i="1"/>
  <c r="J4230" i="1"/>
  <c r="I4230" i="1"/>
  <c r="H4230" i="1"/>
  <c r="F4230" i="1"/>
  <c r="K4229" i="1"/>
  <c r="J4229" i="1"/>
  <c r="I4229" i="1"/>
  <c r="H4229" i="1"/>
  <c r="F4229" i="1"/>
  <c r="K4228" i="1"/>
  <c r="J4228" i="1"/>
  <c r="I4228" i="1"/>
  <c r="H4228" i="1"/>
  <c r="F4228" i="1"/>
  <c r="C4227" i="1"/>
  <c r="V4226" i="1"/>
  <c r="U4226" i="1"/>
  <c r="T4226" i="1"/>
  <c r="S4226" i="1"/>
  <c r="R4226" i="1"/>
  <c r="K4234" i="1" s="1"/>
  <c r="Q4226" i="1"/>
  <c r="I4234" i="1" s="1"/>
  <c r="E4226" i="1"/>
  <c r="D4226" i="1"/>
  <c r="B4226" i="1"/>
  <c r="J4223" i="1"/>
  <c r="H4223" i="1"/>
  <c r="I4221" i="1"/>
  <c r="H4221" i="1"/>
  <c r="E4221" i="1"/>
  <c r="J4220" i="1"/>
  <c r="E4220" i="1"/>
  <c r="J4219" i="1"/>
  <c r="E4219" i="1"/>
  <c r="V4218" i="1"/>
  <c r="U4218" i="1"/>
  <c r="T4218" i="1"/>
  <c r="S4218" i="1"/>
  <c r="R4218" i="1"/>
  <c r="Q4218" i="1"/>
  <c r="I4219" i="1" s="1"/>
  <c r="K4218" i="1"/>
  <c r="J4218" i="1"/>
  <c r="I4218" i="1"/>
  <c r="H4218" i="1"/>
  <c r="F4218" i="1"/>
  <c r="E4218" i="1"/>
  <c r="D4218" i="1"/>
  <c r="B4218" i="1"/>
  <c r="K4217" i="1"/>
  <c r="J4217" i="1"/>
  <c r="I4217" i="1"/>
  <c r="H4217" i="1"/>
  <c r="F4217" i="1"/>
  <c r="K4216" i="1"/>
  <c r="J4216" i="1"/>
  <c r="I4216" i="1"/>
  <c r="H4216" i="1"/>
  <c r="F4216" i="1"/>
  <c r="K4215" i="1"/>
  <c r="J4215" i="1"/>
  <c r="I4215" i="1"/>
  <c r="H4215" i="1"/>
  <c r="F4215" i="1"/>
  <c r="K4214" i="1"/>
  <c r="J4214" i="1"/>
  <c r="I4214" i="1"/>
  <c r="H4214" i="1"/>
  <c r="F4214" i="1"/>
  <c r="C4213" i="1"/>
  <c r="V4212" i="1"/>
  <c r="U4212" i="1"/>
  <c r="T4212" i="1"/>
  <c r="K4220" i="1" s="1"/>
  <c r="S4212" i="1"/>
  <c r="I4220" i="1" s="1"/>
  <c r="R4212" i="1"/>
  <c r="Q4212" i="1"/>
  <c r="E4212" i="1"/>
  <c r="D4212" i="1"/>
  <c r="B4212" i="1"/>
  <c r="J4209" i="1"/>
  <c r="H4209" i="1"/>
  <c r="I4207" i="1"/>
  <c r="H4207" i="1"/>
  <c r="E4207" i="1"/>
  <c r="J4206" i="1"/>
  <c r="E4206" i="1"/>
  <c r="J4205" i="1"/>
  <c r="E4205" i="1"/>
  <c r="V4204" i="1"/>
  <c r="U4204" i="1"/>
  <c r="T4204" i="1"/>
  <c r="K4206" i="1" s="1"/>
  <c r="S4204" i="1"/>
  <c r="R4204" i="1"/>
  <c r="Q4204" i="1"/>
  <c r="K4204" i="1"/>
  <c r="J4204" i="1"/>
  <c r="I4204" i="1"/>
  <c r="H4204" i="1"/>
  <c r="F4204" i="1"/>
  <c r="E4204" i="1"/>
  <c r="D4204" i="1"/>
  <c r="B4204" i="1"/>
  <c r="K4203" i="1"/>
  <c r="J4203" i="1"/>
  <c r="I4203" i="1"/>
  <c r="H4203" i="1"/>
  <c r="F4203" i="1"/>
  <c r="K4202" i="1"/>
  <c r="J4202" i="1"/>
  <c r="I4202" i="1"/>
  <c r="H4202" i="1"/>
  <c r="F4202" i="1"/>
  <c r="C4201" i="1"/>
  <c r="V4200" i="1"/>
  <c r="U4200" i="1"/>
  <c r="T4200" i="1"/>
  <c r="S4200" i="1"/>
  <c r="R4200" i="1"/>
  <c r="K4205" i="1" s="1"/>
  <c r="Q4200" i="1"/>
  <c r="I4205" i="1" s="1"/>
  <c r="E4200" i="1"/>
  <c r="D4200" i="1"/>
  <c r="B4200" i="1"/>
  <c r="J4197" i="1"/>
  <c r="H4197" i="1"/>
  <c r="I4195" i="1"/>
  <c r="H4195" i="1"/>
  <c r="E4195" i="1"/>
  <c r="J4194" i="1"/>
  <c r="E4194" i="1"/>
  <c r="J4193" i="1"/>
  <c r="E4193" i="1"/>
  <c r="V4192" i="1"/>
  <c r="U4192" i="1"/>
  <c r="T4192" i="1"/>
  <c r="S4192" i="1"/>
  <c r="R4192" i="1"/>
  <c r="Q4192" i="1"/>
  <c r="K4192" i="1"/>
  <c r="J4192" i="1"/>
  <c r="I4192" i="1"/>
  <c r="H4192" i="1"/>
  <c r="F4192" i="1"/>
  <c r="E4192" i="1"/>
  <c r="D4192" i="1"/>
  <c r="B4192" i="1"/>
  <c r="K4191" i="1"/>
  <c r="J4191" i="1"/>
  <c r="I4191" i="1"/>
  <c r="H4191" i="1"/>
  <c r="F4191" i="1"/>
  <c r="K4190" i="1"/>
  <c r="J4190" i="1"/>
  <c r="I4190" i="1"/>
  <c r="H4190" i="1"/>
  <c r="F4190" i="1"/>
  <c r="K4189" i="1"/>
  <c r="J4189" i="1"/>
  <c r="I4189" i="1"/>
  <c r="H4189" i="1"/>
  <c r="F4189" i="1"/>
  <c r="C4188" i="1"/>
  <c r="V4187" i="1"/>
  <c r="U4187" i="1"/>
  <c r="T4187" i="1"/>
  <c r="K4194" i="1" s="1"/>
  <c r="S4187" i="1"/>
  <c r="R4187" i="1"/>
  <c r="K4193" i="1" s="1"/>
  <c r="J4196" i="1" s="1"/>
  <c r="Q4187" i="1"/>
  <c r="E4187" i="1"/>
  <c r="D4187" i="1"/>
  <c r="B4187" i="1"/>
  <c r="A4186" i="1"/>
  <c r="J4184" i="1"/>
  <c r="I4184" i="1"/>
  <c r="J4183" i="1"/>
  <c r="I4183" i="1"/>
  <c r="A4182" i="1"/>
  <c r="J4178" i="1"/>
  <c r="H4178" i="1"/>
  <c r="I4176" i="1"/>
  <c r="H4176" i="1"/>
  <c r="E4176" i="1"/>
  <c r="J4175" i="1"/>
  <c r="E4175" i="1"/>
  <c r="J4174" i="1"/>
  <c r="E4174" i="1"/>
  <c r="V4173" i="1"/>
  <c r="U4173" i="1"/>
  <c r="T4173" i="1"/>
  <c r="S4173" i="1"/>
  <c r="R4173" i="1"/>
  <c r="Q4173" i="1"/>
  <c r="K4173" i="1"/>
  <c r="J4173" i="1"/>
  <c r="I4173" i="1"/>
  <c r="H4173" i="1"/>
  <c r="F4173" i="1"/>
  <c r="E4173" i="1"/>
  <c r="D4173" i="1"/>
  <c r="B4173" i="1"/>
  <c r="V4172" i="1"/>
  <c r="U4172" i="1"/>
  <c r="T4172" i="1"/>
  <c r="S4172" i="1"/>
  <c r="R4172" i="1"/>
  <c r="Q4172" i="1"/>
  <c r="K4172" i="1"/>
  <c r="J4172" i="1"/>
  <c r="I4172" i="1"/>
  <c r="H4172" i="1"/>
  <c r="F4172" i="1"/>
  <c r="E4172" i="1"/>
  <c r="D4172" i="1"/>
  <c r="B4172" i="1"/>
  <c r="V4171" i="1"/>
  <c r="U4171" i="1"/>
  <c r="T4171" i="1"/>
  <c r="S4171" i="1"/>
  <c r="R4171" i="1"/>
  <c r="K4174" i="1" s="1"/>
  <c r="Q4171" i="1"/>
  <c r="K4171" i="1"/>
  <c r="J4171" i="1"/>
  <c r="I4171" i="1"/>
  <c r="H4171" i="1"/>
  <c r="F4171" i="1"/>
  <c r="E4171" i="1"/>
  <c r="D4171" i="1"/>
  <c r="B4171" i="1"/>
  <c r="V4170" i="1"/>
  <c r="U4170" i="1"/>
  <c r="T4170" i="1"/>
  <c r="S4170" i="1"/>
  <c r="R4170" i="1"/>
  <c r="Q4170" i="1"/>
  <c r="K4170" i="1"/>
  <c r="J4170" i="1"/>
  <c r="I4170" i="1"/>
  <c r="H4170" i="1"/>
  <c r="F4170" i="1"/>
  <c r="E4170" i="1"/>
  <c r="D4170" i="1"/>
  <c r="B4170" i="1"/>
  <c r="V4169" i="1"/>
  <c r="U4169" i="1"/>
  <c r="T4169" i="1"/>
  <c r="S4169" i="1"/>
  <c r="R4169" i="1"/>
  <c r="Q4169" i="1"/>
  <c r="K4169" i="1"/>
  <c r="J4169" i="1"/>
  <c r="I4169" i="1"/>
  <c r="H4169" i="1"/>
  <c r="F4169" i="1"/>
  <c r="E4169" i="1"/>
  <c r="D4169" i="1"/>
  <c r="B4169" i="1"/>
  <c r="K4168" i="1"/>
  <c r="J4168" i="1"/>
  <c r="I4168" i="1"/>
  <c r="H4168" i="1"/>
  <c r="F4168" i="1"/>
  <c r="K4167" i="1"/>
  <c r="J4167" i="1"/>
  <c r="I4167" i="1"/>
  <c r="H4167" i="1"/>
  <c r="F4167" i="1"/>
  <c r="K4166" i="1"/>
  <c r="J4166" i="1"/>
  <c r="I4166" i="1"/>
  <c r="H4166" i="1"/>
  <c r="F4166" i="1"/>
  <c r="K4165" i="1"/>
  <c r="J4165" i="1"/>
  <c r="I4165" i="1"/>
  <c r="H4165" i="1"/>
  <c r="F4165" i="1"/>
  <c r="C4164" i="1"/>
  <c r="V4163" i="1"/>
  <c r="U4163" i="1"/>
  <c r="T4163" i="1"/>
  <c r="S4163" i="1"/>
  <c r="R4163" i="1"/>
  <c r="Q4163" i="1"/>
  <c r="E4163" i="1"/>
  <c r="D4163" i="1"/>
  <c r="B4163" i="1"/>
  <c r="J4160" i="1"/>
  <c r="H4160" i="1"/>
  <c r="I4158" i="1"/>
  <c r="H4158" i="1"/>
  <c r="E4158" i="1"/>
  <c r="J4157" i="1"/>
  <c r="E4157" i="1"/>
  <c r="J4156" i="1"/>
  <c r="I4156" i="1"/>
  <c r="E4156" i="1"/>
  <c r="V4155" i="1"/>
  <c r="U4155" i="1"/>
  <c r="T4155" i="1"/>
  <c r="S4155" i="1"/>
  <c r="R4155" i="1"/>
  <c r="Q4155" i="1"/>
  <c r="K4155" i="1"/>
  <c r="J4155" i="1"/>
  <c r="I4155" i="1"/>
  <c r="H4155" i="1"/>
  <c r="F4155" i="1"/>
  <c r="E4155" i="1"/>
  <c r="D4155" i="1"/>
  <c r="B4155" i="1"/>
  <c r="K4154" i="1"/>
  <c r="J4154" i="1"/>
  <c r="I4154" i="1"/>
  <c r="H4154" i="1"/>
  <c r="F4154" i="1"/>
  <c r="K4153" i="1"/>
  <c r="J4153" i="1"/>
  <c r="I4153" i="1"/>
  <c r="H4153" i="1"/>
  <c r="F4153" i="1"/>
  <c r="K4152" i="1"/>
  <c r="J4152" i="1"/>
  <c r="I4152" i="1"/>
  <c r="H4152" i="1"/>
  <c r="F4152" i="1"/>
  <c r="K4151" i="1"/>
  <c r="J4151" i="1"/>
  <c r="I4151" i="1"/>
  <c r="H4151" i="1"/>
  <c r="F4151" i="1"/>
  <c r="C4150" i="1"/>
  <c r="V4149" i="1"/>
  <c r="U4149" i="1"/>
  <c r="T4149" i="1"/>
  <c r="S4149" i="1"/>
  <c r="I4157" i="1" s="1"/>
  <c r="R4149" i="1"/>
  <c r="Q4149" i="1"/>
  <c r="E4149" i="1"/>
  <c r="D4149" i="1"/>
  <c r="B4149" i="1"/>
  <c r="J4146" i="1"/>
  <c r="H4146" i="1"/>
  <c r="I4144" i="1"/>
  <c r="H4144" i="1"/>
  <c r="E4144" i="1"/>
  <c r="J4143" i="1"/>
  <c r="E4143" i="1"/>
  <c r="J4142" i="1"/>
  <c r="E4142" i="1"/>
  <c r="V4141" i="1"/>
  <c r="U4141" i="1"/>
  <c r="T4141" i="1"/>
  <c r="K4143" i="1" s="1"/>
  <c r="S4141" i="1"/>
  <c r="R4141" i="1"/>
  <c r="Q4141" i="1"/>
  <c r="K4141" i="1"/>
  <c r="J4141" i="1"/>
  <c r="I4141" i="1"/>
  <c r="H4141" i="1"/>
  <c r="F4141" i="1"/>
  <c r="E4141" i="1"/>
  <c r="D4141" i="1"/>
  <c r="B4141" i="1"/>
  <c r="K4140" i="1"/>
  <c r="J4140" i="1"/>
  <c r="I4140" i="1"/>
  <c r="H4140" i="1"/>
  <c r="F4140" i="1"/>
  <c r="K4139" i="1"/>
  <c r="J4139" i="1"/>
  <c r="I4139" i="1"/>
  <c r="H4139" i="1"/>
  <c r="F4139" i="1"/>
  <c r="K4138" i="1"/>
  <c r="J4138" i="1"/>
  <c r="I4138" i="1"/>
  <c r="H4138" i="1"/>
  <c r="F4138" i="1"/>
  <c r="K4137" i="1"/>
  <c r="J4137" i="1"/>
  <c r="I4137" i="1"/>
  <c r="H4137" i="1"/>
  <c r="F4137" i="1"/>
  <c r="C4136" i="1"/>
  <c r="V4135" i="1"/>
  <c r="U4135" i="1"/>
  <c r="T4135" i="1"/>
  <c r="S4135" i="1"/>
  <c r="I4143" i="1" s="1"/>
  <c r="R4135" i="1"/>
  <c r="K4142" i="1" s="1"/>
  <c r="Q4135" i="1"/>
  <c r="I4142" i="1" s="1"/>
  <c r="E4135" i="1"/>
  <c r="D4135" i="1"/>
  <c r="B4135" i="1"/>
  <c r="J4132" i="1"/>
  <c r="H4132" i="1"/>
  <c r="I4130" i="1"/>
  <c r="H4130" i="1"/>
  <c r="E4130" i="1"/>
  <c r="J4129" i="1"/>
  <c r="E4129" i="1"/>
  <c r="J4128" i="1"/>
  <c r="E4128" i="1"/>
  <c r="V4127" i="1"/>
  <c r="U4127" i="1"/>
  <c r="T4127" i="1"/>
  <c r="S4127" i="1"/>
  <c r="R4127" i="1"/>
  <c r="K4128" i="1" s="1"/>
  <c r="Q4127" i="1"/>
  <c r="I4128" i="1" s="1"/>
  <c r="K4127" i="1"/>
  <c r="J4127" i="1"/>
  <c r="I4127" i="1"/>
  <c r="H4127" i="1"/>
  <c r="F4127" i="1"/>
  <c r="E4127" i="1"/>
  <c r="D4127" i="1"/>
  <c r="B4127" i="1"/>
  <c r="K4126" i="1"/>
  <c r="J4126" i="1"/>
  <c r="I4126" i="1"/>
  <c r="H4126" i="1"/>
  <c r="F4126" i="1"/>
  <c r="K4125" i="1"/>
  <c r="J4125" i="1"/>
  <c r="I4125" i="1"/>
  <c r="H4125" i="1"/>
  <c r="F4125" i="1"/>
  <c r="C4124" i="1"/>
  <c r="V4123" i="1"/>
  <c r="U4123" i="1"/>
  <c r="T4123" i="1"/>
  <c r="K4129" i="1" s="1"/>
  <c r="S4123" i="1"/>
  <c r="I4129" i="1" s="1"/>
  <c r="R4123" i="1"/>
  <c r="Q4123" i="1"/>
  <c r="E4123" i="1"/>
  <c r="D4123" i="1"/>
  <c r="B4123" i="1"/>
  <c r="J4120" i="1"/>
  <c r="H4120" i="1"/>
  <c r="I4118" i="1"/>
  <c r="H4118" i="1"/>
  <c r="E4118" i="1"/>
  <c r="J4117" i="1"/>
  <c r="E4117" i="1"/>
  <c r="J4116" i="1"/>
  <c r="E4116" i="1"/>
  <c r="V4115" i="1"/>
  <c r="U4115" i="1"/>
  <c r="T4115" i="1"/>
  <c r="S4115" i="1"/>
  <c r="R4115" i="1"/>
  <c r="Q4115" i="1"/>
  <c r="K4115" i="1"/>
  <c r="J4115" i="1"/>
  <c r="I4115" i="1"/>
  <c r="H4115" i="1"/>
  <c r="F4115" i="1"/>
  <c r="E4115" i="1"/>
  <c r="D4115" i="1"/>
  <c r="B4115" i="1"/>
  <c r="K4114" i="1"/>
  <c r="J4114" i="1"/>
  <c r="I4114" i="1"/>
  <c r="H4114" i="1"/>
  <c r="F4114" i="1"/>
  <c r="K4113" i="1"/>
  <c r="J4113" i="1"/>
  <c r="I4113" i="1"/>
  <c r="H4113" i="1"/>
  <c r="F4113" i="1"/>
  <c r="K4112" i="1"/>
  <c r="J4112" i="1"/>
  <c r="I4112" i="1"/>
  <c r="H4112" i="1"/>
  <c r="F4112" i="1"/>
  <c r="C4111" i="1"/>
  <c r="V4110" i="1"/>
  <c r="U4110" i="1"/>
  <c r="T4110" i="1"/>
  <c r="S4110" i="1"/>
  <c r="R4110" i="1"/>
  <c r="K4116" i="1" s="1"/>
  <c r="Q4110" i="1"/>
  <c r="I4116" i="1" s="1"/>
  <c r="E4110" i="1"/>
  <c r="D4110" i="1"/>
  <c r="B4110" i="1"/>
  <c r="A4109" i="1"/>
  <c r="J4107" i="1"/>
  <c r="I4107" i="1"/>
  <c r="J4106" i="1"/>
  <c r="I4106" i="1"/>
  <c r="A4105" i="1"/>
  <c r="J4101" i="1"/>
  <c r="H4101" i="1"/>
  <c r="I4099" i="1"/>
  <c r="H4099" i="1"/>
  <c r="E4099" i="1"/>
  <c r="K4098" i="1"/>
  <c r="J4098" i="1"/>
  <c r="E4098" i="1"/>
  <c r="J4097" i="1"/>
  <c r="E4097" i="1"/>
  <c r="V4096" i="1"/>
  <c r="U4096" i="1"/>
  <c r="T4096" i="1"/>
  <c r="S4096" i="1"/>
  <c r="R4096" i="1"/>
  <c r="Q4096" i="1"/>
  <c r="K4096" i="1"/>
  <c r="J4096" i="1"/>
  <c r="I4096" i="1"/>
  <c r="H4096" i="1"/>
  <c r="F4096" i="1"/>
  <c r="E4096" i="1"/>
  <c r="D4096" i="1"/>
  <c r="B4096" i="1"/>
  <c r="V4095" i="1"/>
  <c r="U4095" i="1"/>
  <c r="T4095" i="1"/>
  <c r="S4095" i="1"/>
  <c r="R4095" i="1"/>
  <c r="Q4095" i="1"/>
  <c r="K4095" i="1"/>
  <c r="J4095" i="1"/>
  <c r="I4095" i="1"/>
  <c r="H4095" i="1"/>
  <c r="F4095" i="1"/>
  <c r="E4095" i="1"/>
  <c r="D4095" i="1"/>
  <c r="B4095" i="1"/>
  <c r="K4094" i="1"/>
  <c r="J4094" i="1"/>
  <c r="I4094" i="1"/>
  <c r="H4094" i="1"/>
  <c r="F4094" i="1"/>
  <c r="K4093" i="1"/>
  <c r="J4093" i="1"/>
  <c r="I4093" i="1"/>
  <c r="H4093" i="1"/>
  <c r="F4093" i="1"/>
  <c r="K4092" i="1"/>
  <c r="J4092" i="1"/>
  <c r="I4092" i="1"/>
  <c r="H4092" i="1"/>
  <c r="F4092" i="1"/>
  <c r="K4091" i="1"/>
  <c r="J4091" i="1"/>
  <c r="I4091" i="1"/>
  <c r="H4091" i="1"/>
  <c r="F4091" i="1"/>
  <c r="C4090" i="1"/>
  <c r="V4089" i="1"/>
  <c r="U4089" i="1"/>
  <c r="T4089" i="1"/>
  <c r="S4089" i="1"/>
  <c r="R4089" i="1"/>
  <c r="Q4089" i="1"/>
  <c r="E4089" i="1"/>
  <c r="D4089" i="1"/>
  <c r="B4089" i="1"/>
  <c r="J4086" i="1"/>
  <c r="H4086" i="1"/>
  <c r="I4084" i="1"/>
  <c r="H4084" i="1"/>
  <c r="E4084" i="1"/>
  <c r="J4083" i="1"/>
  <c r="E4083" i="1"/>
  <c r="K4082" i="1"/>
  <c r="J4082" i="1"/>
  <c r="E4082" i="1"/>
  <c r="V4081" i="1"/>
  <c r="U4081" i="1"/>
  <c r="T4081" i="1"/>
  <c r="S4081" i="1"/>
  <c r="R4081" i="1"/>
  <c r="Q4081" i="1"/>
  <c r="K4081" i="1"/>
  <c r="J4081" i="1"/>
  <c r="I4081" i="1"/>
  <c r="H4081" i="1"/>
  <c r="F4081" i="1"/>
  <c r="E4081" i="1"/>
  <c r="D4081" i="1"/>
  <c r="B4081" i="1"/>
  <c r="K4080" i="1"/>
  <c r="J4080" i="1"/>
  <c r="I4080" i="1"/>
  <c r="H4080" i="1"/>
  <c r="F4080" i="1"/>
  <c r="K4079" i="1"/>
  <c r="J4079" i="1"/>
  <c r="I4079" i="1"/>
  <c r="H4079" i="1"/>
  <c r="F4079" i="1"/>
  <c r="K4078" i="1"/>
  <c r="J4078" i="1"/>
  <c r="I4078" i="1"/>
  <c r="H4078" i="1"/>
  <c r="F4078" i="1"/>
  <c r="K4077" i="1"/>
  <c r="J4077" i="1"/>
  <c r="I4077" i="1"/>
  <c r="H4077" i="1"/>
  <c r="F4077" i="1"/>
  <c r="C4076" i="1"/>
  <c r="V4075" i="1"/>
  <c r="U4075" i="1"/>
  <c r="T4075" i="1"/>
  <c r="S4075" i="1"/>
  <c r="R4075" i="1"/>
  <c r="Q4075" i="1"/>
  <c r="I4082" i="1" s="1"/>
  <c r="E4075" i="1"/>
  <c r="D4075" i="1"/>
  <c r="B4075" i="1"/>
  <c r="J4072" i="1"/>
  <c r="H4072" i="1"/>
  <c r="I4070" i="1"/>
  <c r="H4070" i="1"/>
  <c r="E4070" i="1"/>
  <c r="J4069" i="1"/>
  <c r="E4069" i="1"/>
  <c r="J4068" i="1"/>
  <c r="E4068" i="1"/>
  <c r="V4067" i="1"/>
  <c r="U4067" i="1"/>
  <c r="T4067" i="1"/>
  <c r="S4067" i="1"/>
  <c r="R4067" i="1"/>
  <c r="Q4067" i="1"/>
  <c r="K4067" i="1"/>
  <c r="J4067" i="1"/>
  <c r="I4067" i="1"/>
  <c r="H4067" i="1"/>
  <c r="F4067" i="1"/>
  <c r="E4067" i="1"/>
  <c r="D4067" i="1"/>
  <c r="B4067" i="1"/>
  <c r="K4066" i="1"/>
  <c r="J4066" i="1"/>
  <c r="I4066" i="1"/>
  <c r="H4066" i="1"/>
  <c r="F4066" i="1"/>
  <c r="K4065" i="1"/>
  <c r="J4065" i="1"/>
  <c r="I4065" i="1"/>
  <c r="H4065" i="1"/>
  <c r="F4065" i="1"/>
  <c r="K4064" i="1"/>
  <c r="J4064" i="1"/>
  <c r="I4064" i="1"/>
  <c r="O4073" i="1" s="1"/>
  <c r="H4064" i="1"/>
  <c r="F4064" i="1"/>
  <c r="K4063" i="1"/>
  <c r="J4063" i="1"/>
  <c r="I4063" i="1"/>
  <c r="H4063" i="1"/>
  <c r="F4063" i="1"/>
  <c r="C4062" i="1"/>
  <c r="V4061" i="1"/>
  <c r="U4061" i="1"/>
  <c r="T4061" i="1"/>
  <c r="K4069" i="1" s="1"/>
  <c r="S4061" i="1"/>
  <c r="I4069" i="1" s="1"/>
  <c r="R4061" i="1"/>
  <c r="Q4061" i="1"/>
  <c r="I4068" i="1" s="1"/>
  <c r="E4061" i="1"/>
  <c r="D4061" i="1"/>
  <c r="B4061" i="1"/>
  <c r="J4058" i="1"/>
  <c r="H4058" i="1"/>
  <c r="I4056" i="1"/>
  <c r="H4056" i="1"/>
  <c r="E4056" i="1"/>
  <c r="J4055" i="1"/>
  <c r="E4055" i="1"/>
  <c r="J4054" i="1"/>
  <c r="E4054" i="1"/>
  <c r="V4053" i="1"/>
  <c r="U4053" i="1"/>
  <c r="T4053" i="1"/>
  <c r="S4053" i="1"/>
  <c r="I4055" i="1" s="1"/>
  <c r="R4053" i="1"/>
  <c r="Q4053" i="1"/>
  <c r="K4053" i="1"/>
  <c r="J4053" i="1"/>
  <c r="I4053" i="1"/>
  <c r="H4053" i="1"/>
  <c r="F4053" i="1"/>
  <c r="E4053" i="1"/>
  <c r="D4053" i="1"/>
  <c r="B4053" i="1"/>
  <c r="K4052" i="1"/>
  <c r="J4052" i="1"/>
  <c r="I4052" i="1"/>
  <c r="H4052" i="1"/>
  <c r="F4052" i="1"/>
  <c r="K4051" i="1"/>
  <c r="J4051" i="1"/>
  <c r="I4051" i="1"/>
  <c r="H4051" i="1"/>
  <c r="F4051" i="1"/>
  <c r="C4050" i="1"/>
  <c r="V4049" i="1"/>
  <c r="U4049" i="1"/>
  <c r="T4049" i="1"/>
  <c r="K4055" i="1" s="1"/>
  <c r="S4049" i="1"/>
  <c r="R4049" i="1"/>
  <c r="Q4049" i="1"/>
  <c r="E4049" i="1"/>
  <c r="D4049" i="1"/>
  <c r="B4049" i="1"/>
  <c r="J4046" i="1"/>
  <c r="H4046" i="1"/>
  <c r="I4044" i="1"/>
  <c r="H4044" i="1"/>
  <c r="E4044" i="1"/>
  <c r="J4043" i="1"/>
  <c r="E4043" i="1"/>
  <c r="J4042" i="1"/>
  <c r="E4042" i="1"/>
  <c r="V4041" i="1"/>
  <c r="U4041" i="1"/>
  <c r="T4041" i="1"/>
  <c r="S4041" i="1"/>
  <c r="R4041" i="1"/>
  <c r="Q4041" i="1"/>
  <c r="K4041" i="1"/>
  <c r="J4041" i="1"/>
  <c r="I4041" i="1"/>
  <c r="H4041" i="1"/>
  <c r="F4041" i="1"/>
  <c r="E4041" i="1"/>
  <c r="D4041" i="1"/>
  <c r="B4041" i="1"/>
  <c r="K4040" i="1"/>
  <c r="J4040" i="1"/>
  <c r="I4040" i="1"/>
  <c r="H4040" i="1"/>
  <c r="F4040" i="1"/>
  <c r="K4039" i="1"/>
  <c r="J4039" i="1"/>
  <c r="I4039" i="1"/>
  <c r="H4039" i="1"/>
  <c r="F4039" i="1"/>
  <c r="K4038" i="1"/>
  <c r="J4038" i="1"/>
  <c r="I4038" i="1"/>
  <c r="H4038" i="1"/>
  <c r="F4038" i="1"/>
  <c r="C4037" i="1"/>
  <c r="V4036" i="1"/>
  <c r="U4036" i="1"/>
  <c r="T4036" i="1"/>
  <c r="K4043" i="1" s="1"/>
  <c r="S4036" i="1"/>
  <c r="R4036" i="1"/>
  <c r="K4042" i="1" s="1"/>
  <c r="Q4036" i="1"/>
  <c r="I4042" i="1" s="1"/>
  <c r="E4036" i="1"/>
  <c r="D4036" i="1"/>
  <c r="B4036" i="1"/>
  <c r="A4035" i="1"/>
  <c r="J4033" i="1"/>
  <c r="I4033" i="1"/>
  <c r="J4032" i="1"/>
  <c r="I4032" i="1"/>
  <c r="A4031" i="1"/>
  <c r="J4027" i="1"/>
  <c r="H4027" i="1"/>
  <c r="I4025" i="1"/>
  <c r="H4025" i="1"/>
  <c r="E4025" i="1"/>
  <c r="J4024" i="1"/>
  <c r="E4024" i="1"/>
  <c r="J4023" i="1"/>
  <c r="E4023" i="1"/>
  <c r="V4022" i="1"/>
  <c r="U4022" i="1"/>
  <c r="T4022" i="1"/>
  <c r="S4022" i="1"/>
  <c r="R4022" i="1"/>
  <c r="Q4022" i="1"/>
  <c r="K4022" i="1"/>
  <c r="J4022" i="1"/>
  <c r="I4022" i="1"/>
  <c r="H4022" i="1"/>
  <c r="F4022" i="1"/>
  <c r="E4022" i="1"/>
  <c r="M4022" i="1" s="1"/>
  <c r="D4022" i="1"/>
  <c r="B4022" i="1"/>
  <c r="V4021" i="1"/>
  <c r="U4021" i="1"/>
  <c r="T4021" i="1"/>
  <c r="S4021" i="1"/>
  <c r="R4021" i="1"/>
  <c r="K4023" i="1" s="1"/>
  <c r="Q4021" i="1"/>
  <c r="I4023" i="1" s="1"/>
  <c r="H4028" i="1" s="1"/>
  <c r="K4021" i="1"/>
  <c r="J4021" i="1"/>
  <c r="I4021" i="1"/>
  <c r="H4021" i="1"/>
  <c r="F4021" i="1"/>
  <c r="E4021" i="1"/>
  <c r="D4021" i="1"/>
  <c r="B4021" i="1"/>
  <c r="K4020" i="1"/>
  <c r="J4020" i="1"/>
  <c r="I4020" i="1"/>
  <c r="H4020" i="1"/>
  <c r="F4020" i="1"/>
  <c r="K4019" i="1"/>
  <c r="J4019" i="1"/>
  <c r="I4019" i="1"/>
  <c r="H4019" i="1"/>
  <c r="F4019" i="1"/>
  <c r="K4018" i="1"/>
  <c r="J4018" i="1"/>
  <c r="I4018" i="1"/>
  <c r="H4018" i="1"/>
  <c r="F4018" i="1"/>
  <c r="K4017" i="1"/>
  <c r="J4017" i="1"/>
  <c r="I4017" i="1"/>
  <c r="H4017" i="1"/>
  <c r="F4017" i="1"/>
  <c r="C4016" i="1"/>
  <c r="V4015" i="1"/>
  <c r="U4015" i="1"/>
  <c r="T4015" i="1"/>
  <c r="K4024" i="1" s="1"/>
  <c r="S4015" i="1"/>
  <c r="I4024" i="1" s="1"/>
  <c r="R4015" i="1"/>
  <c r="Q4015" i="1"/>
  <c r="E4015" i="1"/>
  <c r="D4015" i="1"/>
  <c r="B4015" i="1"/>
  <c r="J4012" i="1"/>
  <c r="H4012" i="1"/>
  <c r="I4010" i="1"/>
  <c r="H4010" i="1"/>
  <c r="E4010" i="1"/>
  <c r="J4009" i="1"/>
  <c r="E4009" i="1"/>
  <c r="J4008" i="1"/>
  <c r="E4008" i="1"/>
  <c r="V4007" i="1"/>
  <c r="U4007" i="1"/>
  <c r="T4007" i="1"/>
  <c r="S4007" i="1"/>
  <c r="R4007" i="1"/>
  <c r="Q4007" i="1"/>
  <c r="K4007" i="1"/>
  <c r="J4007" i="1"/>
  <c r="I4007" i="1"/>
  <c r="H4007" i="1"/>
  <c r="F4007" i="1"/>
  <c r="E4007" i="1"/>
  <c r="D4007" i="1"/>
  <c r="B4007" i="1"/>
  <c r="K4006" i="1"/>
  <c r="J4006" i="1"/>
  <c r="I4006" i="1"/>
  <c r="H4006" i="1"/>
  <c r="F4006" i="1"/>
  <c r="K4005" i="1"/>
  <c r="J4005" i="1"/>
  <c r="I4005" i="1"/>
  <c r="H4005" i="1"/>
  <c r="F4005" i="1"/>
  <c r="K4004" i="1"/>
  <c r="J4004" i="1"/>
  <c r="I4004" i="1"/>
  <c r="H4004" i="1"/>
  <c r="F4004" i="1"/>
  <c r="K4003" i="1"/>
  <c r="J4003" i="1"/>
  <c r="I4003" i="1"/>
  <c r="H4003" i="1"/>
  <c r="F4003" i="1"/>
  <c r="C4002" i="1"/>
  <c r="V4001" i="1"/>
  <c r="U4001" i="1"/>
  <c r="T4001" i="1"/>
  <c r="K4009" i="1" s="1"/>
  <c r="S4001" i="1"/>
  <c r="I4009" i="1" s="1"/>
  <c r="R4001" i="1"/>
  <c r="Q4001" i="1"/>
  <c r="E4001" i="1"/>
  <c r="D4001" i="1"/>
  <c r="B4001" i="1"/>
  <c r="J3998" i="1"/>
  <c r="H3998" i="1"/>
  <c r="I3996" i="1"/>
  <c r="H3996" i="1"/>
  <c r="E3996" i="1"/>
  <c r="J3995" i="1"/>
  <c r="I3995" i="1"/>
  <c r="E3995" i="1"/>
  <c r="J3994" i="1"/>
  <c r="E3994" i="1"/>
  <c r="V3993" i="1"/>
  <c r="U3993" i="1"/>
  <c r="T3993" i="1"/>
  <c r="K3995" i="1" s="1"/>
  <c r="S3993" i="1"/>
  <c r="R3993" i="1"/>
  <c r="Q3993" i="1"/>
  <c r="K3993" i="1"/>
  <c r="J3993" i="1"/>
  <c r="I3993" i="1"/>
  <c r="H3993" i="1"/>
  <c r="F3993" i="1"/>
  <c r="E3993" i="1"/>
  <c r="D3993" i="1"/>
  <c r="B3993" i="1"/>
  <c r="K3992" i="1"/>
  <c r="J3992" i="1"/>
  <c r="I3992" i="1"/>
  <c r="H3992" i="1"/>
  <c r="F3992" i="1"/>
  <c r="K3991" i="1"/>
  <c r="J3991" i="1"/>
  <c r="I3991" i="1"/>
  <c r="H3991" i="1"/>
  <c r="F3991" i="1"/>
  <c r="K3990" i="1"/>
  <c r="J3990" i="1"/>
  <c r="I3990" i="1"/>
  <c r="H3990" i="1"/>
  <c r="F3990" i="1"/>
  <c r="K3989" i="1"/>
  <c r="J3989" i="1"/>
  <c r="I3989" i="1"/>
  <c r="H3989" i="1"/>
  <c r="F3989" i="1"/>
  <c r="C3988" i="1"/>
  <c r="V3987" i="1"/>
  <c r="U3987" i="1"/>
  <c r="T3987" i="1"/>
  <c r="S3987" i="1"/>
  <c r="R3987" i="1"/>
  <c r="K3994" i="1" s="1"/>
  <c r="Q3987" i="1"/>
  <c r="E3987" i="1"/>
  <c r="D3987" i="1"/>
  <c r="B3987" i="1"/>
  <c r="J3984" i="1"/>
  <c r="H3984" i="1"/>
  <c r="I3982" i="1"/>
  <c r="H3982" i="1"/>
  <c r="E3982" i="1"/>
  <c r="K3981" i="1"/>
  <c r="J3981" i="1"/>
  <c r="E3981" i="1"/>
  <c r="J3980" i="1"/>
  <c r="E3980" i="1"/>
  <c r="V3979" i="1"/>
  <c r="U3979" i="1"/>
  <c r="T3979" i="1"/>
  <c r="S3979" i="1"/>
  <c r="R3979" i="1"/>
  <c r="Q3979" i="1"/>
  <c r="K3979" i="1"/>
  <c r="J3979" i="1"/>
  <c r="I3979" i="1"/>
  <c r="H3979" i="1"/>
  <c r="F3979" i="1"/>
  <c r="E3979" i="1"/>
  <c r="D3979" i="1"/>
  <c r="B3979" i="1"/>
  <c r="K3978" i="1"/>
  <c r="J3978" i="1"/>
  <c r="I3978" i="1"/>
  <c r="H3978" i="1"/>
  <c r="F3978" i="1"/>
  <c r="K3977" i="1"/>
  <c r="J3977" i="1"/>
  <c r="I3977" i="1"/>
  <c r="H3977" i="1"/>
  <c r="F3977" i="1"/>
  <c r="C3976" i="1"/>
  <c r="V3975" i="1"/>
  <c r="U3975" i="1"/>
  <c r="T3975" i="1"/>
  <c r="S3975" i="1"/>
  <c r="I3981" i="1" s="1"/>
  <c r="R3975" i="1"/>
  <c r="Q3975" i="1"/>
  <c r="E3975" i="1"/>
  <c r="D3975" i="1"/>
  <c r="B3975" i="1"/>
  <c r="J3972" i="1"/>
  <c r="H3972" i="1"/>
  <c r="I3970" i="1"/>
  <c r="H3970" i="1"/>
  <c r="E3970" i="1"/>
  <c r="J3969" i="1"/>
  <c r="E3969" i="1"/>
  <c r="K3968" i="1"/>
  <c r="J3968" i="1"/>
  <c r="E3968" i="1"/>
  <c r="V3967" i="1"/>
  <c r="U3967" i="1"/>
  <c r="T3967" i="1"/>
  <c r="S3967" i="1"/>
  <c r="R3967" i="1"/>
  <c r="Q3967" i="1"/>
  <c r="K3967" i="1"/>
  <c r="J3967" i="1"/>
  <c r="I3967" i="1"/>
  <c r="H3967" i="1"/>
  <c r="F3967" i="1"/>
  <c r="E3967" i="1"/>
  <c r="D3967" i="1"/>
  <c r="B3967" i="1"/>
  <c r="K3966" i="1"/>
  <c r="J3966" i="1"/>
  <c r="I3966" i="1"/>
  <c r="H3966" i="1"/>
  <c r="F3966" i="1"/>
  <c r="K3965" i="1"/>
  <c r="J3965" i="1"/>
  <c r="I3965" i="1"/>
  <c r="H3965" i="1"/>
  <c r="F3965" i="1"/>
  <c r="K3964" i="1"/>
  <c r="J3964" i="1"/>
  <c r="I3964" i="1"/>
  <c r="H3964" i="1"/>
  <c r="F3964" i="1"/>
  <c r="C3963" i="1"/>
  <c r="V3962" i="1"/>
  <c r="U3962" i="1"/>
  <c r="T3962" i="1"/>
  <c r="S3962" i="1"/>
  <c r="I3969" i="1" s="1"/>
  <c r="R3962" i="1"/>
  <c r="Q3962" i="1"/>
  <c r="E3962" i="1"/>
  <c r="D3962" i="1"/>
  <c r="B3962" i="1"/>
  <c r="A3961" i="1"/>
  <c r="J3959" i="1"/>
  <c r="I3959" i="1"/>
  <c r="J3958" i="1"/>
  <c r="I3958" i="1"/>
  <c r="A3957" i="1"/>
  <c r="J3953" i="1"/>
  <c r="H3953" i="1"/>
  <c r="I3951" i="1"/>
  <c r="H3951" i="1"/>
  <c r="E3951" i="1"/>
  <c r="J3950" i="1"/>
  <c r="E3950" i="1"/>
  <c r="J3949" i="1"/>
  <c r="E3949" i="1"/>
  <c r="V3948" i="1"/>
  <c r="U3948" i="1"/>
  <c r="T3948" i="1"/>
  <c r="S3948" i="1"/>
  <c r="R3948" i="1"/>
  <c r="Q3948" i="1"/>
  <c r="K3948" i="1"/>
  <c r="J3948" i="1"/>
  <c r="I3948" i="1"/>
  <c r="H3948" i="1"/>
  <c r="F3948" i="1"/>
  <c r="E3948" i="1"/>
  <c r="D3948" i="1"/>
  <c r="B3948" i="1"/>
  <c r="V3947" i="1"/>
  <c r="U3947" i="1"/>
  <c r="T3947" i="1"/>
  <c r="S3947" i="1"/>
  <c r="R3947" i="1"/>
  <c r="Q3947" i="1"/>
  <c r="K3947" i="1"/>
  <c r="J3947" i="1"/>
  <c r="I3947" i="1"/>
  <c r="H3947" i="1"/>
  <c r="F3947" i="1"/>
  <c r="E3947" i="1"/>
  <c r="D3947" i="1"/>
  <c r="B3947" i="1"/>
  <c r="V3946" i="1"/>
  <c r="U3946" i="1"/>
  <c r="T3946" i="1"/>
  <c r="S3946" i="1"/>
  <c r="R3946" i="1"/>
  <c r="Q3946" i="1"/>
  <c r="K3946" i="1"/>
  <c r="J3946" i="1"/>
  <c r="I3946" i="1"/>
  <c r="H3946" i="1"/>
  <c r="F3946" i="1"/>
  <c r="E3946" i="1"/>
  <c r="D3946" i="1"/>
  <c r="B3946" i="1"/>
  <c r="V3945" i="1"/>
  <c r="U3945" i="1"/>
  <c r="T3945" i="1"/>
  <c r="S3945" i="1"/>
  <c r="R3945" i="1"/>
  <c r="Q3945" i="1"/>
  <c r="K3945" i="1"/>
  <c r="J3945" i="1"/>
  <c r="I3945" i="1"/>
  <c r="H3945" i="1"/>
  <c r="F3945" i="1"/>
  <c r="E3945" i="1"/>
  <c r="D3945" i="1"/>
  <c r="B3945" i="1"/>
  <c r="V3944" i="1"/>
  <c r="U3944" i="1"/>
  <c r="T3944" i="1"/>
  <c r="S3944" i="1"/>
  <c r="R3944" i="1"/>
  <c r="Q3944" i="1"/>
  <c r="K3944" i="1"/>
  <c r="J3944" i="1"/>
  <c r="I3944" i="1"/>
  <c r="H3944" i="1"/>
  <c r="F3944" i="1"/>
  <c r="E3944" i="1"/>
  <c r="D3944" i="1"/>
  <c r="B3944" i="1"/>
  <c r="K3943" i="1"/>
  <c r="J3943" i="1"/>
  <c r="I3943" i="1"/>
  <c r="H3943" i="1"/>
  <c r="F3943" i="1"/>
  <c r="K3942" i="1"/>
  <c r="J3942" i="1"/>
  <c r="I3942" i="1"/>
  <c r="H3942" i="1"/>
  <c r="F3942" i="1"/>
  <c r="K3941" i="1"/>
  <c r="J3941" i="1"/>
  <c r="I3941" i="1"/>
  <c r="H3941" i="1"/>
  <c r="F3941" i="1"/>
  <c r="K3940" i="1"/>
  <c r="J3940" i="1"/>
  <c r="I3940" i="1"/>
  <c r="H3940" i="1"/>
  <c r="F3940" i="1"/>
  <c r="C3939" i="1"/>
  <c r="V3938" i="1"/>
  <c r="U3938" i="1"/>
  <c r="T3938" i="1"/>
  <c r="S3938" i="1"/>
  <c r="R3938" i="1"/>
  <c r="K3949" i="1" s="1"/>
  <c r="Q3938" i="1"/>
  <c r="E3938" i="1"/>
  <c r="D3938" i="1"/>
  <c r="B3938" i="1"/>
  <c r="J3935" i="1"/>
  <c r="H3935" i="1"/>
  <c r="I3933" i="1"/>
  <c r="H3933" i="1"/>
  <c r="E3933" i="1"/>
  <c r="J3932" i="1"/>
  <c r="E3932" i="1"/>
  <c r="J3931" i="1"/>
  <c r="E3931" i="1"/>
  <c r="V3930" i="1"/>
  <c r="U3930" i="1"/>
  <c r="T3930" i="1"/>
  <c r="S3930" i="1"/>
  <c r="R3930" i="1"/>
  <c r="Q3930" i="1"/>
  <c r="K3930" i="1"/>
  <c r="J3930" i="1"/>
  <c r="I3930" i="1"/>
  <c r="H3930" i="1"/>
  <c r="F3930" i="1"/>
  <c r="E3930" i="1"/>
  <c r="D3930" i="1"/>
  <c r="B3930" i="1"/>
  <c r="K3929" i="1"/>
  <c r="J3929" i="1"/>
  <c r="I3929" i="1"/>
  <c r="H3929" i="1"/>
  <c r="F3929" i="1"/>
  <c r="K3928" i="1"/>
  <c r="J3928" i="1"/>
  <c r="I3928" i="1"/>
  <c r="H3928" i="1"/>
  <c r="F3928" i="1"/>
  <c r="K3927" i="1"/>
  <c r="J3927" i="1"/>
  <c r="I3927" i="1"/>
  <c r="H3927" i="1"/>
  <c r="F3927" i="1"/>
  <c r="K3926" i="1"/>
  <c r="J3926" i="1"/>
  <c r="I3926" i="1"/>
  <c r="H3926" i="1"/>
  <c r="F3926" i="1"/>
  <c r="C3925" i="1"/>
  <c r="V3924" i="1"/>
  <c r="U3924" i="1"/>
  <c r="T3924" i="1"/>
  <c r="S3924" i="1"/>
  <c r="I3932" i="1" s="1"/>
  <c r="R3924" i="1"/>
  <c r="Q3924" i="1"/>
  <c r="E3924" i="1"/>
  <c r="D3924" i="1"/>
  <c r="B3924" i="1"/>
  <c r="J3921" i="1"/>
  <c r="H3921" i="1"/>
  <c r="I3919" i="1"/>
  <c r="H3919" i="1"/>
  <c r="E3919" i="1"/>
  <c r="J3918" i="1"/>
  <c r="E3918" i="1"/>
  <c r="J3917" i="1"/>
  <c r="E3917" i="1"/>
  <c r="V3916" i="1"/>
  <c r="U3916" i="1"/>
  <c r="T3916" i="1"/>
  <c r="S3916" i="1"/>
  <c r="R3916" i="1"/>
  <c r="Q3916" i="1"/>
  <c r="I3917" i="1" s="1"/>
  <c r="K3916" i="1"/>
  <c r="J3916" i="1"/>
  <c r="I3916" i="1"/>
  <c r="H3916" i="1"/>
  <c r="F3916" i="1"/>
  <c r="E3916" i="1"/>
  <c r="D3916" i="1"/>
  <c r="B3916" i="1"/>
  <c r="K3915" i="1"/>
  <c r="J3915" i="1"/>
  <c r="I3915" i="1"/>
  <c r="H3915" i="1"/>
  <c r="F3915" i="1"/>
  <c r="K3914" i="1"/>
  <c r="J3914" i="1"/>
  <c r="I3914" i="1"/>
  <c r="H3914" i="1"/>
  <c r="F3914" i="1"/>
  <c r="K3913" i="1"/>
  <c r="J3913" i="1"/>
  <c r="I3913" i="1"/>
  <c r="H3913" i="1"/>
  <c r="F3913" i="1"/>
  <c r="K3912" i="1"/>
  <c r="J3912" i="1"/>
  <c r="I3912" i="1"/>
  <c r="H3912" i="1"/>
  <c r="F3912" i="1"/>
  <c r="C3911" i="1"/>
  <c r="V3910" i="1"/>
  <c r="U3910" i="1"/>
  <c r="T3910" i="1"/>
  <c r="K3918" i="1" s="1"/>
  <c r="S3910" i="1"/>
  <c r="I3918" i="1" s="1"/>
  <c r="R3910" i="1"/>
  <c r="Q3910" i="1"/>
  <c r="E3910" i="1"/>
  <c r="D3910" i="1"/>
  <c r="B3910" i="1"/>
  <c r="J3907" i="1"/>
  <c r="H3907" i="1"/>
  <c r="I3905" i="1"/>
  <c r="H3905" i="1"/>
  <c r="E3905" i="1"/>
  <c r="J3904" i="1"/>
  <c r="E3904" i="1"/>
  <c r="J3903" i="1"/>
  <c r="E3903" i="1"/>
  <c r="V3902" i="1"/>
  <c r="U3902" i="1"/>
  <c r="T3902" i="1"/>
  <c r="S3902" i="1"/>
  <c r="I3904" i="1" s="1"/>
  <c r="R3902" i="1"/>
  <c r="Q3902" i="1"/>
  <c r="K3902" i="1"/>
  <c r="J3902" i="1"/>
  <c r="I3902" i="1"/>
  <c r="H3902" i="1"/>
  <c r="F3902" i="1"/>
  <c r="E3902" i="1"/>
  <c r="D3902" i="1"/>
  <c r="B3902" i="1"/>
  <c r="K3901" i="1"/>
  <c r="J3901" i="1"/>
  <c r="I3901" i="1"/>
  <c r="H3901" i="1"/>
  <c r="F3901" i="1"/>
  <c r="K3900" i="1"/>
  <c r="J3900" i="1"/>
  <c r="I3900" i="1"/>
  <c r="H3900" i="1"/>
  <c r="F3900" i="1"/>
  <c r="C3899" i="1"/>
  <c r="V3898" i="1"/>
  <c r="U3898" i="1"/>
  <c r="T3898" i="1"/>
  <c r="S3898" i="1"/>
  <c r="R3898" i="1"/>
  <c r="K3903" i="1" s="1"/>
  <c r="Q3898" i="1"/>
  <c r="E3898" i="1"/>
  <c r="D3898" i="1"/>
  <c r="B3898" i="1"/>
  <c r="J3895" i="1"/>
  <c r="H3895" i="1"/>
  <c r="I3893" i="1"/>
  <c r="H3893" i="1"/>
  <c r="E3893" i="1"/>
  <c r="J3892" i="1"/>
  <c r="E3892" i="1"/>
  <c r="K3891" i="1"/>
  <c r="J3891" i="1"/>
  <c r="E3891" i="1"/>
  <c r="V3890" i="1"/>
  <c r="U3890" i="1"/>
  <c r="T3890" i="1"/>
  <c r="S3890" i="1"/>
  <c r="I3892" i="1" s="1"/>
  <c r="R3890" i="1"/>
  <c r="Q3890" i="1"/>
  <c r="K3890" i="1"/>
  <c r="J3890" i="1"/>
  <c r="I3890" i="1"/>
  <c r="H3890" i="1"/>
  <c r="F3890" i="1"/>
  <c r="E3890" i="1"/>
  <c r="D3890" i="1"/>
  <c r="B3890" i="1"/>
  <c r="K3889" i="1"/>
  <c r="J3889" i="1"/>
  <c r="I3889" i="1"/>
  <c r="H3889" i="1"/>
  <c r="F3889" i="1"/>
  <c r="K3888" i="1"/>
  <c r="J3888" i="1"/>
  <c r="I3888" i="1"/>
  <c r="H3888" i="1"/>
  <c r="F3888" i="1"/>
  <c r="K3887" i="1"/>
  <c r="J3887" i="1"/>
  <c r="I3887" i="1"/>
  <c r="H3887" i="1"/>
  <c r="F3887" i="1"/>
  <c r="C3886" i="1"/>
  <c r="V3885" i="1"/>
  <c r="U3885" i="1"/>
  <c r="T3885" i="1"/>
  <c r="S3885" i="1"/>
  <c r="R3885" i="1"/>
  <c r="Q3885" i="1"/>
  <c r="E3885" i="1"/>
  <c r="D3885" i="1"/>
  <c r="B3885" i="1"/>
  <c r="A3884" i="1"/>
  <c r="J3882" i="1"/>
  <c r="I3882" i="1"/>
  <c r="J3881" i="1"/>
  <c r="I3881" i="1"/>
  <c r="A3880" i="1"/>
  <c r="O3877" i="1"/>
  <c r="J3877" i="1"/>
  <c r="V3876" i="1"/>
  <c r="U3876" i="1"/>
  <c r="T3876" i="1"/>
  <c r="S3876" i="1"/>
  <c r="R3876" i="1"/>
  <c r="Q3876" i="1"/>
  <c r="K3876" i="1"/>
  <c r="P3877" i="1" s="1"/>
  <c r="J3876" i="1"/>
  <c r="I3876" i="1"/>
  <c r="H3877" i="1" s="1"/>
  <c r="H3876" i="1"/>
  <c r="F3876" i="1"/>
  <c r="E3876" i="1"/>
  <c r="D3876" i="1"/>
  <c r="B3876" i="1"/>
  <c r="J3873" i="1"/>
  <c r="H3873" i="1"/>
  <c r="I3871" i="1"/>
  <c r="H3871" i="1"/>
  <c r="E3871" i="1"/>
  <c r="J3870" i="1"/>
  <c r="E3870" i="1"/>
  <c r="J3869" i="1"/>
  <c r="E3869" i="1"/>
  <c r="V3868" i="1"/>
  <c r="U3868" i="1"/>
  <c r="T3868" i="1"/>
  <c r="S3868" i="1"/>
  <c r="R3868" i="1"/>
  <c r="Q3868" i="1"/>
  <c r="K3868" i="1"/>
  <c r="J3868" i="1"/>
  <c r="I3868" i="1"/>
  <c r="H3868" i="1"/>
  <c r="F3868" i="1"/>
  <c r="E3868" i="1"/>
  <c r="M3868" i="1" s="1"/>
  <c r="D3868" i="1"/>
  <c r="B3868" i="1"/>
  <c r="K3867" i="1"/>
  <c r="J3867" i="1"/>
  <c r="I3867" i="1"/>
  <c r="H3867" i="1"/>
  <c r="F3867" i="1"/>
  <c r="K3866" i="1"/>
  <c r="J3866" i="1"/>
  <c r="I3866" i="1"/>
  <c r="H3866" i="1"/>
  <c r="F3866" i="1"/>
  <c r="K3865" i="1"/>
  <c r="J3865" i="1"/>
  <c r="I3865" i="1"/>
  <c r="H3865" i="1"/>
  <c r="F3865" i="1"/>
  <c r="K3864" i="1"/>
  <c r="J3864" i="1"/>
  <c r="I3864" i="1"/>
  <c r="H3864" i="1"/>
  <c r="F3864" i="1"/>
  <c r="C3863" i="1"/>
  <c r="V3862" i="1"/>
  <c r="U3862" i="1"/>
  <c r="T3862" i="1"/>
  <c r="K3870" i="1" s="1"/>
  <c r="S3862" i="1"/>
  <c r="I3870" i="1" s="1"/>
  <c r="R3862" i="1"/>
  <c r="K3869" i="1" s="1"/>
  <c r="Q3862" i="1"/>
  <c r="E3862" i="1"/>
  <c r="D3862" i="1"/>
  <c r="B3862" i="1"/>
  <c r="J3859" i="1"/>
  <c r="H3859" i="1"/>
  <c r="I3857" i="1"/>
  <c r="H3857" i="1"/>
  <c r="E3857" i="1"/>
  <c r="J3856" i="1"/>
  <c r="E3856" i="1"/>
  <c r="J3855" i="1"/>
  <c r="E3855" i="1"/>
  <c r="V3854" i="1"/>
  <c r="U3854" i="1"/>
  <c r="T3854" i="1"/>
  <c r="S3854" i="1"/>
  <c r="R3854" i="1"/>
  <c r="Q3854" i="1"/>
  <c r="K3854" i="1"/>
  <c r="J3854" i="1"/>
  <c r="I3854" i="1"/>
  <c r="H3854" i="1"/>
  <c r="F3854" i="1"/>
  <c r="E3854" i="1"/>
  <c r="D3854" i="1"/>
  <c r="B3854" i="1"/>
  <c r="V3853" i="1"/>
  <c r="U3853" i="1"/>
  <c r="T3853" i="1"/>
  <c r="S3853" i="1"/>
  <c r="R3853" i="1"/>
  <c r="Q3853" i="1"/>
  <c r="K3853" i="1"/>
  <c r="J3853" i="1"/>
  <c r="I3853" i="1"/>
  <c r="H3853" i="1"/>
  <c r="F3853" i="1"/>
  <c r="E3853" i="1"/>
  <c r="D3853" i="1"/>
  <c r="B3853" i="1"/>
  <c r="V3852" i="1"/>
  <c r="U3852" i="1"/>
  <c r="T3852" i="1"/>
  <c r="S3852" i="1"/>
  <c r="R3852" i="1"/>
  <c r="Q3852" i="1"/>
  <c r="K3852" i="1"/>
  <c r="J3852" i="1"/>
  <c r="I3852" i="1"/>
  <c r="H3852" i="1"/>
  <c r="F3852" i="1"/>
  <c r="E3852" i="1"/>
  <c r="D3852" i="1"/>
  <c r="B3852" i="1"/>
  <c r="K3851" i="1"/>
  <c r="J3851" i="1"/>
  <c r="I3851" i="1"/>
  <c r="H3851" i="1"/>
  <c r="F3851" i="1"/>
  <c r="K3850" i="1"/>
  <c r="J3850" i="1"/>
  <c r="I3850" i="1"/>
  <c r="H3850" i="1"/>
  <c r="F3850" i="1"/>
  <c r="K3849" i="1"/>
  <c r="J3849" i="1"/>
  <c r="I3849" i="1"/>
  <c r="H3849" i="1"/>
  <c r="F3849" i="1"/>
  <c r="K3848" i="1"/>
  <c r="J3848" i="1"/>
  <c r="I3848" i="1"/>
  <c r="H3848" i="1"/>
  <c r="F3848" i="1"/>
  <c r="C3847" i="1"/>
  <c r="V3846" i="1"/>
  <c r="U3846" i="1"/>
  <c r="T3846" i="1"/>
  <c r="S3846" i="1"/>
  <c r="I3856" i="1" s="1"/>
  <c r="R3846" i="1"/>
  <c r="Q3846" i="1"/>
  <c r="E3846" i="1"/>
  <c r="D3846" i="1"/>
  <c r="B3846" i="1"/>
  <c r="O3844" i="1"/>
  <c r="J3844" i="1"/>
  <c r="V3843" i="1"/>
  <c r="U3843" i="1"/>
  <c r="T3843" i="1"/>
  <c r="S3843" i="1"/>
  <c r="R3843" i="1"/>
  <c r="Q3843" i="1"/>
  <c r="K3843" i="1"/>
  <c r="P3844" i="1" s="1"/>
  <c r="J3843" i="1"/>
  <c r="I3843" i="1"/>
  <c r="H3844" i="1" s="1"/>
  <c r="H3843" i="1"/>
  <c r="F3843" i="1"/>
  <c r="E3843" i="1"/>
  <c r="D3843" i="1"/>
  <c r="B3843" i="1"/>
  <c r="J3840" i="1"/>
  <c r="H3840" i="1"/>
  <c r="I3838" i="1"/>
  <c r="H3838" i="1"/>
  <c r="E3838" i="1"/>
  <c r="J3837" i="1"/>
  <c r="E3837" i="1"/>
  <c r="J3836" i="1"/>
  <c r="E3836" i="1"/>
  <c r="V3835" i="1"/>
  <c r="U3835" i="1"/>
  <c r="T3835" i="1"/>
  <c r="S3835" i="1"/>
  <c r="R3835" i="1"/>
  <c r="Q3835" i="1"/>
  <c r="K3835" i="1"/>
  <c r="J3835" i="1"/>
  <c r="I3835" i="1"/>
  <c r="H3835" i="1"/>
  <c r="F3835" i="1"/>
  <c r="E3835" i="1"/>
  <c r="D3835" i="1"/>
  <c r="B3835" i="1"/>
  <c r="V3834" i="1"/>
  <c r="U3834" i="1"/>
  <c r="T3834" i="1"/>
  <c r="S3834" i="1"/>
  <c r="R3834" i="1"/>
  <c r="Q3834" i="1"/>
  <c r="K3834" i="1"/>
  <c r="J3834" i="1"/>
  <c r="I3834" i="1"/>
  <c r="H3834" i="1"/>
  <c r="F3834" i="1"/>
  <c r="E3834" i="1"/>
  <c r="D3834" i="1"/>
  <c r="B3834" i="1"/>
  <c r="K3833" i="1"/>
  <c r="J3833" i="1"/>
  <c r="I3833" i="1"/>
  <c r="H3833" i="1"/>
  <c r="F3833" i="1"/>
  <c r="K3832" i="1"/>
  <c r="J3832" i="1"/>
  <c r="I3832" i="1"/>
  <c r="H3832" i="1"/>
  <c r="F3832" i="1"/>
  <c r="K3831" i="1"/>
  <c r="J3831" i="1"/>
  <c r="I3831" i="1"/>
  <c r="H3831" i="1"/>
  <c r="F3831" i="1"/>
  <c r="K3830" i="1"/>
  <c r="J3830" i="1"/>
  <c r="I3830" i="1"/>
  <c r="H3830" i="1"/>
  <c r="F3830" i="1"/>
  <c r="C3829" i="1"/>
  <c r="V3828" i="1"/>
  <c r="U3828" i="1"/>
  <c r="T3828" i="1"/>
  <c r="K3837" i="1" s="1"/>
  <c r="S3828" i="1"/>
  <c r="R3828" i="1"/>
  <c r="Q3828" i="1"/>
  <c r="E3828" i="1"/>
  <c r="D3828" i="1"/>
  <c r="B3828" i="1"/>
  <c r="J3825" i="1"/>
  <c r="H3825" i="1"/>
  <c r="I3823" i="1"/>
  <c r="H3823" i="1"/>
  <c r="E3823" i="1"/>
  <c r="J3822" i="1"/>
  <c r="E3822" i="1"/>
  <c r="J3821" i="1"/>
  <c r="E3821" i="1"/>
  <c r="V3820" i="1"/>
  <c r="U3820" i="1"/>
  <c r="T3820" i="1"/>
  <c r="S3820" i="1"/>
  <c r="R3820" i="1"/>
  <c r="Q3820" i="1"/>
  <c r="K3820" i="1"/>
  <c r="J3820" i="1"/>
  <c r="I3820" i="1"/>
  <c r="H3820" i="1"/>
  <c r="F3820" i="1"/>
  <c r="E3820" i="1"/>
  <c r="D3820" i="1"/>
  <c r="B3820" i="1"/>
  <c r="K3819" i="1"/>
  <c r="J3819" i="1"/>
  <c r="I3819" i="1"/>
  <c r="H3819" i="1"/>
  <c r="F3819" i="1"/>
  <c r="K3818" i="1"/>
  <c r="J3818" i="1"/>
  <c r="I3818" i="1"/>
  <c r="H3818" i="1"/>
  <c r="F3818" i="1"/>
  <c r="K3817" i="1"/>
  <c r="J3817" i="1"/>
  <c r="I3817" i="1"/>
  <c r="H3817" i="1"/>
  <c r="F3817" i="1"/>
  <c r="C3816" i="1"/>
  <c r="V3815" i="1"/>
  <c r="U3815" i="1"/>
  <c r="T3815" i="1"/>
  <c r="S3815" i="1"/>
  <c r="I3822" i="1" s="1"/>
  <c r="R3815" i="1"/>
  <c r="K3821" i="1" s="1"/>
  <c r="Q3815" i="1"/>
  <c r="E3815" i="1"/>
  <c r="D3815" i="1"/>
  <c r="B3815" i="1"/>
  <c r="A3814" i="1"/>
  <c r="J3812" i="1"/>
  <c r="I3812" i="1"/>
  <c r="J3811" i="1"/>
  <c r="I3811" i="1"/>
  <c r="AQ3810" i="1"/>
  <c r="A3810" i="1"/>
  <c r="J3806" i="1"/>
  <c r="H3806" i="1"/>
  <c r="I3804" i="1"/>
  <c r="H3804" i="1"/>
  <c r="E3804" i="1"/>
  <c r="J3803" i="1"/>
  <c r="E3803" i="1"/>
  <c r="J3802" i="1"/>
  <c r="E3802" i="1"/>
  <c r="V3801" i="1"/>
  <c r="U3801" i="1"/>
  <c r="T3801" i="1"/>
  <c r="S3801" i="1"/>
  <c r="R3801" i="1"/>
  <c r="Q3801" i="1"/>
  <c r="K3801" i="1"/>
  <c r="J3801" i="1"/>
  <c r="I3801" i="1"/>
  <c r="H3801" i="1"/>
  <c r="F3801" i="1"/>
  <c r="E3801" i="1"/>
  <c r="D3801" i="1"/>
  <c r="B3801" i="1"/>
  <c r="V3800" i="1"/>
  <c r="U3800" i="1"/>
  <c r="T3800" i="1"/>
  <c r="S3800" i="1"/>
  <c r="R3800" i="1"/>
  <c r="Q3800" i="1"/>
  <c r="K3800" i="1"/>
  <c r="J3800" i="1"/>
  <c r="I3800" i="1"/>
  <c r="H3800" i="1"/>
  <c r="F3800" i="1"/>
  <c r="E3800" i="1"/>
  <c r="D3800" i="1"/>
  <c r="B3800" i="1"/>
  <c r="V3799" i="1"/>
  <c r="U3799" i="1"/>
  <c r="T3799" i="1"/>
  <c r="S3799" i="1"/>
  <c r="R3799" i="1"/>
  <c r="Q3799" i="1"/>
  <c r="K3799" i="1"/>
  <c r="J3799" i="1"/>
  <c r="I3799" i="1"/>
  <c r="H3799" i="1"/>
  <c r="F3799" i="1"/>
  <c r="E3799" i="1"/>
  <c r="D3799" i="1"/>
  <c r="B3799" i="1"/>
  <c r="V3798" i="1"/>
  <c r="U3798" i="1"/>
  <c r="T3798" i="1"/>
  <c r="S3798" i="1"/>
  <c r="R3798" i="1"/>
  <c r="Q3798" i="1"/>
  <c r="K3798" i="1"/>
  <c r="J3798" i="1"/>
  <c r="I3798" i="1"/>
  <c r="H3798" i="1"/>
  <c r="F3798" i="1"/>
  <c r="E3798" i="1"/>
  <c r="D3798" i="1"/>
  <c r="B3798" i="1"/>
  <c r="V3797" i="1"/>
  <c r="U3797" i="1"/>
  <c r="T3797" i="1"/>
  <c r="S3797" i="1"/>
  <c r="R3797" i="1"/>
  <c r="Q3797" i="1"/>
  <c r="K3797" i="1"/>
  <c r="J3797" i="1"/>
  <c r="I3797" i="1"/>
  <c r="H3797" i="1"/>
  <c r="F3797" i="1"/>
  <c r="E3797" i="1"/>
  <c r="D3797" i="1"/>
  <c r="B3797" i="1"/>
  <c r="K3796" i="1"/>
  <c r="J3796" i="1"/>
  <c r="I3796" i="1"/>
  <c r="H3796" i="1"/>
  <c r="F3796" i="1"/>
  <c r="K3795" i="1"/>
  <c r="J3795" i="1"/>
  <c r="I3795" i="1"/>
  <c r="H3795" i="1"/>
  <c r="F3795" i="1"/>
  <c r="K3794" i="1"/>
  <c r="J3794" i="1"/>
  <c r="I3794" i="1"/>
  <c r="H3794" i="1"/>
  <c r="F3794" i="1"/>
  <c r="K3793" i="1"/>
  <c r="J3793" i="1"/>
  <c r="I3793" i="1"/>
  <c r="H3793" i="1"/>
  <c r="F3793" i="1"/>
  <c r="C3792" i="1"/>
  <c r="V3791" i="1"/>
  <c r="U3791" i="1"/>
  <c r="T3791" i="1"/>
  <c r="S3791" i="1"/>
  <c r="R3791" i="1"/>
  <c r="Q3791" i="1"/>
  <c r="I3802" i="1" s="1"/>
  <c r="E3791" i="1"/>
  <c r="D3791" i="1"/>
  <c r="B3791" i="1"/>
  <c r="J3788" i="1"/>
  <c r="H3788" i="1"/>
  <c r="I3786" i="1"/>
  <c r="H3786" i="1"/>
  <c r="E3786" i="1"/>
  <c r="J3785" i="1"/>
  <c r="E3785" i="1"/>
  <c r="J3784" i="1"/>
  <c r="E3784" i="1"/>
  <c r="V3783" i="1"/>
  <c r="U3783" i="1"/>
  <c r="T3783" i="1"/>
  <c r="S3783" i="1"/>
  <c r="R3783" i="1"/>
  <c r="Q3783" i="1"/>
  <c r="K3783" i="1"/>
  <c r="J3783" i="1"/>
  <c r="I3783" i="1"/>
  <c r="H3783" i="1"/>
  <c r="F3783" i="1"/>
  <c r="E3783" i="1"/>
  <c r="D3783" i="1"/>
  <c r="B3783" i="1"/>
  <c r="K3782" i="1"/>
  <c r="J3782" i="1"/>
  <c r="I3782" i="1"/>
  <c r="H3782" i="1"/>
  <c r="F3782" i="1"/>
  <c r="K3781" i="1"/>
  <c r="J3781" i="1"/>
  <c r="I3781" i="1"/>
  <c r="H3781" i="1"/>
  <c r="F3781" i="1"/>
  <c r="K3780" i="1"/>
  <c r="J3780" i="1"/>
  <c r="I3780" i="1"/>
  <c r="H3780" i="1"/>
  <c r="F3780" i="1"/>
  <c r="K3779" i="1"/>
  <c r="J3779" i="1"/>
  <c r="I3779" i="1"/>
  <c r="H3779" i="1"/>
  <c r="F3779" i="1"/>
  <c r="C3778" i="1"/>
  <c r="V3777" i="1"/>
  <c r="U3777" i="1"/>
  <c r="T3777" i="1"/>
  <c r="S3777" i="1"/>
  <c r="I3785" i="1" s="1"/>
  <c r="R3777" i="1"/>
  <c r="K3784" i="1" s="1"/>
  <c r="Q3777" i="1"/>
  <c r="E3777" i="1"/>
  <c r="D3777" i="1"/>
  <c r="B3777" i="1"/>
  <c r="J3774" i="1"/>
  <c r="H3774" i="1"/>
  <c r="I3772" i="1"/>
  <c r="H3772" i="1"/>
  <c r="E3772" i="1"/>
  <c r="J3771" i="1"/>
  <c r="E3771" i="1"/>
  <c r="J3770" i="1"/>
  <c r="E3770" i="1"/>
  <c r="V3769" i="1"/>
  <c r="U3769" i="1"/>
  <c r="T3769" i="1"/>
  <c r="S3769" i="1"/>
  <c r="R3769" i="1"/>
  <c r="Q3769" i="1"/>
  <c r="I3770" i="1" s="1"/>
  <c r="K3769" i="1"/>
  <c r="J3769" i="1"/>
  <c r="I3769" i="1"/>
  <c r="H3769" i="1"/>
  <c r="F3769" i="1"/>
  <c r="E3769" i="1"/>
  <c r="D3769" i="1"/>
  <c r="B3769" i="1"/>
  <c r="K3768" i="1"/>
  <c r="J3768" i="1"/>
  <c r="I3768" i="1"/>
  <c r="H3768" i="1"/>
  <c r="F3768" i="1"/>
  <c r="K3767" i="1"/>
  <c r="J3767" i="1"/>
  <c r="I3767" i="1"/>
  <c r="H3767" i="1"/>
  <c r="F3767" i="1"/>
  <c r="K3766" i="1"/>
  <c r="J3766" i="1"/>
  <c r="I3766" i="1"/>
  <c r="H3766" i="1"/>
  <c r="F3766" i="1"/>
  <c r="K3765" i="1"/>
  <c r="J3765" i="1"/>
  <c r="I3765" i="1"/>
  <c r="H3765" i="1"/>
  <c r="F3765" i="1"/>
  <c r="C3764" i="1"/>
  <c r="V3763" i="1"/>
  <c r="U3763" i="1"/>
  <c r="T3763" i="1"/>
  <c r="K3771" i="1" s="1"/>
  <c r="S3763" i="1"/>
  <c r="I3771" i="1" s="1"/>
  <c r="R3763" i="1"/>
  <c r="K3770" i="1" s="1"/>
  <c r="Q3763" i="1"/>
  <c r="E3763" i="1"/>
  <c r="D3763" i="1"/>
  <c r="B3763" i="1"/>
  <c r="J3760" i="1"/>
  <c r="H3760" i="1"/>
  <c r="I3758" i="1"/>
  <c r="H3758" i="1"/>
  <c r="E3758" i="1"/>
  <c r="J3757" i="1"/>
  <c r="E3757" i="1"/>
  <c r="K3756" i="1"/>
  <c r="J3756" i="1"/>
  <c r="I3756" i="1"/>
  <c r="E3756" i="1"/>
  <c r="V3755" i="1"/>
  <c r="U3755" i="1"/>
  <c r="T3755" i="1"/>
  <c r="S3755" i="1"/>
  <c r="R3755" i="1"/>
  <c r="Q3755" i="1"/>
  <c r="K3755" i="1"/>
  <c r="J3755" i="1"/>
  <c r="I3755" i="1"/>
  <c r="H3755" i="1"/>
  <c r="F3755" i="1"/>
  <c r="E3755" i="1"/>
  <c r="D3755" i="1"/>
  <c r="B3755" i="1"/>
  <c r="K3754" i="1"/>
  <c r="J3754" i="1"/>
  <c r="I3754" i="1"/>
  <c r="H3754" i="1"/>
  <c r="F3754" i="1"/>
  <c r="K3753" i="1"/>
  <c r="J3753" i="1"/>
  <c r="I3753" i="1"/>
  <c r="H3753" i="1"/>
  <c r="F3753" i="1"/>
  <c r="K3752" i="1"/>
  <c r="J3752" i="1"/>
  <c r="I3752" i="1"/>
  <c r="H3752" i="1"/>
  <c r="F3752" i="1"/>
  <c r="K3751" i="1"/>
  <c r="J3751" i="1"/>
  <c r="I3751" i="1"/>
  <c r="H3751" i="1"/>
  <c r="F3751" i="1"/>
  <c r="C3750" i="1"/>
  <c r="V3749" i="1"/>
  <c r="U3749" i="1"/>
  <c r="T3749" i="1"/>
  <c r="S3749" i="1"/>
  <c r="R3749" i="1"/>
  <c r="Q3749" i="1"/>
  <c r="E3749" i="1"/>
  <c r="D3749" i="1"/>
  <c r="B3749" i="1"/>
  <c r="J3746" i="1"/>
  <c r="H3746" i="1"/>
  <c r="I3744" i="1"/>
  <c r="H3744" i="1"/>
  <c r="E3744" i="1"/>
  <c r="J3743" i="1"/>
  <c r="I3743" i="1"/>
  <c r="E3743" i="1"/>
  <c r="J3742" i="1"/>
  <c r="E3742" i="1"/>
  <c r="V3741" i="1"/>
  <c r="U3741" i="1"/>
  <c r="T3741" i="1"/>
  <c r="S3741" i="1"/>
  <c r="R3741" i="1"/>
  <c r="Q3741" i="1"/>
  <c r="K3741" i="1"/>
  <c r="J3741" i="1"/>
  <c r="I3741" i="1"/>
  <c r="H3741" i="1"/>
  <c r="F3741" i="1"/>
  <c r="E3741" i="1"/>
  <c r="D3741" i="1"/>
  <c r="B3741" i="1"/>
  <c r="K3740" i="1"/>
  <c r="J3740" i="1"/>
  <c r="I3740" i="1"/>
  <c r="H3740" i="1"/>
  <c r="F3740" i="1"/>
  <c r="K3739" i="1"/>
  <c r="J3739" i="1"/>
  <c r="I3739" i="1"/>
  <c r="H3739" i="1"/>
  <c r="F3739" i="1"/>
  <c r="C3738" i="1"/>
  <c r="V3737" i="1"/>
  <c r="U3737" i="1"/>
  <c r="T3737" i="1"/>
  <c r="S3737" i="1"/>
  <c r="R3737" i="1"/>
  <c r="Q3737" i="1"/>
  <c r="I3742" i="1" s="1"/>
  <c r="H3747" i="1" s="1"/>
  <c r="E3737" i="1"/>
  <c r="D3737" i="1"/>
  <c r="B3737" i="1"/>
  <c r="J3734" i="1"/>
  <c r="H3734" i="1"/>
  <c r="I3732" i="1"/>
  <c r="H3732" i="1"/>
  <c r="E3732" i="1"/>
  <c r="J3731" i="1"/>
  <c r="E3731" i="1"/>
  <c r="J3730" i="1"/>
  <c r="E3730" i="1"/>
  <c r="V3729" i="1"/>
  <c r="U3729" i="1"/>
  <c r="T3729" i="1"/>
  <c r="S3729" i="1"/>
  <c r="R3729" i="1"/>
  <c r="Q3729" i="1"/>
  <c r="K3729" i="1"/>
  <c r="J3729" i="1"/>
  <c r="I3729" i="1"/>
  <c r="H3729" i="1"/>
  <c r="F3729" i="1"/>
  <c r="E3729" i="1"/>
  <c r="D3729" i="1"/>
  <c r="B3729" i="1"/>
  <c r="K3728" i="1"/>
  <c r="J3728" i="1"/>
  <c r="I3728" i="1"/>
  <c r="H3728" i="1"/>
  <c r="F3728" i="1"/>
  <c r="K3727" i="1"/>
  <c r="J3727" i="1"/>
  <c r="I3727" i="1"/>
  <c r="H3727" i="1"/>
  <c r="F3727" i="1"/>
  <c r="K3726" i="1"/>
  <c r="J3726" i="1"/>
  <c r="I3726" i="1"/>
  <c r="H3726" i="1"/>
  <c r="F3726" i="1"/>
  <c r="C3725" i="1"/>
  <c r="V3724" i="1"/>
  <c r="U3724" i="1"/>
  <c r="T3724" i="1"/>
  <c r="K3731" i="1" s="1"/>
  <c r="S3724" i="1"/>
  <c r="I3731" i="1" s="1"/>
  <c r="R3724" i="1"/>
  <c r="Q3724" i="1"/>
  <c r="E3724" i="1"/>
  <c r="D3724" i="1"/>
  <c r="B3724" i="1"/>
  <c r="A3723" i="1"/>
  <c r="J3721" i="1"/>
  <c r="I3721" i="1"/>
  <c r="J3720" i="1"/>
  <c r="I3720" i="1"/>
  <c r="A3719" i="1"/>
  <c r="J3715" i="1"/>
  <c r="H3715" i="1"/>
  <c r="I3713" i="1"/>
  <c r="H3713" i="1"/>
  <c r="E3713" i="1"/>
  <c r="J3712" i="1"/>
  <c r="E3712" i="1"/>
  <c r="J3711" i="1"/>
  <c r="E3711" i="1"/>
  <c r="V3710" i="1"/>
  <c r="U3710" i="1"/>
  <c r="T3710" i="1"/>
  <c r="S3710" i="1"/>
  <c r="R3710" i="1"/>
  <c r="Q3710" i="1"/>
  <c r="K3710" i="1"/>
  <c r="J3710" i="1"/>
  <c r="I3710" i="1"/>
  <c r="H3710" i="1"/>
  <c r="F3710" i="1"/>
  <c r="E3710" i="1"/>
  <c r="D3710" i="1"/>
  <c r="B3710" i="1"/>
  <c r="V3709" i="1"/>
  <c r="U3709" i="1"/>
  <c r="T3709" i="1"/>
  <c r="S3709" i="1"/>
  <c r="R3709" i="1"/>
  <c r="Q3709" i="1"/>
  <c r="K3709" i="1"/>
  <c r="J3709" i="1"/>
  <c r="I3709" i="1"/>
  <c r="H3709" i="1"/>
  <c r="F3709" i="1"/>
  <c r="E3709" i="1"/>
  <c r="D3709" i="1"/>
  <c r="B3709" i="1"/>
  <c r="V3708" i="1"/>
  <c r="U3708" i="1"/>
  <c r="T3708" i="1"/>
  <c r="S3708" i="1"/>
  <c r="R3708" i="1"/>
  <c r="Q3708" i="1"/>
  <c r="K3708" i="1"/>
  <c r="J3708" i="1"/>
  <c r="I3708" i="1"/>
  <c r="H3708" i="1"/>
  <c r="F3708" i="1"/>
  <c r="E3708" i="1"/>
  <c r="D3708" i="1"/>
  <c r="B3708" i="1"/>
  <c r="V3707" i="1"/>
  <c r="U3707" i="1"/>
  <c r="T3707" i="1"/>
  <c r="S3707" i="1"/>
  <c r="R3707" i="1"/>
  <c r="Q3707" i="1"/>
  <c r="K3707" i="1"/>
  <c r="J3707" i="1"/>
  <c r="I3707" i="1"/>
  <c r="H3707" i="1"/>
  <c r="F3707" i="1"/>
  <c r="E3707" i="1"/>
  <c r="D3707" i="1"/>
  <c r="B3707" i="1"/>
  <c r="V3706" i="1"/>
  <c r="U3706" i="1"/>
  <c r="T3706" i="1"/>
  <c r="S3706" i="1"/>
  <c r="R3706" i="1"/>
  <c r="Q3706" i="1"/>
  <c r="K3706" i="1"/>
  <c r="J3706" i="1"/>
  <c r="I3706" i="1"/>
  <c r="H3706" i="1"/>
  <c r="F3706" i="1"/>
  <c r="E3706" i="1"/>
  <c r="D3706" i="1"/>
  <c r="B3706" i="1"/>
  <c r="K3705" i="1"/>
  <c r="J3705" i="1"/>
  <c r="I3705" i="1"/>
  <c r="H3705" i="1"/>
  <c r="F3705" i="1"/>
  <c r="K3704" i="1"/>
  <c r="J3704" i="1"/>
  <c r="I3704" i="1"/>
  <c r="H3704" i="1"/>
  <c r="F3704" i="1"/>
  <c r="K3703" i="1"/>
  <c r="J3703" i="1"/>
  <c r="I3703" i="1"/>
  <c r="H3703" i="1"/>
  <c r="F3703" i="1"/>
  <c r="K3702" i="1"/>
  <c r="J3702" i="1"/>
  <c r="I3702" i="1"/>
  <c r="H3702" i="1"/>
  <c r="F3702" i="1"/>
  <c r="C3701" i="1"/>
  <c r="V3700" i="1"/>
  <c r="U3700" i="1"/>
  <c r="T3700" i="1"/>
  <c r="S3700" i="1"/>
  <c r="R3700" i="1"/>
  <c r="Q3700" i="1"/>
  <c r="E3700" i="1"/>
  <c r="D3700" i="1"/>
  <c r="B3700" i="1"/>
  <c r="J3697" i="1"/>
  <c r="H3697" i="1"/>
  <c r="I3695" i="1"/>
  <c r="H3695" i="1"/>
  <c r="E3695" i="1"/>
  <c r="J3694" i="1"/>
  <c r="E3694" i="1"/>
  <c r="J3693" i="1"/>
  <c r="E3693" i="1"/>
  <c r="V3692" i="1"/>
  <c r="U3692" i="1"/>
  <c r="T3692" i="1"/>
  <c r="S3692" i="1"/>
  <c r="R3692" i="1"/>
  <c r="Q3692" i="1"/>
  <c r="I3693" i="1" s="1"/>
  <c r="K3692" i="1"/>
  <c r="J3692" i="1"/>
  <c r="I3692" i="1"/>
  <c r="H3692" i="1"/>
  <c r="F3692" i="1"/>
  <c r="E3692" i="1"/>
  <c r="D3692" i="1"/>
  <c r="B3692" i="1"/>
  <c r="K3691" i="1"/>
  <c r="J3691" i="1"/>
  <c r="I3691" i="1"/>
  <c r="H3691" i="1"/>
  <c r="F3691" i="1"/>
  <c r="K3690" i="1"/>
  <c r="J3690" i="1"/>
  <c r="I3690" i="1"/>
  <c r="H3690" i="1"/>
  <c r="F3690" i="1"/>
  <c r="K3689" i="1"/>
  <c r="J3689" i="1"/>
  <c r="I3689" i="1"/>
  <c r="H3689" i="1"/>
  <c r="F3689" i="1"/>
  <c r="K3688" i="1"/>
  <c r="J3688" i="1"/>
  <c r="I3688" i="1"/>
  <c r="H3688" i="1"/>
  <c r="F3688" i="1"/>
  <c r="C3687" i="1"/>
  <c r="V3686" i="1"/>
  <c r="U3686" i="1"/>
  <c r="T3686" i="1"/>
  <c r="K3694" i="1" s="1"/>
  <c r="S3686" i="1"/>
  <c r="I3694" i="1" s="1"/>
  <c r="R3686" i="1"/>
  <c r="K3693" i="1" s="1"/>
  <c r="Q3686" i="1"/>
  <c r="E3686" i="1"/>
  <c r="D3686" i="1"/>
  <c r="B3686" i="1"/>
  <c r="J3683" i="1"/>
  <c r="H3683" i="1"/>
  <c r="I3681" i="1"/>
  <c r="H3681" i="1"/>
  <c r="E3681" i="1"/>
  <c r="J3680" i="1"/>
  <c r="E3680" i="1"/>
  <c r="J3679" i="1"/>
  <c r="I3679" i="1"/>
  <c r="E3679" i="1"/>
  <c r="V3678" i="1"/>
  <c r="U3678" i="1"/>
  <c r="T3678" i="1"/>
  <c r="K3680" i="1" s="1"/>
  <c r="S3678" i="1"/>
  <c r="R3678" i="1"/>
  <c r="Q3678" i="1"/>
  <c r="K3678" i="1"/>
  <c r="J3678" i="1"/>
  <c r="I3678" i="1"/>
  <c r="H3678" i="1"/>
  <c r="F3678" i="1"/>
  <c r="E3678" i="1"/>
  <c r="D3678" i="1"/>
  <c r="B3678" i="1"/>
  <c r="K3677" i="1"/>
  <c r="J3677" i="1"/>
  <c r="I3677" i="1"/>
  <c r="H3677" i="1"/>
  <c r="F3677" i="1"/>
  <c r="K3676" i="1"/>
  <c r="J3676" i="1"/>
  <c r="I3676" i="1"/>
  <c r="H3676" i="1"/>
  <c r="F3676" i="1"/>
  <c r="K3675" i="1"/>
  <c r="J3675" i="1"/>
  <c r="I3675" i="1"/>
  <c r="H3675" i="1"/>
  <c r="F3675" i="1"/>
  <c r="K3674" i="1"/>
  <c r="J3674" i="1"/>
  <c r="I3674" i="1"/>
  <c r="H3674" i="1"/>
  <c r="F3674" i="1"/>
  <c r="C3673" i="1"/>
  <c r="V3672" i="1"/>
  <c r="U3672" i="1"/>
  <c r="T3672" i="1"/>
  <c r="S3672" i="1"/>
  <c r="I3680" i="1" s="1"/>
  <c r="R3672" i="1"/>
  <c r="Q3672" i="1"/>
  <c r="E3672" i="1"/>
  <c r="D3672" i="1"/>
  <c r="B3672" i="1"/>
  <c r="J3669" i="1"/>
  <c r="H3669" i="1"/>
  <c r="I3667" i="1"/>
  <c r="H3667" i="1"/>
  <c r="E3667" i="1"/>
  <c r="J3666" i="1"/>
  <c r="E3666" i="1"/>
  <c r="K3665" i="1"/>
  <c r="J3665" i="1"/>
  <c r="E3665" i="1"/>
  <c r="V3664" i="1"/>
  <c r="U3664" i="1"/>
  <c r="T3664" i="1"/>
  <c r="K3666" i="1" s="1"/>
  <c r="S3664" i="1"/>
  <c r="R3664" i="1"/>
  <c r="Q3664" i="1"/>
  <c r="K3664" i="1"/>
  <c r="J3664" i="1"/>
  <c r="I3664" i="1"/>
  <c r="H3664" i="1"/>
  <c r="F3664" i="1"/>
  <c r="E3664" i="1"/>
  <c r="D3664" i="1"/>
  <c r="B3664" i="1"/>
  <c r="K3663" i="1"/>
  <c r="J3663" i="1"/>
  <c r="I3663" i="1"/>
  <c r="H3663" i="1"/>
  <c r="F3663" i="1"/>
  <c r="K3662" i="1"/>
  <c r="J3662" i="1"/>
  <c r="I3662" i="1"/>
  <c r="H3662" i="1"/>
  <c r="F3662" i="1"/>
  <c r="C3661" i="1"/>
  <c r="V3660" i="1"/>
  <c r="U3660" i="1"/>
  <c r="T3660" i="1"/>
  <c r="S3660" i="1"/>
  <c r="I3666" i="1" s="1"/>
  <c r="R3660" i="1"/>
  <c r="Q3660" i="1"/>
  <c r="I3665" i="1" s="1"/>
  <c r="E3660" i="1"/>
  <c r="D3660" i="1"/>
  <c r="B3660" i="1"/>
  <c r="J3657" i="1"/>
  <c r="H3657" i="1"/>
  <c r="I3655" i="1"/>
  <c r="H3655" i="1"/>
  <c r="E3655" i="1"/>
  <c r="J3654" i="1"/>
  <c r="E3654" i="1"/>
  <c r="J3653" i="1"/>
  <c r="E3653" i="1"/>
  <c r="V3652" i="1"/>
  <c r="U3652" i="1"/>
  <c r="T3652" i="1"/>
  <c r="S3652" i="1"/>
  <c r="R3652" i="1"/>
  <c r="K3653" i="1" s="1"/>
  <c r="J3656" i="1" s="1"/>
  <c r="Q3652" i="1"/>
  <c r="K3652" i="1"/>
  <c r="J3652" i="1"/>
  <c r="I3652" i="1"/>
  <c r="H3652" i="1"/>
  <c r="F3652" i="1"/>
  <c r="E3652" i="1"/>
  <c r="D3652" i="1"/>
  <c r="B3652" i="1"/>
  <c r="K3651" i="1"/>
  <c r="J3651" i="1"/>
  <c r="I3651" i="1"/>
  <c r="H3651" i="1"/>
  <c r="F3651" i="1"/>
  <c r="K3650" i="1"/>
  <c r="J3650" i="1"/>
  <c r="I3650" i="1"/>
  <c r="H3650" i="1"/>
  <c r="F3650" i="1"/>
  <c r="K3649" i="1"/>
  <c r="J3649" i="1"/>
  <c r="I3649" i="1"/>
  <c r="H3649" i="1"/>
  <c r="F3649" i="1"/>
  <c r="C3648" i="1"/>
  <c r="V3647" i="1"/>
  <c r="U3647" i="1"/>
  <c r="T3647" i="1"/>
  <c r="K3654" i="1" s="1"/>
  <c r="S3647" i="1"/>
  <c r="R3647" i="1"/>
  <c r="Q3647" i="1"/>
  <c r="E3647" i="1"/>
  <c r="D3647" i="1"/>
  <c r="B3647" i="1"/>
  <c r="A3646" i="1"/>
  <c r="J3644" i="1"/>
  <c r="I3644" i="1"/>
  <c r="J3643" i="1"/>
  <c r="I3643" i="1"/>
  <c r="A3642" i="1"/>
  <c r="J3638" i="1"/>
  <c r="H3638" i="1"/>
  <c r="I3636" i="1"/>
  <c r="H3636" i="1"/>
  <c r="E3636" i="1"/>
  <c r="J3635" i="1"/>
  <c r="E3635" i="1"/>
  <c r="K3634" i="1"/>
  <c r="P3639" i="1" s="1"/>
  <c r="J3634" i="1"/>
  <c r="E3634" i="1"/>
  <c r="K3633" i="1"/>
  <c r="J3633" i="1"/>
  <c r="I3633" i="1"/>
  <c r="H3633" i="1"/>
  <c r="F3633" i="1"/>
  <c r="C3632" i="1"/>
  <c r="V3631" i="1"/>
  <c r="U3631" i="1"/>
  <c r="T3631" i="1"/>
  <c r="K3635" i="1" s="1"/>
  <c r="S3631" i="1"/>
  <c r="I3635" i="1" s="1"/>
  <c r="R3631" i="1"/>
  <c r="Q3631" i="1"/>
  <c r="I3634" i="1" s="1"/>
  <c r="E3631" i="1"/>
  <c r="D3631" i="1"/>
  <c r="B3631" i="1"/>
  <c r="J3628" i="1"/>
  <c r="H3628" i="1"/>
  <c r="I3626" i="1"/>
  <c r="H3626" i="1"/>
  <c r="E3626" i="1"/>
  <c r="J3625" i="1"/>
  <c r="E3625" i="1"/>
  <c r="J3624" i="1"/>
  <c r="E3624" i="1"/>
  <c r="K3623" i="1"/>
  <c r="J3623" i="1"/>
  <c r="I3623" i="1"/>
  <c r="H3623" i="1"/>
  <c r="F3623" i="1"/>
  <c r="K3622" i="1"/>
  <c r="J3622" i="1"/>
  <c r="I3622" i="1"/>
  <c r="H3622" i="1"/>
  <c r="F3622" i="1"/>
  <c r="K3621" i="1"/>
  <c r="J3621" i="1"/>
  <c r="I3621" i="1"/>
  <c r="H3621" i="1"/>
  <c r="F3621" i="1"/>
  <c r="C3620" i="1"/>
  <c r="V3619" i="1"/>
  <c r="U3619" i="1"/>
  <c r="T3619" i="1"/>
  <c r="K3625" i="1" s="1"/>
  <c r="S3619" i="1"/>
  <c r="I3625" i="1" s="1"/>
  <c r="R3619" i="1"/>
  <c r="K3624" i="1" s="1"/>
  <c r="Q3619" i="1"/>
  <c r="I3624" i="1" s="1"/>
  <c r="E3619" i="1"/>
  <c r="D3619" i="1"/>
  <c r="B3619" i="1"/>
  <c r="J3616" i="1"/>
  <c r="H3616" i="1"/>
  <c r="I3614" i="1"/>
  <c r="H3614" i="1"/>
  <c r="E3614" i="1"/>
  <c r="J3613" i="1"/>
  <c r="E3613" i="1"/>
  <c r="J3612" i="1"/>
  <c r="E3612" i="1"/>
  <c r="K3611" i="1"/>
  <c r="J3611" i="1"/>
  <c r="I3611" i="1"/>
  <c r="H3611" i="1"/>
  <c r="F3611" i="1"/>
  <c r="C3610" i="1"/>
  <c r="V3609" i="1"/>
  <c r="U3609" i="1"/>
  <c r="T3609" i="1"/>
  <c r="K3613" i="1" s="1"/>
  <c r="S3609" i="1"/>
  <c r="I3613" i="1" s="1"/>
  <c r="R3609" i="1"/>
  <c r="K3612" i="1" s="1"/>
  <c r="J3615" i="1" s="1"/>
  <c r="Q3609" i="1"/>
  <c r="I3612" i="1" s="1"/>
  <c r="H3617" i="1" s="1"/>
  <c r="E3609" i="1"/>
  <c r="D3609" i="1"/>
  <c r="B3609" i="1"/>
  <c r="J3606" i="1"/>
  <c r="H3606" i="1"/>
  <c r="I3604" i="1"/>
  <c r="H3604" i="1"/>
  <c r="E3604" i="1"/>
  <c r="K3603" i="1"/>
  <c r="J3603" i="1"/>
  <c r="E3603" i="1"/>
  <c r="J3602" i="1"/>
  <c r="I3602" i="1"/>
  <c r="E3602" i="1"/>
  <c r="K3601" i="1"/>
  <c r="J3601" i="1"/>
  <c r="I3601" i="1"/>
  <c r="H3601" i="1"/>
  <c r="F3601" i="1"/>
  <c r="K3600" i="1"/>
  <c r="J3600" i="1"/>
  <c r="I3600" i="1"/>
  <c r="H3600" i="1"/>
  <c r="F3600" i="1"/>
  <c r="K3599" i="1"/>
  <c r="J3599" i="1"/>
  <c r="I3599" i="1"/>
  <c r="H3599" i="1"/>
  <c r="F3599" i="1"/>
  <c r="C3598" i="1"/>
  <c r="V3597" i="1"/>
  <c r="U3597" i="1"/>
  <c r="T3597" i="1"/>
  <c r="S3597" i="1"/>
  <c r="I3603" i="1" s="1"/>
  <c r="H3607" i="1" s="1"/>
  <c r="R3597" i="1"/>
  <c r="K3602" i="1" s="1"/>
  <c r="Q3597" i="1"/>
  <c r="E3597" i="1"/>
  <c r="D3597" i="1"/>
  <c r="B3597" i="1"/>
  <c r="J3594" i="1"/>
  <c r="H3594" i="1"/>
  <c r="I3592" i="1"/>
  <c r="H3592" i="1"/>
  <c r="E3592" i="1"/>
  <c r="J3591" i="1"/>
  <c r="I3591" i="1"/>
  <c r="E3591" i="1"/>
  <c r="J3590" i="1"/>
  <c r="E3590" i="1"/>
  <c r="K3589" i="1"/>
  <c r="J3589" i="1"/>
  <c r="I3589" i="1"/>
  <c r="H3589" i="1"/>
  <c r="F3589" i="1"/>
  <c r="C3588" i="1"/>
  <c r="V3587" i="1"/>
  <c r="U3587" i="1"/>
  <c r="T3587" i="1"/>
  <c r="K3591" i="1" s="1"/>
  <c r="S3587" i="1"/>
  <c r="R3587" i="1"/>
  <c r="K3590" i="1" s="1"/>
  <c r="P3595" i="1" s="1"/>
  <c r="Q3587" i="1"/>
  <c r="I3590" i="1" s="1"/>
  <c r="E3587" i="1"/>
  <c r="D3587" i="1"/>
  <c r="B3587" i="1"/>
  <c r="A3586" i="1"/>
  <c r="A3584" i="1"/>
  <c r="J3582" i="1"/>
  <c r="I3582" i="1"/>
  <c r="J3581" i="1"/>
  <c r="I3581" i="1"/>
  <c r="A3580" i="1"/>
  <c r="J3578" i="1"/>
  <c r="I3578" i="1"/>
  <c r="J3577" i="1"/>
  <c r="I3577" i="1"/>
  <c r="A3576" i="1"/>
  <c r="V3572" i="1"/>
  <c r="U3572" i="1"/>
  <c r="T3572" i="1"/>
  <c r="S3572" i="1"/>
  <c r="R3572" i="1"/>
  <c r="Q3572" i="1"/>
  <c r="K3572" i="1"/>
  <c r="P3573" i="1" s="1"/>
  <c r="J3572" i="1"/>
  <c r="I3572" i="1"/>
  <c r="O3573" i="1" s="1"/>
  <c r="H3572" i="1"/>
  <c r="F3572" i="1"/>
  <c r="E3572" i="1"/>
  <c r="M3572" i="1" s="1"/>
  <c r="D3572" i="1"/>
  <c r="B3572" i="1"/>
  <c r="J3569" i="1"/>
  <c r="H3569" i="1"/>
  <c r="I3567" i="1"/>
  <c r="H3567" i="1"/>
  <c r="E3567" i="1"/>
  <c r="J3566" i="1"/>
  <c r="E3566" i="1"/>
  <c r="J3565" i="1"/>
  <c r="E3565" i="1"/>
  <c r="V3564" i="1"/>
  <c r="U3564" i="1"/>
  <c r="T3564" i="1"/>
  <c r="S3564" i="1"/>
  <c r="R3564" i="1"/>
  <c r="Q3564" i="1"/>
  <c r="K3564" i="1"/>
  <c r="J3564" i="1"/>
  <c r="I3564" i="1"/>
  <c r="H3564" i="1"/>
  <c r="F3564" i="1"/>
  <c r="E3564" i="1"/>
  <c r="D3564" i="1"/>
  <c r="B3564" i="1"/>
  <c r="V3563" i="1"/>
  <c r="U3563" i="1"/>
  <c r="T3563" i="1"/>
  <c r="S3563" i="1"/>
  <c r="I3566" i="1" s="1"/>
  <c r="R3563" i="1"/>
  <c r="Q3563" i="1"/>
  <c r="K3563" i="1"/>
  <c r="J3563" i="1"/>
  <c r="I3563" i="1"/>
  <c r="H3563" i="1"/>
  <c r="F3563" i="1"/>
  <c r="E3563" i="1"/>
  <c r="D3563" i="1"/>
  <c r="B3563" i="1"/>
  <c r="K3562" i="1"/>
  <c r="J3562" i="1"/>
  <c r="I3562" i="1"/>
  <c r="H3562" i="1"/>
  <c r="F3562" i="1"/>
  <c r="K3561" i="1"/>
  <c r="J3561" i="1"/>
  <c r="I3561" i="1"/>
  <c r="H3561" i="1"/>
  <c r="F3561" i="1"/>
  <c r="K3560" i="1"/>
  <c r="J3560" i="1"/>
  <c r="I3560" i="1"/>
  <c r="H3560" i="1"/>
  <c r="F3560" i="1"/>
  <c r="K3559" i="1"/>
  <c r="J3559" i="1"/>
  <c r="I3559" i="1"/>
  <c r="H3559" i="1"/>
  <c r="F3559" i="1"/>
  <c r="C3558" i="1"/>
  <c r="V3557" i="1"/>
  <c r="U3557" i="1"/>
  <c r="T3557" i="1"/>
  <c r="S3557" i="1"/>
  <c r="R3557" i="1"/>
  <c r="Q3557" i="1"/>
  <c r="I3565" i="1" s="1"/>
  <c r="E3557" i="1"/>
  <c r="D3557" i="1"/>
  <c r="B3557" i="1"/>
  <c r="J3554" i="1"/>
  <c r="H3554" i="1"/>
  <c r="I3552" i="1"/>
  <c r="H3552" i="1"/>
  <c r="E3552" i="1"/>
  <c r="J3551" i="1"/>
  <c r="E3551" i="1"/>
  <c r="J3550" i="1"/>
  <c r="I3550" i="1"/>
  <c r="E3550" i="1"/>
  <c r="V3549" i="1"/>
  <c r="U3549" i="1"/>
  <c r="T3549" i="1"/>
  <c r="S3549" i="1"/>
  <c r="R3549" i="1"/>
  <c r="Q3549" i="1"/>
  <c r="K3549" i="1"/>
  <c r="J3549" i="1"/>
  <c r="I3549" i="1"/>
  <c r="H3549" i="1"/>
  <c r="F3549" i="1"/>
  <c r="E3549" i="1"/>
  <c r="D3549" i="1"/>
  <c r="B3549" i="1"/>
  <c r="K3548" i="1"/>
  <c r="J3548" i="1"/>
  <c r="I3548" i="1"/>
  <c r="H3548" i="1"/>
  <c r="F3548" i="1"/>
  <c r="K3547" i="1"/>
  <c r="J3547" i="1"/>
  <c r="I3547" i="1"/>
  <c r="H3547" i="1"/>
  <c r="F3547" i="1"/>
  <c r="K3546" i="1"/>
  <c r="J3546" i="1"/>
  <c r="I3546" i="1"/>
  <c r="H3546" i="1"/>
  <c r="F3546" i="1"/>
  <c r="K3545" i="1"/>
  <c r="J3545" i="1"/>
  <c r="I3545" i="1"/>
  <c r="H3545" i="1"/>
  <c r="F3545" i="1"/>
  <c r="C3544" i="1"/>
  <c r="V3543" i="1"/>
  <c r="U3543" i="1"/>
  <c r="T3543" i="1"/>
  <c r="K3551" i="1" s="1"/>
  <c r="S3543" i="1"/>
  <c r="I3551" i="1" s="1"/>
  <c r="R3543" i="1"/>
  <c r="K3550" i="1" s="1"/>
  <c r="Q3543" i="1"/>
  <c r="E3543" i="1"/>
  <c r="D3543" i="1"/>
  <c r="B3543" i="1"/>
  <c r="V3540" i="1"/>
  <c r="U3540" i="1"/>
  <c r="T3540" i="1"/>
  <c r="S3540" i="1"/>
  <c r="R3540" i="1"/>
  <c r="Q3540" i="1"/>
  <c r="K3540" i="1"/>
  <c r="J3540" i="1"/>
  <c r="I3540" i="1"/>
  <c r="O3541" i="1" s="1"/>
  <c r="H3540" i="1"/>
  <c r="F3540" i="1"/>
  <c r="E3540" i="1"/>
  <c r="D3540" i="1"/>
  <c r="B3540" i="1"/>
  <c r="J3537" i="1"/>
  <c r="H3537" i="1"/>
  <c r="I3535" i="1"/>
  <c r="H3535" i="1"/>
  <c r="E3535" i="1"/>
  <c r="J3534" i="1"/>
  <c r="E3534" i="1"/>
  <c r="J3533" i="1"/>
  <c r="E3533" i="1"/>
  <c r="V3532" i="1"/>
  <c r="U3532" i="1"/>
  <c r="T3532" i="1"/>
  <c r="K3534" i="1" s="1"/>
  <c r="S3532" i="1"/>
  <c r="R3532" i="1"/>
  <c r="Q3532" i="1"/>
  <c r="K3532" i="1"/>
  <c r="J3532" i="1"/>
  <c r="I3532" i="1"/>
  <c r="H3532" i="1"/>
  <c r="F3532" i="1"/>
  <c r="E3532" i="1"/>
  <c r="D3532" i="1"/>
  <c r="B3532" i="1"/>
  <c r="K3531" i="1"/>
  <c r="J3531" i="1"/>
  <c r="I3531" i="1"/>
  <c r="H3531" i="1"/>
  <c r="F3531" i="1"/>
  <c r="K3530" i="1"/>
  <c r="J3530" i="1"/>
  <c r="I3530" i="1"/>
  <c r="H3530" i="1"/>
  <c r="F3530" i="1"/>
  <c r="K3529" i="1"/>
  <c r="J3529" i="1"/>
  <c r="I3529" i="1"/>
  <c r="H3529" i="1"/>
  <c r="F3529" i="1"/>
  <c r="K3528" i="1"/>
  <c r="J3528" i="1"/>
  <c r="I3528" i="1"/>
  <c r="H3528" i="1"/>
  <c r="F3528" i="1"/>
  <c r="C3527" i="1"/>
  <c r="V3526" i="1"/>
  <c r="U3526" i="1"/>
  <c r="T3526" i="1"/>
  <c r="S3526" i="1"/>
  <c r="I3534" i="1" s="1"/>
  <c r="R3526" i="1"/>
  <c r="K3533" i="1" s="1"/>
  <c r="J3536" i="1" s="1"/>
  <c r="Q3526" i="1"/>
  <c r="E3526" i="1"/>
  <c r="D3526" i="1"/>
  <c r="B3526" i="1"/>
  <c r="J3523" i="1"/>
  <c r="H3523" i="1"/>
  <c r="I3521" i="1"/>
  <c r="H3521" i="1"/>
  <c r="E3521" i="1"/>
  <c r="J3520" i="1"/>
  <c r="E3520" i="1"/>
  <c r="J3519" i="1"/>
  <c r="E3519" i="1"/>
  <c r="V3518" i="1"/>
  <c r="U3518" i="1"/>
  <c r="T3518" i="1"/>
  <c r="S3518" i="1"/>
  <c r="R3518" i="1"/>
  <c r="Q3518" i="1"/>
  <c r="K3518" i="1"/>
  <c r="J3518" i="1"/>
  <c r="I3518" i="1"/>
  <c r="H3518" i="1"/>
  <c r="F3518" i="1"/>
  <c r="E3518" i="1"/>
  <c r="D3518" i="1"/>
  <c r="B3518" i="1"/>
  <c r="K3517" i="1"/>
  <c r="J3517" i="1"/>
  <c r="I3517" i="1"/>
  <c r="H3517" i="1"/>
  <c r="F3517" i="1"/>
  <c r="K3516" i="1"/>
  <c r="J3516" i="1"/>
  <c r="I3516" i="1"/>
  <c r="H3516" i="1"/>
  <c r="F3516" i="1"/>
  <c r="K3515" i="1"/>
  <c r="J3515" i="1"/>
  <c r="I3515" i="1"/>
  <c r="H3515" i="1"/>
  <c r="F3515" i="1"/>
  <c r="C3514" i="1"/>
  <c r="V3513" i="1"/>
  <c r="U3513" i="1"/>
  <c r="T3513" i="1"/>
  <c r="S3513" i="1"/>
  <c r="R3513" i="1"/>
  <c r="K3519" i="1" s="1"/>
  <c r="Q3513" i="1"/>
  <c r="E3513" i="1"/>
  <c r="D3513" i="1"/>
  <c r="B3513" i="1"/>
  <c r="J3510" i="1"/>
  <c r="H3510" i="1"/>
  <c r="I3508" i="1"/>
  <c r="H3508" i="1"/>
  <c r="E3508" i="1"/>
  <c r="J3507" i="1"/>
  <c r="E3507" i="1"/>
  <c r="J3506" i="1"/>
  <c r="E3506" i="1"/>
  <c r="V3505" i="1"/>
  <c r="U3505" i="1"/>
  <c r="T3505" i="1"/>
  <c r="S3505" i="1"/>
  <c r="R3505" i="1"/>
  <c r="Q3505" i="1"/>
  <c r="K3505" i="1"/>
  <c r="J3505" i="1"/>
  <c r="I3505" i="1"/>
  <c r="H3505" i="1"/>
  <c r="F3505" i="1"/>
  <c r="E3505" i="1"/>
  <c r="D3505" i="1"/>
  <c r="B3505" i="1"/>
  <c r="V3504" i="1"/>
  <c r="U3504" i="1"/>
  <c r="T3504" i="1"/>
  <c r="S3504" i="1"/>
  <c r="R3504" i="1"/>
  <c r="Q3504" i="1"/>
  <c r="K3504" i="1"/>
  <c r="J3504" i="1"/>
  <c r="I3504" i="1"/>
  <c r="H3504" i="1"/>
  <c r="F3504" i="1"/>
  <c r="E3504" i="1"/>
  <c r="D3504" i="1"/>
  <c r="B3504" i="1"/>
  <c r="V3503" i="1"/>
  <c r="U3503" i="1"/>
  <c r="T3503" i="1"/>
  <c r="S3503" i="1"/>
  <c r="R3503" i="1"/>
  <c r="Q3503" i="1"/>
  <c r="K3503" i="1"/>
  <c r="J3503" i="1"/>
  <c r="I3503" i="1"/>
  <c r="H3503" i="1"/>
  <c r="F3503" i="1"/>
  <c r="E3503" i="1"/>
  <c r="D3503" i="1"/>
  <c r="B3503" i="1"/>
  <c r="K3502" i="1"/>
  <c r="J3502" i="1"/>
  <c r="I3502" i="1"/>
  <c r="H3502" i="1"/>
  <c r="F3502" i="1"/>
  <c r="K3501" i="1"/>
  <c r="J3501" i="1"/>
  <c r="I3501" i="1"/>
  <c r="H3501" i="1"/>
  <c r="F3501" i="1"/>
  <c r="K3500" i="1"/>
  <c r="J3500" i="1"/>
  <c r="I3500" i="1"/>
  <c r="H3500" i="1"/>
  <c r="F3500" i="1"/>
  <c r="K3499" i="1"/>
  <c r="J3499" i="1"/>
  <c r="I3499" i="1"/>
  <c r="H3499" i="1"/>
  <c r="F3499" i="1"/>
  <c r="C3498" i="1"/>
  <c r="V3497" i="1"/>
  <c r="U3497" i="1"/>
  <c r="T3497" i="1"/>
  <c r="K3507" i="1" s="1"/>
  <c r="S3497" i="1"/>
  <c r="R3497" i="1"/>
  <c r="Q3497" i="1"/>
  <c r="E3497" i="1"/>
  <c r="D3497" i="1"/>
  <c r="B3497" i="1"/>
  <c r="J3494" i="1"/>
  <c r="H3494" i="1"/>
  <c r="I3492" i="1"/>
  <c r="H3492" i="1"/>
  <c r="E3492" i="1"/>
  <c r="J3491" i="1"/>
  <c r="E3491" i="1"/>
  <c r="J3490" i="1"/>
  <c r="E3490" i="1"/>
  <c r="V3489" i="1"/>
  <c r="U3489" i="1"/>
  <c r="T3489" i="1"/>
  <c r="S3489" i="1"/>
  <c r="R3489" i="1"/>
  <c r="Q3489" i="1"/>
  <c r="K3489" i="1"/>
  <c r="J3489" i="1"/>
  <c r="I3489" i="1"/>
  <c r="H3489" i="1"/>
  <c r="F3489" i="1"/>
  <c r="E3489" i="1"/>
  <c r="D3489" i="1"/>
  <c r="B3489" i="1"/>
  <c r="V3488" i="1"/>
  <c r="U3488" i="1"/>
  <c r="T3488" i="1"/>
  <c r="S3488" i="1"/>
  <c r="R3488" i="1"/>
  <c r="Q3488" i="1"/>
  <c r="K3488" i="1"/>
  <c r="J3488" i="1"/>
  <c r="I3488" i="1"/>
  <c r="H3488" i="1"/>
  <c r="F3488" i="1"/>
  <c r="E3488" i="1"/>
  <c r="D3488" i="1"/>
  <c r="B3488" i="1"/>
  <c r="V3487" i="1"/>
  <c r="U3487" i="1"/>
  <c r="T3487" i="1"/>
  <c r="S3487" i="1"/>
  <c r="R3487" i="1"/>
  <c r="Q3487" i="1"/>
  <c r="K3487" i="1"/>
  <c r="J3487" i="1"/>
  <c r="I3487" i="1"/>
  <c r="H3487" i="1"/>
  <c r="F3487" i="1"/>
  <c r="E3487" i="1"/>
  <c r="D3487" i="1"/>
  <c r="B3487" i="1"/>
  <c r="K3486" i="1"/>
  <c r="J3486" i="1"/>
  <c r="I3486" i="1"/>
  <c r="H3486" i="1"/>
  <c r="F3486" i="1"/>
  <c r="K3485" i="1"/>
  <c r="J3485" i="1"/>
  <c r="I3485" i="1"/>
  <c r="H3485" i="1"/>
  <c r="F3485" i="1"/>
  <c r="K3484" i="1"/>
  <c r="J3484" i="1"/>
  <c r="I3484" i="1"/>
  <c r="H3484" i="1"/>
  <c r="F3484" i="1"/>
  <c r="K3483" i="1"/>
  <c r="J3483" i="1"/>
  <c r="I3483" i="1"/>
  <c r="H3483" i="1"/>
  <c r="F3483" i="1"/>
  <c r="C3482" i="1"/>
  <c r="V3481" i="1"/>
  <c r="U3481" i="1"/>
  <c r="T3481" i="1"/>
  <c r="K3491" i="1" s="1"/>
  <c r="S3481" i="1"/>
  <c r="I3491" i="1" s="1"/>
  <c r="R3481" i="1"/>
  <c r="K3490" i="1" s="1"/>
  <c r="Q3481" i="1"/>
  <c r="E3481" i="1"/>
  <c r="D3481" i="1"/>
  <c r="B3481" i="1"/>
  <c r="J3478" i="1"/>
  <c r="H3478" i="1"/>
  <c r="I3476" i="1"/>
  <c r="H3476" i="1"/>
  <c r="E3476" i="1"/>
  <c r="J3475" i="1"/>
  <c r="E3475" i="1"/>
  <c r="J3474" i="1"/>
  <c r="E3474" i="1"/>
  <c r="V3473" i="1"/>
  <c r="U3473" i="1"/>
  <c r="T3473" i="1"/>
  <c r="S3473" i="1"/>
  <c r="R3473" i="1"/>
  <c r="Q3473" i="1"/>
  <c r="K3473" i="1"/>
  <c r="J3473" i="1"/>
  <c r="I3473" i="1"/>
  <c r="H3473" i="1"/>
  <c r="F3473" i="1"/>
  <c r="E3473" i="1"/>
  <c r="D3473" i="1"/>
  <c r="B3473" i="1"/>
  <c r="V3472" i="1"/>
  <c r="U3472" i="1"/>
  <c r="T3472" i="1"/>
  <c r="S3472" i="1"/>
  <c r="R3472" i="1"/>
  <c r="Q3472" i="1"/>
  <c r="K3472" i="1"/>
  <c r="J3472" i="1"/>
  <c r="I3472" i="1"/>
  <c r="H3472" i="1"/>
  <c r="F3472" i="1"/>
  <c r="E3472" i="1"/>
  <c r="D3472" i="1"/>
  <c r="B3472" i="1"/>
  <c r="V3471" i="1"/>
  <c r="U3471" i="1"/>
  <c r="T3471" i="1"/>
  <c r="S3471" i="1"/>
  <c r="R3471" i="1"/>
  <c r="Q3471" i="1"/>
  <c r="K3471" i="1"/>
  <c r="J3471" i="1"/>
  <c r="I3471" i="1"/>
  <c r="H3471" i="1"/>
  <c r="F3471" i="1"/>
  <c r="E3471" i="1"/>
  <c r="D3471" i="1"/>
  <c r="B3471" i="1"/>
  <c r="K3470" i="1"/>
  <c r="J3470" i="1"/>
  <c r="I3470" i="1"/>
  <c r="H3470" i="1"/>
  <c r="F3470" i="1"/>
  <c r="K3469" i="1"/>
  <c r="J3469" i="1"/>
  <c r="I3469" i="1"/>
  <c r="H3469" i="1"/>
  <c r="F3469" i="1"/>
  <c r="K3468" i="1"/>
  <c r="J3468" i="1"/>
  <c r="I3468" i="1"/>
  <c r="H3468" i="1"/>
  <c r="F3468" i="1"/>
  <c r="K3467" i="1"/>
  <c r="J3467" i="1"/>
  <c r="I3467" i="1"/>
  <c r="H3467" i="1"/>
  <c r="F3467" i="1"/>
  <c r="C3466" i="1"/>
  <c r="V3465" i="1"/>
  <c r="U3465" i="1"/>
  <c r="T3465" i="1"/>
  <c r="S3465" i="1"/>
  <c r="R3465" i="1"/>
  <c r="Q3465" i="1"/>
  <c r="E3465" i="1"/>
  <c r="D3465" i="1"/>
  <c r="B3465" i="1"/>
  <c r="A3464" i="1"/>
  <c r="J3462" i="1"/>
  <c r="I3462" i="1"/>
  <c r="J3461" i="1"/>
  <c r="I3461" i="1"/>
  <c r="A3460" i="1"/>
  <c r="J3456" i="1"/>
  <c r="H3456" i="1"/>
  <c r="I3454" i="1"/>
  <c r="H3454" i="1"/>
  <c r="E3454" i="1"/>
  <c r="J3453" i="1"/>
  <c r="I3453" i="1"/>
  <c r="E3453" i="1"/>
  <c r="J3452" i="1"/>
  <c r="E3452" i="1"/>
  <c r="K3451" i="1"/>
  <c r="J3451" i="1"/>
  <c r="I3451" i="1"/>
  <c r="H3451" i="1"/>
  <c r="F3451" i="1"/>
  <c r="C3450" i="1"/>
  <c r="V3449" i="1"/>
  <c r="U3449" i="1"/>
  <c r="T3449" i="1"/>
  <c r="K3453" i="1" s="1"/>
  <c r="S3449" i="1"/>
  <c r="R3449" i="1"/>
  <c r="K3452" i="1" s="1"/>
  <c r="Q3449" i="1"/>
  <c r="I3452" i="1" s="1"/>
  <c r="E3449" i="1"/>
  <c r="D3449" i="1"/>
  <c r="B3449" i="1"/>
  <c r="J3446" i="1"/>
  <c r="H3446" i="1"/>
  <c r="I3444" i="1"/>
  <c r="H3444" i="1"/>
  <c r="E3444" i="1"/>
  <c r="J3443" i="1"/>
  <c r="E3443" i="1"/>
  <c r="K3442" i="1"/>
  <c r="J3442" i="1"/>
  <c r="E3442" i="1"/>
  <c r="K3441" i="1"/>
  <c r="J3441" i="1"/>
  <c r="I3441" i="1"/>
  <c r="H3441" i="1"/>
  <c r="F3441" i="1"/>
  <c r="K3440" i="1"/>
  <c r="J3440" i="1"/>
  <c r="I3440" i="1"/>
  <c r="H3440" i="1"/>
  <c r="F3440" i="1"/>
  <c r="K3439" i="1"/>
  <c r="J3439" i="1"/>
  <c r="I3439" i="1"/>
  <c r="H3439" i="1"/>
  <c r="F3439" i="1"/>
  <c r="C3438" i="1"/>
  <c r="V3437" i="1"/>
  <c r="U3437" i="1"/>
  <c r="T3437" i="1"/>
  <c r="K3443" i="1" s="1"/>
  <c r="S3437" i="1"/>
  <c r="I3443" i="1" s="1"/>
  <c r="R3437" i="1"/>
  <c r="Q3437" i="1"/>
  <c r="I3442" i="1" s="1"/>
  <c r="E3437" i="1"/>
  <c r="D3437" i="1"/>
  <c r="B3437" i="1"/>
  <c r="J3434" i="1"/>
  <c r="H3434" i="1"/>
  <c r="I3432" i="1"/>
  <c r="H3432" i="1"/>
  <c r="E3432" i="1"/>
  <c r="J3431" i="1"/>
  <c r="E3431" i="1"/>
  <c r="J3430" i="1"/>
  <c r="I3430" i="1"/>
  <c r="E3430" i="1"/>
  <c r="K3429" i="1"/>
  <c r="J3429" i="1"/>
  <c r="I3429" i="1"/>
  <c r="H3429" i="1"/>
  <c r="F3429" i="1"/>
  <c r="K3428" i="1"/>
  <c r="J3428" i="1"/>
  <c r="I3428" i="1"/>
  <c r="H3428" i="1"/>
  <c r="F3428" i="1"/>
  <c r="C3427" i="1"/>
  <c r="V3426" i="1"/>
  <c r="U3426" i="1"/>
  <c r="T3426" i="1"/>
  <c r="K3431" i="1" s="1"/>
  <c r="S3426" i="1"/>
  <c r="I3431" i="1" s="1"/>
  <c r="R3426" i="1"/>
  <c r="K3430" i="1" s="1"/>
  <c r="Q3426" i="1"/>
  <c r="E3426" i="1"/>
  <c r="D3426" i="1"/>
  <c r="B3426" i="1"/>
  <c r="A3425" i="1"/>
  <c r="A3423" i="1"/>
  <c r="J3421" i="1"/>
  <c r="I3421" i="1"/>
  <c r="J3420" i="1"/>
  <c r="I3420" i="1"/>
  <c r="A3419" i="1"/>
  <c r="J3417" i="1"/>
  <c r="I3417" i="1"/>
  <c r="J3416" i="1"/>
  <c r="I3416" i="1"/>
  <c r="A3415" i="1"/>
  <c r="J3411" i="1"/>
  <c r="H3411" i="1"/>
  <c r="I3409" i="1"/>
  <c r="H3409" i="1"/>
  <c r="E3409" i="1"/>
  <c r="J3408" i="1"/>
  <c r="E3408" i="1"/>
  <c r="J3407" i="1"/>
  <c r="E3407" i="1"/>
  <c r="V3406" i="1"/>
  <c r="U3406" i="1"/>
  <c r="T3406" i="1"/>
  <c r="S3406" i="1"/>
  <c r="I3408" i="1" s="1"/>
  <c r="R3406" i="1"/>
  <c r="Q3406" i="1"/>
  <c r="K3406" i="1"/>
  <c r="J3406" i="1"/>
  <c r="I3406" i="1"/>
  <c r="H3406" i="1"/>
  <c r="F3406" i="1"/>
  <c r="E3406" i="1"/>
  <c r="M3406" i="1" s="1"/>
  <c r="D3406" i="1"/>
  <c r="B3406" i="1"/>
  <c r="V3405" i="1"/>
  <c r="U3405" i="1"/>
  <c r="T3405" i="1"/>
  <c r="S3405" i="1"/>
  <c r="R3405" i="1"/>
  <c r="Q3405" i="1"/>
  <c r="I3407" i="1" s="1"/>
  <c r="K3405" i="1"/>
  <c r="J3405" i="1"/>
  <c r="I3405" i="1"/>
  <c r="H3405" i="1"/>
  <c r="F3405" i="1"/>
  <c r="E3405" i="1"/>
  <c r="D3405" i="1"/>
  <c r="B3405" i="1"/>
  <c r="V3404" i="1"/>
  <c r="U3404" i="1"/>
  <c r="T3404" i="1"/>
  <c r="S3404" i="1"/>
  <c r="R3404" i="1"/>
  <c r="K3407" i="1" s="1"/>
  <c r="Q3404" i="1"/>
  <c r="K3404" i="1"/>
  <c r="J3404" i="1"/>
  <c r="I3404" i="1"/>
  <c r="H3404" i="1"/>
  <c r="F3404" i="1"/>
  <c r="E3404" i="1"/>
  <c r="D3404" i="1"/>
  <c r="B3404" i="1"/>
  <c r="K3403" i="1"/>
  <c r="J3403" i="1"/>
  <c r="I3403" i="1"/>
  <c r="H3403" i="1"/>
  <c r="F3403" i="1"/>
  <c r="K3402" i="1"/>
  <c r="J3402" i="1"/>
  <c r="I3402" i="1"/>
  <c r="H3402" i="1"/>
  <c r="F3402" i="1"/>
  <c r="K3401" i="1"/>
  <c r="J3401" i="1"/>
  <c r="I3401" i="1"/>
  <c r="H3401" i="1"/>
  <c r="F3401" i="1"/>
  <c r="K3400" i="1"/>
  <c r="J3400" i="1"/>
  <c r="I3400" i="1"/>
  <c r="H3400" i="1"/>
  <c r="F3400" i="1"/>
  <c r="C3399" i="1"/>
  <c r="V3398" i="1"/>
  <c r="U3398" i="1"/>
  <c r="T3398" i="1"/>
  <c r="S3398" i="1"/>
  <c r="R3398" i="1"/>
  <c r="Q3398" i="1"/>
  <c r="E3398" i="1"/>
  <c r="D3398" i="1"/>
  <c r="B3398" i="1"/>
  <c r="J3395" i="1"/>
  <c r="H3395" i="1"/>
  <c r="I3393" i="1"/>
  <c r="H3393" i="1"/>
  <c r="E3393" i="1"/>
  <c r="J3392" i="1"/>
  <c r="E3392" i="1"/>
  <c r="J3391" i="1"/>
  <c r="E3391" i="1"/>
  <c r="V3390" i="1"/>
  <c r="U3390" i="1"/>
  <c r="T3390" i="1"/>
  <c r="S3390" i="1"/>
  <c r="R3390" i="1"/>
  <c r="Q3390" i="1"/>
  <c r="K3390" i="1"/>
  <c r="J3390" i="1"/>
  <c r="I3390" i="1"/>
  <c r="H3390" i="1"/>
  <c r="F3390" i="1"/>
  <c r="E3390" i="1"/>
  <c r="M3390" i="1" s="1"/>
  <c r="D3390" i="1"/>
  <c r="B3390" i="1"/>
  <c r="V3389" i="1"/>
  <c r="U3389" i="1"/>
  <c r="T3389" i="1"/>
  <c r="S3389" i="1"/>
  <c r="R3389" i="1"/>
  <c r="Q3389" i="1"/>
  <c r="K3389" i="1"/>
  <c r="J3389" i="1"/>
  <c r="I3389" i="1"/>
  <c r="H3389" i="1"/>
  <c r="F3389" i="1"/>
  <c r="E3389" i="1"/>
  <c r="D3389" i="1"/>
  <c r="B3389" i="1"/>
  <c r="V3388" i="1"/>
  <c r="U3388" i="1"/>
  <c r="T3388" i="1"/>
  <c r="S3388" i="1"/>
  <c r="R3388" i="1"/>
  <c r="Q3388" i="1"/>
  <c r="K3388" i="1"/>
  <c r="J3388" i="1"/>
  <c r="I3388" i="1"/>
  <c r="H3388" i="1"/>
  <c r="F3388" i="1"/>
  <c r="E3388" i="1"/>
  <c r="D3388" i="1"/>
  <c r="B3388" i="1"/>
  <c r="V3387" i="1"/>
  <c r="U3387" i="1"/>
  <c r="T3387" i="1"/>
  <c r="S3387" i="1"/>
  <c r="R3387" i="1"/>
  <c r="Q3387" i="1"/>
  <c r="K3387" i="1"/>
  <c r="J3387" i="1"/>
  <c r="I3387" i="1"/>
  <c r="H3387" i="1"/>
  <c r="F3387" i="1"/>
  <c r="E3387" i="1"/>
  <c r="D3387" i="1"/>
  <c r="B3387" i="1"/>
  <c r="V3386" i="1"/>
  <c r="U3386" i="1"/>
  <c r="T3386" i="1"/>
  <c r="S3386" i="1"/>
  <c r="R3386" i="1"/>
  <c r="Q3386" i="1"/>
  <c r="K3386" i="1"/>
  <c r="J3386" i="1"/>
  <c r="I3386" i="1"/>
  <c r="H3386" i="1"/>
  <c r="F3386" i="1"/>
  <c r="E3386" i="1"/>
  <c r="D3386" i="1"/>
  <c r="B3386" i="1"/>
  <c r="K3385" i="1"/>
  <c r="J3385" i="1"/>
  <c r="I3385" i="1"/>
  <c r="H3385" i="1"/>
  <c r="F3385" i="1"/>
  <c r="K3384" i="1"/>
  <c r="J3384" i="1"/>
  <c r="I3384" i="1"/>
  <c r="H3384" i="1"/>
  <c r="F3384" i="1"/>
  <c r="K3383" i="1"/>
  <c r="J3383" i="1"/>
  <c r="I3383" i="1"/>
  <c r="H3383" i="1"/>
  <c r="F3383" i="1"/>
  <c r="K3382" i="1"/>
  <c r="J3382" i="1"/>
  <c r="I3382" i="1"/>
  <c r="H3382" i="1"/>
  <c r="F3382" i="1"/>
  <c r="C3381" i="1"/>
  <c r="V3380" i="1"/>
  <c r="U3380" i="1"/>
  <c r="T3380" i="1"/>
  <c r="S3380" i="1"/>
  <c r="R3380" i="1"/>
  <c r="Q3380" i="1"/>
  <c r="E3380" i="1"/>
  <c r="D3380" i="1"/>
  <c r="B3380" i="1"/>
  <c r="J3377" i="1"/>
  <c r="H3377" i="1"/>
  <c r="I3375" i="1"/>
  <c r="H3375" i="1"/>
  <c r="E3375" i="1"/>
  <c r="J3374" i="1"/>
  <c r="E3374" i="1"/>
  <c r="J3373" i="1"/>
  <c r="E3373" i="1"/>
  <c r="V3372" i="1"/>
  <c r="U3372" i="1"/>
  <c r="T3372" i="1"/>
  <c r="S3372" i="1"/>
  <c r="R3372" i="1"/>
  <c r="Q3372" i="1"/>
  <c r="K3372" i="1"/>
  <c r="J3372" i="1"/>
  <c r="I3372" i="1"/>
  <c r="H3372" i="1"/>
  <c r="F3372" i="1"/>
  <c r="E3372" i="1"/>
  <c r="M3372" i="1" s="1"/>
  <c r="D3372" i="1"/>
  <c r="B3372" i="1"/>
  <c r="V3371" i="1"/>
  <c r="U3371" i="1"/>
  <c r="T3371" i="1"/>
  <c r="S3371" i="1"/>
  <c r="R3371" i="1"/>
  <c r="Q3371" i="1"/>
  <c r="K3371" i="1"/>
  <c r="J3371" i="1"/>
  <c r="I3371" i="1"/>
  <c r="H3371" i="1"/>
  <c r="F3371" i="1"/>
  <c r="E3371" i="1"/>
  <c r="M3371" i="1" s="1"/>
  <c r="D3371" i="1"/>
  <c r="B3371" i="1"/>
  <c r="V3370" i="1"/>
  <c r="U3370" i="1"/>
  <c r="T3370" i="1"/>
  <c r="S3370" i="1"/>
  <c r="R3370" i="1"/>
  <c r="Q3370" i="1"/>
  <c r="K3370" i="1"/>
  <c r="J3370" i="1"/>
  <c r="I3370" i="1"/>
  <c r="H3370" i="1"/>
  <c r="F3370" i="1"/>
  <c r="E3370" i="1"/>
  <c r="D3370" i="1"/>
  <c r="B3370" i="1"/>
  <c r="V3369" i="1"/>
  <c r="U3369" i="1"/>
  <c r="T3369" i="1"/>
  <c r="S3369" i="1"/>
  <c r="R3369" i="1"/>
  <c r="Q3369" i="1"/>
  <c r="K3369" i="1"/>
  <c r="J3369" i="1"/>
  <c r="I3369" i="1"/>
  <c r="H3369" i="1"/>
  <c r="F3369" i="1"/>
  <c r="E3369" i="1"/>
  <c r="D3369" i="1"/>
  <c r="B3369" i="1"/>
  <c r="K3368" i="1"/>
  <c r="J3368" i="1"/>
  <c r="I3368" i="1"/>
  <c r="H3368" i="1"/>
  <c r="F3368" i="1"/>
  <c r="K3367" i="1"/>
  <c r="J3367" i="1"/>
  <c r="I3367" i="1"/>
  <c r="H3367" i="1"/>
  <c r="F3367" i="1"/>
  <c r="K3366" i="1"/>
  <c r="J3366" i="1"/>
  <c r="I3366" i="1"/>
  <c r="H3366" i="1"/>
  <c r="F3366" i="1"/>
  <c r="K3365" i="1"/>
  <c r="J3365" i="1"/>
  <c r="I3365" i="1"/>
  <c r="H3365" i="1"/>
  <c r="F3365" i="1"/>
  <c r="C3364" i="1"/>
  <c r="V3363" i="1"/>
  <c r="U3363" i="1"/>
  <c r="T3363" i="1"/>
  <c r="K3374" i="1" s="1"/>
  <c r="S3363" i="1"/>
  <c r="R3363" i="1"/>
  <c r="Q3363" i="1"/>
  <c r="E3363" i="1"/>
  <c r="D3363" i="1"/>
  <c r="B3363" i="1"/>
  <c r="J3360" i="1"/>
  <c r="H3360" i="1"/>
  <c r="I3358" i="1"/>
  <c r="H3358" i="1"/>
  <c r="E3358" i="1"/>
  <c r="J3357" i="1"/>
  <c r="E3357" i="1"/>
  <c r="K3356" i="1"/>
  <c r="J3356" i="1"/>
  <c r="E3356" i="1"/>
  <c r="V3355" i="1"/>
  <c r="U3355" i="1"/>
  <c r="T3355" i="1"/>
  <c r="S3355" i="1"/>
  <c r="R3355" i="1"/>
  <c r="Q3355" i="1"/>
  <c r="K3355" i="1"/>
  <c r="J3355" i="1"/>
  <c r="I3355" i="1"/>
  <c r="H3355" i="1"/>
  <c r="F3355" i="1"/>
  <c r="E3355" i="1"/>
  <c r="M3355" i="1" s="1"/>
  <c r="D3355" i="1"/>
  <c r="B3355" i="1"/>
  <c r="V3354" i="1"/>
  <c r="U3354" i="1"/>
  <c r="T3354" i="1"/>
  <c r="S3354" i="1"/>
  <c r="R3354" i="1"/>
  <c r="Q3354" i="1"/>
  <c r="K3354" i="1"/>
  <c r="J3354" i="1"/>
  <c r="I3354" i="1"/>
  <c r="H3354" i="1"/>
  <c r="F3354" i="1"/>
  <c r="E3354" i="1"/>
  <c r="D3354" i="1"/>
  <c r="B3354" i="1"/>
  <c r="V3353" i="1"/>
  <c r="U3353" i="1"/>
  <c r="T3353" i="1"/>
  <c r="S3353" i="1"/>
  <c r="R3353" i="1"/>
  <c r="Q3353" i="1"/>
  <c r="K3353" i="1"/>
  <c r="J3353" i="1"/>
  <c r="I3353" i="1"/>
  <c r="H3353" i="1"/>
  <c r="F3353" i="1"/>
  <c r="E3353" i="1"/>
  <c r="D3353" i="1"/>
  <c r="B3353" i="1"/>
  <c r="K3352" i="1"/>
  <c r="J3352" i="1"/>
  <c r="I3352" i="1"/>
  <c r="H3352" i="1"/>
  <c r="F3352" i="1"/>
  <c r="K3351" i="1"/>
  <c r="J3351" i="1"/>
  <c r="I3351" i="1"/>
  <c r="H3351" i="1"/>
  <c r="F3351" i="1"/>
  <c r="K3350" i="1"/>
  <c r="J3350" i="1"/>
  <c r="I3350" i="1"/>
  <c r="H3350" i="1"/>
  <c r="F3350" i="1"/>
  <c r="K3349" i="1"/>
  <c r="J3349" i="1"/>
  <c r="I3349" i="1"/>
  <c r="H3349" i="1"/>
  <c r="F3349" i="1"/>
  <c r="C3348" i="1"/>
  <c r="V3347" i="1"/>
  <c r="U3347" i="1"/>
  <c r="T3347" i="1"/>
  <c r="S3347" i="1"/>
  <c r="R3347" i="1"/>
  <c r="Q3347" i="1"/>
  <c r="E3347" i="1"/>
  <c r="D3347" i="1"/>
  <c r="B3347" i="1"/>
  <c r="J3344" i="1"/>
  <c r="H3344" i="1"/>
  <c r="I3342" i="1"/>
  <c r="H3342" i="1"/>
  <c r="E3342" i="1"/>
  <c r="J3341" i="1"/>
  <c r="E3341" i="1"/>
  <c r="J3340" i="1"/>
  <c r="E3340" i="1"/>
  <c r="V3339" i="1"/>
  <c r="U3339" i="1"/>
  <c r="T3339" i="1"/>
  <c r="S3339" i="1"/>
  <c r="R3339" i="1"/>
  <c r="Q3339" i="1"/>
  <c r="K3339" i="1"/>
  <c r="J3339" i="1"/>
  <c r="I3339" i="1"/>
  <c r="H3339" i="1"/>
  <c r="F3339" i="1"/>
  <c r="E3339" i="1"/>
  <c r="M3339" i="1" s="1"/>
  <c r="D3339" i="1"/>
  <c r="B3339" i="1"/>
  <c r="V3338" i="1"/>
  <c r="U3338" i="1"/>
  <c r="T3338" i="1"/>
  <c r="S3338" i="1"/>
  <c r="R3338" i="1"/>
  <c r="Q3338" i="1"/>
  <c r="K3338" i="1"/>
  <c r="J3338" i="1"/>
  <c r="I3338" i="1"/>
  <c r="H3338" i="1"/>
  <c r="F3338" i="1"/>
  <c r="E3338" i="1"/>
  <c r="D3338" i="1"/>
  <c r="B3338" i="1"/>
  <c r="V3337" i="1"/>
  <c r="U3337" i="1"/>
  <c r="T3337" i="1"/>
  <c r="S3337" i="1"/>
  <c r="R3337" i="1"/>
  <c r="Q3337" i="1"/>
  <c r="K3337" i="1"/>
  <c r="J3337" i="1"/>
  <c r="I3337" i="1"/>
  <c r="H3337" i="1"/>
  <c r="F3337" i="1"/>
  <c r="E3337" i="1"/>
  <c r="D3337" i="1"/>
  <c r="B3337" i="1"/>
  <c r="K3336" i="1"/>
  <c r="J3336" i="1"/>
  <c r="I3336" i="1"/>
  <c r="H3336" i="1"/>
  <c r="F3336" i="1"/>
  <c r="K3335" i="1"/>
  <c r="J3335" i="1"/>
  <c r="I3335" i="1"/>
  <c r="H3335" i="1"/>
  <c r="F3335" i="1"/>
  <c r="K3334" i="1"/>
  <c r="J3334" i="1"/>
  <c r="I3334" i="1"/>
  <c r="H3334" i="1"/>
  <c r="F3334" i="1"/>
  <c r="K3333" i="1"/>
  <c r="J3333" i="1"/>
  <c r="I3333" i="1"/>
  <c r="H3333" i="1"/>
  <c r="F3333" i="1"/>
  <c r="C3332" i="1"/>
  <c r="V3331" i="1"/>
  <c r="U3331" i="1"/>
  <c r="T3331" i="1"/>
  <c r="K3341" i="1" s="1"/>
  <c r="S3331" i="1"/>
  <c r="R3331" i="1"/>
  <c r="Q3331" i="1"/>
  <c r="E3331" i="1"/>
  <c r="D3331" i="1"/>
  <c r="B3331" i="1"/>
  <c r="J3328" i="1"/>
  <c r="H3328" i="1"/>
  <c r="I3326" i="1"/>
  <c r="H3326" i="1"/>
  <c r="E3326" i="1"/>
  <c r="J3325" i="1"/>
  <c r="E3325" i="1"/>
  <c r="J3324" i="1"/>
  <c r="E3324" i="1"/>
  <c r="V3323" i="1"/>
  <c r="U3323" i="1"/>
  <c r="T3323" i="1"/>
  <c r="S3323" i="1"/>
  <c r="R3323" i="1"/>
  <c r="Q3323" i="1"/>
  <c r="K3323" i="1"/>
  <c r="J3323" i="1"/>
  <c r="I3323" i="1"/>
  <c r="H3323" i="1"/>
  <c r="F3323" i="1"/>
  <c r="E3323" i="1"/>
  <c r="D3323" i="1"/>
  <c r="B3323" i="1"/>
  <c r="V3322" i="1"/>
  <c r="U3322" i="1"/>
  <c r="T3322" i="1"/>
  <c r="S3322" i="1"/>
  <c r="R3322" i="1"/>
  <c r="Q3322" i="1"/>
  <c r="K3322" i="1"/>
  <c r="J3322" i="1"/>
  <c r="I3322" i="1"/>
  <c r="H3322" i="1"/>
  <c r="F3322" i="1"/>
  <c r="E3322" i="1"/>
  <c r="D3322" i="1"/>
  <c r="B3322" i="1"/>
  <c r="V3321" i="1"/>
  <c r="U3321" i="1"/>
  <c r="T3321" i="1"/>
  <c r="K3325" i="1" s="1"/>
  <c r="S3321" i="1"/>
  <c r="R3321" i="1"/>
  <c r="Q3321" i="1"/>
  <c r="K3321" i="1"/>
  <c r="J3321" i="1"/>
  <c r="I3321" i="1"/>
  <c r="H3321" i="1"/>
  <c r="F3321" i="1"/>
  <c r="E3321" i="1"/>
  <c r="D3321" i="1"/>
  <c r="B3321" i="1"/>
  <c r="K3320" i="1"/>
  <c r="J3320" i="1"/>
  <c r="I3320" i="1"/>
  <c r="H3320" i="1"/>
  <c r="F3320" i="1"/>
  <c r="K3319" i="1"/>
  <c r="J3319" i="1"/>
  <c r="I3319" i="1"/>
  <c r="H3319" i="1"/>
  <c r="F3319" i="1"/>
  <c r="K3318" i="1"/>
  <c r="J3318" i="1"/>
  <c r="I3318" i="1"/>
  <c r="H3318" i="1"/>
  <c r="F3318" i="1"/>
  <c r="K3317" i="1"/>
  <c r="J3317" i="1"/>
  <c r="I3317" i="1"/>
  <c r="H3317" i="1"/>
  <c r="F3317" i="1"/>
  <c r="C3316" i="1"/>
  <c r="V3315" i="1"/>
  <c r="U3315" i="1"/>
  <c r="T3315" i="1"/>
  <c r="S3315" i="1"/>
  <c r="I3325" i="1" s="1"/>
  <c r="R3315" i="1"/>
  <c r="K3324" i="1" s="1"/>
  <c r="Q3315" i="1"/>
  <c r="E3315" i="1"/>
  <c r="D3315" i="1"/>
  <c r="B3315" i="1"/>
  <c r="J3312" i="1"/>
  <c r="H3312" i="1"/>
  <c r="I3310" i="1"/>
  <c r="H3310" i="1"/>
  <c r="E3310" i="1"/>
  <c r="J3309" i="1"/>
  <c r="E3309" i="1"/>
  <c r="J3308" i="1"/>
  <c r="E3308" i="1"/>
  <c r="V3307" i="1"/>
  <c r="U3307" i="1"/>
  <c r="T3307" i="1"/>
  <c r="S3307" i="1"/>
  <c r="R3307" i="1"/>
  <c r="Q3307" i="1"/>
  <c r="K3307" i="1"/>
  <c r="J3307" i="1"/>
  <c r="I3307" i="1"/>
  <c r="H3307" i="1"/>
  <c r="F3307" i="1"/>
  <c r="E3307" i="1"/>
  <c r="D3307" i="1"/>
  <c r="B3307" i="1"/>
  <c r="V3306" i="1"/>
  <c r="U3306" i="1"/>
  <c r="T3306" i="1"/>
  <c r="S3306" i="1"/>
  <c r="R3306" i="1"/>
  <c r="Q3306" i="1"/>
  <c r="K3306" i="1"/>
  <c r="J3306" i="1"/>
  <c r="I3306" i="1"/>
  <c r="H3306" i="1"/>
  <c r="F3306" i="1"/>
  <c r="E3306" i="1"/>
  <c r="D3306" i="1"/>
  <c r="B3306" i="1"/>
  <c r="V3305" i="1"/>
  <c r="U3305" i="1"/>
  <c r="T3305" i="1"/>
  <c r="S3305" i="1"/>
  <c r="R3305" i="1"/>
  <c r="Q3305" i="1"/>
  <c r="K3305" i="1"/>
  <c r="J3305" i="1"/>
  <c r="I3305" i="1"/>
  <c r="H3305" i="1"/>
  <c r="F3305" i="1"/>
  <c r="E3305" i="1"/>
  <c r="D3305" i="1"/>
  <c r="B3305" i="1"/>
  <c r="V3304" i="1"/>
  <c r="U3304" i="1"/>
  <c r="T3304" i="1"/>
  <c r="S3304" i="1"/>
  <c r="R3304" i="1"/>
  <c r="Q3304" i="1"/>
  <c r="K3304" i="1"/>
  <c r="J3304" i="1"/>
  <c r="I3304" i="1"/>
  <c r="H3304" i="1"/>
  <c r="F3304" i="1"/>
  <c r="E3304" i="1"/>
  <c r="D3304" i="1"/>
  <c r="B3304" i="1"/>
  <c r="V3303" i="1"/>
  <c r="U3303" i="1"/>
  <c r="T3303" i="1"/>
  <c r="S3303" i="1"/>
  <c r="R3303" i="1"/>
  <c r="Q3303" i="1"/>
  <c r="K3303" i="1"/>
  <c r="J3303" i="1"/>
  <c r="I3303" i="1"/>
  <c r="H3303" i="1"/>
  <c r="F3303" i="1"/>
  <c r="E3303" i="1"/>
  <c r="D3303" i="1"/>
  <c r="B3303" i="1"/>
  <c r="K3302" i="1"/>
  <c r="J3302" i="1"/>
  <c r="I3302" i="1"/>
  <c r="H3302" i="1"/>
  <c r="F3302" i="1"/>
  <c r="K3301" i="1"/>
  <c r="J3301" i="1"/>
  <c r="I3301" i="1"/>
  <c r="H3301" i="1"/>
  <c r="F3301" i="1"/>
  <c r="K3300" i="1"/>
  <c r="J3300" i="1"/>
  <c r="I3300" i="1"/>
  <c r="H3300" i="1"/>
  <c r="F3300" i="1"/>
  <c r="K3299" i="1"/>
  <c r="J3299" i="1"/>
  <c r="I3299" i="1"/>
  <c r="H3299" i="1"/>
  <c r="F3299" i="1"/>
  <c r="C3298" i="1"/>
  <c r="V3297" i="1"/>
  <c r="U3297" i="1"/>
  <c r="T3297" i="1"/>
  <c r="S3297" i="1"/>
  <c r="R3297" i="1"/>
  <c r="Q3297" i="1"/>
  <c r="E3297" i="1"/>
  <c r="D3297" i="1"/>
  <c r="B3297" i="1"/>
  <c r="J3294" i="1"/>
  <c r="H3294" i="1"/>
  <c r="I3292" i="1"/>
  <c r="H3292" i="1"/>
  <c r="E3292" i="1"/>
  <c r="J3291" i="1"/>
  <c r="E3291" i="1"/>
  <c r="J3290" i="1"/>
  <c r="E3290" i="1"/>
  <c r="V3289" i="1"/>
  <c r="U3289" i="1"/>
  <c r="T3289" i="1"/>
  <c r="S3289" i="1"/>
  <c r="R3289" i="1"/>
  <c r="Q3289" i="1"/>
  <c r="K3289" i="1"/>
  <c r="J3289" i="1"/>
  <c r="I3289" i="1"/>
  <c r="H3289" i="1"/>
  <c r="F3289" i="1"/>
  <c r="E3289" i="1"/>
  <c r="D3289" i="1"/>
  <c r="B3289" i="1"/>
  <c r="V3288" i="1"/>
  <c r="U3288" i="1"/>
  <c r="T3288" i="1"/>
  <c r="S3288" i="1"/>
  <c r="R3288" i="1"/>
  <c r="Q3288" i="1"/>
  <c r="K3288" i="1"/>
  <c r="J3288" i="1"/>
  <c r="I3288" i="1"/>
  <c r="H3288" i="1"/>
  <c r="F3288" i="1"/>
  <c r="E3288" i="1"/>
  <c r="D3288" i="1"/>
  <c r="B3288" i="1"/>
  <c r="V3287" i="1"/>
  <c r="U3287" i="1"/>
  <c r="T3287" i="1"/>
  <c r="K3291" i="1" s="1"/>
  <c r="S3287" i="1"/>
  <c r="R3287" i="1"/>
  <c r="Q3287" i="1"/>
  <c r="K3287" i="1"/>
  <c r="J3287" i="1"/>
  <c r="I3287" i="1"/>
  <c r="H3287" i="1"/>
  <c r="F3287" i="1"/>
  <c r="E3287" i="1"/>
  <c r="D3287" i="1"/>
  <c r="B3287" i="1"/>
  <c r="V3286" i="1"/>
  <c r="U3286" i="1"/>
  <c r="T3286" i="1"/>
  <c r="S3286" i="1"/>
  <c r="R3286" i="1"/>
  <c r="Q3286" i="1"/>
  <c r="K3286" i="1"/>
  <c r="J3286" i="1"/>
  <c r="I3286" i="1"/>
  <c r="H3286" i="1"/>
  <c r="F3286" i="1"/>
  <c r="E3286" i="1"/>
  <c r="D3286" i="1"/>
  <c r="B3286" i="1"/>
  <c r="V3285" i="1"/>
  <c r="U3285" i="1"/>
  <c r="T3285" i="1"/>
  <c r="S3285" i="1"/>
  <c r="R3285" i="1"/>
  <c r="Q3285" i="1"/>
  <c r="K3285" i="1"/>
  <c r="J3285" i="1"/>
  <c r="I3285" i="1"/>
  <c r="H3285" i="1"/>
  <c r="F3285" i="1"/>
  <c r="E3285" i="1"/>
  <c r="D3285" i="1"/>
  <c r="B3285" i="1"/>
  <c r="K3284" i="1"/>
  <c r="J3284" i="1"/>
  <c r="I3284" i="1"/>
  <c r="H3284" i="1"/>
  <c r="F3284" i="1"/>
  <c r="K3283" i="1"/>
  <c r="J3283" i="1"/>
  <c r="I3283" i="1"/>
  <c r="H3283" i="1"/>
  <c r="F3283" i="1"/>
  <c r="K3282" i="1"/>
  <c r="J3282" i="1"/>
  <c r="I3282" i="1"/>
  <c r="H3282" i="1"/>
  <c r="F3282" i="1"/>
  <c r="K3281" i="1"/>
  <c r="J3281" i="1"/>
  <c r="I3281" i="1"/>
  <c r="H3281" i="1"/>
  <c r="F3281" i="1"/>
  <c r="C3280" i="1"/>
  <c r="V3279" i="1"/>
  <c r="U3279" i="1"/>
  <c r="T3279" i="1"/>
  <c r="S3279" i="1"/>
  <c r="R3279" i="1"/>
  <c r="Q3279" i="1"/>
  <c r="I3290" i="1" s="1"/>
  <c r="E3279" i="1"/>
  <c r="D3279" i="1"/>
  <c r="B3279" i="1"/>
  <c r="J3276" i="1"/>
  <c r="H3276" i="1"/>
  <c r="I3274" i="1"/>
  <c r="H3274" i="1"/>
  <c r="E3274" i="1"/>
  <c r="J3273" i="1"/>
  <c r="E3273" i="1"/>
  <c r="J3272" i="1"/>
  <c r="I3272" i="1"/>
  <c r="E3272" i="1"/>
  <c r="V3271" i="1"/>
  <c r="U3271" i="1"/>
  <c r="T3271" i="1"/>
  <c r="S3271" i="1"/>
  <c r="R3271" i="1"/>
  <c r="Q3271" i="1"/>
  <c r="K3271" i="1"/>
  <c r="J3271" i="1"/>
  <c r="I3271" i="1"/>
  <c r="H3271" i="1"/>
  <c r="F3271" i="1"/>
  <c r="E3271" i="1"/>
  <c r="D3271" i="1"/>
  <c r="B3271" i="1"/>
  <c r="V3270" i="1"/>
  <c r="U3270" i="1"/>
  <c r="T3270" i="1"/>
  <c r="S3270" i="1"/>
  <c r="R3270" i="1"/>
  <c r="Q3270" i="1"/>
  <c r="K3270" i="1"/>
  <c r="J3270" i="1"/>
  <c r="I3270" i="1"/>
  <c r="H3270" i="1"/>
  <c r="F3270" i="1"/>
  <c r="E3270" i="1"/>
  <c r="D3270" i="1"/>
  <c r="B3270" i="1"/>
  <c r="K3269" i="1"/>
  <c r="J3269" i="1"/>
  <c r="I3269" i="1"/>
  <c r="H3269" i="1"/>
  <c r="F3269" i="1"/>
  <c r="K3268" i="1"/>
  <c r="J3268" i="1"/>
  <c r="I3268" i="1"/>
  <c r="H3268" i="1"/>
  <c r="F3268" i="1"/>
  <c r="K3267" i="1"/>
  <c r="J3267" i="1"/>
  <c r="I3267" i="1"/>
  <c r="H3267" i="1"/>
  <c r="F3267" i="1"/>
  <c r="K3266" i="1"/>
  <c r="J3266" i="1"/>
  <c r="I3266" i="1"/>
  <c r="H3266" i="1"/>
  <c r="F3266" i="1"/>
  <c r="C3265" i="1"/>
  <c r="V3264" i="1"/>
  <c r="U3264" i="1"/>
  <c r="T3264" i="1"/>
  <c r="K3273" i="1" s="1"/>
  <c r="S3264" i="1"/>
  <c r="R3264" i="1"/>
  <c r="Q3264" i="1"/>
  <c r="E3264" i="1"/>
  <c r="D3264" i="1"/>
  <c r="B3264" i="1"/>
  <c r="J3261" i="1"/>
  <c r="H3261" i="1"/>
  <c r="I3259" i="1"/>
  <c r="H3259" i="1"/>
  <c r="E3259" i="1"/>
  <c r="J3258" i="1"/>
  <c r="E3258" i="1"/>
  <c r="J3257" i="1"/>
  <c r="E3257" i="1"/>
  <c r="V3256" i="1"/>
  <c r="U3256" i="1"/>
  <c r="T3256" i="1"/>
  <c r="S3256" i="1"/>
  <c r="R3256" i="1"/>
  <c r="Q3256" i="1"/>
  <c r="K3256" i="1"/>
  <c r="J3256" i="1"/>
  <c r="I3256" i="1"/>
  <c r="H3256" i="1"/>
  <c r="F3256" i="1"/>
  <c r="E3256" i="1"/>
  <c r="D3256" i="1"/>
  <c r="B3256" i="1"/>
  <c r="V3255" i="1"/>
  <c r="U3255" i="1"/>
  <c r="T3255" i="1"/>
  <c r="S3255" i="1"/>
  <c r="R3255" i="1"/>
  <c r="Q3255" i="1"/>
  <c r="K3255" i="1"/>
  <c r="J3255" i="1"/>
  <c r="I3255" i="1"/>
  <c r="H3255" i="1"/>
  <c r="F3255" i="1"/>
  <c r="E3255" i="1"/>
  <c r="D3255" i="1"/>
  <c r="B3255" i="1"/>
  <c r="V3254" i="1"/>
  <c r="U3254" i="1"/>
  <c r="T3254" i="1"/>
  <c r="K3258" i="1" s="1"/>
  <c r="S3254" i="1"/>
  <c r="R3254" i="1"/>
  <c r="Q3254" i="1"/>
  <c r="K3254" i="1"/>
  <c r="J3254" i="1"/>
  <c r="I3254" i="1"/>
  <c r="H3254" i="1"/>
  <c r="F3254" i="1"/>
  <c r="E3254" i="1"/>
  <c r="D3254" i="1"/>
  <c r="B3254" i="1"/>
  <c r="K3253" i="1"/>
  <c r="J3253" i="1"/>
  <c r="I3253" i="1"/>
  <c r="H3253" i="1"/>
  <c r="F3253" i="1"/>
  <c r="K3252" i="1"/>
  <c r="J3252" i="1"/>
  <c r="I3252" i="1"/>
  <c r="H3252" i="1"/>
  <c r="F3252" i="1"/>
  <c r="K3251" i="1"/>
  <c r="J3251" i="1"/>
  <c r="I3251" i="1"/>
  <c r="H3251" i="1"/>
  <c r="F3251" i="1"/>
  <c r="K3250" i="1"/>
  <c r="J3250" i="1"/>
  <c r="I3250" i="1"/>
  <c r="H3250" i="1"/>
  <c r="F3250" i="1"/>
  <c r="C3249" i="1"/>
  <c r="V3248" i="1"/>
  <c r="U3248" i="1"/>
  <c r="T3248" i="1"/>
  <c r="S3248" i="1"/>
  <c r="I3258" i="1" s="1"/>
  <c r="R3248" i="1"/>
  <c r="Q3248" i="1"/>
  <c r="E3248" i="1"/>
  <c r="D3248" i="1"/>
  <c r="B3248" i="1"/>
  <c r="J3245" i="1"/>
  <c r="H3245" i="1"/>
  <c r="I3243" i="1"/>
  <c r="H3243" i="1"/>
  <c r="E3243" i="1"/>
  <c r="J3242" i="1"/>
  <c r="E3242" i="1"/>
  <c r="K3241" i="1"/>
  <c r="J3241" i="1"/>
  <c r="E3241" i="1"/>
  <c r="V3240" i="1"/>
  <c r="U3240" i="1"/>
  <c r="T3240" i="1"/>
  <c r="S3240" i="1"/>
  <c r="R3240" i="1"/>
  <c r="Q3240" i="1"/>
  <c r="K3240" i="1"/>
  <c r="J3240" i="1"/>
  <c r="I3240" i="1"/>
  <c r="H3240" i="1"/>
  <c r="F3240" i="1"/>
  <c r="E3240" i="1"/>
  <c r="D3240" i="1"/>
  <c r="B3240" i="1"/>
  <c r="V3239" i="1"/>
  <c r="U3239" i="1"/>
  <c r="T3239" i="1"/>
  <c r="S3239" i="1"/>
  <c r="R3239" i="1"/>
  <c r="Q3239" i="1"/>
  <c r="K3239" i="1"/>
  <c r="J3239" i="1"/>
  <c r="I3239" i="1"/>
  <c r="H3239" i="1"/>
  <c r="F3239" i="1"/>
  <c r="E3239" i="1"/>
  <c r="D3239" i="1"/>
  <c r="B3239" i="1"/>
  <c r="V3238" i="1"/>
  <c r="U3238" i="1"/>
  <c r="T3238" i="1"/>
  <c r="S3238" i="1"/>
  <c r="R3238" i="1"/>
  <c r="Q3238" i="1"/>
  <c r="K3238" i="1"/>
  <c r="J3238" i="1"/>
  <c r="I3238" i="1"/>
  <c r="H3238" i="1"/>
  <c r="F3238" i="1"/>
  <c r="E3238" i="1"/>
  <c r="D3238" i="1"/>
  <c r="B3238" i="1"/>
  <c r="K3237" i="1"/>
  <c r="J3237" i="1"/>
  <c r="I3237" i="1"/>
  <c r="H3237" i="1"/>
  <c r="F3237" i="1"/>
  <c r="K3236" i="1"/>
  <c r="J3236" i="1"/>
  <c r="I3236" i="1"/>
  <c r="H3236" i="1"/>
  <c r="F3236" i="1"/>
  <c r="K3235" i="1"/>
  <c r="J3235" i="1"/>
  <c r="I3235" i="1"/>
  <c r="H3235" i="1"/>
  <c r="F3235" i="1"/>
  <c r="K3234" i="1"/>
  <c r="J3234" i="1"/>
  <c r="I3234" i="1"/>
  <c r="H3234" i="1"/>
  <c r="F3234" i="1"/>
  <c r="C3233" i="1"/>
  <c r="V3232" i="1"/>
  <c r="U3232" i="1"/>
  <c r="T3232" i="1"/>
  <c r="S3232" i="1"/>
  <c r="R3232" i="1"/>
  <c r="Q3232" i="1"/>
  <c r="I3241" i="1" s="1"/>
  <c r="E3232" i="1"/>
  <c r="D3232" i="1"/>
  <c r="B3232" i="1"/>
  <c r="J3229" i="1"/>
  <c r="H3229" i="1"/>
  <c r="I3227" i="1"/>
  <c r="H3227" i="1"/>
  <c r="E3227" i="1"/>
  <c r="J3226" i="1"/>
  <c r="E3226" i="1"/>
  <c r="J3225" i="1"/>
  <c r="E3225" i="1"/>
  <c r="V3224" i="1"/>
  <c r="U3224" i="1"/>
  <c r="T3224" i="1"/>
  <c r="S3224" i="1"/>
  <c r="R3224" i="1"/>
  <c r="Q3224" i="1"/>
  <c r="K3224" i="1"/>
  <c r="J3224" i="1"/>
  <c r="I3224" i="1"/>
  <c r="H3224" i="1"/>
  <c r="F3224" i="1"/>
  <c r="E3224" i="1"/>
  <c r="D3224" i="1"/>
  <c r="B3224" i="1"/>
  <c r="V3223" i="1"/>
  <c r="U3223" i="1"/>
  <c r="T3223" i="1"/>
  <c r="S3223" i="1"/>
  <c r="R3223" i="1"/>
  <c r="Q3223" i="1"/>
  <c r="K3223" i="1"/>
  <c r="J3223" i="1"/>
  <c r="I3223" i="1"/>
  <c r="H3223" i="1"/>
  <c r="F3223" i="1"/>
  <c r="E3223" i="1"/>
  <c r="D3223" i="1"/>
  <c r="B3223" i="1"/>
  <c r="V3222" i="1"/>
  <c r="U3222" i="1"/>
  <c r="T3222" i="1"/>
  <c r="S3222" i="1"/>
  <c r="R3222" i="1"/>
  <c r="Q3222" i="1"/>
  <c r="K3222" i="1"/>
  <c r="J3222" i="1"/>
  <c r="I3222" i="1"/>
  <c r="H3222" i="1"/>
  <c r="F3222" i="1"/>
  <c r="E3222" i="1"/>
  <c r="D3222" i="1"/>
  <c r="B3222" i="1"/>
  <c r="V3221" i="1"/>
  <c r="U3221" i="1"/>
  <c r="T3221" i="1"/>
  <c r="S3221" i="1"/>
  <c r="R3221" i="1"/>
  <c r="Q3221" i="1"/>
  <c r="K3221" i="1"/>
  <c r="J3221" i="1"/>
  <c r="I3221" i="1"/>
  <c r="H3221" i="1"/>
  <c r="F3221" i="1"/>
  <c r="E3221" i="1"/>
  <c r="D3221" i="1"/>
  <c r="B3221" i="1"/>
  <c r="K3220" i="1"/>
  <c r="J3220" i="1"/>
  <c r="I3220" i="1"/>
  <c r="H3220" i="1"/>
  <c r="F3220" i="1"/>
  <c r="K3219" i="1"/>
  <c r="J3219" i="1"/>
  <c r="I3219" i="1"/>
  <c r="H3219" i="1"/>
  <c r="F3219" i="1"/>
  <c r="K3218" i="1"/>
  <c r="J3218" i="1"/>
  <c r="I3218" i="1"/>
  <c r="H3218" i="1"/>
  <c r="F3218" i="1"/>
  <c r="K3217" i="1"/>
  <c r="J3217" i="1"/>
  <c r="I3217" i="1"/>
  <c r="H3217" i="1"/>
  <c r="F3217" i="1"/>
  <c r="C3216" i="1"/>
  <c r="V3215" i="1"/>
  <c r="U3215" i="1"/>
  <c r="T3215" i="1"/>
  <c r="S3215" i="1"/>
  <c r="R3215" i="1"/>
  <c r="Q3215" i="1"/>
  <c r="E3215" i="1"/>
  <c r="D3215" i="1"/>
  <c r="B3215" i="1"/>
  <c r="J3212" i="1"/>
  <c r="H3212" i="1"/>
  <c r="I3210" i="1"/>
  <c r="H3210" i="1"/>
  <c r="E3210" i="1"/>
  <c r="J3209" i="1"/>
  <c r="E3209" i="1"/>
  <c r="J3208" i="1"/>
  <c r="E3208" i="1"/>
  <c r="V3207" i="1"/>
  <c r="U3207" i="1"/>
  <c r="T3207" i="1"/>
  <c r="S3207" i="1"/>
  <c r="R3207" i="1"/>
  <c r="Q3207" i="1"/>
  <c r="K3207" i="1"/>
  <c r="J3207" i="1"/>
  <c r="I3207" i="1"/>
  <c r="H3207" i="1"/>
  <c r="F3207" i="1"/>
  <c r="E3207" i="1"/>
  <c r="D3207" i="1"/>
  <c r="B3207" i="1"/>
  <c r="V3206" i="1"/>
  <c r="U3206" i="1"/>
  <c r="T3206" i="1"/>
  <c r="S3206" i="1"/>
  <c r="R3206" i="1"/>
  <c r="Q3206" i="1"/>
  <c r="K3206" i="1"/>
  <c r="J3206" i="1"/>
  <c r="I3206" i="1"/>
  <c r="H3206" i="1"/>
  <c r="F3206" i="1"/>
  <c r="E3206" i="1"/>
  <c r="D3206" i="1"/>
  <c r="B3206" i="1"/>
  <c r="V3205" i="1"/>
  <c r="U3205" i="1"/>
  <c r="T3205" i="1"/>
  <c r="S3205" i="1"/>
  <c r="R3205" i="1"/>
  <c r="Q3205" i="1"/>
  <c r="K3205" i="1"/>
  <c r="J3205" i="1"/>
  <c r="I3205" i="1"/>
  <c r="H3205" i="1"/>
  <c r="F3205" i="1"/>
  <c r="E3205" i="1"/>
  <c r="D3205" i="1"/>
  <c r="B3205" i="1"/>
  <c r="K3204" i="1"/>
  <c r="J3204" i="1"/>
  <c r="I3204" i="1"/>
  <c r="H3204" i="1"/>
  <c r="F3204" i="1"/>
  <c r="K3203" i="1"/>
  <c r="J3203" i="1"/>
  <c r="I3203" i="1"/>
  <c r="H3203" i="1"/>
  <c r="F3203" i="1"/>
  <c r="K3202" i="1"/>
  <c r="J3202" i="1"/>
  <c r="I3202" i="1"/>
  <c r="H3202" i="1"/>
  <c r="F3202" i="1"/>
  <c r="K3201" i="1"/>
  <c r="J3201" i="1"/>
  <c r="I3201" i="1"/>
  <c r="H3201" i="1"/>
  <c r="F3201" i="1"/>
  <c r="C3200" i="1"/>
  <c r="V3199" i="1"/>
  <c r="U3199" i="1"/>
  <c r="T3199" i="1"/>
  <c r="S3199" i="1"/>
  <c r="I3209" i="1" s="1"/>
  <c r="R3199" i="1"/>
  <c r="Q3199" i="1"/>
  <c r="E3199" i="1"/>
  <c r="D3199" i="1"/>
  <c r="B3199" i="1"/>
  <c r="A3198" i="1"/>
  <c r="A3196" i="1"/>
  <c r="J3194" i="1"/>
  <c r="I3194" i="1"/>
  <c r="J3193" i="1"/>
  <c r="I3193" i="1"/>
  <c r="A3192" i="1"/>
  <c r="O3189" i="1"/>
  <c r="H3189" i="1"/>
  <c r="V3188" i="1"/>
  <c r="U3188" i="1"/>
  <c r="T3188" i="1"/>
  <c r="S3188" i="1"/>
  <c r="R3188" i="1"/>
  <c r="Q3188" i="1"/>
  <c r="K3188" i="1"/>
  <c r="J3188" i="1"/>
  <c r="I3188" i="1"/>
  <c r="H3188" i="1"/>
  <c r="F3188" i="1"/>
  <c r="E3188" i="1"/>
  <c r="M3188" i="1" s="1"/>
  <c r="D3188" i="1"/>
  <c r="B3188" i="1"/>
  <c r="J3185" i="1"/>
  <c r="H3185" i="1"/>
  <c r="I3183" i="1"/>
  <c r="H3183" i="1"/>
  <c r="E3183" i="1"/>
  <c r="J3182" i="1"/>
  <c r="E3182" i="1"/>
  <c r="J3181" i="1"/>
  <c r="E3181" i="1"/>
  <c r="K3180" i="1"/>
  <c r="J3180" i="1"/>
  <c r="I3180" i="1"/>
  <c r="H3180" i="1"/>
  <c r="F3180" i="1"/>
  <c r="K3179" i="1"/>
  <c r="J3179" i="1"/>
  <c r="I3179" i="1"/>
  <c r="H3179" i="1"/>
  <c r="F3179" i="1"/>
  <c r="K3178" i="1"/>
  <c r="J3178" i="1"/>
  <c r="I3178" i="1"/>
  <c r="H3178" i="1"/>
  <c r="F3178" i="1"/>
  <c r="V3177" i="1"/>
  <c r="U3177" i="1"/>
  <c r="T3177" i="1"/>
  <c r="K3182" i="1" s="1"/>
  <c r="S3177" i="1"/>
  <c r="I3182" i="1" s="1"/>
  <c r="R3177" i="1"/>
  <c r="K3181" i="1" s="1"/>
  <c r="Q3177" i="1"/>
  <c r="I3181" i="1" s="1"/>
  <c r="E3177" i="1"/>
  <c r="D3177" i="1"/>
  <c r="B3177" i="1"/>
  <c r="P3175" i="1"/>
  <c r="J3175" i="1"/>
  <c r="V3174" i="1"/>
  <c r="U3174" i="1"/>
  <c r="T3174" i="1"/>
  <c r="S3174" i="1"/>
  <c r="R3174" i="1"/>
  <c r="Q3174" i="1"/>
  <c r="K3174" i="1"/>
  <c r="J3174" i="1"/>
  <c r="I3174" i="1"/>
  <c r="O3175" i="1" s="1"/>
  <c r="H3174" i="1"/>
  <c r="F3174" i="1"/>
  <c r="E3174" i="1"/>
  <c r="M3174" i="1" s="1"/>
  <c r="D3174" i="1"/>
  <c r="B3174" i="1"/>
  <c r="J3171" i="1"/>
  <c r="H3171" i="1"/>
  <c r="I3169" i="1"/>
  <c r="H3169" i="1"/>
  <c r="E3169" i="1"/>
  <c r="J3168" i="1"/>
  <c r="E3168" i="1"/>
  <c r="K3167" i="1"/>
  <c r="J3167" i="1"/>
  <c r="E3167" i="1"/>
  <c r="K3166" i="1"/>
  <c r="J3166" i="1"/>
  <c r="I3166" i="1"/>
  <c r="H3166" i="1"/>
  <c r="F3166" i="1"/>
  <c r="K3165" i="1"/>
  <c r="J3165" i="1"/>
  <c r="I3165" i="1"/>
  <c r="H3165" i="1"/>
  <c r="F3165" i="1"/>
  <c r="K3164" i="1"/>
  <c r="J3164" i="1"/>
  <c r="I3164" i="1"/>
  <c r="H3164" i="1"/>
  <c r="F3164" i="1"/>
  <c r="K3163" i="1"/>
  <c r="J3163" i="1"/>
  <c r="I3163" i="1"/>
  <c r="H3163" i="1"/>
  <c r="F3163" i="1"/>
  <c r="C3162" i="1"/>
  <c r="V3161" i="1"/>
  <c r="U3161" i="1"/>
  <c r="T3161" i="1"/>
  <c r="K3168" i="1" s="1"/>
  <c r="S3161" i="1"/>
  <c r="I3168" i="1" s="1"/>
  <c r="R3161" i="1"/>
  <c r="Q3161" i="1"/>
  <c r="I3167" i="1" s="1"/>
  <c r="E3161" i="1"/>
  <c r="D3161" i="1"/>
  <c r="B3161" i="1"/>
  <c r="J3158" i="1"/>
  <c r="H3158" i="1"/>
  <c r="I3156" i="1"/>
  <c r="H3156" i="1"/>
  <c r="E3156" i="1"/>
  <c r="J3155" i="1"/>
  <c r="E3155" i="1"/>
  <c r="J3154" i="1"/>
  <c r="E3154" i="1"/>
  <c r="V3153" i="1"/>
  <c r="U3153" i="1"/>
  <c r="T3153" i="1"/>
  <c r="S3153" i="1"/>
  <c r="R3153" i="1"/>
  <c r="Q3153" i="1"/>
  <c r="K3153" i="1"/>
  <c r="J3153" i="1"/>
  <c r="I3153" i="1"/>
  <c r="H3153" i="1"/>
  <c r="F3153" i="1"/>
  <c r="E3153" i="1"/>
  <c r="D3153" i="1"/>
  <c r="B3153" i="1"/>
  <c r="K3152" i="1"/>
  <c r="J3152" i="1"/>
  <c r="I3152" i="1"/>
  <c r="H3152" i="1"/>
  <c r="F3152" i="1"/>
  <c r="K3151" i="1"/>
  <c r="J3151" i="1"/>
  <c r="I3151" i="1"/>
  <c r="H3151" i="1"/>
  <c r="F3151" i="1"/>
  <c r="K3150" i="1"/>
  <c r="J3150" i="1"/>
  <c r="I3150" i="1"/>
  <c r="H3150" i="1"/>
  <c r="F3150" i="1"/>
  <c r="K3149" i="1"/>
  <c r="J3149" i="1"/>
  <c r="I3149" i="1"/>
  <c r="H3149" i="1"/>
  <c r="F3149" i="1"/>
  <c r="C3148" i="1"/>
  <c r="V3147" i="1"/>
  <c r="U3147" i="1"/>
  <c r="T3147" i="1"/>
  <c r="K3155" i="1" s="1"/>
  <c r="S3147" i="1"/>
  <c r="I3155" i="1" s="1"/>
  <c r="R3147" i="1"/>
  <c r="Q3147" i="1"/>
  <c r="I3154" i="1" s="1"/>
  <c r="E3147" i="1"/>
  <c r="D3147" i="1"/>
  <c r="B3147" i="1"/>
  <c r="J3144" i="1"/>
  <c r="H3144" i="1"/>
  <c r="I3142" i="1"/>
  <c r="H3142" i="1"/>
  <c r="E3142" i="1"/>
  <c r="K3141" i="1"/>
  <c r="J3141" i="1"/>
  <c r="I3141" i="1"/>
  <c r="E3141" i="1"/>
  <c r="J3140" i="1"/>
  <c r="I3140" i="1"/>
  <c r="E3140" i="1"/>
  <c r="K3139" i="1"/>
  <c r="J3139" i="1"/>
  <c r="I3139" i="1"/>
  <c r="H3139" i="1"/>
  <c r="F3139" i="1"/>
  <c r="K3138" i="1"/>
  <c r="J3138" i="1"/>
  <c r="I3138" i="1"/>
  <c r="H3138" i="1"/>
  <c r="F3138" i="1"/>
  <c r="K3137" i="1"/>
  <c r="J3137" i="1"/>
  <c r="I3137" i="1"/>
  <c r="H3137" i="1"/>
  <c r="F3137" i="1"/>
  <c r="C3136" i="1"/>
  <c r="V3135" i="1"/>
  <c r="U3135" i="1"/>
  <c r="T3135" i="1"/>
  <c r="S3135" i="1"/>
  <c r="R3135" i="1"/>
  <c r="K3140" i="1" s="1"/>
  <c r="Q3135" i="1"/>
  <c r="E3135" i="1"/>
  <c r="D3135" i="1"/>
  <c r="B3135" i="1"/>
  <c r="A3134" i="1"/>
  <c r="J3132" i="1"/>
  <c r="I3132" i="1"/>
  <c r="J3131" i="1"/>
  <c r="I3131" i="1"/>
  <c r="A3130" i="1"/>
  <c r="J3127" i="1"/>
  <c r="V3126" i="1"/>
  <c r="U3126" i="1"/>
  <c r="T3126" i="1"/>
  <c r="S3126" i="1"/>
  <c r="R3126" i="1"/>
  <c r="Q3126" i="1"/>
  <c r="K3126" i="1"/>
  <c r="P3127" i="1" s="1"/>
  <c r="J3126" i="1"/>
  <c r="I3126" i="1"/>
  <c r="H3127" i="1" s="1"/>
  <c r="H3126" i="1"/>
  <c r="F3126" i="1"/>
  <c r="E3126" i="1"/>
  <c r="M3126" i="1" s="1"/>
  <c r="D3126" i="1"/>
  <c r="B3126" i="1"/>
  <c r="J3123" i="1"/>
  <c r="H3123" i="1"/>
  <c r="I3121" i="1"/>
  <c r="H3121" i="1"/>
  <c r="E3121" i="1"/>
  <c r="J3120" i="1"/>
  <c r="E3120" i="1"/>
  <c r="K3119" i="1"/>
  <c r="J3119" i="1"/>
  <c r="E3119" i="1"/>
  <c r="K3118" i="1"/>
  <c r="J3118" i="1"/>
  <c r="I3118" i="1"/>
  <c r="H3118" i="1"/>
  <c r="F3118" i="1"/>
  <c r="K3117" i="1"/>
  <c r="J3117" i="1"/>
  <c r="I3117" i="1"/>
  <c r="H3117" i="1"/>
  <c r="F3117" i="1"/>
  <c r="K3116" i="1"/>
  <c r="J3116" i="1"/>
  <c r="I3116" i="1"/>
  <c r="H3116" i="1"/>
  <c r="F3116" i="1"/>
  <c r="K3115" i="1"/>
  <c r="J3115" i="1"/>
  <c r="I3115" i="1"/>
  <c r="H3115" i="1"/>
  <c r="F3115" i="1"/>
  <c r="V3114" i="1"/>
  <c r="U3114" i="1"/>
  <c r="T3114" i="1"/>
  <c r="K3120" i="1" s="1"/>
  <c r="S3114" i="1"/>
  <c r="I3120" i="1" s="1"/>
  <c r="R3114" i="1"/>
  <c r="Q3114" i="1"/>
  <c r="I3119" i="1" s="1"/>
  <c r="E3114" i="1"/>
  <c r="D3114" i="1"/>
  <c r="B3114" i="1"/>
  <c r="A3113" i="1"/>
  <c r="J3111" i="1"/>
  <c r="I3111" i="1"/>
  <c r="J3110" i="1"/>
  <c r="I3110" i="1"/>
  <c r="A3109" i="1"/>
  <c r="O3106" i="1"/>
  <c r="J3106" i="1"/>
  <c r="C3105" i="1"/>
  <c r="V3104" i="1"/>
  <c r="U3104" i="1"/>
  <c r="T3104" i="1"/>
  <c r="S3104" i="1"/>
  <c r="R3104" i="1"/>
  <c r="Q3104" i="1"/>
  <c r="K3104" i="1"/>
  <c r="P3106" i="1" s="1"/>
  <c r="J3104" i="1"/>
  <c r="I3104" i="1"/>
  <c r="H3106" i="1" s="1"/>
  <c r="H3104" i="1"/>
  <c r="F3104" i="1"/>
  <c r="E3104" i="1"/>
  <c r="D3104" i="1"/>
  <c r="B3104" i="1"/>
  <c r="P3102" i="1"/>
  <c r="C3101" i="1"/>
  <c r="V3100" i="1"/>
  <c r="U3100" i="1"/>
  <c r="T3100" i="1"/>
  <c r="S3100" i="1"/>
  <c r="R3100" i="1"/>
  <c r="Q3100" i="1"/>
  <c r="K3100" i="1"/>
  <c r="J3102" i="1" s="1"/>
  <c r="J3100" i="1"/>
  <c r="I3100" i="1"/>
  <c r="H3100" i="1"/>
  <c r="F3100" i="1"/>
  <c r="E3100" i="1"/>
  <c r="D3100" i="1"/>
  <c r="B3100" i="1"/>
  <c r="J3098" i="1"/>
  <c r="H3098" i="1"/>
  <c r="V3097" i="1"/>
  <c r="U3097" i="1"/>
  <c r="T3097" i="1"/>
  <c r="S3097" i="1"/>
  <c r="R3097" i="1"/>
  <c r="Q3097" i="1"/>
  <c r="K3097" i="1"/>
  <c r="P3098" i="1" s="1"/>
  <c r="J3097" i="1"/>
  <c r="I3097" i="1"/>
  <c r="O3098" i="1" s="1"/>
  <c r="H3097" i="1"/>
  <c r="F3097" i="1"/>
  <c r="E3097" i="1"/>
  <c r="D3097" i="1"/>
  <c r="B3097" i="1"/>
  <c r="J3095" i="1"/>
  <c r="V3094" i="1"/>
  <c r="U3094" i="1"/>
  <c r="T3094" i="1"/>
  <c r="S3094" i="1"/>
  <c r="R3094" i="1"/>
  <c r="Q3094" i="1"/>
  <c r="K3094" i="1"/>
  <c r="P3095" i="1" s="1"/>
  <c r="J3094" i="1"/>
  <c r="I3094" i="1"/>
  <c r="O3095" i="1" s="1"/>
  <c r="H3094" i="1"/>
  <c r="F3094" i="1"/>
  <c r="E3094" i="1"/>
  <c r="D3094" i="1"/>
  <c r="B3094" i="1"/>
  <c r="J3091" i="1"/>
  <c r="H3091" i="1"/>
  <c r="I3089" i="1"/>
  <c r="H3089" i="1"/>
  <c r="E3089" i="1"/>
  <c r="J3088" i="1"/>
  <c r="I3088" i="1"/>
  <c r="E3088" i="1"/>
  <c r="K3087" i="1"/>
  <c r="J3087" i="1"/>
  <c r="E3087" i="1"/>
  <c r="K3086" i="1"/>
  <c r="J3086" i="1"/>
  <c r="I3086" i="1"/>
  <c r="H3086" i="1"/>
  <c r="F3086" i="1"/>
  <c r="K3085" i="1"/>
  <c r="J3085" i="1"/>
  <c r="I3085" i="1"/>
  <c r="H3085" i="1"/>
  <c r="F3085" i="1"/>
  <c r="K3084" i="1"/>
  <c r="J3084" i="1"/>
  <c r="I3084" i="1"/>
  <c r="H3084" i="1"/>
  <c r="F3084" i="1"/>
  <c r="K3083" i="1"/>
  <c r="J3083" i="1"/>
  <c r="I3083" i="1"/>
  <c r="H3083" i="1"/>
  <c r="F3083" i="1"/>
  <c r="C3082" i="1"/>
  <c r="V3081" i="1"/>
  <c r="U3081" i="1"/>
  <c r="T3081" i="1"/>
  <c r="K3088" i="1" s="1"/>
  <c r="S3081" i="1"/>
  <c r="R3081" i="1"/>
  <c r="Q3081" i="1"/>
  <c r="I3087" i="1" s="1"/>
  <c r="E3081" i="1"/>
  <c r="D3081" i="1"/>
  <c r="B3081" i="1"/>
  <c r="A3080" i="1"/>
  <c r="J3078" i="1"/>
  <c r="I3078" i="1"/>
  <c r="J3077" i="1"/>
  <c r="I3077" i="1"/>
  <c r="A3076" i="1"/>
  <c r="J3074" i="1"/>
  <c r="I3074" i="1"/>
  <c r="J3073" i="1"/>
  <c r="I3073" i="1"/>
  <c r="A3072" i="1"/>
  <c r="J3068" i="1"/>
  <c r="H3068" i="1"/>
  <c r="I3066" i="1"/>
  <c r="H3066" i="1"/>
  <c r="E3066" i="1"/>
  <c r="J3065" i="1"/>
  <c r="E3065" i="1"/>
  <c r="J3064" i="1"/>
  <c r="I3064" i="1"/>
  <c r="E3064" i="1"/>
  <c r="V3063" i="1"/>
  <c r="U3063" i="1"/>
  <c r="T3063" i="1"/>
  <c r="S3063" i="1"/>
  <c r="R3063" i="1"/>
  <c r="Q3063" i="1"/>
  <c r="K3063" i="1"/>
  <c r="J3063" i="1"/>
  <c r="I3063" i="1"/>
  <c r="H3063" i="1"/>
  <c r="F3063" i="1"/>
  <c r="E3063" i="1"/>
  <c r="D3063" i="1"/>
  <c r="B3063" i="1"/>
  <c r="K3062" i="1"/>
  <c r="J3062" i="1"/>
  <c r="I3062" i="1"/>
  <c r="H3062" i="1"/>
  <c r="F3062" i="1"/>
  <c r="K3061" i="1"/>
  <c r="J3061" i="1"/>
  <c r="I3061" i="1"/>
  <c r="H3061" i="1"/>
  <c r="F3061" i="1"/>
  <c r="K3060" i="1"/>
  <c r="J3060" i="1"/>
  <c r="I3060" i="1"/>
  <c r="H3060" i="1"/>
  <c r="F3060" i="1"/>
  <c r="K3059" i="1"/>
  <c r="J3059" i="1"/>
  <c r="I3059" i="1"/>
  <c r="H3059" i="1"/>
  <c r="F3059" i="1"/>
  <c r="C3058" i="1"/>
  <c r="V3057" i="1"/>
  <c r="U3057" i="1"/>
  <c r="T3057" i="1"/>
  <c r="S3057" i="1"/>
  <c r="R3057" i="1"/>
  <c r="Q3057" i="1"/>
  <c r="E3057" i="1"/>
  <c r="D3057" i="1"/>
  <c r="B3057" i="1"/>
  <c r="P3055" i="1"/>
  <c r="V3054" i="1"/>
  <c r="U3054" i="1"/>
  <c r="T3054" i="1"/>
  <c r="S3054" i="1"/>
  <c r="R3054" i="1"/>
  <c r="Q3054" i="1"/>
  <c r="K3054" i="1"/>
  <c r="J3055" i="1" s="1"/>
  <c r="J3054" i="1"/>
  <c r="I3054" i="1"/>
  <c r="O3055" i="1" s="1"/>
  <c r="H3054" i="1"/>
  <c r="F3054" i="1"/>
  <c r="E3054" i="1"/>
  <c r="M3054" i="1" s="1"/>
  <c r="D3054" i="1"/>
  <c r="M3053" i="1"/>
  <c r="B3053" i="1"/>
  <c r="J3050" i="1"/>
  <c r="H3050" i="1"/>
  <c r="I3048" i="1"/>
  <c r="H3048" i="1"/>
  <c r="E3048" i="1"/>
  <c r="J3047" i="1"/>
  <c r="E3047" i="1"/>
  <c r="J3046" i="1"/>
  <c r="I3046" i="1"/>
  <c r="E3046" i="1"/>
  <c r="K3045" i="1"/>
  <c r="J3045" i="1"/>
  <c r="I3045" i="1"/>
  <c r="H3045" i="1"/>
  <c r="F3045" i="1"/>
  <c r="K3044" i="1"/>
  <c r="J3044" i="1"/>
  <c r="I3044" i="1"/>
  <c r="H3044" i="1"/>
  <c r="F3044" i="1"/>
  <c r="K3043" i="1"/>
  <c r="J3043" i="1"/>
  <c r="I3043" i="1"/>
  <c r="H3043" i="1"/>
  <c r="F3043" i="1"/>
  <c r="K3042" i="1"/>
  <c r="J3042" i="1"/>
  <c r="I3042" i="1"/>
  <c r="H3042" i="1"/>
  <c r="F3042" i="1"/>
  <c r="C3041" i="1"/>
  <c r="V3040" i="1"/>
  <c r="U3040" i="1"/>
  <c r="T3040" i="1"/>
  <c r="K3047" i="1" s="1"/>
  <c r="S3040" i="1"/>
  <c r="I3047" i="1" s="1"/>
  <c r="R3040" i="1"/>
  <c r="K3046" i="1" s="1"/>
  <c r="Q3040" i="1"/>
  <c r="E3040" i="1"/>
  <c r="D3040" i="1"/>
  <c r="B3040" i="1"/>
  <c r="J3037" i="1"/>
  <c r="H3037" i="1"/>
  <c r="I3035" i="1"/>
  <c r="H3035" i="1"/>
  <c r="E3035" i="1"/>
  <c r="K3034" i="1"/>
  <c r="J3034" i="1"/>
  <c r="E3034" i="1"/>
  <c r="J3033" i="1"/>
  <c r="E3033" i="1"/>
  <c r="K3032" i="1"/>
  <c r="J3032" i="1"/>
  <c r="I3032" i="1"/>
  <c r="H3032" i="1"/>
  <c r="F3032" i="1"/>
  <c r="K3031" i="1"/>
  <c r="J3031" i="1"/>
  <c r="I3031" i="1"/>
  <c r="H3031" i="1"/>
  <c r="F3031" i="1"/>
  <c r="K3030" i="1"/>
  <c r="J3030" i="1"/>
  <c r="I3030" i="1"/>
  <c r="H3030" i="1"/>
  <c r="F3030" i="1"/>
  <c r="K3029" i="1"/>
  <c r="J3029" i="1"/>
  <c r="I3029" i="1"/>
  <c r="H3029" i="1"/>
  <c r="F3029" i="1"/>
  <c r="C3028" i="1"/>
  <c r="V3027" i="1"/>
  <c r="U3027" i="1"/>
  <c r="T3027" i="1"/>
  <c r="S3027" i="1"/>
  <c r="I3034" i="1" s="1"/>
  <c r="R3027" i="1"/>
  <c r="K3033" i="1" s="1"/>
  <c r="Q3027" i="1"/>
  <c r="I3033" i="1" s="1"/>
  <c r="E3027" i="1"/>
  <c r="D3027" i="1"/>
  <c r="B3027" i="1"/>
  <c r="J3024" i="1"/>
  <c r="H3024" i="1"/>
  <c r="I3022" i="1"/>
  <c r="H3022" i="1"/>
  <c r="E3022" i="1"/>
  <c r="J3021" i="1"/>
  <c r="E3021" i="1"/>
  <c r="J3020" i="1"/>
  <c r="E3020" i="1"/>
  <c r="V3019" i="1"/>
  <c r="U3019" i="1"/>
  <c r="T3019" i="1"/>
  <c r="S3019" i="1"/>
  <c r="R3019" i="1"/>
  <c r="Q3019" i="1"/>
  <c r="K3019" i="1"/>
  <c r="J3019" i="1"/>
  <c r="I3019" i="1"/>
  <c r="H3019" i="1"/>
  <c r="F3019" i="1"/>
  <c r="E3019" i="1"/>
  <c r="D3019" i="1"/>
  <c r="B3019" i="1"/>
  <c r="K3018" i="1"/>
  <c r="J3018" i="1"/>
  <c r="I3018" i="1"/>
  <c r="H3018" i="1"/>
  <c r="F3018" i="1"/>
  <c r="K3017" i="1"/>
  <c r="J3017" i="1"/>
  <c r="I3017" i="1"/>
  <c r="H3017" i="1"/>
  <c r="F3017" i="1"/>
  <c r="K3016" i="1"/>
  <c r="J3016" i="1"/>
  <c r="I3016" i="1"/>
  <c r="H3016" i="1"/>
  <c r="F3016" i="1"/>
  <c r="K3015" i="1"/>
  <c r="J3015" i="1"/>
  <c r="I3015" i="1"/>
  <c r="H3015" i="1"/>
  <c r="F3015" i="1"/>
  <c r="C3014" i="1"/>
  <c r="V3013" i="1"/>
  <c r="U3013" i="1"/>
  <c r="T3013" i="1"/>
  <c r="S3013" i="1"/>
  <c r="R3013" i="1"/>
  <c r="K3020" i="1" s="1"/>
  <c r="Q3013" i="1"/>
  <c r="E3013" i="1"/>
  <c r="D3013" i="1"/>
  <c r="B3013" i="1"/>
  <c r="A3012" i="1"/>
  <c r="J3010" i="1"/>
  <c r="I3010" i="1"/>
  <c r="J3009" i="1"/>
  <c r="I3009" i="1"/>
  <c r="A3008" i="1"/>
  <c r="J3005" i="1"/>
  <c r="V3004" i="1"/>
  <c r="U3004" i="1"/>
  <c r="T3004" i="1"/>
  <c r="S3004" i="1"/>
  <c r="R3004" i="1"/>
  <c r="Q3004" i="1"/>
  <c r="K3004" i="1"/>
  <c r="P3005" i="1" s="1"/>
  <c r="J3004" i="1"/>
  <c r="I3004" i="1"/>
  <c r="O3005" i="1" s="1"/>
  <c r="H3004" i="1"/>
  <c r="F3004" i="1"/>
  <c r="E3004" i="1"/>
  <c r="M3004" i="1" s="1"/>
  <c r="D3004" i="1"/>
  <c r="M3003" i="1"/>
  <c r="B3003" i="1"/>
  <c r="J3000" i="1"/>
  <c r="H3000" i="1"/>
  <c r="I2998" i="1"/>
  <c r="H2998" i="1"/>
  <c r="E2998" i="1"/>
  <c r="J2997" i="1"/>
  <c r="E2997" i="1"/>
  <c r="J2996" i="1"/>
  <c r="E2996" i="1"/>
  <c r="K2995" i="1"/>
  <c r="J2995" i="1"/>
  <c r="I2995" i="1"/>
  <c r="H2995" i="1"/>
  <c r="F2995" i="1"/>
  <c r="K2994" i="1"/>
  <c r="J2994" i="1"/>
  <c r="I2994" i="1"/>
  <c r="H2994" i="1"/>
  <c r="F2994" i="1"/>
  <c r="K2993" i="1"/>
  <c r="J2993" i="1"/>
  <c r="I2993" i="1"/>
  <c r="H2993" i="1"/>
  <c r="F2993" i="1"/>
  <c r="K2992" i="1"/>
  <c r="J2999" i="1" s="1"/>
  <c r="J2992" i="1"/>
  <c r="I2992" i="1"/>
  <c r="H2992" i="1"/>
  <c r="F2992" i="1"/>
  <c r="C2991" i="1"/>
  <c r="V2990" i="1"/>
  <c r="U2990" i="1"/>
  <c r="T2990" i="1"/>
  <c r="K2997" i="1" s="1"/>
  <c r="S2990" i="1"/>
  <c r="I2997" i="1" s="1"/>
  <c r="R2990" i="1"/>
  <c r="K2996" i="1" s="1"/>
  <c r="Q2990" i="1"/>
  <c r="I2996" i="1" s="1"/>
  <c r="E2990" i="1"/>
  <c r="D2990" i="1"/>
  <c r="B2990" i="1"/>
  <c r="J2987" i="1"/>
  <c r="H2987" i="1"/>
  <c r="I2985" i="1"/>
  <c r="H2985" i="1"/>
  <c r="E2985" i="1"/>
  <c r="K2984" i="1"/>
  <c r="J2984" i="1"/>
  <c r="E2984" i="1"/>
  <c r="J2983" i="1"/>
  <c r="E2983" i="1"/>
  <c r="K2982" i="1"/>
  <c r="J2982" i="1"/>
  <c r="I2982" i="1"/>
  <c r="H2982" i="1"/>
  <c r="F2982" i="1"/>
  <c r="K2981" i="1"/>
  <c r="J2981" i="1"/>
  <c r="I2981" i="1"/>
  <c r="H2981" i="1"/>
  <c r="F2981" i="1"/>
  <c r="K2980" i="1"/>
  <c r="J2980" i="1"/>
  <c r="I2980" i="1"/>
  <c r="H2980" i="1"/>
  <c r="F2980" i="1"/>
  <c r="K2979" i="1"/>
  <c r="P2988" i="1" s="1"/>
  <c r="J2979" i="1"/>
  <c r="I2979" i="1"/>
  <c r="H2979" i="1"/>
  <c r="F2979" i="1"/>
  <c r="C2978" i="1"/>
  <c r="V2977" i="1"/>
  <c r="U2977" i="1"/>
  <c r="T2977" i="1"/>
  <c r="S2977" i="1"/>
  <c r="I2984" i="1" s="1"/>
  <c r="R2977" i="1"/>
  <c r="K2983" i="1" s="1"/>
  <c r="Q2977" i="1"/>
  <c r="I2983" i="1" s="1"/>
  <c r="E2977" i="1"/>
  <c r="D2977" i="1"/>
  <c r="B2977" i="1"/>
  <c r="J2974" i="1"/>
  <c r="H2974" i="1"/>
  <c r="I2972" i="1"/>
  <c r="H2972" i="1"/>
  <c r="E2972" i="1"/>
  <c r="J2971" i="1"/>
  <c r="E2971" i="1"/>
  <c r="J2970" i="1"/>
  <c r="E2970" i="1"/>
  <c r="V2969" i="1"/>
  <c r="U2969" i="1"/>
  <c r="T2969" i="1"/>
  <c r="S2969" i="1"/>
  <c r="R2969" i="1"/>
  <c r="Q2969" i="1"/>
  <c r="K2969" i="1"/>
  <c r="J2969" i="1"/>
  <c r="I2969" i="1"/>
  <c r="H2969" i="1"/>
  <c r="F2969" i="1"/>
  <c r="E2969" i="1"/>
  <c r="D2969" i="1"/>
  <c r="B2969" i="1"/>
  <c r="K2968" i="1"/>
  <c r="J2968" i="1"/>
  <c r="I2968" i="1"/>
  <c r="H2968" i="1"/>
  <c r="F2968" i="1"/>
  <c r="K2967" i="1"/>
  <c r="J2967" i="1"/>
  <c r="I2967" i="1"/>
  <c r="H2967" i="1"/>
  <c r="F2967" i="1"/>
  <c r="K2966" i="1"/>
  <c r="J2966" i="1"/>
  <c r="I2966" i="1"/>
  <c r="H2966" i="1"/>
  <c r="F2966" i="1"/>
  <c r="K2965" i="1"/>
  <c r="J2965" i="1"/>
  <c r="I2965" i="1"/>
  <c r="H2965" i="1"/>
  <c r="F2965" i="1"/>
  <c r="C2964" i="1"/>
  <c r="V2963" i="1"/>
  <c r="U2963" i="1"/>
  <c r="T2963" i="1"/>
  <c r="K2971" i="1" s="1"/>
  <c r="S2963" i="1"/>
  <c r="R2963" i="1"/>
  <c r="Q2963" i="1"/>
  <c r="I2970" i="1" s="1"/>
  <c r="E2963" i="1"/>
  <c r="D2963" i="1"/>
  <c r="B2963" i="1"/>
  <c r="A2962" i="1"/>
  <c r="J2960" i="1"/>
  <c r="I2960" i="1"/>
  <c r="J2959" i="1"/>
  <c r="I2959" i="1"/>
  <c r="A2958" i="1"/>
  <c r="V2954" i="1"/>
  <c r="U2954" i="1"/>
  <c r="T2954" i="1"/>
  <c r="S2954" i="1"/>
  <c r="R2954" i="1"/>
  <c r="Q2954" i="1"/>
  <c r="K2954" i="1"/>
  <c r="J2955" i="1" s="1"/>
  <c r="J2954" i="1"/>
  <c r="I2954" i="1"/>
  <c r="H2954" i="1"/>
  <c r="F2954" i="1"/>
  <c r="E2954" i="1"/>
  <c r="M2954" i="1" s="1"/>
  <c r="D2954" i="1"/>
  <c r="M2953" i="1"/>
  <c r="B2953" i="1"/>
  <c r="J2950" i="1"/>
  <c r="H2950" i="1"/>
  <c r="I2948" i="1"/>
  <c r="H2948" i="1"/>
  <c r="E2948" i="1"/>
  <c r="J2947" i="1"/>
  <c r="E2947" i="1"/>
  <c r="J2946" i="1"/>
  <c r="E2946" i="1"/>
  <c r="K2945" i="1"/>
  <c r="J2945" i="1"/>
  <c r="I2945" i="1"/>
  <c r="H2945" i="1"/>
  <c r="F2945" i="1"/>
  <c r="K2944" i="1"/>
  <c r="J2944" i="1"/>
  <c r="I2944" i="1"/>
  <c r="H2944" i="1"/>
  <c r="F2944" i="1"/>
  <c r="K2943" i="1"/>
  <c r="J2943" i="1"/>
  <c r="I2943" i="1"/>
  <c r="H2943" i="1"/>
  <c r="F2943" i="1"/>
  <c r="K2942" i="1"/>
  <c r="J2942" i="1"/>
  <c r="I2942" i="1"/>
  <c r="H2942" i="1"/>
  <c r="F2942" i="1"/>
  <c r="C2941" i="1"/>
  <c r="V2940" i="1"/>
  <c r="U2940" i="1"/>
  <c r="T2940" i="1"/>
  <c r="K2947" i="1" s="1"/>
  <c r="S2940" i="1"/>
  <c r="I2947" i="1" s="1"/>
  <c r="R2940" i="1"/>
  <c r="K2946" i="1" s="1"/>
  <c r="Q2940" i="1"/>
  <c r="I2946" i="1" s="1"/>
  <c r="E2940" i="1"/>
  <c r="D2940" i="1"/>
  <c r="B2940" i="1"/>
  <c r="J2937" i="1"/>
  <c r="H2937" i="1"/>
  <c r="I2935" i="1"/>
  <c r="H2935" i="1"/>
  <c r="E2935" i="1"/>
  <c r="J2934" i="1"/>
  <c r="E2934" i="1"/>
  <c r="J2933" i="1"/>
  <c r="I2933" i="1"/>
  <c r="E2933" i="1"/>
  <c r="K2932" i="1"/>
  <c r="J2932" i="1"/>
  <c r="I2932" i="1"/>
  <c r="H2932" i="1"/>
  <c r="F2932" i="1"/>
  <c r="K2931" i="1"/>
  <c r="J2931" i="1"/>
  <c r="I2931" i="1"/>
  <c r="H2931" i="1"/>
  <c r="F2931" i="1"/>
  <c r="K2930" i="1"/>
  <c r="J2930" i="1"/>
  <c r="I2930" i="1"/>
  <c r="H2930" i="1"/>
  <c r="F2930" i="1"/>
  <c r="K2929" i="1"/>
  <c r="J2929" i="1"/>
  <c r="I2929" i="1"/>
  <c r="H2929" i="1"/>
  <c r="F2929" i="1"/>
  <c r="C2928" i="1"/>
  <c r="V2927" i="1"/>
  <c r="U2927" i="1"/>
  <c r="T2927" i="1"/>
  <c r="K2934" i="1" s="1"/>
  <c r="S2927" i="1"/>
  <c r="I2934" i="1" s="1"/>
  <c r="R2927" i="1"/>
  <c r="K2933" i="1" s="1"/>
  <c r="Q2927" i="1"/>
  <c r="E2927" i="1"/>
  <c r="D2927" i="1"/>
  <c r="B2927" i="1"/>
  <c r="J2924" i="1"/>
  <c r="H2924" i="1"/>
  <c r="I2922" i="1"/>
  <c r="H2922" i="1"/>
  <c r="E2922" i="1"/>
  <c r="K2921" i="1"/>
  <c r="J2921" i="1"/>
  <c r="E2921" i="1"/>
  <c r="J2920" i="1"/>
  <c r="E2920" i="1"/>
  <c r="V2919" i="1"/>
  <c r="U2919" i="1"/>
  <c r="T2919" i="1"/>
  <c r="S2919" i="1"/>
  <c r="I2921" i="1" s="1"/>
  <c r="R2919" i="1"/>
  <c r="K2920" i="1" s="1"/>
  <c r="Q2919" i="1"/>
  <c r="K2919" i="1"/>
  <c r="J2919" i="1"/>
  <c r="I2919" i="1"/>
  <c r="H2919" i="1"/>
  <c r="F2919" i="1"/>
  <c r="E2919" i="1"/>
  <c r="D2919" i="1"/>
  <c r="B2919" i="1"/>
  <c r="K2918" i="1"/>
  <c r="J2918" i="1"/>
  <c r="I2918" i="1"/>
  <c r="H2918" i="1"/>
  <c r="F2918" i="1"/>
  <c r="K2917" i="1"/>
  <c r="J2917" i="1"/>
  <c r="I2917" i="1"/>
  <c r="H2917" i="1"/>
  <c r="F2917" i="1"/>
  <c r="K2916" i="1"/>
  <c r="J2916" i="1"/>
  <c r="I2916" i="1"/>
  <c r="O2925" i="1" s="1"/>
  <c r="H2916" i="1"/>
  <c r="F2916" i="1"/>
  <c r="K2915" i="1"/>
  <c r="J2915" i="1"/>
  <c r="I2915" i="1"/>
  <c r="H2915" i="1"/>
  <c r="F2915" i="1"/>
  <c r="C2914" i="1"/>
  <c r="V2913" i="1"/>
  <c r="U2913" i="1"/>
  <c r="T2913" i="1"/>
  <c r="S2913" i="1"/>
  <c r="R2913" i="1"/>
  <c r="Q2913" i="1"/>
  <c r="I2920" i="1" s="1"/>
  <c r="E2913" i="1"/>
  <c r="D2913" i="1"/>
  <c r="B2913" i="1"/>
  <c r="A2912" i="1"/>
  <c r="J2910" i="1"/>
  <c r="I2910" i="1"/>
  <c r="J2909" i="1"/>
  <c r="I2909" i="1"/>
  <c r="A2908" i="1"/>
  <c r="O2905" i="1"/>
  <c r="H2905" i="1"/>
  <c r="V2904" i="1"/>
  <c r="U2904" i="1"/>
  <c r="T2904" i="1"/>
  <c r="S2904" i="1"/>
  <c r="R2904" i="1"/>
  <c r="Q2904" i="1"/>
  <c r="K2904" i="1"/>
  <c r="J2904" i="1"/>
  <c r="I2904" i="1"/>
  <c r="H2904" i="1"/>
  <c r="F2904" i="1"/>
  <c r="E2904" i="1"/>
  <c r="M2904" i="1" s="1"/>
  <c r="D2904" i="1"/>
  <c r="M2903" i="1"/>
  <c r="B2903" i="1"/>
  <c r="J2900" i="1"/>
  <c r="H2900" i="1"/>
  <c r="I2898" i="1"/>
  <c r="H2898" i="1"/>
  <c r="E2898" i="1"/>
  <c r="J2897" i="1"/>
  <c r="E2897" i="1"/>
  <c r="K2896" i="1"/>
  <c r="J2896" i="1"/>
  <c r="I2896" i="1"/>
  <c r="E2896" i="1"/>
  <c r="K2895" i="1"/>
  <c r="J2895" i="1"/>
  <c r="I2895" i="1"/>
  <c r="H2895" i="1"/>
  <c r="F2895" i="1"/>
  <c r="K2894" i="1"/>
  <c r="J2894" i="1"/>
  <c r="I2894" i="1"/>
  <c r="H2894" i="1"/>
  <c r="F2894" i="1"/>
  <c r="K2893" i="1"/>
  <c r="J2901" i="1" s="1"/>
  <c r="J2893" i="1"/>
  <c r="I2893" i="1"/>
  <c r="H2893" i="1"/>
  <c r="F2893" i="1"/>
  <c r="K2892" i="1"/>
  <c r="P2901" i="1" s="1"/>
  <c r="J2892" i="1"/>
  <c r="I2892" i="1"/>
  <c r="H2892" i="1"/>
  <c r="F2892" i="1"/>
  <c r="C2891" i="1"/>
  <c r="V2890" i="1"/>
  <c r="U2890" i="1"/>
  <c r="T2890" i="1"/>
  <c r="K2897" i="1" s="1"/>
  <c r="S2890" i="1"/>
  <c r="I2897" i="1" s="1"/>
  <c r="R2890" i="1"/>
  <c r="Q2890" i="1"/>
  <c r="E2890" i="1"/>
  <c r="D2890" i="1"/>
  <c r="B2890" i="1"/>
  <c r="J2887" i="1"/>
  <c r="H2887" i="1"/>
  <c r="I2885" i="1"/>
  <c r="H2885" i="1"/>
  <c r="E2885" i="1"/>
  <c r="J2884" i="1"/>
  <c r="I2884" i="1"/>
  <c r="E2884" i="1"/>
  <c r="J2883" i="1"/>
  <c r="E2883" i="1"/>
  <c r="K2882" i="1"/>
  <c r="J2882" i="1"/>
  <c r="I2882" i="1"/>
  <c r="H2882" i="1"/>
  <c r="F2882" i="1"/>
  <c r="K2881" i="1"/>
  <c r="J2881" i="1"/>
  <c r="I2881" i="1"/>
  <c r="H2881" i="1"/>
  <c r="F2881" i="1"/>
  <c r="K2880" i="1"/>
  <c r="J2880" i="1"/>
  <c r="I2880" i="1"/>
  <c r="H2880" i="1"/>
  <c r="F2880" i="1"/>
  <c r="K2879" i="1"/>
  <c r="J2879" i="1"/>
  <c r="I2879" i="1"/>
  <c r="H2879" i="1"/>
  <c r="F2879" i="1"/>
  <c r="C2878" i="1"/>
  <c r="V2877" i="1"/>
  <c r="U2877" i="1"/>
  <c r="T2877" i="1"/>
  <c r="K2884" i="1" s="1"/>
  <c r="S2877" i="1"/>
  <c r="R2877" i="1"/>
  <c r="K2883" i="1" s="1"/>
  <c r="Q2877" i="1"/>
  <c r="I2883" i="1" s="1"/>
  <c r="H2888" i="1" s="1"/>
  <c r="E2877" i="1"/>
  <c r="D2877" i="1"/>
  <c r="B2877" i="1"/>
  <c r="J2874" i="1"/>
  <c r="H2874" i="1"/>
  <c r="I2872" i="1"/>
  <c r="H2872" i="1"/>
  <c r="E2872" i="1"/>
  <c r="K2871" i="1"/>
  <c r="J2871" i="1"/>
  <c r="E2871" i="1"/>
  <c r="J2870" i="1"/>
  <c r="E2870" i="1"/>
  <c r="V2869" i="1"/>
  <c r="U2869" i="1"/>
  <c r="T2869" i="1"/>
  <c r="S2869" i="1"/>
  <c r="R2869" i="1"/>
  <c r="Q2869" i="1"/>
  <c r="K2869" i="1"/>
  <c r="J2869" i="1"/>
  <c r="I2869" i="1"/>
  <c r="H2869" i="1"/>
  <c r="F2869" i="1"/>
  <c r="E2869" i="1"/>
  <c r="D2869" i="1"/>
  <c r="B2869" i="1"/>
  <c r="K2868" i="1"/>
  <c r="J2868" i="1"/>
  <c r="I2868" i="1"/>
  <c r="H2868" i="1"/>
  <c r="F2868" i="1"/>
  <c r="K2867" i="1"/>
  <c r="J2867" i="1"/>
  <c r="I2867" i="1"/>
  <c r="H2867" i="1"/>
  <c r="F2867" i="1"/>
  <c r="K2866" i="1"/>
  <c r="J2866" i="1"/>
  <c r="I2866" i="1"/>
  <c r="H2866" i="1"/>
  <c r="F2866" i="1"/>
  <c r="K2865" i="1"/>
  <c r="J2865" i="1"/>
  <c r="I2865" i="1"/>
  <c r="H2865" i="1"/>
  <c r="F2865" i="1"/>
  <c r="C2864" i="1"/>
  <c r="V2863" i="1"/>
  <c r="U2863" i="1"/>
  <c r="T2863" i="1"/>
  <c r="S2863" i="1"/>
  <c r="R2863" i="1"/>
  <c r="K2870" i="1" s="1"/>
  <c r="Q2863" i="1"/>
  <c r="I2870" i="1" s="1"/>
  <c r="E2863" i="1"/>
  <c r="D2863" i="1"/>
  <c r="B2863" i="1"/>
  <c r="A2862" i="1"/>
  <c r="J2860" i="1"/>
  <c r="I2860" i="1"/>
  <c r="J2859" i="1"/>
  <c r="I2859" i="1"/>
  <c r="A2858" i="1"/>
  <c r="V2854" i="1"/>
  <c r="U2854" i="1"/>
  <c r="T2854" i="1"/>
  <c r="S2854" i="1"/>
  <c r="R2854" i="1"/>
  <c r="Q2854" i="1"/>
  <c r="K2854" i="1"/>
  <c r="J2855" i="1" s="1"/>
  <c r="J2854" i="1"/>
  <c r="I2854" i="1"/>
  <c r="O2855" i="1" s="1"/>
  <c r="H2854" i="1"/>
  <c r="F2854" i="1"/>
  <c r="E2854" i="1"/>
  <c r="M2854" i="1" s="1"/>
  <c r="D2854" i="1"/>
  <c r="M2853" i="1"/>
  <c r="B2853" i="1"/>
  <c r="J2850" i="1"/>
  <c r="H2850" i="1"/>
  <c r="I2848" i="1"/>
  <c r="H2848" i="1"/>
  <c r="E2848" i="1"/>
  <c r="J2847" i="1"/>
  <c r="E2847" i="1"/>
  <c r="J2846" i="1"/>
  <c r="E2846" i="1"/>
  <c r="K2845" i="1"/>
  <c r="J2845" i="1"/>
  <c r="I2845" i="1"/>
  <c r="H2845" i="1"/>
  <c r="F2845" i="1"/>
  <c r="K2844" i="1"/>
  <c r="J2844" i="1"/>
  <c r="I2844" i="1"/>
  <c r="H2844" i="1"/>
  <c r="F2844" i="1"/>
  <c r="K2843" i="1"/>
  <c r="J2843" i="1"/>
  <c r="I2843" i="1"/>
  <c r="H2843" i="1"/>
  <c r="F2843" i="1"/>
  <c r="K2842" i="1"/>
  <c r="J2842" i="1"/>
  <c r="I2842" i="1"/>
  <c r="H2842" i="1"/>
  <c r="F2842" i="1"/>
  <c r="C2841" i="1"/>
  <c r="V2840" i="1"/>
  <c r="U2840" i="1"/>
  <c r="T2840" i="1"/>
  <c r="K2847" i="1" s="1"/>
  <c r="S2840" i="1"/>
  <c r="I2847" i="1" s="1"/>
  <c r="R2840" i="1"/>
  <c r="K2846" i="1" s="1"/>
  <c r="Q2840" i="1"/>
  <c r="I2846" i="1" s="1"/>
  <c r="E2840" i="1"/>
  <c r="D2840" i="1"/>
  <c r="B2840" i="1"/>
  <c r="J2837" i="1"/>
  <c r="H2837" i="1"/>
  <c r="I2835" i="1"/>
  <c r="H2835" i="1"/>
  <c r="E2835" i="1"/>
  <c r="K2834" i="1"/>
  <c r="J2834" i="1"/>
  <c r="I2834" i="1"/>
  <c r="E2834" i="1"/>
  <c r="J2833" i="1"/>
  <c r="I2833" i="1"/>
  <c r="E2833" i="1"/>
  <c r="K2832" i="1"/>
  <c r="J2832" i="1"/>
  <c r="I2832" i="1"/>
  <c r="H2832" i="1"/>
  <c r="F2832" i="1"/>
  <c r="K2831" i="1"/>
  <c r="J2831" i="1"/>
  <c r="I2831" i="1"/>
  <c r="H2831" i="1"/>
  <c r="F2831" i="1"/>
  <c r="K2830" i="1"/>
  <c r="J2830" i="1"/>
  <c r="I2830" i="1"/>
  <c r="H2830" i="1"/>
  <c r="F2830" i="1"/>
  <c r="K2829" i="1"/>
  <c r="J2829" i="1"/>
  <c r="I2829" i="1"/>
  <c r="H2829" i="1"/>
  <c r="F2829" i="1"/>
  <c r="C2828" i="1"/>
  <c r="V2827" i="1"/>
  <c r="U2827" i="1"/>
  <c r="T2827" i="1"/>
  <c r="S2827" i="1"/>
  <c r="R2827" i="1"/>
  <c r="K2833" i="1" s="1"/>
  <c r="P2838" i="1" s="1"/>
  <c r="Q2827" i="1"/>
  <c r="E2827" i="1"/>
  <c r="D2827" i="1"/>
  <c r="B2827" i="1"/>
  <c r="J2824" i="1"/>
  <c r="H2824" i="1"/>
  <c r="I2822" i="1"/>
  <c r="H2822" i="1"/>
  <c r="E2822" i="1"/>
  <c r="J2821" i="1"/>
  <c r="E2821" i="1"/>
  <c r="J2820" i="1"/>
  <c r="E2820" i="1"/>
  <c r="V2819" i="1"/>
  <c r="U2819" i="1"/>
  <c r="T2819" i="1"/>
  <c r="S2819" i="1"/>
  <c r="R2819" i="1"/>
  <c r="Q2819" i="1"/>
  <c r="K2819" i="1"/>
  <c r="J2819" i="1"/>
  <c r="I2819" i="1"/>
  <c r="H2819" i="1"/>
  <c r="F2819" i="1"/>
  <c r="E2819" i="1"/>
  <c r="D2819" i="1"/>
  <c r="B2819" i="1"/>
  <c r="K2818" i="1"/>
  <c r="J2818" i="1"/>
  <c r="I2818" i="1"/>
  <c r="H2818" i="1"/>
  <c r="F2818" i="1"/>
  <c r="K2817" i="1"/>
  <c r="J2817" i="1"/>
  <c r="I2817" i="1"/>
  <c r="H2817" i="1"/>
  <c r="F2817" i="1"/>
  <c r="K2816" i="1"/>
  <c r="J2816" i="1"/>
  <c r="I2816" i="1"/>
  <c r="H2816" i="1"/>
  <c r="F2816" i="1"/>
  <c r="K2815" i="1"/>
  <c r="J2815" i="1"/>
  <c r="I2815" i="1"/>
  <c r="H2815" i="1"/>
  <c r="F2815" i="1"/>
  <c r="C2814" i="1"/>
  <c r="V2813" i="1"/>
  <c r="U2813" i="1"/>
  <c r="T2813" i="1"/>
  <c r="K2821" i="1" s="1"/>
  <c r="S2813" i="1"/>
  <c r="I2821" i="1" s="1"/>
  <c r="R2813" i="1"/>
  <c r="K2820" i="1" s="1"/>
  <c r="Q2813" i="1"/>
  <c r="E2813" i="1"/>
  <c r="D2813" i="1"/>
  <c r="B2813" i="1"/>
  <c r="A2812" i="1"/>
  <c r="J2810" i="1"/>
  <c r="I2810" i="1"/>
  <c r="J2809" i="1"/>
  <c r="I2809" i="1"/>
  <c r="A2808" i="1"/>
  <c r="P2805" i="1"/>
  <c r="V2804" i="1"/>
  <c r="U2804" i="1"/>
  <c r="T2804" i="1"/>
  <c r="S2804" i="1"/>
  <c r="R2804" i="1"/>
  <c r="Q2804" i="1"/>
  <c r="K2804" i="1"/>
  <c r="J2805" i="1" s="1"/>
  <c r="J2804" i="1"/>
  <c r="I2804" i="1"/>
  <c r="H2805" i="1" s="1"/>
  <c r="H2804" i="1"/>
  <c r="F2804" i="1"/>
  <c r="E2804" i="1"/>
  <c r="M2804" i="1" s="1"/>
  <c r="D2804" i="1"/>
  <c r="M2803" i="1"/>
  <c r="B2803" i="1"/>
  <c r="J2800" i="1"/>
  <c r="H2800" i="1"/>
  <c r="I2798" i="1"/>
  <c r="H2798" i="1"/>
  <c r="E2798" i="1"/>
  <c r="K2797" i="1"/>
  <c r="J2797" i="1"/>
  <c r="I2797" i="1"/>
  <c r="E2797" i="1"/>
  <c r="J2796" i="1"/>
  <c r="I2796" i="1"/>
  <c r="E2796" i="1"/>
  <c r="K2795" i="1"/>
  <c r="J2795" i="1"/>
  <c r="I2795" i="1"/>
  <c r="H2795" i="1"/>
  <c r="F2795" i="1"/>
  <c r="K2794" i="1"/>
  <c r="J2794" i="1"/>
  <c r="I2794" i="1"/>
  <c r="H2794" i="1"/>
  <c r="F2794" i="1"/>
  <c r="K2793" i="1"/>
  <c r="J2793" i="1"/>
  <c r="I2793" i="1"/>
  <c r="H2793" i="1"/>
  <c r="F2793" i="1"/>
  <c r="K2792" i="1"/>
  <c r="J2792" i="1"/>
  <c r="I2792" i="1"/>
  <c r="H2792" i="1"/>
  <c r="F2792" i="1"/>
  <c r="C2791" i="1"/>
  <c r="V2790" i="1"/>
  <c r="U2790" i="1"/>
  <c r="T2790" i="1"/>
  <c r="S2790" i="1"/>
  <c r="R2790" i="1"/>
  <c r="K2796" i="1" s="1"/>
  <c r="Q2790" i="1"/>
  <c r="E2790" i="1"/>
  <c r="D2790" i="1"/>
  <c r="B2790" i="1"/>
  <c r="J2787" i="1"/>
  <c r="H2787" i="1"/>
  <c r="I2785" i="1"/>
  <c r="H2785" i="1"/>
  <c r="E2785" i="1"/>
  <c r="J2784" i="1"/>
  <c r="E2784" i="1"/>
  <c r="J2783" i="1"/>
  <c r="E2783" i="1"/>
  <c r="K2782" i="1"/>
  <c r="J2782" i="1"/>
  <c r="I2782" i="1"/>
  <c r="H2782" i="1"/>
  <c r="F2782" i="1"/>
  <c r="K2781" i="1"/>
  <c r="J2781" i="1"/>
  <c r="I2781" i="1"/>
  <c r="H2781" i="1"/>
  <c r="F2781" i="1"/>
  <c r="K2780" i="1"/>
  <c r="J2780" i="1"/>
  <c r="I2780" i="1"/>
  <c r="H2780" i="1"/>
  <c r="F2780" i="1"/>
  <c r="K2779" i="1"/>
  <c r="J2779" i="1"/>
  <c r="I2779" i="1"/>
  <c r="H2779" i="1"/>
  <c r="F2779" i="1"/>
  <c r="C2778" i="1"/>
  <c r="V2777" i="1"/>
  <c r="U2777" i="1"/>
  <c r="T2777" i="1"/>
  <c r="K2784" i="1" s="1"/>
  <c r="S2777" i="1"/>
  <c r="I2784" i="1" s="1"/>
  <c r="R2777" i="1"/>
  <c r="K2783" i="1" s="1"/>
  <c r="Q2777" i="1"/>
  <c r="I2783" i="1" s="1"/>
  <c r="E2777" i="1"/>
  <c r="D2777" i="1"/>
  <c r="B2777" i="1"/>
  <c r="J2774" i="1"/>
  <c r="H2774" i="1"/>
  <c r="I2772" i="1"/>
  <c r="H2772" i="1"/>
  <c r="E2772" i="1"/>
  <c r="J2771" i="1"/>
  <c r="E2771" i="1"/>
  <c r="J2770" i="1"/>
  <c r="E2770" i="1"/>
  <c r="V2769" i="1"/>
  <c r="U2769" i="1"/>
  <c r="T2769" i="1"/>
  <c r="S2769" i="1"/>
  <c r="R2769" i="1"/>
  <c r="Q2769" i="1"/>
  <c r="I2770" i="1" s="1"/>
  <c r="K2769" i="1"/>
  <c r="J2769" i="1"/>
  <c r="I2769" i="1"/>
  <c r="H2769" i="1"/>
  <c r="F2769" i="1"/>
  <c r="E2769" i="1"/>
  <c r="D2769" i="1"/>
  <c r="B2769" i="1"/>
  <c r="K2768" i="1"/>
  <c r="J2768" i="1"/>
  <c r="I2768" i="1"/>
  <c r="H2768" i="1"/>
  <c r="F2768" i="1"/>
  <c r="K2767" i="1"/>
  <c r="J2767" i="1"/>
  <c r="I2767" i="1"/>
  <c r="H2767" i="1"/>
  <c r="F2767" i="1"/>
  <c r="K2766" i="1"/>
  <c r="J2766" i="1"/>
  <c r="I2766" i="1"/>
  <c r="H2766" i="1"/>
  <c r="F2766" i="1"/>
  <c r="K2765" i="1"/>
  <c r="J2765" i="1"/>
  <c r="I2765" i="1"/>
  <c r="H2765" i="1"/>
  <c r="F2765" i="1"/>
  <c r="C2764" i="1"/>
  <c r="V2763" i="1"/>
  <c r="U2763" i="1"/>
  <c r="T2763" i="1"/>
  <c r="S2763" i="1"/>
  <c r="R2763" i="1"/>
  <c r="K2770" i="1" s="1"/>
  <c r="Q2763" i="1"/>
  <c r="E2763" i="1"/>
  <c r="D2763" i="1"/>
  <c r="B2763" i="1"/>
  <c r="A2762" i="1"/>
  <c r="J2760" i="1"/>
  <c r="I2760" i="1"/>
  <c r="J2759" i="1"/>
  <c r="I2759" i="1"/>
  <c r="A2758" i="1"/>
  <c r="P2755" i="1"/>
  <c r="H2755" i="1"/>
  <c r="V2754" i="1"/>
  <c r="U2754" i="1"/>
  <c r="T2754" i="1"/>
  <c r="S2754" i="1"/>
  <c r="R2754" i="1"/>
  <c r="Q2754" i="1"/>
  <c r="M2754" i="1"/>
  <c r="K2754" i="1"/>
  <c r="J2755" i="1" s="1"/>
  <c r="J2754" i="1"/>
  <c r="I2754" i="1"/>
  <c r="O2755" i="1" s="1"/>
  <c r="H2754" i="1"/>
  <c r="F2754" i="1"/>
  <c r="E2754" i="1"/>
  <c r="D2754" i="1"/>
  <c r="M2753" i="1"/>
  <c r="B2753" i="1"/>
  <c r="J2750" i="1"/>
  <c r="H2750" i="1"/>
  <c r="I2748" i="1"/>
  <c r="H2748" i="1"/>
  <c r="E2748" i="1"/>
  <c r="J2747" i="1"/>
  <c r="E2747" i="1"/>
  <c r="J2746" i="1"/>
  <c r="E2746" i="1"/>
  <c r="K2745" i="1"/>
  <c r="J2745" i="1"/>
  <c r="I2745" i="1"/>
  <c r="H2745" i="1"/>
  <c r="F2745" i="1"/>
  <c r="K2744" i="1"/>
  <c r="J2744" i="1"/>
  <c r="I2744" i="1"/>
  <c r="H2744" i="1"/>
  <c r="F2744" i="1"/>
  <c r="K2743" i="1"/>
  <c r="J2743" i="1"/>
  <c r="I2743" i="1"/>
  <c r="H2743" i="1"/>
  <c r="F2743" i="1"/>
  <c r="K2742" i="1"/>
  <c r="J2742" i="1"/>
  <c r="I2742" i="1"/>
  <c r="H2742" i="1"/>
  <c r="F2742" i="1"/>
  <c r="C2741" i="1"/>
  <c r="V2740" i="1"/>
  <c r="U2740" i="1"/>
  <c r="T2740" i="1"/>
  <c r="K2747" i="1" s="1"/>
  <c r="S2740" i="1"/>
  <c r="I2747" i="1" s="1"/>
  <c r="R2740" i="1"/>
  <c r="K2746" i="1" s="1"/>
  <c r="Q2740" i="1"/>
  <c r="I2746" i="1" s="1"/>
  <c r="E2740" i="1"/>
  <c r="D2740" i="1"/>
  <c r="B2740" i="1"/>
  <c r="J2737" i="1"/>
  <c r="H2737" i="1"/>
  <c r="I2735" i="1"/>
  <c r="H2735" i="1"/>
  <c r="E2735" i="1"/>
  <c r="K2734" i="1"/>
  <c r="J2734" i="1"/>
  <c r="E2734" i="1"/>
  <c r="K2733" i="1"/>
  <c r="J2733" i="1"/>
  <c r="I2733" i="1"/>
  <c r="E2733" i="1"/>
  <c r="K2732" i="1"/>
  <c r="J2732" i="1"/>
  <c r="I2732" i="1"/>
  <c r="H2732" i="1"/>
  <c r="F2732" i="1"/>
  <c r="K2731" i="1"/>
  <c r="J2731" i="1"/>
  <c r="I2731" i="1"/>
  <c r="H2731" i="1"/>
  <c r="F2731" i="1"/>
  <c r="K2730" i="1"/>
  <c r="J2730" i="1"/>
  <c r="I2730" i="1"/>
  <c r="H2730" i="1"/>
  <c r="F2730" i="1"/>
  <c r="K2729" i="1"/>
  <c r="P2738" i="1" s="1"/>
  <c r="J2729" i="1"/>
  <c r="I2729" i="1"/>
  <c r="H2729" i="1"/>
  <c r="F2729" i="1"/>
  <c r="C2728" i="1"/>
  <c r="V2727" i="1"/>
  <c r="U2727" i="1"/>
  <c r="T2727" i="1"/>
  <c r="S2727" i="1"/>
  <c r="I2734" i="1" s="1"/>
  <c r="R2727" i="1"/>
  <c r="Q2727" i="1"/>
  <c r="E2727" i="1"/>
  <c r="D2727" i="1"/>
  <c r="B2727" i="1"/>
  <c r="J2724" i="1"/>
  <c r="H2724" i="1"/>
  <c r="I2722" i="1"/>
  <c r="H2722" i="1"/>
  <c r="E2722" i="1"/>
  <c r="J2721" i="1"/>
  <c r="E2721" i="1"/>
  <c r="J2720" i="1"/>
  <c r="E2720" i="1"/>
  <c r="V2719" i="1"/>
  <c r="U2719" i="1"/>
  <c r="T2719" i="1"/>
  <c r="K2721" i="1" s="1"/>
  <c r="S2719" i="1"/>
  <c r="R2719" i="1"/>
  <c r="Q2719" i="1"/>
  <c r="K2719" i="1"/>
  <c r="J2719" i="1"/>
  <c r="I2719" i="1"/>
  <c r="H2719" i="1"/>
  <c r="F2719" i="1"/>
  <c r="E2719" i="1"/>
  <c r="D2719" i="1"/>
  <c r="B2719" i="1"/>
  <c r="K2718" i="1"/>
  <c r="J2718" i="1"/>
  <c r="I2718" i="1"/>
  <c r="H2718" i="1"/>
  <c r="F2718" i="1"/>
  <c r="K2717" i="1"/>
  <c r="J2717" i="1"/>
  <c r="I2717" i="1"/>
  <c r="H2717" i="1"/>
  <c r="F2717" i="1"/>
  <c r="K2716" i="1"/>
  <c r="J2716" i="1"/>
  <c r="I2716" i="1"/>
  <c r="H2716" i="1"/>
  <c r="F2716" i="1"/>
  <c r="K2715" i="1"/>
  <c r="J2715" i="1"/>
  <c r="I2715" i="1"/>
  <c r="H2715" i="1"/>
  <c r="F2715" i="1"/>
  <c r="C2714" i="1"/>
  <c r="V2713" i="1"/>
  <c r="U2713" i="1"/>
  <c r="T2713" i="1"/>
  <c r="S2713" i="1"/>
  <c r="I2721" i="1" s="1"/>
  <c r="R2713" i="1"/>
  <c r="Q2713" i="1"/>
  <c r="I2720" i="1" s="1"/>
  <c r="E2713" i="1"/>
  <c r="D2713" i="1"/>
  <c r="B2713" i="1"/>
  <c r="A2712" i="1"/>
  <c r="J2710" i="1"/>
  <c r="I2710" i="1"/>
  <c r="J2709" i="1"/>
  <c r="I2709" i="1"/>
  <c r="A2708" i="1"/>
  <c r="P2705" i="1"/>
  <c r="O2705" i="1"/>
  <c r="V2704" i="1"/>
  <c r="U2704" i="1"/>
  <c r="T2704" i="1"/>
  <c r="S2704" i="1"/>
  <c r="R2704" i="1"/>
  <c r="Q2704" i="1"/>
  <c r="K2704" i="1"/>
  <c r="J2705" i="1" s="1"/>
  <c r="J2704" i="1"/>
  <c r="I2704" i="1"/>
  <c r="H2705" i="1" s="1"/>
  <c r="H2704" i="1"/>
  <c r="F2704" i="1"/>
  <c r="E2704" i="1"/>
  <c r="M2704" i="1" s="1"/>
  <c r="D2704" i="1"/>
  <c r="B2703" i="1"/>
  <c r="J2700" i="1"/>
  <c r="H2700" i="1"/>
  <c r="I2698" i="1"/>
  <c r="H2698" i="1"/>
  <c r="E2698" i="1"/>
  <c r="K2697" i="1"/>
  <c r="J2697" i="1"/>
  <c r="I2697" i="1"/>
  <c r="E2697" i="1"/>
  <c r="J2696" i="1"/>
  <c r="I2696" i="1"/>
  <c r="E2696" i="1"/>
  <c r="K2695" i="1"/>
  <c r="P2701" i="1" s="1"/>
  <c r="J2695" i="1"/>
  <c r="I2695" i="1"/>
  <c r="H2695" i="1"/>
  <c r="F2695" i="1"/>
  <c r="K2694" i="1"/>
  <c r="J2694" i="1"/>
  <c r="I2694" i="1"/>
  <c r="H2694" i="1"/>
  <c r="F2694" i="1"/>
  <c r="K2693" i="1"/>
  <c r="J2693" i="1"/>
  <c r="I2693" i="1"/>
  <c r="H2693" i="1"/>
  <c r="F2693" i="1"/>
  <c r="K2692" i="1"/>
  <c r="J2692" i="1"/>
  <c r="I2692" i="1"/>
  <c r="O2701" i="1" s="1"/>
  <c r="H2692" i="1"/>
  <c r="F2692" i="1"/>
  <c r="C2691" i="1"/>
  <c r="V2690" i="1"/>
  <c r="U2690" i="1"/>
  <c r="T2690" i="1"/>
  <c r="S2690" i="1"/>
  <c r="R2690" i="1"/>
  <c r="K2696" i="1" s="1"/>
  <c r="Q2690" i="1"/>
  <c r="E2690" i="1"/>
  <c r="D2690" i="1"/>
  <c r="B2690" i="1"/>
  <c r="J2687" i="1"/>
  <c r="H2687" i="1"/>
  <c r="I2685" i="1"/>
  <c r="H2685" i="1"/>
  <c r="E2685" i="1"/>
  <c r="J2684" i="1"/>
  <c r="E2684" i="1"/>
  <c r="J2683" i="1"/>
  <c r="E2683" i="1"/>
  <c r="K2682" i="1"/>
  <c r="J2682" i="1"/>
  <c r="I2682" i="1"/>
  <c r="H2682" i="1"/>
  <c r="F2682" i="1"/>
  <c r="K2681" i="1"/>
  <c r="J2681" i="1"/>
  <c r="I2681" i="1"/>
  <c r="H2681" i="1"/>
  <c r="F2681" i="1"/>
  <c r="K2680" i="1"/>
  <c r="J2680" i="1"/>
  <c r="I2680" i="1"/>
  <c r="H2680" i="1"/>
  <c r="F2680" i="1"/>
  <c r="K2679" i="1"/>
  <c r="J2679" i="1"/>
  <c r="I2679" i="1"/>
  <c r="H2679" i="1"/>
  <c r="F2679" i="1"/>
  <c r="C2678" i="1"/>
  <c r="V2677" i="1"/>
  <c r="U2677" i="1"/>
  <c r="T2677" i="1"/>
  <c r="K2684" i="1" s="1"/>
  <c r="S2677" i="1"/>
  <c r="I2684" i="1" s="1"/>
  <c r="R2677" i="1"/>
  <c r="K2683" i="1" s="1"/>
  <c r="Q2677" i="1"/>
  <c r="I2683" i="1" s="1"/>
  <c r="E2677" i="1"/>
  <c r="D2677" i="1"/>
  <c r="B2677" i="1"/>
  <c r="J2674" i="1"/>
  <c r="H2674" i="1"/>
  <c r="I2672" i="1"/>
  <c r="H2672" i="1"/>
  <c r="E2672" i="1"/>
  <c r="J2671" i="1"/>
  <c r="E2671" i="1"/>
  <c r="J2670" i="1"/>
  <c r="E2670" i="1"/>
  <c r="V2669" i="1"/>
  <c r="U2669" i="1"/>
  <c r="T2669" i="1"/>
  <c r="S2669" i="1"/>
  <c r="I2671" i="1" s="1"/>
  <c r="H2675" i="1" s="1"/>
  <c r="R2669" i="1"/>
  <c r="Q2669" i="1"/>
  <c r="K2669" i="1"/>
  <c r="J2669" i="1"/>
  <c r="I2669" i="1"/>
  <c r="H2669" i="1"/>
  <c r="F2669" i="1"/>
  <c r="E2669" i="1"/>
  <c r="D2669" i="1"/>
  <c r="B2669" i="1"/>
  <c r="K2668" i="1"/>
  <c r="J2668" i="1"/>
  <c r="I2668" i="1"/>
  <c r="H2668" i="1"/>
  <c r="F2668" i="1"/>
  <c r="K2667" i="1"/>
  <c r="J2667" i="1"/>
  <c r="I2667" i="1"/>
  <c r="H2667" i="1"/>
  <c r="F2667" i="1"/>
  <c r="K2666" i="1"/>
  <c r="J2666" i="1"/>
  <c r="I2666" i="1"/>
  <c r="H2666" i="1"/>
  <c r="F2666" i="1"/>
  <c r="K2665" i="1"/>
  <c r="J2665" i="1"/>
  <c r="I2665" i="1"/>
  <c r="H2665" i="1"/>
  <c r="F2665" i="1"/>
  <c r="C2664" i="1"/>
  <c r="V2663" i="1"/>
  <c r="U2663" i="1"/>
  <c r="T2663" i="1"/>
  <c r="K2671" i="1" s="1"/>
  <c r="S2663" i="1"/>
  <c r="R2663" i="1"/>
  <c r="Q2663" i="1"/>
  <c r="I2670" i="1" s="1"/>
  <c r="E2663" i="1"/>
  <c r="D2663" i="1"/>
  <c r="B2663" i="1"/>
  <c r="A2662" i="1"/>
  <c r="J2660" i="1"/>
  <c r="I2660" i="1"/>
  <c r="J2659" i="1"/>
  <c r="I2659" i="1"/>
  <c r="A2658" i="1"/>
  <c r="O2655" i="1"/>
  <c r="V2654" i="1"/>
  <c r="U2654" i="1"/>
  <c r="T2654" i="1"/>
  <c r="S2654" i="1"/>
  <c r="R2654" i="1"/>
  <c r="Q2654" i="1"/>
  <c r="M2654" i="1"/>
  <c r="K2654" i="1"/>
  <c r="J2654" i="1"/>
  <c r="I2654" i="1"/>
  <c r="H2655" i="1" s="1"/>
  <c r="H2654" i="1"/>
  <c r="F2654" i="1"/>
  <c r="E2654" i="1"/>
  <c r="D2654" i="1"/>
  <c r="B2653" i="1"/>
  <c r="J2650" i="1"/>
  <c r="H2650" i="1"/>
  <c r="I2648" i="1"/>
  <c r="H2648" i="1"/>
  <c r="E2648" i="1"/>
  <c r="J2647" i="1"/>
  <c r="E2647" i="1"/>
  <c r="J2646" i="1"/>
  <c r="E2646" i="1"/>
  <c r="K2645" i="1"/>
  <c r="J2645" i="1"/>
  <c r="I2645" i="1"/>
  <c r="H2645" i="1"/>
  <c r="F2645" i="1"/>
  <c r="K2644" i="1"/>
  <c r="J2644" i="1"/>
  <c r="I2644" i="1"/>
  <c r="H2644" i="1"/>
  <c r="F2644" i="1"/>
  <c r="K2643" i="1"/>
  <c r="J2643" i="1"/>
  <c r="I2643" i="1"/>
  <c r="H2643" i="1"/>
  <c r="F2643" i="1"/>
  <c r="K2642" i="1"/>
  <c r="J2642" i="1"/>
  <c r="I2642" i="1"/>
  <c r="H2642" i="1"/>
  <c r="F2642" i="1"/>
  <c r="C2641" i="1"/>
  <c r="V2640" i="1"/>
  <c r="U2640" i="1"/>
  <c r="T2640" i="1"/>
  <c r="K2647" i="1" s="1"/>
  <c r="S2640" i="1"/>
  <c r="I2647" i="1" s="1"/>
  <c r="R2640" i="1"/>
  <c r="K2646" i="1" s="1"/>
  <c r="Q2640" i="1"/>
  <c r="I2646" i="1" s="1"/>
  <c r="E2640" i="1"/>
  <c r="D2640" i="1"/>
  <c r="B2640" i="1"/>
  <c r="J2637" i="1"/>
  <c r="H2637" i="1"/>
  <c r="I2635" i="1"/>
  <c r="H2635" i="1"/>
  <c r="E2635" i="1"/>
  <c r="J2634" i="1"/>
  <c r="E2634" i="1"/>
  <c r="J2633" i="1"/>
  <c r="E2633" i="1"/>
  <c r="K2632" i="1"/>
  <c r="J2632" i="1"/>
  <c r="I2632" i="1"/>
  <c r="H2632" i="1"/>
  <c r="F2632" i="1"/>
  <c r="K2631" i="1"/>
  <c r="J2631" i="1"/>
  <c r="I2631" i="1"/>
  <c r="H2631" i="1"/>
  <c r="F2631" i="1"/>
  <c r="K2630" i="1"/>
  <c r="J2630" i="1"/>
  <c r="I2630" i="1"/>
  <c r="H2630" i="1"/>
  <c r="F2630" i="1"/>
  <c r="K2629" i="1"/>
  <c r="J2629" i="1"/>
  <c r="I2629" i="1"/>
  <c r="H2629" i="1"/>
  <c r="F2629" i="1"/>
  <c r="C2628" i="1"/>
  <c r="V2627" i="1"/>
  <c r="U2627" i="1"/>
  <c r="T2627" i="1"/>
  <c r="K2634" i="1" s="1"/>
  <c r="S2627" i="1"/>
  <c r="I2634" i="1" s="1"/>
  <c r="R2627" i="1"/>
  <c r="K2633" i="1" s="1"/>
  <c r="Q2627" i="1"/>
  <c r="I2633" i="1" s="1"/>
  <c r="E2627" i="1"/>
  <c r="D2627" i="1"/>
  <c r="B2627" i="1"/>
  <c r="J2624" i="1"/>
  <c r="H2624" i="1"/>
  <c r="I2622" i="1"/>
  <c r="H2622" i="1"/>
  <c r="E2622" i="1"/>
  <c r="J2621" i="1"/>
  <c r="E2621" i="1"/>
  <c r="J2620" i="1"/>
  <c r="E2620" i="1"/>
  <c r="V2619" i="1"/>
  <c r="U2619" i="1"/>
  <c r="T2619" i="1"/>
  <c r="S2619" i="1"/>
  <c r="I2621" i="1" s="1"/>
  <c r="R2619" i="1"/>
  <c r="Q2619" i="1"/>
  <c r="K2619" i="1"/>
  <c r="J2619" i="1"/>
  <c r="I2619" i="1"/>
  <c r="H2619" i="1"/>
  <c r="F2619" i="1"/>
  <c r="E2619" i="1"/>
  <c r="D2619" i="1"/>
  <c r="B2619" i="1"/>
  <c r="K2618" i="1"/>
  <c r="J2618" i="1"/>
  <c r="I2618" i="1"/>
  <c r="H2618" i="1"/>
  <c r="F2618" i="1"/>
  <c r="K2617" i="1"/>
  <c r="J2617" i="1"/>
  <c r="I2617" i="1"/>
  <c r="H2617" i="1"/>
  <c r="F2617" i="1"/>
  <c r="K2616" i="1"/>
  <c r="J2616" i="1"/>
  <c r="I2616" i="1"/>
  <c r="H2616" i="1"/>
  <c r="F2616" i="1"/>
  <c r="K2615" i="1"/>
  <c r="J2615" i="1"/>
  <c r="I2615" i="1"/>
  <c r="H2615" i="1"/>
  <c r="F2615" i="1"/>
  <c r="C2614" i="1"/>
  <c r="V2613" i="1"/>
  <c r="U2613" i="1"/>
  <c r="T2613" i="1"/>
  <c r="S2613" i="1"/>
  <c r="R2613" i="1"/>
  <c r="K2620" i="1" s="1"/>
  <c r="Q2613" i="1"/>
  <c r="E2613" i="1"/>
  <c r="D2613" i="1"/>
  <c r="B2613" i="1"/>
  <c r="A2612" i="1"/>
  <c r="J2610" i="1"/>
  <c r="I2610" i="1"/>
  <c r="J2609" i="1"/>
  <c r="I2609" i="1"/>
  <c r="A2608" i="1"/>
  <c r="J2605" i="1"/>
  <c r="H2605" i="1"/>
  <c r="V2604" i="1"/>
  <c r="U2604" i="1"/>
  <c r="T2604" i="1"/>
  <c r="S2604" i="1"/>
  <c r="R2604" i="1"/>
  <c r="Q2604" i="1"/>
  <c r="K2604" i="1"/>
  <c r="P2605" i="1" s="1"/>
  <c r="J2604" i="1"/>
  <c r="I2604" i="1"/>
  <c r="O2605" i="1" s="1"/>
  <c r="H2604" i="1"/>
  <c r="F2604" i="1"/>
  <c r="E2604" i="1"/>
  <c r="M2604" i="1" s="1"/>
  <c r="D2604" i="1"/>
  <c r="B2603" i="1"/>
  <c r="J2600" i="1"/>
  <c r="H2600" i="1"/>
  <c r="I2598" i="1"/>
  <c r="H2598" i="1"/>
  <c r="E2598" i="1"/>
  <c r="J2597" i="1"/>
  <c r="E2597" i="1"/>
  <c r="J2596" i="1"/>
  <c r="I2596" i="1"/>
  <c r="E2596" i="1"/>
  <c r="K2595" i="1"/>
  <c r="J2595" i="1"/>
  <c r="I2595" i="1"/>
  <c r="H2595" i="1"/>
  <c r="F2595" i="1"/>
  <c r="K2594" i="1"/>
  <c r="J2594" i="1"/>
  <c r="I2594" i="1"/>
  <c r="H2594" i="1"/>
  <c r="F2594" i="1"/>
  <c r="K2593" i="1"/>
  <c r="J2593" i="1"/>
  <c r="I2593" i="1"/>
  <c r="H2593" i="1"/>
  <c r="F2593" i="1"/>
  <c r="K2592" i="1"/>
  <c r="J2592" i="1"/>
  <c r="I2592" i="1"/>
  <c r="H2592" i="1"/>
  <c r="F2592" i="1"/>
  <c r="C2591" i="1"/>
  <c r="V2590" i="1"/>
  <c r="U2590" i="1"/>
  <c r="T2590" i="1"/>
  <c r="K2597" i="1" s="1"/>
  <c r="S2590" i="1"/>
  <c r="I2597" i="1" s="1"/>
  <c r="R2590" i="1"/>
  <c r="K2596" i="1" s="1"/>
  <c r="Q2590" i="1"/>
  <c r="E2590" i="1"/>
  <c r="D2590" i="1"/>
  <c r="B2590" i="1"/>
  <c r="J2587" i="1"/>
  <c r="H2587" i="1"/>
  <c r="I2585" i="1"/>
  <c r="H2585" i="1"/>
  <c r="E2585" i="1"/>
  <c r="J2584" i="1"/>
  <c r="E2584" i="1"/>
  <c r="J2583" i="1"/>
  <c r="E2583" i="1"/>
  <c r="K2582" i="1"/>
  <c r="J2582" i="1"/>
  <c r="I2582" i="1"/>
  <c r="H2582" i="1"/>
  <c r="F2582" i="1"/>
  <c r="K2581" i="1"/>
  <c r="J2581" i="1"/>
  <c r="I2581" i="1"/>
  <c r="H2581" i="1"/>
  <c r="F2581" i="1"/>
  <c r="K2580" i="1"/>
  <c r="J2580" i="1"/>
  <c r="I2580" i="1"/>
  <c r="H2580" i="1"/>
  <c r="F2580" i="1"/>
  <c r="K2579" i="1"/>
  <c r="J2579" i="1"/>
  <c r="I2579" i="1"/>
  <c r="H2579" i="1"/>
  <c r="F2579" i="1"/>
  <c r="C2578" i="1"/>
  <c r="V2577" i="1"/>
  <c r="U2577" i="1"/>
  <c r="T2577" i="1"/>
  <c r="K2584" i="1" s="1"/>
  <c r="S2577" i="1"/>
  <c r="I2584" i="1" s="1"/>
  <c r="R2577" i="1"/>
  <c r="K2583" i="1" s="1"/>
  <c r="Q2577" i="1"/>
  <c r="I2583" i="1" s="1"/>
  <c r="E2577" i="1"/>
  <c r="D2577" i="1"/>
  <c r="B2577" i="1"/>
  <c r="J2574" i="1"/>
  <c r="H2574" i="1"/>
  <c r="I2572" i="1"/>
  <c r="H2572" i="1"/>
  <c r="E2572" i="1"/>
  <c r="J2571" i="1"/>
  <c r="E2571" i="1"/>
  <c r="J2570" i="1"/>
  <c r="E2570" i="1"/>
  <c r="V2569" i="1"/>
  <c r="U2569" i="1"/>
  <c r="T2569" i="1"/>
  <c r="S2569" i="1"/>
  <c r="R2569" i="1"/>
  <c r="Q2569" i="1"/>
  <c r="I2570" i="1" s="1"/>
  <c r="K2569" i="1"/>
  <c r="J2569" i="1"/>
  <c r="I2569" i="1"/>
  <c r="H2569" i="1"/>
  <c r="F2569" i="1"/>
  <c r="E2569" i="1"/>
  <c r="D2569" i="1"/>
  <c r="B2569" i="1"/>
  <c r="K2568" i="1"/>
  <c r="J2568" i="1"/>
  <c r="I2568" i="1"/>
  <c r="H2568" i="1"/>
  <c r="F2568" i="1"/>
  <c r="K2567" i="1"/>
  <c r="J2567" i="1"/>
  <c r="I2567" i="1"/>
  <c r="H2567" i="1"/>
  <c r="F2567" i="1"/>
  <c r="K2566" i="1"/>
  <c r="J2566" i="1"/>
  <c r="I2566" i="1"/>
  <c r="H2566" i="1"/>
  <c r="F2566" i="1"/>
  <c r="K2565" i="1"/>
  <c r="J2565" i="1"/>
  <c r="I2565" i="1"/>
  <c r="H2565" i="1"/>
  <c r="F2565" i="1"/>
  <c r="C2564" i="1"/>
  <c r="V2563" i="1"/>
  <c r="U2563" i="1"/>
  <c r="T2563" i="1"/>
  <c r="K2571" i="1" s="1"/>
  <c r="S2563" i="1"/>
  <c r="R2563" i="1"/>
  <c r="K2570" i="1" s="1"/>
  <c r="Q2563" i="1"/>
  <c r="E2563" i="1"/>
  <c r="D2563" i="1"/>
  <c r="B2563" i="1"/>
  <c r="A2562" i="1"/>
  <c r="J2560" i="1"/>
  <c r="I2560" i="1"/>
  <c r="J2559" i="1"/>
  <c r="I2559" i="1"/>
  <c r="A2558" i="1"/>
  <c r="H2555" i="1"/>
  <c r="V2554" i="1"/>
  <c r="U2554" i="1"/>
  <c r="T2554" i="1"/>
  <c r="S2554" i="1"/>
  <c r="R2554" i="1"/>
  <c r="Q2554" i="1"/>
  <c r="M2554" i="1"/>
  <c r="K2554" i="1"/>
  <c r="P2555" i="1" s="1"/>
  <c r="J2554" i="1"/>
  <c r="I2554" i="1"/>
  <c r="O2555" i="1" s="1"/>
  <c r="H2554" i="1"/>
  <c r="F2554" i="1"/>
  <c r="E2554" i="1"/>
  <c r="D2554" i="1"/>
  <c r="B2553" i="1"/>
  <c r="J2550" i="1"/>
  <c r="H2550" i="1"/>
  <c r="I2548" i="1"/>
  <c r="H2548" i="1"/>
  <c r="E2548" i="1"/>
  <c r="J2547" i="1"/>
  <c r="E2547" i="1"/>
  <c r="J2546" i="1"/>
  <c r="E2546" i="1"/>
  <c r="K2545" i="1"/>
  <c r="J2545" i="1"/>
  <c r="I2545" i="1"/>
  <c r="H2545" i="1"/>
  <c r="F2545" i="1"/>
  <c r="K2544" i="1"/>
  <c r="J2544" i="1"/>
  <c r="I2544" i="1"/>
  <c r="H2544" i="1"/>
  <c r="F2544" i="1"/>
  <c r="K2543" i="1"/>
  <c r="J2543" i="1"/>
  <c r="I2543" i="1"/>
  <c r="H2543" i="1"/>
  <c r="F2543" i="1"/>
  <c r="K2542" i="1"/>
  <c r="J2542" i="1"/>
  <c r="I2542" i="1"/>
  <c r="H2542" i="1"/>
  <c r="F2542" i="1"/>
  <c r="C2541" i="1"/>
  <c r="V2540" i="1"/>
  <c r="U2540" i="1"/>
  <c r="T2540" i="1"/>
  <c r="K2547" i="1" s="1"/>
  <c r="S2540" i="1"/>
  <c r="I2547" i="1" s="1"/>
  <c r="R2540" i="1"/>
  <c r="K2546" i="1" s="1"/>
  <c r="Q2540" i="1"/>
  <c r="I2546" i="1" s="1"/>
  <c r="E2540" i="1"/>
  <c r="D2540" i="1"/>
  <c r="B2540" i="1"/>
  <c r="J2537" i="1"/>
  <c r="H2537" i="1"/>
  <c r="I2535" i="1"/>
  <c r="H2535" i="1"/>
  <c r="E2535" i="1"/>
  <c r="J2534" i="1"/>
  <c r="E2534" i="1"/>
  <c r="J2533" i="1"/>
  <c r="E2533" i="1"/>
  <c r="K2532" i="1"/>
  <c r="J2532" i="1"/>
  <c r="I2532" i="1"/>
  <c r="H2532" i="1"/>
  <c r="F2532" i="1"/>
  <c r="K2531" i="1"/>
  <c r="J2531" i="1"/>
  <c r="I2531" i="1"/>
  <c r="H2531" i="1"/>
  <c r="F2531" i="1"/>
  <c r="K2530" i="1"/>
  <c r="J2530" i="1"/>
  <c r="I2530" i="1"/>
  <c r="H2530" i="1"/>
  <c r="F2530" i="1"/>
  <c r="K2529" i="1"/>
  <c r="J2529" i="1"/>
  <c r="I2529" i="1"/>
  <c r="H2529" i="1"/>
  <c r="F2529" i="1"/>
  <c r="C2528" i="1"/>
  <c r="V2527" i="1"/>
  <c r="U2527" i="1"/>
  <c r="T2527" i="1"/>
  <c r="K2534" i="1" s="1"/>
  <c r="S2527" i="1"/>
  <c r="I2534" i="1" s="1"/>
  <c r="R2527" i="1"/>
  <c r="K2533" i="1" s="1"/>
  <c r="Q2527" i="1"/>
  <c r="I2533" i="1" s="1"/>
  <c r="E2527" i="1"/>
  <c r="D2527" i="1"/>
  <c r="B2527" i="1"/>
  <c r="J2524" i="1"/>
  <c r="H2524" i="1"/>
  <c r="I2522" i="1"/>
  <c r="H2522" i="1"/>
  <c r="E2522" i="1"/>
  <c r="J2521" i="1"/>
  <c r="E2521" i="1"/>
  <c r="K2520" i="1"/>
  <c r="J2520" i="1"/>
  <c r="E2520" i="1"/>
  <c r="V2519" i="1"/>
  <c r="U2519" i="1"/>
  <c r="T2519" i="1"/>
  <c r="S2519" i="1"/>
  <c r="R2519" i="1"/>
  <c r="Q2519" i="1"/>
  <c r="I2520" i="1" s="1"/>
  <c r="K2519" i="1"/>
  <c r="J2519" i="1"/>
  <c r="I2519" i="1"/>
  <c r="H2519" i="1"/>
  <c r="F2519" i="1"/>
  <c r="E2519" i="1"/>
  <c r="D2519" i="1"/>
  <c r="B2519" i="1"/>
  <c r="K2518" i="1"/>
  <c r="J2518" i="1"/>
  <c r="I2518" i="1"/>
  <c r="H2518" i="1"/>
  <c r="F2518" i="1"/>
  <c r="K2517" i="1"/>
  <c r="J2517" i="1"/>
  <c r="I2517" i="1"/>
  <c r="H2517" i="1"/>
  <c r="F2517" i="1"/>
  <c r="K2516" i="1"/>
  <c r="J2516" i="1"/>
  <c r="I2516" i="1"/>
  <c r="H2516" i="1"/>
  <c r="F2516" i="1"/>
  <c r="K2515" i="1"/>
  <c r="P2525" i="1" s="1"/>
  <c r="J2515" i="1"/>
  <c r="I2515" i="1"/>
  <c r="H2515" i="1"/>
  <c r="F2515" i="1"/>
  <c r="C2514" i="1"/>
  <c r="V2513" i="1"/>
  <c r="U2513" i="1"/>
  <c r="T2513" i="1"/>
  <c r="K2521" i="1" s="1"/>
  <c r="S2513" i="1"/>
  <c r="I2521" i="1" s="1"/>
  <c r="R2513" i="1"/>
  <c r="Q2513" i="1"/>
  <c r="E2513" i="1"/>
  <c r="D2513" i="1"/>
  <c r="B2513" i="1"/>
  <c r="A2512" i="1"/>
  <c r="J2510" i="1"/>
  <c r="I2510" i="1"/>
  <c r="J2509" i="1"/>
  <c r="I2509" i="1"/>
  <c r="A2508" i="1"/>
  <c r="V2504" i="1"/>
  <c r="U2504" i="1"/>
  <c r="T2504" i="1"/>
  <c r="S2504" i="1"/>
  <c r="R2504" i="1"/>
  <c r="Q2504" i="1"/>
  <c r="K2504" i="1"/>
  <c r="P2505" i="1" s="1"/>
  <c r="J2504" i="1"/>
  <c r="I2504" i="1"/>
  <c r="H2504" i="1"/>
  <c r="F2504" i="1"/>
  <c r="E2504" i="1"/>
  <c r="M2504" i="1" s="1"/>
  <c r="D2504" i="1"/>
  <c r="B2503" i="1"/>
  <c r="J2500" i="1"/>
  <c r="H2500" i="1"/>
  <c r="I2498" i="1"/>
  <c r="H2498" i="1"/>
  <c r="E2498" i="1"/>
  <c r="K2497" i="1"/>
  <c r="J2497" i="1"/>
  <c r="E2497" i="1"/>
  <c r="J2496" i="1"/>
  <c r="E2496" i="1"/>
  <c r="V2495" i="1"/>
  <c r="U2495" i="1"/>
  <c r="T2495" i="1"/>
  <c r="S2495" i="1"/>
  <c r="I2497" i="1" s="1"/>
  <c r="R2495" i="1"/>
  <c r="Q2495" i="1"/>
  <c r="I2496" i="1" s="1"/>
  <c r="K2495" i="1"/>
  <c r="J2495" i="1"/>
  <c r="I2495" i="1"/>
  <c r="H2495" i="1"/>
  <c r="F2495" i="1"/>
  <c r="E2495" i="1"/>
  <c r="D2495" i="1"/>
  <c r="B2495" i="1"/>
  <c r="K2494" i="1"/>
  <c r="J2494" i="1"/>
  <c r="I2494" i="1"/>
  <c r="H2494" i="1"/>
  <c r="F2494" i="1"/>
  <c r="K2493" i="1"/>
  <c r="J2493" i="1"/>
  <c r="I2493" i="1"/>
  <c r="H2493" i="1"/>
  <c r="F2493" i="1"/>
  <c r="K2492" i="1"/>
  <c r="J2492" i="1"/>
  <c r="I2492" i="1"/>
  <c r="H2492" i="1"/>
  <c r="F2492" i="1"/>
  <c r="K2491" i="1"/>
  <c r="J2491" i="1"/>
  <c r="I2491" i="1"/>
  <c r="H2491" i="1"/>
  <c r="F2491" i="1"/>
  <c r="C2490" i="1"/>
  <c r="V2489" i="1"/>
  <c r="U2489" i="1"/>
  <c r="T2489" i="1"/>
  <c r="S2489" i="1"/>
  <c r="R2489" i="1"/>
  <c r="Q2489" i="1"/>
  <c r="E2489" i="1"/>
  <c r="D2489" i="1"/>
  <c r="B2489" i="1"/>
  <c r="J2486" i="1"/>
  <c r="H2486" i="1"/>
  <c r="I2484" i="1"/>
  <c r="H2484" i="1"/>
  <c r="E2484" i="1"/>
  <c r="J2483" i="1"/>
  <c r="E2483" i="1"/>
  <c r="J2482" i="1"/>
  <c r="E2482" i="1"/>
  <c r="K2481" i="1"/>
  <c r="J2481" i="1"/>
  <c r="I2481" i="1"/>
  <c r="H2481" i="1"/>
  <c r="F2481" i="1"/>
  <c r="K2480" i="1"/>
  <c r="J2480" i="1"/>
  <c r="I2480" i="1"/>
  <c r="H2480" i="1"/>
  <c r="F2480" i="1"/>
  <c r="K2479" i="1"/>
  <c r="J2479" i="1"/>
  <c r="I2479" i="1"/>
  <c r="H2479" i="1"/>
  <c r="F2479" i="1"/>
  <c r="K2478" i="1"/>
  <c r="J2478" i="1"/>
  <c r="I2478" i="1"/>
  <c r="O2487" i="1" s="1"/>
  <c r="H2478" i="1"/>
  <c r="F2478" i="1"/>
  <c r="C2477" i="1"/>
  <c r="V2476" i="1"/>
  <c r="U2476" i="1"/>
  <c r="T2476" i="1"/>
  <c r="K2483" i="1" s="1"/>
  <c r="S2476" i="1"/>
  <c r="I2483" i="1" s="1"/>
  <c r="R2476" i="1"/>
  <c r="K2482" i="1" s="1"/>
  <c r="Q2476" i="1"/>
  <c r="I2482" i="1" s="1"/>
  <c r="E2476" i="1"/>
  <c r="D2476" i="1"/>
  <c r="B2476" i="1"/>
  <c r="J2473" i="1"/>
  <c r="H2473" i="1"/>
  <c r="I2471" i="1"/>
  <c r="H2471" i="1"/>
  <c r="E2471" i="1"/>
  <c r="J2470" i="1"/>
  <c r="E2470" i="1"/>
  <c r="J2469" i="1"/>
  <c r="E2469" i="1"/>
  <c r="V2468" i="1"/>
  <c r="U2468" i="1"/>
  <c r="T2468" i="1"/>
  <c r="S2468" i="1"/>
  <c r="R2468" i="1"/>
  <c r="Q2468" i="1"/>
  <c r="K2468" i="1"/>
  <c r="J2468" i="1"/>
  <c r="I2468" i="1"/>
  <c r="H2468" i="1"/>
  <c r="F2468" i="1"/>
  <c r="E2468" i="1"/>
  <c r="D2468" i="1"/>
  <c r="B2468" i="1"/>
  <c r="V2467" i="1"/>
  <c r="U2467" i="1"/>
  <c r="T2467" i="1"/>
  <c r="S2467" i="1"/>
  <c r="R2467" i="1"/>
  <c r="Q2467" i="1"/>
  <c r="K2467" i="1"/>
  <c r="J2467" i="1"/>
  <c r="I2467" i="1"/>
  <c r="H2467" i="1"/>
  <c r="F2467" i="1"/>
  <c r="E2467" i="1"/>
  <c r="D2467" i="1"/>
  <c r="B2467" i="1"/>
  <c r="V2466" i="1"/>
  <c r="U2466" i="1"/>
  <c r="T2466" i="1"/>
  <c r="S2466" i="1"/>
  <c r="R2466" i="1"/>
  <c r="Q2466" i="1"/>
  <c r="K2466" i="1"/>
  <c r="J2466" i="1"/>
  <c r="I2466" i="1"/>
  <c r="H2466" i="1"/>
  <c r="F2466" i="1"/>
  <c r="E2466" i="1"/>
  <c r="D2466" i="1"/>
  <c r="B2466" i="1"/>
  <c r="V2465" i="1"/>
  <c r="U2465" i="1"/>
  <c r="T2465" i="1"/>
  <c r="K2470" i="1" s="1"/>
  <c r="S2465" i="1"/>
  <c r="R2465" i="1"/>
  <c r="Q2465" i="1"/>
  <c r="K2465" i="1"/>
  <c r="J2465" i="1"/>
  <c r="I2465" i="1"/>
  <c r="H2465" i="1"/>
  <c r="F2465" i="1"/>
  <c r="E2465" i="1"/>
  <c r="D2465" i="1"/>
  <c r="B2465" i="1"/>
  <c r="K2464" i="1"/>
  <c r="J2464" i="1"/>
  <c r="I2464" i="1"/>
  <c r="H2464" i="1"/>
  <c r="F2464" i="1"/>
  <c r="K2463" i="1"/>
  <c r="J2463" i="1"/>
  <c r="I2463" i="1"/>
  <c r="H2463" i="1"/>
  <c r="F2463" i="1"/>
  <c r="K2462" i="1"/>
  <c r="J2462" i="1"/>
  <c r="I2462" i="1"/>
  <c r="H2462" i="1"/>
  <c r="F2462" i="1"/>
  <c r="K2461" i="1"/>
  <c r="J2461" i="1"/>
  <c r="I2461" i="1"/>
  <c r="H2461" i="1"/>
  <c r="F2461" i="1"/>
  <c r="C2460" i="1"/>
  <c r="V2459" i="1"/>
  <c r="U2459" i="1"/>
  <c r="T2459" i="1"/>
  <c r="S2459" i="1"/>
  <c r="R2459" i="1"/>
  <c r="Q2459" i="1"/>
  <c r="E2459" i="1"/>
  <c r="D2459" i="1"/>
  <c r="B2459" i="1"/>
  <c r="A2458" i="1"/>
  <c r="J2456" i="1"/>
  <c r="I2456" i="1"/>
  <c r="J2455" i="1"/>
  <c r="I2455" i="1"/>
  <c r="A2454" i="1"/>
  <c r="J2450" i="1"/>
  <c r="H2450" i="1"/>
  <c r="I2448" i="1"/>
  <c r="H2448" i="1"/>
  <c r="E2448" i="1"/>
  <c r="J2447" i="1"/>
  <c r="I2447" i="1"/>
  <c r="E2447" i="1"/>
  <c r="J2446" i="1"/>
  <c r="I2446" i="1"/>
  <c r="E2446" i="1"/>
  <c r="K2445" i="1"/>
  <c r="J2445" i="1"/>
  <c r="I2445" i="1"/>
  <c r="H2445" i="1"/>
  <c r="F2445" i="1"/>
  <c r="K2444" i="1"/>
  <c r="J2444" i="1"/>
  <c r="I2444" i="1"/>
  <c r="H2444" i="1"/>
  <c r="F2444" i="1"/>
  <c r="K2443" i="1"/>
  <c r="J2443" i="1"/>
  <c r="I2443" i="1"/>
  <c r="H2443" i="1"/>
  <c r="F2443" i="1"/>
  <c r="K2442" i="1"/>
  <c r="J2442" i="1"/>
  <c r="I2442" i="1"/>
  <c r="H2442" i="1"/>
  <c r="F2442" i="1"/>
  <c r="C2441" i="1"/>
  <c r="V2440" i="1"/>
  <c r="U2440" i="1"/>
  <c r="T2440" i="1"/>
  <c r="K2447" i="1" s="1"/>
  <c r="S2440" i="1"/>
  <c r="R2440" i="1"/>
  <c r="K2446" i="1" s="1"/>
  <c r="Q2440" i="1"/>
  <c r="E2440" i="1"/>
  <c r="D2440" i="1"/>
  <c r="B2440" i="1"/>
  <c r="A2439" i="1"/>
  <c r="A2437" i="1"/>
  <c r="J2435" i="1"/>
  <c r="I2435" i="1"/>
  <c r="J2434" i="1"/>
  <c r="I2434" i="1"/>
  <c r="A2433" i="1"/>
  <c r="J2431" i="1"/>
  <c r="I2431" i="1"/>
  <c r="J2430" i="1"/>
  <c r="I2430" i="1"/>
  <c r="A2429" i="1"/>
  <c r="H2426" i="1"/>
  <c r="C2425" i="1"/>
  <c r="V2424" i="1"/>
  <c r="U2424" i="1"/>
  <c r="T2424" i="1"/>
  <c r="S2424" i="1"/>
  <c r="R2424" i="1"/>
  <c r="Q2424" i="1"/>
  <c r="K2424" i="1"/>
  <c r="P2426" i="1" s="1"/>
  <c r="J2424" i="1"/>
  <c r="I2424" i="1"/>
  <c r="O2426" i="1" s="1"/>
  <c r="H2424" i="1"/>
  <c r="F2424" i="1"/>
  <c r="E2424" i="1"/>
  <c r="M2424" i="1" s="1"/>
  <c r="D2424" i="1"/>
  <c r="B2424" i="1"/>
  <c r="J2421" i="1"/>
  <c r="H2421" i="1"/>
  <c r="I2419" i="1"/>
  <c r="H2419" i="1"/>
  <c r="E2419" i="1"/>
  <c r="J2418" i="1"/>
  <c r="E2418" i="1"/>
  <c r="J2417" i="1"/>
  <c r="E2417" i="1"/>
  <c r="V2416" i="1"/>
  <c r="U2416" i="1"/>
  <c r="T2416" i="1"/>
  <c r="S2416" i="1"/>
  <c r="R2416" i="1"/>
  <c r="Q2416" i="1"/>
  <c r="K2416" i="1"/>
  <c r="J2416" i="1"/>
  <c r="I2416" i="1"/>
  <c r="H2416" i="1"/>
  <c r="F2416" i="1"/>
  <c r="E2416" i="1"/>
  <c r="D2416" i="1"/>
  <c r="B2416" i="1"/>
  <c r="V2415" i="1"/>
  <c r="U2415" i="1"/>
  <c r="T2415" i="1"/>
  <c r="S2415" i="1"/>
  <c r="I2418" i="1" s="1"/>
  <c r="R2415" i="1"/>
  <c r="Q2415" i="1"/>
  <c r="K2415" i="1"/>
  <c r="J2415" i="1"/>
  <c r="I2415" i="1"/>
  <c r="H2415" i="1"/>
  <c r="F2415" i="1"/>
  <c r="E2415" i="1"/>
  <c r="D2415" i="1"/>
  <c r="B2415" i="1"/>
  <c r="V2414" i="1"/>
  <c r="U2414" i="1"/>
  <c r="T2414" i="1"/>
  <c r="S2414" i="1"/>
  <c r="R2414" i="1"/>
  <c r="Q2414" i="1"/>
  <c r="K2414" i="1"/>
  <c r="J2414" i="1"/>
  <c r="I2414" i="1"/>
  <c r="H2414" i="1"/>
  <c r="F2414" i="1"/>
  <c r="E2414" i="1"/>
  <c r="D2414" i="1"/>
  <c r="B2414" i="1"/>
  <c r="K2413" i="1"/>
  <c r="J2413" i="1"/>
  <c r="I2413" i="1"/>
  <c r="H2413" i="1"/>
  <c r="F2413" i="1"/>
  <c r="K2412" i="1"/>
  <c r="J2412" i="1"/>
  <c r="I2412" i="1"/>
  <c r="H2412" i="1"/>
  <c r="F2412" i="1"/>
  <c r="K2411" i="1"/>
  <c r="J2411" i="1"/>
  <c r="I2411" i="1"/>
  <c r="H2411" i="1"/>
  <c r="F2411" i="1"/>
  <c r="K2410" i="1"/>
  <c r="J2410" i="1"/>
  <c r="I2410" i="1"/>
  <c r="H2410" i="1"/>
  <c r="F2410" i="1"/>
  <c r="C2409" i="1"/>
  <c r="V2408" i="1"/>
  <c r="U2408" i="1"/>
  <c r="T2408" i="1"/>
  <c r="S2408" i="1"/>
  <c r="R2408" i="1"/>
  <c r="Q2408" i="1"/>
  <c r="I2417" i="1" s="1"/>
  <c r="E2408" i="1"/>
  <c r="D2408" i="1"/>
  <c r="B2408" i="1"/>
  <c r="O2406" i="1"/>
  <c r="H2406" i="1"/>
  <c r="C2405" i="1"/>
  <c r="V2404" i="1"/>
  <c r="U2404" i="1"/>
  <c r="T2404" i="1"/>
  <c r="S2404" i="1"/>
  <c r="R2404" i="1"/>
  <c r="Q2404" i="1"/>
  <c r="K2404" i="1"/>
  <c r="P2406" i="1" s="1"/>
  <c r="J2404" i="1"/>
  <c r="I2404" i="1"/>
  <c r="H2404" i="1"/>
  <c r="F2404" i="1"/>
  <c r="E2404" i="1"/>
  <c r="M2404" i="1" s="1"/>
  <c r="D2404" i="1"/>
  <c r="B2404" i="1"/>
  <c r="O2402" i="1"/>
  <c r="H2402" i="1"/>
  <c r="C2401" i="1"/>
  <c r="V2400" i="1"/>
  <c r="U2400" i="1"/>
  <c r="T2400" i="1"/>
  <c r="S2400" i="1"/>
  <c r="R2400" i="1"/>
  <c r="Q2400" i="1"/>
  <c r="K2400" i="1"/>
  <c r="P2402" i="1" s="1"/>
  <c r="J2400" i="1"/>
  <c r="I2400" i="1"/>
  <c r="H2400" i="1"/>
  <c r="F2400" i="1"/>
  <c r="E2400" i="1"/>
  <c r="M2400" i="1" s="1"/>
  <c r="D2400" i="1"/>
  <c r="B2400" i="1"/>
  <c r="J2398" i="1"/>
  <c r="H2398" i="1"/>
  <c r="V2397" i="1"/>
  <c r="U2397" i="1"/>
  <c r="T2397" i="1"/>
  <c r="S2397" i="1"/>
  <c r="R2397" i="1"/>
  <c r="Q2397" i="1"/>
  <c r="K2397" i="1"/>
  <c r="P2398" i="1" s="1"/>
  <c r="J2397" i="1"/>
  <c r="I2397" i="1"/>
  <c r="O2398" i="1" s="1"/>
  <c r="H2397" i="1"/>
  <c r="F2397" i="1"/>
  <c r="E2397" i="1"/>
  <c r="M2397" i="1" s="1"/>
  <c r="D2397" i="1"/>
  <c r="B2397" i="1"/>
  <c r="C2394" i="1"/>
  <c r="V2393" i="1"/>
  <c r="U2393" i="1"/>
  <c r="T2393" i="1"/>
  <c r="S2393" i="1"/>
  <c r="R2393" i="1"/>
  <c r="Q2393" i="1"/>
  <c r="K2393" i="1"/>
  <c r="P2395" i="1" s="1"/>
  <c r="J2393" i="1"/>
  <c r="I2393" i="1"/>
  <c r="O2395" i="1" s="1"/>
  <c r="H2393" i="1"/>
  <c r="F2393" i="1"/>
  <c r="E2393" i="1"/>
  <c r="M2393" i="1" s="1"/>
  <c r="D2393" i="1"/>
  <c r="B2393" i="1"/>
  <c r="J2390" i="1"/>
  <c r="H2390" i="1"/>
  <c r="I2388" i="1"/>
  <c r="H2388" i="1"/>
  <c r="E2388" i="1"/>
  <c r="J2387" i="1"/>
  <c r="E2387" i="1"/>
  <c r="J2386" i="1"/>
  <c r="E2386" i="1"/>
  <c r="V2385" i="1"/>
  <c r="U2385" i="1"/>
  <c r="T2385" i="1"/>
  <c r="S2385" i="1"/>
  <c r="R2385" i="1"/>
  <c r="Q2385" i="1"/>
  <c r="K2385" i="1"/>
  <c r="J2385" i="1"/>
  <c r="I2385" i="1"/>
  <c r="H2385" i="1"/>
  <c r="F2385" i="1"/>
  <c r="E2385" i="1"/>
  <c r="D2385" i="1"/>
  <c r="B2385" i="1"/>
  <c r="V2384" i="1"/>
  <c r="U2384" i="1"/>
  <c r="T2384" i="1"/>
  <c r="S2384" i="1"/>
  <c r="I2387" i="1" s="1"/>
  <c r="R2384" i="1"/>
  <c r="Q2384" i="1"/>
  <c r="K2384" i="1"/>
  <c r="J2384" i="1"/>
  <c r="I2384" i="1"/>
  <c r="H2384" i="1"/>
  <c r="F2384" i="1"/>
  <c r="E2384" i="1"/>
  <c r="D2384" i="1"/>
  <c r="B2384" i="1"/>
  <c r="V2383" i="1"/>
  <c r="U2383" i="1"/>
  <c r="T2383" i="1"/>
  <c r="S2383" i="1"/>
  <c r="R2383" i="1"/>
  <c r="Q2383" i="1"/>
  <c r="K2383" i="1"/>
  <c r="J2383" i="1"/>
  <c r="I2383" i="1"/>
  <c r="H2383" i="1"/>
  <c r="F2383" i="1"/>
  <c r="E2383" i="1"/>
  <c r="D2383" i="1"/>
  <c r="B2383" i="1"/>
  <c r="K2382" i="1"/>
  <c r="J2382" i="1"/>
  <c r="I2382" i="1"/>
  <c r="H2382" i="1"/>
  <c r="F2382" i="1"/>
  <c r="K2381" i="1"/>
  <c r="J2381" i="1"/>
  <c r="I2381" i="1"/>
  <c r="H2381" i="1"/>
  <c r="F2381" i="1"/>
  <c r="K2380" i="1"/>
  <c r="J2380" i="1"/>
  <c r="I2380" i="1"/>
  <c r="H2380" i="1"/>
  <c r="F2380" i="1"/>
  <c r="K2379" i="1"/>
  <c r="J2379" i="1"/>
  <c r="I2379" i="1"/>
  <c r="H2379" i="1"/>
  <c r="F2379" i="1"/>
  <c r="C2378" i="1"/>
  <c r="V2377" i="1"/>
  <c r="U2377" i="1"/>
  <c r="T2377" i="1"/>
  <c r="S2377" i="1"/>
  <c r="R2377" i="1"/>
  <c r="Q2377" i="1"/>
  <c r="E2377" i="1"/>
  <c r="D2377" i="1"/>
  <c r="B2377" i="1"/>
  <c r="A2376" i="1"/>
  <c r="J2374" i="1"/>
  <c r="I2374" i="1"/>
  <c r="J2373" i="1"/>
  <c r="I2373" i="1"/>
  <c r="A2372" i="1"/>
  <c r="O2369" i="1"/>
  <c r="J2369" i="1"/>
  <c r="H2369" i="1"/>
  <c r="C2368" i="1"/>
  <c r="V2367" i="1"/>
  <c r="U2367" i="1"/>
  <c r="T2367" i="1"/>
  <c r="S2367" i="1"/>
  <c r="R2367" i="1"/>
  <c r="Q2367" i="1"/>
  <c r="K2367" i="1"/>
  <c r="P2369" i="1" s="1"/>
  <c r="J2367" i="1"/>
  <c r="I2367" i="1"/>
  <c r="H2367" i="1"/>
  <c r="F2367" i="1"/>
  <c r="E2367" i="1"/>
  <c r="D2367" i="1"/>
  <c r="B2367" i="1"/>
  <c r="J2364" i="1"/>
  <c r="H2364" i="1"/>
  <c r="I2362" i="1"/>
  <c r="H2362" i="1"/>
  <c r="E2362" i="1"/>
  <c r="J2361" i="1"/>
  <c r="E2361" i="1"/>
  <c r="K2360" i="1"/>
  <c r="J2360" i="1"/>
  <c r="E2360" i="1"/>
  <c r="K2359" i="1"/>
  <c r="J2359" i="1"/>
  <c r="I2359" i="1"/>
  <c r="H2359" i="1"/>
  <c r="F2359" i="1"/>
  <c r="K2358" i="1"/>
  <c r="J2358" i="1"/>
  <c r="I2358" i="1"/>
  <c r="H2358" i="1"/>
  <c r="F2358" i="1"/>
  <c r="K2357" i="1"/>
  <c r="J2357" i="1"/>
  <c r="I2357" i="1"/>
  <c r="H2357" i="1"/>
  <c r="F2357" i="1"/>
  <c r="K2356" i="1"/>
  <c r="J2363" i="1" s="1"/>
  <c r="J2356" i="1"/>
  <c r="I2356" i="1"/>
  <c r="H2356" i="1"/>
  <c r="F2356" i="1"/>
  <c r="C2355" i="1"/>
  <c r="V2354" i="1"/>
  <c r="U2354" i="1"/>
  <c r="T2354" i="1"/>
  <c r="K2361" i="1" s="1"/>
  <c r="S2354" i="1"/>
  <c r="I2361" i="1" s="1"/>
  <c r="R2354" i="1"/>
  <c r="Q2354" i="1"/>
  <c r="I2360" i="1" s="1"/>
  <c r="E2354" i="1"/>
  <c r="D2354" i="1"/>
  <c r="B2354" i="1"/>
  <c r="C2351" i="1"/>
  <c r="V2350" i="1"/>
  <c r="U2350" i="1"/>
  <c r="T2350" i="1"/>
  <c r="S2350" i="1"/>
  <c r="R2350" i="1"/>
  <c r="Q2350" i="1"/>
  <c r="K2350" i="1"/>
  <c r="P2352" i="1" s="1"/>
  <c r="J2350" i="1"/>
  <c r="I2350" i="1"/>
  <c r="O2352" i="1" s="1"/>
  <c r="H2350" i="1"/>
  <c r="F2350" i="1"/>
  <c r="E2350" i="1"/>
  <c r="D2350" i="1"/>
  <c r="B2350" i="1"/>
  <c r="C2347" i="1"/>
  <c r="V2346" i="1"/>
  <c r="U2346" i="1"/>
  <c r="T2346" i="1"/>
  <c r="S2346" i="1"/>
  <c r="R2346" i="1"/>
  <c r="Q2346" i="1"/>
  <c r="K2346" i="1"/>
  <c r="P2348" i="1" s="1"/>
  <c r="J2346" i="1"/>
  <c r="I2346" i="1"/>
  <c r="O2348" i="1" s="1"/>
  <c r="H2346" i="1"/>
  <c r="F2346" i="1"/>
  <c r="E2346" i="1"/>
  <c r="D2346" i="1"/>
  <c r="B2346" i="1"/>
  <c r="V2343" i="1"/>
  <c r="U2343" i="1"/>
  <c r="T2343" i="1"/>
  <c r="S2343" i="1"/>
  <c r="R2343" i="1"/>
  <c r="Q2343" i="1"/>
  <c r="K2343" i="1"/>
  <c r="P2344" i="1" s="1"/>
  <c r="J2343" i="1"/>
  <c r="I2343" i="1"/>
  <c r="O2344" i="1" s="1"/>
  <c r="H2343" i="1"/>
  <c r="F2343" i="1"/>
  <c r="E2343" i="1"/>
  <c r="D2343" i="1"/>
  <c r="B2343" i="1"/>
  <c r="J2340" i="1"/>
  <c r="H2340" i="1"/>
  <c r="I2338" i="1"/>
  <c r="H2338" i="1"/>
  <c r="E2338" i="1"/>
  <c r="K2337" i="1"/>
  <c r="J2337" i="1"/>
  <c r="E2337" i="1"/>
  <c r="K2336" i="1"/>
  <c r="J2336" i="1"/>
  <c r="I2336" i="1"/>
  <c r="E2336" i="1"/>
  <c r="K2335" i="1"/>
  <c r="J2335" i="1"/>
  <c r="I2335" i="1"/>
  <c r="H2335" i="1"/>
  <c r="F2335" i="1"/>
  <c r="K2334" i="1"/>
  <c r="J2334" i="1"/>
  <c r="I2334" i="1"/>
  <c r="H2334" i="1"/>
  <c r="F2334" i="1"/>
  <c r="K2333" i="1"/>
  <c r="J2333" i="1"/>
  <c r="I2333" i="1"/>
  <c r="H2333" i="1"/>
  <c r="F2333" i="1"/>
  <c r="K2332" i="1"/>
  <c r="J2332" i="1"/>
  <c r="I2332" i="1"/>
  <c r="H2332" i="1"/>
  <c r="F2332" i="1"/>
  <c r="C2331" i="1"/>
  <c r="V2330" i="1"/>
  <c r="U2330" i="1"/>
  <c r="T2330" i="1"/>
  <c r="S2330" i="1"/>
  <c r="I2337" i="1" s="1"/>
  <c r="R2330" i="1"/>
  <c r="Q2330" i="1"/>
  <c r="E2330" i="1"/>
  <c r="D2330" i="1"/>
  <c r="B2330" i="1"/>
  <c r="J2327" i="1"/>
  <c r="H2327" i="1"/>
  <c r="I2325" i="1"/>
  <c r="H2325" i="1"/>
  <c r="E2325" i="1"/>
  <c r="J2324" i="1"/>
  <c r="E2324" i="1"/>
  <c r="J2323" i="1"/>
  <c r="E2323" i="1"/>
  <c r="V2322" i="1"/>
  <c r="U2322" i="1"/>
  <c r="T2322" i="1"/>
  <c r="K2324" i="1" s="1"/>
  <c r="S2322" i="1"/>
  <c r="R2322" i="1"/>
  <c r="Q2322" i="1"/>
  <c r="K2322" i="1"/>
  <c r="J2322" i="1"/>
  <c r="I2322" i="1"/>
  <c r="H2322" i="1"/>
  <c r="F2322" i="1"/>
  <c r="E2322" i="1"/>
  <c r="D2322" i="1"/>
  <c r="B2322" i="1"/>
  <c r="K2321" i="1"/>
  <c r="J2321" i="1"/>
  <c r="I2321" i="1"/>
  <c r="H2321" i="1"/>
  <c r="F2321" i="1"/>
  <c r="K2320" i="1"/>
  <c r="J2320" i="1"/>
  <c r="I2320" i="1"/>
  <c r="H2320" i="1"/>
  <c r="F2320" i="1"/>
  <c r="K2319" i="1"/>
  <c r="J2319" i="1"/>
  <c r="I2319" i="1"/>
  <c r="H2319" i="1"/>
  <c r="F2319" i="1"/>
  <c r="K2318" i="1"/>
  <c r="J2318" i="1"/>
  <c r="I2318" i="1"/>
  <c r="H2318" i="1"/>
  <c r="F2318" i="1"/>
  <c r="V2317" i="1"/>
  <c r="U2317" i="1"/>
  <c r="T2317" i="1"/>
  <c r="S2317" i="1"/>
  <c r="I2324" i="1" s="1"/>
  <c r="R2317" i="1"/>
  <c r="Q2317" i="1"/>
  <c r="E2317" i="1"/>
  <c r="D2317" i="1"/>
  <c r="B2317" i="1"/>
  <c r="A2316" i="1"/>
  <c r="J2314" i="1"/>
  <c r="I2314" i="1"/>
  <c r="J2313" i="1"/>
  <c r="I2313" i="1"/>
  <c r="A2312" i="1"/>
  <c r="J2308" i="1"/>
  <c r="H2308" i="1"/>
  <c r="I2306" i="1"/>
  <c r="H2306" i="1"/>
  <c r="E2306" i="1"/>
  <c r="J2305" i="1"/>
  <c r="E2305" i="1"/>
  <c r="J2304" i="1"/>
  <c r="I2304" i="1"/>
  <c r="E2304" i="1"/>
  <c r="V2303" i="1"/>
  <c r="U2303" i="1"/>
  <c r="T2303" i="1"/>
  <c r="K2305" i="1" s="1"/>
  <c r="S2303" i="1"/>
  <c r="R2303" i="1"/>
  <c r="Q2303" i="1"/>
  <c r="K2303" i="1"/>
  <c r="J2303" i="1"/>
  <c r="I2303" i="1"/>
  <c r="H2303" i="1"/>
  <c r="F2303" i="1"/>
  <c r="E2303" i="1"/>
  <c r="D2303" i="1"/>
  <c r="B2303" i="1"/>
  <c r="K2302" i="1"/>
  <c r="J2302" i="1"/>
  <c r="I2302" i="1"/>
  <c r="H2302" i="1"/>
  <c r="F2302" i="1"/>
  <c r="K2301" i="1"/>
  <c r="J2301" i="1"/>
  <c r="I2301" i="1"/>
  <c r="H2301" i="1"/>
  <c r="F2301" i="1"/>
  <c r="K2300" i="1"/>
  <c r="J2300" i="1"/>
  <c r="I2300" i="1"/>
  <c r="H2300" i="1"/>
  <c r="F2300" i="1"/>
  <c r="K2299" i="1"/>
  <c r="J2299" i="1"/>
  <c r="I2299" i="1"/>
  <c r="H2299" i="1"/>
  <c r="F2299" i="1"/>
  <c r="C2298" i="1"/>
  <c r="V2297" i="1"/>
  <c r="U2297" i="1"/>
  <c r="T2297" i="1"/>
  <c r="S2297" i="1"/>
  <c r="R2297" i="1"/>
  <c r="K2304" i="1" s="1"/>
  <c r="Q2297" i="1"/>
  <c r="E2297" i="1"/>
  <c r="D2297" i="1"/>
  <c r="B2297" i="1"/>
  <c r="V2294" i="1"/>
  <c r="U2294" i="1"/>
  <c r="T2294" i="1"/>
  <c r="S2294" i="1"/>
  <c r="R2294" i="1"/>
  <c r="Q2294" i="1"/>
  <c r="K2294" i="1"/>
  <c r="P2295" i="1" s="1"/>
  <c r="J2294" i="1"/>
  <c r="I2294" i="1"/>
  <c r="O2295" i="1" s="1"/>
  <c r="H2294" i="1"/>
  <c r="F2294" i="1"/>
  <c r="E2294" i="1"/>
  <c r="M2294" i="1" s="1"/>
  <c r="D2294" i="1"/>
  <c r="M2293" i="1"/>
  <c r="B2293" i="1"/>
  <c r="V2290" i="1"/>
  <c r="U2290" i="1"/>
  <c r="T2290" i="1"/>
  <c r="S2290" i="1"/>
  <c r="R2290" i="1"/>
  <c r="Q2290" i="1"/>
  <c r="K2290" i="1"/>
  <c r="P2291" i="1" s="1"/>
  <c r="J2290" i="1"/>
  <c r="I2290" i="1"/>
  <c r="O2291" i="1" s="1"/>
  <c r="H2290" i="1"/>
  <c r="F2290" i="1"/>
  <c r="E2290" i="1"/>
  <c r="M2290" i="1" s="1"/>
  <c r="D2290" i="1"/>
  <c r="M2289" i="1"/>
  <c r="B2289" i="1"/>
  <c r="V2286" i="1"/>
  <c r="U2286" i="1"/>
  <c r="T2286" i="1"/>
  <c r="S2286" i="1"/>
  <c r="R2286" i="1"/>
  <c r="Q2286" i="1"/>
  <c r="K2286" i="1"/>
  <c r="P2287" i="1" s="1"/>
  <c r="J2286" i="1"/>
  <c r="I2286" i="1"/>
  <c r="O2287" i="1" s="1"/>
  <c r="H2286" i="1"/>
  <c r="F2286" i="1"/>
  <c r="E2286" i="1"/>
  <c r="M2286" i="1" s="1"/>
  <c r="D2286" i="1"/>
  <c r="M2285" i="1"/>
  <c r="B2285" i="1"/>
  <c r="J2283" i="1"/>
  <c r="V2282" i="1"/>
  <c r="U2282" i="1"/>
  <c r="T2282" i="1"/>
  <c r="S2282" i="1"/>
  <c r="R2282" i="1"/>
  <c r="Q2282" i="1"/>
  <c r="K2282" i="1"/>
  <c r="P2283" i="1" s="1"/>
  <c r="J2282" i="1"/>
  <c r="I2282" i="1"/>
  <c r="O2283" i="1" s="1"/>
  <c r="H2282" i="1"/>
  <c r="F2282" i="1"/>
  <c r="E2282" i="1"/>
  <c r="M2282" i="1" s="1"/>
  <c r="D2282" i="1"/>
  <c r="M2281" i="1"/>
  <c r="B2281" i="1"/>
  <c r="J2279" i="1"/>
  <c r="V2278" i="1"/>
  <c r="U2278" i="1"/>
  <c r="T2278" i="1"/>
  <c r="S2278" i="1"/>
  <c r="R2278" i="1"/>
  <c r="Q2278" i="1"/>
  <c r="K2278" i="1"/>
  <c r="P2279" i="1" s="1"/>
  <c r="J2278" i="1"/>
  <c r="I2278" i="1"/>
  <c r="O2279" i="1" s="1"/>
  <c r="H2278" i="1"/>
  <c r="F2278" i="1"/>
  <c r="E2278" i="1"/>
  <c r="M2278" i="1" s="1"/>
  <c r="D2278" i="1"/>
  <c r="M2277" i="1"/>
  <c r="B2277" i="1"/>
  <c r="J2275" i="1"/>
  <c r="V2274" i="1"/>
  <c r="U2274" i="1"/>
  <c r="T2274" i="1"/>
  <c r="S2274" i="1"/>
  <c r="R2274" i="1"/>
  <c r="Q2274" i="1"/>
  <c r="K2274" i="1"/>
  <c r="P2275" i="1" s="1"/>
  <c r="J2274" i="1"/>
  <c r="I2274" i="1"/>
  <c r="O2275" i="1" s="1"/>
  <c r="H2274" i="1"/>
  <c r="F2274" i="1"/>
  <c r="E2274" i="1"/>
  <c r="M2274" i="1" s="1"/>
  <c r="D2274" i="1"/>
  <c r="M2273" i="1"/>
  <c r="B2273" i="1"/>
  <c r="J2271" i="1"/>
  <c r="V2270" i="1"/>
  <c r="U2270" i="1"/>
  <c r="T2270" i="1"/>
  <c r="S2270" i="1"/>
  <c r="R2270" i="1"/>
  <c r="Q2270" i="1"/>
  <c r="K2270" i="1"/>
  <c r="P2271" i="1" s="1"/>
  <c r="J2270" i="1"/>
  <c r="I2270" i="1"/>
  <c r="O2271" i="1" s="1"/>
  <c r="H2270" i="1"/>
  <c r="F2270" i="1"/>
  <c r="E2270" i="1"/>
  <c r="M2270" i="1" s="1"/>
  <c r="D2270" i="1"/>
  <c r="M2269" i="1"/>
  <c r="B2269" i="1"/>
  <c r="V2266" i="1"/>
  <c r="U2266" i="1"/>
  <c r="T2266" i="1"/>
  <c r="S2266" i="1"/>
  <c r="R2266" i="1"/>
  <c r="Q2266" i="1"/>
  <c r="K2266" i="1"/>
  <c r="P2267" i="1" s="1"/>
  <c r="J2266" i="1"/>
  <c r="I2266" i="1"/>
  <c r="O2267" i="1" s="1"/>
  <c r="H2266" i="1"/>
  <c r="F2266" i="1"/>
  <c r="E2266" i="1"/>
  <c r="M2266" i="1" s="1"/>
  <c r="D2266" i="1"/>
  <c r="M2265" i="1"/>
  <c r="B2265" i="1"/>
  <c r="J2263" i="1"/>
  <c r="V2262" i="1"/>
  <c r="U2262" i="1"/>
  <c r="T2262" i="1"/>
  <c r="S2262" i="1"/>
  <c r="R2262" i="1"/>
  <c r="Q2262" i="1"/>
  <c r="K2262" i="1"/>
  <c r="P2263" i="1" s="1"/>
  <c r="J2262" i="1"/>
  <c r="I2262" i="1"/>
  <c r="O2263" i="1" s="1"/>
  <c r="H2262" i="1"/>
  <c r="F2262" i="1"/>
  <c r="E2262" i="1"/>
  <c r="M2262" i="1" s="1"/>
  <c r="D2262" i="1"/>
  <c r="M2261" i="1"/>
  <c r="B2261" i="1"/>
  <c r="J2259" i="1"/>
  <c r="V2258" i="1"/>
  <c r="U2258" i="1"/>
  <c r="T2258" i="1"/>
  <c r="S2258" i="1"/>
  <c r="R2258" i="1"/>
  <c r="Q2258" i="1"/>
  <c r="K2258" i="1"/>
  <c r="P2259" i="1" s="1"/>
  <c r="J2258" i="1"/>
  <c r="I2258" i="1"/>
  <c r="O2259" i="1" s="1"/>
  <c r="H2258" i="1"/>
  <c r="F2258" i="1"/>
  <c r="E2258" i="1"/>
  <c r="M2258" i="1" s="1"/>
  <c r="D2258" i="1"/>
  <c r="M2257" i="1"/>
  <c r="B2257" i="1"/>
  <c r="J2255" i="1"/>
  <c r="V2254" i="1"/>
  <c r="U2254" i="1"/>
  <c r="T2254" i="1"/>
  <c r="S2254" i="1"/>
  <c r="R2254" i="1"/>
  <c r="Q2254" i="1"/>
  <c r="K2254" i="1"/>
  <c r="P2255" i="1" s="1"/>
  <c r="J2254" i="1"/>
  <c r="I2254" i="1"/>
  <c r="O2255" i="1" s="1"/>
  <c r="H2254" i="1"/>
  <c r="F2254" i="1"/>
  <c r="E2254" i="1"/>
  <c r="M2254" i="1" s="1"/>
  <c r="D2254" i="1"/>
  <c r="M2253" i="1"/>
  <c r="B2253" i="1"/>
  <c r="J2251" i="1"/>
  <c r="V2250" i="1"/>
  <c r="U2250" i="1"/>
  <c r="T2250" i="1"/>
  <c r="S2250" i="1"/>
  <c r="R2250" i="1"/>
  <c r="Q2250" i="1"/>
  <c r="K2250" i="1"/>
  <c r="P2251" i="1" s="1"/>
  <c r="J2250" i="1"/>
  <c r="I2250" i="1"/>
  <c r="O2251" i="1" s="1"/>
  <c r="H2250" i="1"/>
  <c r="F2250" i="1"/>
  <c r="E2250" i="1"/>
  <c r="M2250" i="1" s="1"/>
  <c r="D2250" i="1"/>
  <c r="M2249" i="1"/>
  <c r="B2249" i="1"/>
  <c r="V2246" i="1"/>
  <c r="U2246" i="1"/>
  <c r="T2246" i="1"/>
  <c r="S2246" i="1"/>
  <c r="R2246" i="1"/>
  <c r="Q2246" i="1"/>
  <c r="K2246" i="1"/>
  <c r="P2247" i="1" s="1"/>
  <c r="J2246" i="1"/>
  <c r="I2246" i="1"/>
  <c r="O2247" i="1" s="1"/>
  <c r="H2246" i="1"/>
  <c r="F2246" i="1"/>
  <c r="E2246" i="1"/>
  <c r="M2246" i="1" s="1"/>
  <c r="D2246" i="1"/>
  <c r="M2245" i="1"/>
  <c r="B2245" i="1"/>
  <c r="V2242" i="1"/>
  <c r="U2242" i="1"/>
  <c r="T2242" i="1"/>
  <c r="S2242" i="1"/>
  <c r="R2242" i="1"/>
  <c r="Q2242" i="1"/>
  <c r="K2242" i="1"/>
  <c r="P2243" i="1" s="1"/>
  <c r="J2242" i="1"/>
  <c r="I2242" i="1"/>
  <c r="O2243" i="1" s="1"/>
  <c r="H2242" i="1"/>
  <c r="F2242" i="1"/>
  <c r="E2242" i="1"/>
  <c r="D2242" i="1"/>
  <c r="M2241" i="1"/>
  <c r="B2241" i="1"/>
  <c r="V2238" i="1"/>
  <c r="U2238" i="1"/>
  <c r="T2238" i="1"/>
  <c r="S2238" i="1"/>
  <c r="R2238" i="1"/>
  <c r="Q2238" i="1"/>
  <c r="K2238" i="1"/>
  <c r="P2239" i="1" s="1"/>
  <c r="J2238" i="1"/>
  <c r="I2238" i="1"/>
  <c r="O2239" i="1" s="1"/>
  <c r="H2238" i="1"/>
  <c r="F2238" i="1"/>
  <c r="E2238" i="1"/>
  <c r="M2238" i="1" s="1"/>
  <c r="D2238" i="1"/>
  <c r="M2237" i="1"/>
  <c r="B2237" i="1"/>
  <c r="V2234" i="1"/>
  <c r="U2234" i="1"/>
  <c r="T2234" i="1"/>
  <c r="S2234" i="1"/>
  <c r="R2234" i="1"/>
  <c r="Q2234" i="1"/>
  <c r="K2234" i="1"/>
  <c r="P2235" i="1" s="1"/>
  <c r="J2234" i="1"/>
  <c r="I2234" i="1"/>
  <c r="O2235" i="1" s="1"/>
  <c r="H2234" i="1"/>
  <c r="F2234" i="1"/>
  <c r="E2234" i="1"/>
  <c r="M2234" i="1" s="1"/>
  <c r="D2234" i="1"/>
  <c r="M2233" i="1"/>
  <c r="B2233" i="1"/>
  <c r="V2230" i="1"/>
  <c r="U2230" i="1"/>
  <c r="T2230" i="1"/>
  <c r="S2230" i="1"/>
  <c r="R2230" i="1"/>
  <c r="Q2230" i="1"/>
  <c r="K2230" i="1"/>
  <c r="P2231" i="1" s="1"/>
  <c r="J2230" i="1"/>
  <c r="I2230" i="1"/>
  <c r="O2231" i="1" s="1"/>
  <c r="H2230" i="1"/>
  <c r="F2230" i="1"/>
  <c r="E2230" i="1"/>
  <c r="M2230" i="1" s="1"/>
  <c r="D2230" i="1"/>
  <c r="M2229" i="1"/>
  <c r="B2229" i="1"/>
  <c r="V2226" i="1"/>
  <c r="U2226" i="1"/>
  <c r="T2226" i="1"/>
  <c r="S2226" i="1"/>
  <c r="R2226" i="1"/>
  <c r="Q2226" i="1"/>
  <c r="K2226" i="1"/>
  <c r="P2227" i="1" s="1"/>
  <c r="J2226" i="1"/>
  <c r="I2226" i="1"/>
  <c r="O2227" i="1" s="1"/>
  <c r="H2226" i="1"/>
  <c r="F2226" i="1"/>
  <c r="E2226" i="1"/>
  <c r="M2226" i="1" s="1"/>
  <c r="D2226" i="1"/>
  <c r="M2225" i="1"/>
  <c r="B2225" i="1"/>
  <c r="V2222" i="1"/>
  <c r="U2222" i="1"/>
  <c r="T2222" i="1"/>
  <c r="S2222" i="1"/>
  <c r="R2222" i="1"/>
  <c r="Q2222" i="1"/>
  <c r="K2222" i="1"/>
  <c r="P2223" i="1" s="1"/>
  <c r="J2222" i="1"/>
  <c r="I2222" i="1"/>
  <c r="O2223" i="1" s="1"/>
  <c r="H2222" i="1"/>
  <c r="F2222" i="1"/>
  <c r="E2222" i="1"/>
  <c r="M2222" i="1" s="1"/>
  <c r="D2222" i="1"/>
  <c r="M2221" i="1"/>
  <c r="B2221" i="1"/>
  <c r="J2218" i="1"/>
  <c r="H2218" i="1"/>
  <c r="I2216" i="1"/>
  <c r="H2216" i="1"/>
  <c r="E2216" i="1"/>
  <c r="J2215" i="1"/>
  <c r="E2215" i="1"/>
  <c r="J2214" i="1"/>
  <c r="E2214" i="1"/>
  <c r="V2213" i="1"/>
  <c r="U2213" i="1"/>
  <c r="T2213" i="1"/>
  <c r="S2213" i="1"/>
  <c r="R2213" i="1"/>
  <c r="Q2213" i="1"/>
  <c r="K2213" i="1"/>
  <c r="J2213" i="1"/>
  <c r="I2213" i="1"/>
  <c r="H2213" i="1"/>
  <c r="F2213" i="1"/>
  <c r="E2213" i="1"/>
  <c r="D2213" i="1"/>
  <c r="B2213" i="1"/>
  <c r="V2212" i="1"/>
  <c r="U2212" i="1"/>
  <c r="T2212" i="1"/>
  <c r="S2212" i="1"/>
  <c r="R2212" i="1"/>
  <c r="Q2212" i="1"/>
  <c r="K2212" i="1"/>
  <c r="J2212" i="1"/>
  <c r="I2212" i="1"/>
  <c r="H2212" i="1"/>
  <c r="F2212" i="1"/>
  <c r="E2212" i="1"/>
  <c r="D2212" i="1"/>
  <c r="B2212" i="1"/>
  <c r="V2211" i="1"/>
  <c r="U2211" i="1"/>
  <c r="T2211" i="1"/>
  <c r="S2211" i="1"/>
  <c r="R2211" i="1"/>
  <c r="Q2211" i="1"/>
  <c r="K2211" i="1"/>
  <c r="J2211" i="1"/>
  <c r="I2211" i="1"/>
  <c r="H2211" i="1"/>
  <c r="F2211" i="1"/>
  <c r="E2211" i="1"/>
  <c r="D2211" i="1"/>
  <c r="B2211" i="1"/>
  <c r="K2210" i="1"/>
  <c r="J2210" i="1"/>
  <c r="I2210" i="1"/>
  <c r="H2210" i="1"/>
  <c r="F2210" i="1"/>
  <c r="K2209" i="1"/>
  <c r="J2209" i="1"/>
  <c r="I2209" i="1"/>
  <c r="H2209" i="1"/>
  <c r="F2209" i="1"/>
  <c r="K2208" i="1"/>
  <c r="J2208" i="1"/>
  <c r="I2208" i="1"/>
  <c r="H2208" i="1"/>
  <c r="F2208" i="1"/>
  <c r="K2207" i="1"/>
  <c r="J2207" i="1"/>
  <c r="I2207" i="1"/>
  <c r="H2207" i="1"/>
  <c r="F2207" i="1"/>
  <c r="C2206" i="1"/>
  <c r="V2205" i="1"/>
  <c r="U2205" i="1"/>
  <c r="T2205" i="1"/>
  <c r="K2215" i="1" s="1"/>
  <c r="S2205" i="1"/>
  <c r="R2205" i="1"/>
  <c r="Q2205" i="1"/>
  <c r="I2214" i="1" s="1"/>
  <c r="E2205" i="1"/>
  <c r="D2205" i="1"/>
  <c r="B2205" i="1"/>
  <c r="P2203" i="1"/>
  <c r="O2203" i="1"/>
  <c r="V2202" i="1"/>
  <c r="U2202" i="1"/>
  <c r="T2202" i="1"/>
  <c r="S2202" i="1"/>
  <c r="R2202" i="1"/>
  <c r="Q2202" i="1"/>
  <c r="K2202" i="1"/>
  <c r="J2203" i="1" s="1"/>
  <c r="J2202" i="1"/>
  <c r="I2202" i="1"/>
  <c r="H2203" i="1" s="1"/>
  <c r="H2202" i="1"/>
  <c r="F2202" i="1"/>
  <c r="E2202" i="1"/>
  <c r="M2202" i="1" s="1"/>
  <c r="D2202" i="1"/>
  <c r="B2202" i="1"/>
  <c r="P2200" i="1"/>
  <c r="O2200" i="1"/>
  <c r="J2200" i="1"/>
  <c r="H2200" i="1"/>
  <c r="V2199" i="1"/>
  <c r="U2199" i="1"/>
  <c r="T2199" i="1"/>
  <c r="S2199" i="1"/>
  <c r="R2199" i="1"/>
  <c r="Q2199" i="1"/>
  <c r="K2199" i="1"/>
  <c r="J2199" i="1"/>
  <c r="I2199" i="1"/>
  <c r="H2199" i="1"/>
  <c r="F2199" i="1"/>
  <c r="E2199" i="1"/>
  <c r="M2199" i="1" s="1"/>
  <c r="D2199" i="1"/>
  <c r="M2198" i="1"/>
  <c r="B2198" i="1"/>
  <c r="V2195" i="1"/>
  <c r="U2195" i="1"/>
  <c r="T2195" i="1"/>
  <c r="S2195" i="1"/>
  <c r="R2195" i="1"/>
  <c r="Q2195" i="1"/>
  <c r="K2195" i="1"/>
  <c r="P2196" i="1" s="1"/>
  <c r="J2195" i="1"/>
  <c r="I2195" i="1"/>
  <c r="O2196" i="1" s="1"/>
  <c r="H2195" i="1"/>
  <c r="F2195" i="1"/>
  <c r="E2195" i="1"/>
  <c r="M2195" i="1" s="1"/>
  <c r="D2195" i="1"/>
  <c r="M2194" i="1"/>
  <c r="B2194" i="1"/>
  <c r="P2192" i="1"/>
  <c r="O2192" i="1"/>
  <c r="H2192" i="1"/>
  <c r="V2191" i="1"/>
  <c r="U2191" i="1"/>
  <c r="T2191" i="1"/>
  <c r="S2191" i="1"/>
  <c r="R2191" i="1"/>
  <c r="Q2191" i="1"/>
  <c r="K2191" i="1"/>
  <c r="J2192" i="1" s="1"/>
  <c r="J2191" i="1"/>
  <c r="I2191" i="1"/>
  <c r="H2191" i="1"/>
  <c r="F2191" i="1"/>
  <c r="E2191" i="1"/>
  <c r="M2191" i="1" s="1"/>
  <c r="D2191" i="1"/>
  <c r="M2190" i="1"/>
  <c r="B2190" i="1"/>
  <c r="P2188" i="1"/>
  <c r="O2188" i="1"/>
  <c r="V2187" i="1"/>
  <c r="U2187" i="1"/>
  <c r="T2187" i="1"/>
  <c r="S2187" i="1"/>
  <c r="R2187" i="1"/>
  <c r="Q2187" i="1"/>
  <c r="K2187" i="1"/>
  <c r="J2188" i="1" s="1"/>
  <c r="J2187" i="1"/>
  <c r="I2187" i="1"/>
  <c r="H2188" i="1" s="1"/>
  <c r="H2187" i="1"/>
  <c r="F2187" i="1"/>
  <c r="E2187" i="1"/>
  <c r="M2187" i="1" s="1"/>
  <c r="D2187" i="1"/>
  <c r="M2186" i="1"/>
  <c r="B2186" i="1"/>
  <c r="O2184" i="1"/>
  <c r="J2184" i="1"/>
  <c r="V2183" i="1"/>
  <c r="U2183" i="1"/>
  <c r="T2183" i="1"/>
  <c r="S2183" i="1"/>
  <c r="R2183" i="1"/>
  <c r="Q2183" i="1"/>
  <c r="K2183" i="1"/>
  <c r="P2184" i="1" s="1"/>
  <c r="J2183" i="1"/>
  <c r="I2183" i="1"/>
  <c r="H2184" i="1" s="1"/>
  <c r="H2183" i="1"/>
  <c r="F2183" i="1"/>
  <c r="E2183" i="1"/>
  <c r="M2183" i="1" s="1"/>
  <c r="D2183" i="1"/>
  <c r="M2182" i="1"/>
  <c r="B2182" i="1"/>
  <c r="P2180" i="1"/>
  <c r="H2180" i="1"/>
  <c r="V2179" i="1"/>
  <c r="U2179" i="1"/>
  <c r="T2179" i="1"/>
  <c r="S2179" i="1"/>
  <c r="R2179" i="1"/>
  <c r="Q2179" i="1"/>
  <c r="K2179" i="1"/>
  <c r="J2180" i="1" s="1"/>
  <c r="J2179" i="1"/>
  <c r="I2179" i="1"/>
  <c r="O2180" i="1" s="1"/>
  <c r="H2179" i="1"/>
  <c r="F2179" i="1"/>
  <c r="E2179" i="1"/>
  <c r="M2179" i="1" s="1"/>
  <c r="D2179" i="1"/>
  <c r="M2178" i="1"/>
  <c r="B2178" i="1"/>
  <c r="O2176" i="1"/>
  <c r="H2176" i="1"/>
  <c r="V2175" i="1"/>
  <c r="U2175" i="1"/>
  <c r="T2175" i="1"/>
  <c r="S2175" i="1"/>
  <c r="R2175" i="1"/>
  <c r="Q2175" i="1"/>
  <c r="K2175" i="1"/>
  <c r="J2176" i="1" s="1"/>
  <c r="J2175" i="1"/>
  <c r="I2175" i="1"/>
  <c r="H2175" i="1"/>
  <c r="F2175" i="1"/>
  <c r="E2175" i="1"/>
  <c r="M2175" i="1" s="1"/>
  <c r="D2175" i="1"/>
  <c r="M2174" i="1"/>
  <c r="B2174" i="1"/>
  <c r="P2172" i="1"/>
  <c r="V2171" i="1"/>
  <c r="U2171" i="1"/>
  <c r="T2171" i="1"/>
  <c r="S2171" i="1"/>
  <c r="R2171" i="1"/>
  <c r="Q2171" i="1"/>
  <c r="K2171" i="1"/>
  <c r="J2172" i="1" s="1"/>
  <c r="J2171" i="1"/>
  <c r="I2171" i="1"/>
  <c r="O2172" i="1" s="1"/>
  <c r="H2171" i="1"/>
  <c r="F2171" i="1"/>
  <c r="E2171" i="1"/>
  <c r="M2171" i="1" s="1"/>
  <c r="D2171" i="1"/>
  <c r="M2170" i="1"/>
  <c r="B2170" i="1"/>
  <c r="H2168" i="1"/>
  <c r="V2167" i="1"/>
  <c r="U2167" i="1"/>
  <c r="T2167" i="1"/>
  <c r="S2167" i="1"/>
  <c r="R2167" i="1"/>
  <c r="Q2167" i="1"/>
  <c r="K2167" i="1"/>
  <c r="J2167" i="1"/>
  <c r="I2167" i="1"/>
  <c r="O2168" i="1" s="1"/>
  <c r="H2167" i="1"/>
  <c r="F2167" i="1"/>
  <c r="E2167" i="1"/>
  <c r="M2167" i="1" s="1"/>
  <c r="D2167" i="1"/>
  <c r="M2166" i="1"/>
  <c r="B2166" i="1"/>
  <c r="V2163" i="1"/>
  <c r="U2163" i="1"/>
  <c r="T2163" i="1"/>
  <c r="S2163" i="1"/>
  <c r="R2163" i="1"/>
  <c r="Q2163" i="1"/>
  <c r="K2163" i="1"/>
  <c r="J2164" i="1" s="1"/>
  <c r="J2163" i="1"/>
  <c r="I2163" i="1"/>
  <c r="H2163" i="1"/>
  <c r="F2163" i="1"/>
  <c r="E2163" i="1"/>
  <c r="M2163" i="1" s="1"/>
  <c r="D2163" i="1"/>
  <c r="M2162" i="1"/>
  <c r="B2162" i="1"/>
  <c r="O2160" i="1"/>
  <c r="V2159" i="1"/>
  <c r="U2159" i="1"/>
  <c r="T2159" i="1"/>
  <c r="S2159" i="1"/>
  <c r="R2159" i="1"/>
  <c r="Q2159" i="1"/>
  <c r="K2159" i="1"/>
  <c r="J2160" i="1" s="1"/>
  <c r="J2159" i="1"/>
  <c r="I2159" i="1"/>
  <c r="H2160" i="1" s="1"/>
  <c r="H2159" i="1"/>
  <c r="F2159" i="1"/>
  <c r="E2159" i="1"/>
  <c r="M2159" i="1" s="1"/>
  <c r="D2159" i="1"/>
  <c r="M2158" i="1"/>
  <c r="B2158" i="1"/>
  <c r="J2155" i="1"/>
  <c r="H2155" i="1"/>
  <c r="I2153" i="1"/>
  <c r="H2153" i="1"/>
  <c r="E2153" i="1"/>
  <c r="J2152" i="1"/>
  <c r="E2152" i="1"/>
  <c r="J2151" i="1"/>
  <c r="E2151" i="1"/>
  <c r="V2150" i="1"/>
  <c r="U2150" i="1"/>
  <c r="T2150" i="1"/>
  <c r="S2150" i="1"/>
  <c r="R2150" i="1"/>
  <c r="Q2150" i="1"/>
  <c r="I2151" i="1" s="1"/>
  <c r="K2150" i="1"/>
  <c r="J2150" i="1"/>
  <c r="I2150" i="1"/>
  <c r="H2150" i="1"/>
  <c r="F2150" i="1"/>
  <c r="E2150" i="1"/>
  <c r="D2150" i="1"/>
  <c r="B2150" i="1"/>
  <c r="V2149" i="1"/>
  <c r="U2149" i="1"/>
  <c r="T2149" i="1"/>
  <c r="S2149" i="1"/>
  <c r="R2149" i="1"/>
  <c r="Q2149" i="1"/>
  <c r="K2149" i="1"/>
  <c r="J2149" i="1"/>
  <c r="I2149" i="1"/>
  <c r="H2149" i="1"/>
  <c r="F2149" i="1"/>
  <c r="E2149" i="1"/>
  <c r="D2149" i="1"/>
  <c r="B2149" i="1"/>
  <c r="V2148" i="1"/>
  <c r="U2148" i="1"/>
  <c r="T2148" i="1"/>
  <c r="S2148" i="1"/>
  <c r="R2148" i="1"/>
  <c r="Q2148" i="1"/>
  <c r="K2148" i="1"/>
  <c r="J2148" i="1"/>
  <c r="I2148" i="1"/>
  <c r="H2148" i="1"/>
  <c r="F2148" i="1"/>
  <c r="E2148" i="1"/>
  <c r="D2148" i="1"/>
  <c r="B2148" i="1"/>
  <c r="K2147" i="1"/>
  <c r="J2147" i="1"/>
  <c r="I2147" i="1"/>
  <c r="H2147" i="1"/>
  <c r="F2147" i="1"/>
  <c r="K2146" i="1"/>
  <c r="J2146" i="1"/>
  <c r="I2146" i="1"/>
  <c r="H2146" i="1"/>
  <c r="F2146" i="1"/>
  <c r="K2145" i="1"/>
  <c r="J2145" i="1"/>
  <c r="I2145" i="1"/>
  <c r="H2145" i="1"/>
  <c r="F2145" i="1"/>
  <c r="K2144" i="1"/>
  <c r="J2144" i="1"/>
  <c r="I2144" i="1"/>
  <c r="H2144" i="1"/>
  <c r="F2144" i="1"/>
  <c r="C2143" i="1"/>
  <c r="V2142" i="1"/>
  <c r="U2142" i="1"/>
  <c r="T2142" i="1"/>
  <c r="S2142" i="1"/>
  <c r="R2142" i="1"/>
  <c r="Q2142" i="1"/>
  <c r="E2142" i="1"/>
  <c r="D2142" i="1"/>
  <c r="B2142" i="1"/>
  <c r="A2141" i="1"/>
  <c r="J2139" i="1"/>
  <c r="I2139" i="1"/>
  <c r="J2138" i="1"/>
  <c r="I2138" i="1"/>
  <c r="A2137" i="1"/>
  <c r="J2133" i="1"/>
  <c r="H2133" i="1"/>
  <c r="I2131" i="1"/>
  <c r="H2131" i="1"/>
  <c r="E2131" i="1"/>
  <c r="J2130" i="1"/>
  <c r="E2130" i="1"/>
  <c r="J2129" i="1"/>
  <c r="E2129" i="1"/>
  <c r="K2128" i="1"/>
  <c r="J2128" i="1"/>
  <c r="I2128" i="1"/>
  <c r="H2128" i="1"/>
  <c r="F2128" i="1"/>
  <c r="K2127" i="1"/>
  <c r="J2127" i="1"/>
  <c r="I2127" i="1"/>
  <c r="H2127" i="1"/>
  <c r="F2127" i="1"/>
  <c r="K2126" i="1"/>
  <c r="J2126" i="1"/>
  <c r="I2126" i="1"/>
  <c r="H2126" i="1"/>
  <c r="F2126" i="1"/>
  <c r="K2125" i="1"/>
  <c r="J2125" i="1"/>
  <c r="I2125" i="1"/>
  <c r="H2125" i="1"/>
  <c r="F2125" i="1"/>
  <c r="C2124" i="1"/>
  <c r="V2123" i="1"/>
  <c r="U2123" i="1"/>
  <c r="T2123" i="1"/>
  <c r="K2130" i="1" s="1"/>
  <c r="S2123" i="1"/>
  <c r="I2130" i="1" s="1"/>
  <c r="R2123" i="1"/>
  <c r="K2129" i="1" s="1"/>
  <c r="Q2123" i="1"/>
  <c r="I2129" i="1" s="1"/>
  <c r="E2123" i="1"/>
  <c r="D2123" i="1"/>
  <c r="B2123" i="1"/>
  <c r="J2120" i="1"/>
  <c r="H2120" i="1"/>
  <c r="I2118" i="1"/>
  <c r="H2118" i="1"/>
  <c r="E2118" i="1"/>
  <c r="J2117" i="1"/>
  <c r="E2117" i="1"/>
  <c r="J2116" i="1"/>
  <c r="E2116" i="1"/>
  <c r="K2115" i="1"/>
  <c r="J2115" i="1"/>
  <c r="I2115" i="1"/>
  <c r="H2115" i="1"/>
  <c r="F2115" i="1"/>
  <c r="C2114" i="1"/>
  <c r="V2113" i="1"/>
  <c r="U2113" i="1"/>
  <c r="T2113" i="1"/>
  <c r="K2117" i="1" s="1"/>
  <c r="S2113" i="1"/>
  <c r="I2117" i="1" s="1"/>
  <c r="R2113" i="1"/>
  <c r="K2116" i="1" s="1"/>
  <c r="Q2113" i="1"/>
  <c r="I2116" i="1" s="1"/>
  <c r="E2113" i="1"/>
  <c r="D2113" i="1"/>
  <c r="B2113" i="1"/>
  <c r="A2112" i="1"/>
  <c r="A2110" i="1"/>
  <c r="J2108" i="1"/>
  <c r="I2108" i="1"/>
  <c r="J2107" i="1"/>
  <c r="I2107" i="1"/>
  <c r="A2106" i="1"/>
  <c r="J2104" i="1"/>
  <c r="I2104" i="1"/>
  <c r="J2103" i="1"/>
  <c r="I2103" i="1"/>
  <c r="A2102" i="1"/>
  <c r="V2098" i="1"/>
  <c r="U2098" i="1"/>
  <c r="T2098" i="1"/>
  <c r="S2098" i="1"/>
  <c r="R2098" i="1"/>
  <c r="Q2098" i="1"/>
  <c r="K2098" i="1"/>
  <c r="J2099" i="1" s="1"/>
  <c r="J2098" i="1"/>
  <c r="I2098" i="1"/>
  <c r="H2098" i="1"/>
  <c r="F2098" i="1"/>
  <c r="E2098" i="1"/>
  <c r="D2098" i="1"/>
  <c r="B2098" i="1"/>
  <c r="J2095" i="1"/>
  <c r="H2095" i="1"/>
  <c r="I2093" i="1"/>
  <c r="H2093" i="1"/>
  <c r="E2093" i="1"/>
  <c r="J2092" i="1"/>
  <c r="E2092" i="1"/>
  <c r="J2091" i="1"/>
  <c r="E2091" i="1"/>
  <c r="K2090" i="1"/>
  <c r="J2090" i="1"/>
  <c r="I2090" i="1"/>
  <c r="H2090" i="1"/>
  <c r="F2090" i="1"/>
  <c r="K2089" i="1"/>
  <c r="J2089" i="1"/>
  <c r="I2089" i="1"/>
  <c r="H2089" i="1"/>
  <c r="F2089" i="1"/>
  <c r="K2088" i="1"/>
  <c r="J2088" i="1"/>
  <c r="I2088" i="1"/>
  <c r="H2088" i="1"/>
  <c r="F2088" i="1"/>
  <c r="K2087" i="1"/>
  <c r="J2087" i="1"/>
  <c r="I2087" i="1"/>
  <c r="H2087" i="1"/>
  <c r="F2087" i="1"/>
  <c r="C2086" i="1"/>
  <c r="V2085" i="1"/>
  <c r="U2085" i="1"/>
  <c r="T2085" i="1"/>
  <c r="K2092" i="1" s="1"/>
  <c r="S2085" i="1"/>
  <c r="I2092" i="1" s="1"/>
  <c r="R2085" i="1"/>
  <c r="K2091" i="1" s="1"/>
  <c r="Q2085" i="1"/>
  <c r="I2091" i="1" s="1"/>
  <c r="E2085" i="1"/>
  <c r="D2085" i="1"/>
  <c r="B2085" i="1"/>
  <c r="H2083" i="1"/>
  <c r="J2082" i="1"/>
  <c r="H2082" i="1"/>
  <c r="I2080" i="1"/>
  <c r="H2080" i="1"/>
  <c r="E2080" i="1"/>
  <c r="J2079" i="1"/>
  <c r="E2079" i="1"/>
  <c r="J2078" i="1"/>
  <c r="E2078" i="1"/>
  <c r="K2077" i="1"/>
  <c r="J2077" i="1"/>
  <c r="I2077" i="1"/>
  <c r="H2077" i="1"/>
  <c r="F2077" i="1"/>
  <c r="K2076" i="1"/>
  <c r="J2076" i="1"/>
  <c r="I2076" i="1"/>
  <c r="H2076" i="1"/>
  <c r="F2076" i="1"/>
  <c r="K2075" i="1"/>
  <c r="J2075" i="1"/>
  <c r="I2075" i="1"/>
  <c r="H2075" i="1"/>
  <c r="F2075" i="1"/>
  <c r="C2074" i="1"/>
  <c r="V2073" i="1"/>
  <c r="U2073" i="1"/>
  <c r="T2073" i="1"/>
  <c r="K2079" i="1" s="1"/>
  <c r="S2073" i="1"/>
  <c r="I2079" i="1" s="1"/>
  <c r="R2073" i="1"/>
  <c r="K2078" i="1" s="1"/>
  <c r="Q2073" i="1"/>
  <c r="I2078" i="1" s="1"/>
  <c r="E2073" i="1"/>
  <c r="D2073" i="1"/>
  <c r="B2073" i="1"/>
  <c r="A2072" i="1"/>
  <c r="J2070" i="1"/>
  <c r="I2070" i="1"/>
  <c r="J2069" i="1"/>
  <c r="I2069" i="1"/>
  <c r="A2068" i="1"/>
  <c r="O2065" i="1"/>
  <c r="H2065" i="1"/>
  <c r="V2064" i="1"/>
  <c r="U2064" i="1"/>
  <c r="T2064" i="1"/>
  <c r="S2064" i="1"/>
  <c r="R2064" i="1"/>
  <c r="Q2064" i="1"/>
  <c r="K2064" i="1"/>
  <c r="J2065" i="1" s="1"/>
  <c r="J2064" i="1"/>
  <c r="I2064" i="1"/>
  <c r="H2064" i="1"/>
  <c r="F2064" i="1"/>
  <c r="E2064" i="1"/>
  <c r="M2064" i="1" s="1"/>
  <c r="D2064" i="1"/>
  <c r="B2064" i="1"/>
  <c r="J2061" i="1"/>
  <c r="H2061" i="1"/>
  <c r="I2059" i="1"/>
  <c r="H2059" i="1"/>
  <c r="E2059" i="1"/>
  <c r="J2058" i="1"/>
  <c r="E2058" i="1"/>
  <c r="J2057" i="1"/>
  <c r="E2057" i="1"/>
  <c r="K2056" i="1"/>
  <c r="J2056" i="1"/>
  <c r="I2056" i="1"/>
  <c r="H2056" i="1"/>
  <c r="F2056" i="1"/>
  <c r="K2055" i="1"/>
  <c r="J2055" i="1"/>
  <c r="I2055" i="1"/>
  <c r="H2055" i="1"/>
  <c r="F2055" i="1"/>
  <c r="K2054" i="1"/>
  <c r="J2054" i="1"/>
  <c r="I2054" i="1"/>
  <c r="H2054" i="1"/>
  <c r="F2054" i="1"/>
  <c r="K2053" i="1"/>
  <c r="J2053" i="1"/>
  <c r="I2053" i="1"/>
  <c r="H2053" i="1"/>
  <c r="F2053" i="1"/>
  <c r="C2052" i="1"/>
  <c r="V2051" i="1"/>
  <c r="U2051" i="1"/>
  <c r="T2051" i="1"/>
  <c r="K2058" i="1" s="1"/>
  <c r="S2051" i="1"/>
  <c r="I2058" i="1" s="1"/>
  <c r="R2051" i="1"/>
  <c r="K2057" i="1" s="1"/>
  <c r="Q2051" i="1"/>
  <c r="I2057" i="1" s="1"/>
  <c r="E2051" i="1"/>
  <c r="D2051" i="1"/>
  <c r="B2051" i="1"/>
  <c r="J2048" i="1"/>
  <c r="H2048" i="1"/>
  <c r="I2046" i="1"/>
  <c r="H2046" i="1"/>
  <c r="E2046" i="1"/>
  <c r="J2045" i="1"/>
  <c r="E2045" i="1"/>
  <c r="J2044" i="1"/>
  <c r="E2044" i="1"/>
  <c r="V2043" i="1"/>
  <c r="U2043" i="1"/>
  <c r="T2043" i="1"/>
  <c r="S2043" i="1"/>
  <c r="R2043" i="1"/>
  <c r="Q2043" i="1"/>
  <c r="K2043" i="1"/>
  <c r="J2043" i="1"/>
  <c r="I2043" i="1"/>
  <c r="H2043" i="1"/>
  <c r="F2043" i="1"/>
  <c r="E2043" i="1"/>
  <c r="D2043" i="1"/>
  <c r="B2043" i="1"/>
  <c r="K2042" i="1"/>
  <c r="J2042" i="1"/>
  <c r="I2042" i="1"/>
  <c r="H2042" i="1"/>
  <c r="F2042" i="1"/>
  <c r="K2041" i="1"/>
  <c r="J2041" i="1"/>
  <c r="I2041" i="1"/>
  <c r="H2041" i="1"/>
  <c r="F2041" i="1"/>
  <c r="K2040" i="1"/>
  <c r="J2040" i="1"/>
  <c r="I2040" i="1"/>
  <c r="H2040" i="1"/>
  <c r="F2040" i="1"/>
  <c r="K2039" i="1"/>
  <c r="J2039" i="1"/>
  <c r="I2039" i="1"/>
  <c r="H2039" i="1"/>
  <c r="F2039" i="1"/>
  <c r="C2038" i="1"/>
  <c r="V2037" i="1"/>
  <c r="U2037" i="1"/>
  <c r="T2037" i="1"/>
  <c r="K2045" i="1" s="1"/>
  <c r="S2037" i="1"/>
  <c r="R2037" i="1"/>
  <c r="Q2037" i="1"/>
  <c r="I2044" i="1" s="1"/>
  <c r="E2037" i="1"/>
  <c r="D2037" i="1"/>
  <c r="B2037" i="1"/>
  <c r="J2034" i="1"/>
  <c r="H2034" i="1"/>
  <c r="I2032" i="1"/>
  <c r="H2032" i="1"/>
  <c r="E2032" i="1"/>
  <c r="J2031" i="1"/>
  <c r="E2031" i="1"/>
  <c r="J2030" i="1"/>
  <c r="E2030" i="1"/>
  <c r="V2029" i="1"/>
  <c r="U2029" i="1"/>
  <c r="T2029" i="1"/>
  <c r="S2029" i="1"/>
  <c r="R2029" i="1"/>
  <c r="Q2029" i="1"/>
  <c r="K2029" i="1"/>
  <c r="J2029" i="1"/>
  <c r="I2029" i="1"/>
  <c r="H2029" i="1"/>
  <c r="F2029" i="1"/>
  <c r="E2029" i="1"/>
  <c r="D2029" i="1"/>
  <c r="B2029" i="1"/>
  <c r="V2028" i="1"/>
  <c r="U2028" i="1"/>
  <c r="T2028" i="1"/>
  <c r="S2028" i="1"/>
  <c r="R2028" i="1"/>
  <c r="Q2028" i="1"/>
  <c r="K2028" i="1"/>
  <c r="J2028" i="1"/>
  <c r="I2028" i="1"/>
  <c r="H2028" i="1"/>
  <c r="F2028" i="1"/>
  <c r="E2028" i="1"/>
  <c r="D2028" i="1"/>
  <c r="B2028" i="1"/>
  <c r="V2027" i="1"/>
  <c r="U2027" i="1"/>
  <c r="T2027" i="1"/>
  <c r="S2027" i="1"/>
  <c r="R2027" i="1"/>
  <c r="K2030" i="1" s="1"/>
  <c r="Q2027" i="1"/>
  <c r="K2027" i="1"/>
  <c r="J2027" i="1"/>
  <c r="I2027" i="1"/>
  <c r="H2027" i="1"/>
  <c r="F2027" i="1"/>
  <c r="E2027" i="1"/>
  <c r="D2027" i="1"/>
  <c r="B2027" i="1"/>
  <c r="K2026" i="1"/>
  <c r="J2026" i="1"/>
  <c r="I2026" i="1"/>
  <c r="H2026" i="1"/>
  <c r="F2026" i="1"/>
  <c r="K2025" i="1"/>
  <c r="J2025" i="1"/>
  <c r="I2025" i="1"/>
  <c r="H2025" i="1"/>
  <c r="F2025" i="1"/>
  <c r="K2024" i="1"/>
  <c r="J2024" i="1"/>
  <c r="I2024" i="1"/>
  <c r="H2024" i="1"/>
  <c r="F2024" i="1"/>
  <c r="C2023" i="1"/>
  <c r="V2022" i="1"/>
  <c r="U2022" i="1"/>
  <c r="T2022" i="1"/>
  <c r="S2022" i="1"/>
  <c r="R2022" i="1"/>
  <c r="Q2022" i="1"/>
  <c r="E2022" i="1"/>
  <c r="D2022" i="1"/>
  <c r="B2022" i="1"/>
  <c r="A2021" i="1"/>
  <c r="J2019" i="1"/>
  <c r="I2019" i="1"/>
  <c r="J2018" i="1"/>
  <c r="I2018" i="1"/>
  <c r="A2017" i="1"/>
  <c r="J2013" i="1"/>
  <c r="H2013" i="1"/>
  <c r="I2011" i="1"/>
  <c r="H2011" i="1"/>
  <c r="E2011" i="1"/>
  <c r="J2010" i="1"/>
  <c r="E2010" i="1"/>
  <c r="J2009" i="1"/>
  <c r="E2009" i="1"/>
  <c r="V2008" i="1"/>
  <c r="U2008" i="1"/>
  <c r="T2008" i="1"/>
  <c r="S2008" i="1"/>
  <c r="R2008" i="1"/>
  <c r="Q2008" i="1"/>
  <c r="K2008" i="1"/>
  <c r="J2008" i="1"/>
  <c r="I2008" i="1"/>
  <c r="H2008" i="1"/>
  <c r="F2008" i="1"/>
  <c r="E2008" i="1"/>
  <c r="D2008" i="1"/>
  <c r="B2008" i="1"/>
  <c r="V2007" i="1"/>
  <c r="U2007" i="1"/>
  <c r="T2007" i="1"/>
  <c r="S2007" i="1"/>
  <c r="R2007" i="1"/>
  <c r="Q2007" i="1"/>
  <c r="K2007" i="1"/>
  <c r="J2007" i="1"/>
  <c r="I2007" i="1"/>
  <c r="H2007" i="1"/>
  <c r="F2007" i="1"/>
  <c r="E2007" i="1"/>
  <c r="D2007" i="1"/>
  <c r="B2007" i="1"/>
  <c r="V2006" i="1"/>
  <c r="U2006" i="1"/>
  <c r="T2006" i="1"/>
  <c r="S2006" i="1"/>
  <c r="R2006" i="1"/>
  <c r="K2009" i="1" s="1"/>
  <c r="Q2006" i="1"/>
  <c r="K2006" i="1"/>
  <c r="J2006" i="1"/>
  <c r="I2006" i="1"/>
  <c r="H2006" i="1"/>
  <c r="F2006" i="1"/>
  <c r="E2006" i="1"/>
  <c r="D2006" i="1"/>
  <c r="B2006" i="1"/>
  <c r="V2005" i="1"/>
  <c r="U2005" i="1"/>
  <c r="T2005" i="1"/>
  <c r="S2005" i="1"/>
  <c r="R2005" i="1"/>
  <c r="Q2005" i="1"/>
  <c r="K2005" i="1"/>
  <c r="J2005" i="1"/>
  <c r="I2005" i="1"/>
  <c r="H2005" i="1"/>
  <c r="F2005" i="1"/>
  <c r="E2005" i="1"/>
  <c r="D2005" i="1"/>
  <c r="B2005" i="1"/>
  <c r="K2004" i="1"/>
  <c r="J2004" i="1"/>
  <c r="I2004" i="1"/>
  <c r="H2004" i="1"/>
  <c r="F2004" i="1"/>
  <c r="K2003" i="1"/>
  <c r="J2003" i="1"/>
  <c r="I2003" i="1"/>
  <c r="H2003" i="1"/>
  <c r="F2003" i="1"/>
  <c r="K2002" i="1"/>
  <c r="J2002" i="1"/>
  <c r="I2002" i="1"/>
  <c r="H2002" i="1"/>
  <c r="F2002" i="1"/>
  <c r="K2001" i="1"/>
  <c r="J2001" i="1"/>
  <c r="I2001" i="1"/>
  <c r="H2001" i="1"/>
  <c r="F2001" i="1"/>
  <c r="C2000" i="1"/>
  <c r="V1999" i="1"/>
  <c r="U1999" i="1"/>
  <c r="T1999" i="1"/>
  <c r="S1999" i="1"/>
  <c r="I2010" i="1" s="1"/>
  <c r="R1999" i="1"/>
  <c r="Q1999" i="1"/>
  <c r="E1999" i="1"/>
  <c r="D1999" i="1"/>
  <c r="B1999" i="1"/>
  <c r="A1998" i="1"/>
  <c r="J1996" i="1"/>
  <c r="I1996" i="1"/>
  <c r="J1995" i="1"/>
  <c r="I1995" i="1"/>
  <c r="A1994" i="1"/>
  <c r="J1990" i="1"/>
  <c r="H1990" i="1"/>
  <c r="I1988" i="1"/>
  <c r="H1988" i="1"/>
  <c r="E1988" i="1"/>
  <c r="K1987" i="1"/>
  <c r="J1987" i="1"/>
  <c r="E1987" i="1"/>
  <c r="J1986" i="1"/>
  <c r="E1986" i="1"/>
  <c r="V1985" i="1"/>
  <c r="U1985" i="1"/>
  <c r="T1985" i="1"/>
  <c r="S1985" i="1"/>
  <c r="I1987" i="1" s="1"/>
  <c r="R1985" i="1"/>
  <c r="Q1985" i="1"/>
  <c r="K1985" i="1"/>
  <c r="J1985" i="1"/>
  <c r="I1985" i="1"/>
  <c r="H1985" i="1"/>
  <c r="F1985" i="1"/>
  <c r="E1985" i="1"/>
  <c r="D1985" i="1"/>
  <c r="B1985" i="1"/>
  <c r="V1984" i="1"/>
  <c r="U1984" i="1"/>
  <c r="T1984" i="1"/>
  <c r="S1984" i="1"/>
  <c r="R1984" i="1"/>
  <c r="Q1984" i="1"/>
  <c r="K1984" i="1"/>
  <c r="J1984" i="1"/>
  <c r="I1984" i="1"/>
  <c r="H1984" i="1"/>
  <c r="F1984" i="1"/>
  <c r="E1984" i="1"/>
  <c r="D1984" i="1"/>
  <c r="B1984" i="1"/>
  <c r="K1983" i="1"/>
  <c r="J1983" i="1"/>
  <c r="I1983" i="1"/>
  <c r="H1983" i="1"/>
  <c r="F1983" i="1"/>
  <c r="K1982" i="1"/>
  <c r="J1982" i="1"/>
  <c r="I1982" i="1"/>
  <c r="H1982" i="1"/>
  <c r="F1982" i="1"/>
  <c r="C1981" i="1"/>
  <c r="V1980" i="1"/>
  <c r="U1980" i="1"/>
  <c r="T1980" i="1"/>
  <c r="S1980" i="1"/>
  <c r="R1980" i="1"/>
  <c r="Q1980" i="1"/>
  <c r="E1980" i="1"/>
  <c r="D1980" i="1"/>
  <c r="B1980" i="1"/>
  <c r="A1979" i="1"/>
  <c r="J1977" i="1"/>
  <c r="I1977" i="1"/>
  <c r="J1976" i="1"/>
  <c r="I1976" i="1"/>
  <c r="A1975" i="1"/>
  <c r="J1971" i="1"/>
  <c r="H1971" i="1"/>
  <c r="I1969" i="1"/>
  <c r="H1969" i="1"/>
  <c r="E1969" i="1"/>
  <c r="J1968" i="1"/>
  <c r="E1968" i="1"/>
  <c r="J1967" i="1"/>
  <c r="E1967" i="1"/>
  <c r="V1966" i="1"/>
  <c r="U1966" i="1"/>
  <c r="T1966" i="1"/>
  <c r="S1966" i="1"/>
  <c r="R1966" i="1"/>
  <c r="Q1966" i="1"/>
  <c r="K1966" i="1"/>
  <c r="J1966" i="1"/>
  <c r="I1966" i="1"/>
  <c r="H1966" i="1"/>
  <c r="F1966" i="1"/>
  <c r="E1966" i="1"/>
  <c r="D1966" i="1"/>
  <c r="B1966" i="1"/>
  <c r="V1965" i="1"/>
  <c r="U1965" i="1"/>
  <c r="T1965" i="1"/>
  <c r="S1965" i="1"/>
  <c r="R1965" i="1"/>
  <c r="Q1965" i="1"/>
  <c r="K1965" i="1"/>
  <c r="J1965" i="1"/>
  <c r="I1965" i="1"/>
  <c r="H1965" i="1"/>
  <c r="F1965" i="1"/>
  <c r="E1965" i="1"/>
  <c r="D1965" i="1"/>
  <c r="B1965" i="1"/>
  <c r="V1964" i="1"/>
  <c r="U1964" i="1"/>
  <c r="T1964" i="1"/>
  <c r="S1964" i="1"/>
  <c r="R1964" i="1"/>
  <c r="Q1964" i="1"/>
  <c r="K1964" i="1"/>
  <c r="J1964" i="1"/>
  <c r="I1964" i="1"/>
  <c r="H1964" i="1"/>
  <c r="F1964" i="1"/>
  <c r="E1964" i="1"/>
  <c r="D1964" i="1"/>
  <c r="B1964" i="1"/>
  <c r="K1963" i="1"/>
  <c r="J1963" i="1"/>
  <c r="I1963" i="1"/>
  <c r="H1963" i="1"/>
  <c r="F1963" i="1"/>
  <c r="K1962" i="1"/>
  <c r="J1962" i="1"/>
  <c r="I1962" i="1"/>
  <c r="H1962" i="1"/>
  <c r="F1962" i="1"/>
  <c r="K1961" i="1"/>
  <c r="J1961" i="1"/>
  <c r="I1961" i="1"/>
  <c r="H1961" i="1"/>
  <c r="F1961" i="1"/>
  <c r="K1960" i="1"/>
  <c r="J1960" i="1"/>
  <c r="I1960" i="1"/>
  <c r="H1960" i="1"/>
  <c r="F1960" i="1"/>
  <c r="C1959" i="1"/>
  <c r="V1958" i="1"/>
  <c r="U1958" i="1"/>
  <c r="T1958" i="1"/>
  <c r="K1968" i="1" s="1"/>
  <c r="S1958" i="1"/>
  <c r="R1958" i="1"/>
  <c r="Q1958" i="1"/>
  <c r="I1967" i="1" s="1"/>
  <c r="E1958" i="1"/>
  <c r="D1958" i="1"/>
  <c r="B1958" i="1"/>
  <c r="A1957" i="1"/>
  <c r="J1955" i="1"/>
  <c r="I1955" i="1"/>
  <c r="J1954" i="1"/>
  <c r="I1954" i="1"/>
  <c r="A1953" i="1"/>
  <c r="J1949" i="1"/>
  <c r="H1949" i="1"/>
  <c r="I1947" i="1"/>
  <c r="H1947" i="1"/>
  <c r="E1947" i="1"/>
  <c r="K1946" i="1"/>
  <c r="J1946" i="1"/>
  <c r="E1946" i="1"/>
  <c r="K1945" i="1"/>
  <c r="J1945" i="1"/>
  <c r="I1945" i="1"/>
  <c r="E1945" i="1"/>
  <c r="K1944" i="1"/>
  <c r="J1944" i="1"/>
  <c r="I1944" i="1"/>
  <c r="H1944" i="1"/>
  <c r="F1944" i="1"/>
  <c r="C1943" i="1"/>
  <c r="V1942" i="1"/>
  <c r="U1942" i="1"/>
  <c r="T1942" i="1"/>
  <c r="S1942" i="1"/>
  <c r="I1946" i="1" s="1"/>
  <c r="R1942" i="1"/>
  <c r="Q1942" i="1"/>
  <c r="E1942" i="1"/>
  <c r="D1942" i="1"/>
  <c r="B1942" i="1"/>
  <c r="J1939" i="1"/>
  <c r="H1939" i="1"/>
  <c r="I1937" i="1"/>
  <c r="H1937" i="1"/>
  <c r="E1937" i="1"/>
  <c r="J1936" i="1"/>
  <c r="E1936" i="1"/>
  <c r="K1935" i="1"/>
  <c r="J1935" i="1"/>
  <c r="E1935" i="1"/>
  <c r="K1934" i="1"/>
  <c r="J1934" i="1"/>
  <c r="I1934" i="1"/>
  <c r="H1934" i="1"/>
  <c r="F1934" i="1"/>
  <c r="K1933" i="1"/>
  <c r="J1933" i="1"/>
  <c r="I1933" i="1"/>
  <c r="H1933" i="1"/>
  <c r="F1933" i="1"/>
  <c r="K1932" i="1"/>
  <c r="J1932" i="1"/>
  <c r="I1932" i="1"/>
  <c r="H1932" i="1"/>
  <c r="F1932" i="1"/>
  <c r="C1931" i="1"/>
  <c r="V1930" i="1"/>
  <c r="U1930" i="1"/>
  <c r="T1930" i="1"/>
  <c r="K1936" i="1" s="1"/>
  <c r="S1930" i="1"/>
  <c r="I1936" i="1" s="1"/>
  <c r="H1940" i="1" s="1"/>
  <c r="R1930" i="1"/>
  <c r="Q1930" i="1"/>
  <c r="I1935" i="1" s="1"/>
  <c r="E1930" i="1"/>
  <c r="D1930" i="1"/>
  <c r="B1930" i="1"/>
  <c r="A1929" i="1"/>
  <c r="A1927" i="1"/>
  <c r="J1925" i="1"/>
  <c r="I1925" i="1"/>
  <c r="J1924" i="1"/>
  <c r="I1924" i="1"/>
  <c r="A1923" i="1"/>
  <c r="J1921" i="1"/>
  <c r="I1921" i="1"/>
  <c r="J1920" i="1"/>
  <c r="I1920" i="1"/>
  <c r="A1919" i="1"/>
  <c r="J1915" i="1"/>
  <c r="H1915" i="1"/>
  <c r="I1913" i="1"/>
  <c r="H1913" i="1"/>
  <c r="E1913" i="1"/>
  <c r="J1912" i="1"/>
  <c r="E1912" i="1"/>
  <c r="J1911" i="1"/>
  <c r="E1911" i="1"/>
  <c r="V1910" i="1"/>
  <c r="U1910" i="1"/>
  <c r="T1910" i="1"/>
  <c r="S1910" i="1"/>
  <c r="R1910" i="1"/>
  <c r="Q1910" i="1"/>
  <c r="K1910" i="1"/>
  <c r="J1910" i="1"/>
  <c r="I1910" i="1"/>
  <c r="H1910" i="1"/>
  <c r="F1910" i="1"/>
  <c r="E1910" i="1"/>
  <c r="D1910" i="1"/>
  <c r="B1910" i="1"/>
  <c r="K1909" i="1"/>
  <c r="J1909" i="1"/>
  <c r="I1909" i="1"/>
  <c r="H1909" i="1"/>
  <c r="F1909" i="1"/>
  <c r="K1908" i="1"/>
  <c r="J1908" i="1"/>
  <c r="I1908" i="1"/>
  <c r="H1908" i="1"/>
  <c r="F1908" i="1"/>
  <c r="K1907" i="1"/>
  <c r="J1907" i="1"/>
  <c r="I1907" i="1"/>
  <c r="H1907" i="1"/>
  <c r="F1907" i="1"/>
  <c r="K1906" i="1"/>
  <c r="J1906" i="1"/>
  <c r="I1906" i="1"/>
  <c r="H1906" i="1"/>
  <c r="F1906" i="1"/>
  <c r="C1905" i="1"/>
  <c r="V1904" i="1"/>
  <c r="U1904" i="1"/>
  <c r="T1904" i="1"/>
  <c r="K1912" i="1" s="1"/>
  <c r="S1904" i="1"/>
  <c r="R1904" i="1"/>
  <c r="Q1904" i="1"/>
  <c r="E1904" i="1"/>
  <c r="D1904" i="1"/>
  <c r="B1904" i="1"/>
  <c r="J1901" i="1"/>
  <c r="H1901" i="1"/>
  <c r="I1899" i="1"/>
  <c r="H1899" i="1"/>
  <c r="E1899" i="1"/>
  <c r="J1898" i="1"/>
  <c r="E1898" i="1"/>
  <c r="J1897" i="1"/>
  <c r="E1897" i="1"/>
  <c r="V1896" i="1"/>
  <c r="U1896" i="1"/>
  <c r="T1896" i="1"/>
  <c r="S1896" i="1"/>
  <c r="I1898" i="1" s="1"/>
  <c r="R1896" i="1"/>
  <c r="Q1896" i="1"/>
  <c r="I1897" i="1" s="1"/>
  <c r="K1896" i="1"/>
  <c r="J1896" i="1"/>
  <c r="I1896" i="1"/>
  <c r="H1896" i="1"/>
  <c r="F1896" i="1"/>
  <c r="E1896" i="1"/>
  <c r="D1896" i="1"/>
  <c r="B1896" i="1"/>
  <c r="K1895" i="1"/>
  <c r="J1895" i="1"/>
  <c r="I1895" i="1"/>
  <c r="H1895" i="1"/>
  <c r="F1895" i="1"/>
  <c r="K1894" i="1"/>
  <c r="J1894" i="1"/>
  <c r="I1894" i="1"/>
  <c r="H1894" i="1"/>
  <c r="F1894" i="1"/>
  <c r="C1893" i="1"/>
  <c r="V1892" i="1"/>
  <c r="U1892" i="1"/>
  <c r="T1892" i="1"/>
  <c r="S1892" i="1"/>
  <c r="R1892" i="1"/>
  <c r="Q1892" i="1"/>
  <c r="E1892" i="1"/>
  <c r="D1892" i="1"/>
  <c r="B1892" i="1"/>
  <c r="O1890" i="1"/>
  <c r="H1890" i="1"/>
  <c r="V1889" i="1"/>
  <c r="U1889" i="1"/>
  <c r="T1889" i="1"/>
  <c r="S1889" i="1"/>
  <c r="R1889" i="1"/>
  <c r="Q1889" i="1"/>
  <c r="K1889" i="1"/>
  <c r="J1889" i="1"/>
  <c r="I1889" i="1"/>
  <c r="H1889" i="1"/>
  <c r="F1889" i="1"/>
  <c r="E1889" i="1"/>
  <c r="M1889" i="1" s="1"/>
  <c r="D1889" i="1"/>
  <c r="B1889" i="1"/>
  <c r="O1887" i="1"/>
  <c r="H1887" i="1"/>
  <c r="V1886" i="1"/>
  <c r="U1886" i="1"/>
  <c r="T1886" i="1"/>
  <c r="S1886" i="1"/>
  <c r="R1886" i="1"/>
  <c r="Q1886" i="1"/>
  <c r="M1886" i="1"/>
  <c r="K1886" i="1"/>
  <c r="J1886" i="1"/>
  <c r="I1886" i="1"/>
  <c r="H1886" i="1"/>
  <c r="F1886" i="1"/>
  <c r="E1886" i="1"/>
  <c r="D1886" i="1"/>
  <c r="B1886" i="1"/>
  <c r="J1883" i="1"/>
  <c r="H1883" i="1"/>
  <c r="I1881" i="1"/>
  <c r="H1881" i="1"/>
  <c r="E1881" i="1"/>
  <c r="K1880" i="1"/>
  <c r="J1880" i="1"/>
  <c r="E1880" i="1"/>
  <c r="J1879" i="1"/>
  <c r="E1879" i="1"/>
  <c r="K1878" i="1"/>
  <c r="J1878" i="1"/>
  <c r="I1878" i="1"/>
  <c r="H1878" i="1"/>
  <c r="F1878" i="1"/>
  <c r="K1877" i="1"/>
  <c r="J1877" i="1"/>
  <c r="I1877" i="1"/>
  <c r="H1877" i="1"/>
  <c r="F1877" i="1"/>
  <c r="K1876" i="1"/>
  <c r="J1876" i="1"/>
  <c r="I1876" i="1"/>
  <c r="H1876" i="1"/>
  <c r="F1876" i="1"/>
  <c r="K1875" i="1"/>
  <c r="J1875" i="1"/>
  <c r="I1875" i="1"/>
  <c r="H1875" i="1"/>
  <c r="F1875" i="1"/>
  <c r="C1874" i="1"/>
  <c r="V1873" i="1"/>
  <c r="U1873" i="1"/>
  <c r="T1873" i="1"/>
  <c r="S1873" i="1"/>
  <c r="I1880" i="1" s="1"/>
  <c r="R1873" i="1"/>
  <c r="K1879" i="1" s="1"/>
  <c r="Q1873" i="1"/>
  <c r="I1879" i="1" s="1"/>
  <c r="E1873" i="1"/>
  <c r="D1873" i="1"/>
  <c r="B1873" i="1"/>
  <c r="A1872" i="1"/>
  <c r="J1870" i="1"/>
  <c r="I1870" i="1"/>
  <c r="J1869" i="1"/>
  <c r="I1869" i="1"/>
  <c r="A1868" i="1"/>
  <c r="J1864" i="1"/>
  <c r="H1864" i="1"/>
  <c r="I1862" i="1"/>
  <c r="H1862" i="1"/>
  <c r="E1862" i="1"/>
  <c r="J1861" i="1"/>
  <c r="I1861" i="1"/>
  <c r="E1861" i="1"/>
  <c r="J1860" i="1"/>
  <c r="E1860" i="1"/>
  <c r="V1859" i="1"/>
  <c r="U1859" i="1"/>
  <c r="T1859" i="1"/>
  <c r="S1859" i="1"/>
  <c r="R1859" i="1"/>
  <c r="Q1859" i="1"/>
  <c r="K1859" i="1"/>
  <c r="J1859" i="1"/>
  <c r="I1859" i="1"/>
  <c r="H1859" i="1"/>
  <c r="F1859" i="1"/>
  <c r="E1859" i="1"/>
  <c r="D1859" i="1"/>
  <c r="B1859" i="1"/>
  <c r="K1858" i="1"/>
  <c r="J1858" i="1"/>
  <c r="I1858" i="1"/>
  <c r="H1858" i="1"/>
  <c r="F1858" i="1"/>
  <c r="K1857" i="1"/>
  <c r="J1857" i="1"/>
  <c r="I1857" i="1"/>
  <c r="H1857" i="1"/>
  <c r="F1857" i="1"/>
  <c r="K1856" i="1"/>
  <c r="J1856" i="1"/>
  <c r="I1856" i="1"/>
  <c r="H1856" i="1"/>
  <c r="F1856" i="1"/>
  <c r="K1855" i="1"/>
  <c r="J1855" i="1"/>
  <c r="I1855" i="1"/>
  <c r="H1855" i="1"/>
  <c r="F1855" i="1"/>
  <c r="C1854" i="1"/>
  <c r="V1853" i="1"/>
  <c r="U1853" i="1"/>
  <c r="T1853" i="1"/>
  <c r="S1853" i="1"/>
  <c r="R1853" i="1"/>
  <c r="Q1853" i="1"/>
  <c r="E1853" i="1"/>
  <c r="D1853" i="1"/>
  <c r="B1853" i="1"/>
  <c r="J1850" i="1"/>
  <c r="H1850" i="1"/>
  <c r="I1848" i="1"/>
  <c r="H1848" i="1"/>
  <c r="E1848" i="1"/>
  <c r="J1847" i="1"/>
  <c r="E1847" i="1"/>
  <c r="J1846" i="1"/>
  <c r="E1846" i="1"/>
  <c r="V1845" i="1"/>
  <c r="U1845" i="1"/>
  <c r="T1845" i="1"/>
  <c r="S1845" i="1"/>
  <c r="R1845" i="1"/>
  <c r="Q1845" i="1"/>
  <c r="K1845" i="1"/>
  <c r="J1845" i="1"/>
  <c r="I1845" i="1"/>
  <c r="H1845" i="1"/>
  <c r="F1845" i="1"/>
  <c r="E1845" i="1"/>
  <c r="D1845" i="1"/>
  <c r="B1845" i="1"/>
  <c r="K1844" i="1"/>
  <c r="J1844" i="1"/>
  <c r="I1844" i="1"/>
  <c r="H1844" i="1"/>
  <c r="F1844" i="1"/>
  <c r="K1843" i="1"/>
  <c r="J1843" i="1"/>
  <c r="I1843" i="1"/>
  <c r="H1843" i="1"/>
  <c r="F1843" i="1"/>
  <c r="C1842" i="1"/>
  <c r="V1841" i="1"/>
  <c r="U1841" i="1"/>
  <c r="T1841" i="1"/>
  <c r="S1841" i="1"/>
  <c r="R1841" i="1"/>
  <c r="Q1841" i="1"/>
  <c r="I1846" i="1" s="1"/>
  <c r="E1841" i="1"/>
  <c r="D1841" i="1"/>
  <c r="B1841" i="1"/>
  <c r="V1838" i="1"/>
  <c r="U1838" i="1"/>
  <c r="T1838" i="1"/>
  <c r="S1838" i="1"/>
  <c r="R1838" i="1"/>
  <c r="Q1838" i="1"/>
  <c r="K1838" i="1"/>
  <c r="J1838" i="1"/>
  <c r="I1838" i="1"/>
  <c r="H1838" i="1"/>
  <c r="F1838" i="1"/>
  <c r="E1838" i="1"/>
  <c r="M1838" i="1" s="1"/>
  <c r="D1838" i="1"/>
  <c r="M1837" i="1"/>
  <c r="B1837" i="1"/>
  <c r="V1834" i="1"/>
  <c r="U1834" i="1"/>
  <c r="T1834" i="1"/>
  <c r="S1834" i="1"/>
  <c r="R1834" i="1"/>
  <c r="Q1834" i="1"/>
  <c r="K1834" i="1"/>
  <c r="J1834" i="1"/>
  <c r="I1834" i="1"/>
  <c r="H1834" i="1"/>
  <c r="F1834" i="1"/>
  <c r="E1834" i="1"/>
  <c r="M1834" i="1" s="1"/>
  <c r="D1834" i="1"/>
  <c r="M1833" i="1"/>
  <c r="B1833" i="1"/>
  <c r="V1830" i="1"/>
  <c r="U1830" i="1"/>
  <c r="T1830" i="1"/>
  <c r="S1830" i="1"/>
  <c r="R1830" i="1"/>
  <c r="Q1830" i="1"/>
  <c r="K1830" i="1"/>
  <c r="J1830" i="1"/>
  <c r="I1830" i="1"/>
  <c r="H1830" i="1"/>
  <c r="F1830" i="1"/>
  <c r="E1830" i="1"/>
  <c r="M1830" i="1" s="1"/>
  <c r="D1830" i="1"/>
  <c r="M1829" i="1"/>
  <c r="B1829" i="1"/>
  <c r="V1826" i="1"/>
  <c r="U1826" i="1"/>
  <c r="T1826" i="1"/>
  <c r="S1826" i="1"/>
  <c r="R1826" i="1"/>
  <c r="Q1826" i="1"/>
  <c r="K1826" i="1"/>
  <c r="J1826" i="1"/>
  <c r="I1826" i="1"/>
  <c r="H1826" i="1"/>
  <c r="F1826" i="1"/>
  <c r="E1826" i="1"/>
  <c r="M1826" i="1" s="1"/>
  <c r="D1826" i="1"/>
  <c r="B1826" i="1"/>
  <c r="J1823" i="1"/>
  <c r="H1823" i="1"/>
  <c r="I1821" i="1"/>
  <c r="H1821" i="1"/>
  <c r="E1821" i="1"/>
  <c r="J1820" i="1"/>
  <c r="E1820" i="1"/>
  <c r="J1819" i="1"/>
  <c r="E1819" i="1"/>
  <c r="V1818" i="1"/>
  <c r="U1818" i="1"/>
  <c r="T1818" i="1"/>
  <c r="S1818" i="1"/>
  <c r="R1818" i="1"/>
  <c r="Q1818" i="1"/>
  <c r="I1819" i="1" s="1"/>
  <c r="K1818" i="1"/>
  <c r="J1818" i="1"/>
  <c r="I1818" i="1"/>
  <c r="H1818" i="1"/>
  <c r="F1818" i="1"/>
  <c r="E1818" i="1"/>
  <c r="D1818" i="1"/>
  <c r="B1818" i="1"/>
  <c r="V1817" i="1"/>
  <c r="U1817" i="1"/>
  <c r="T1817" i="1"/>
  <c r="S1817" i="1"/>
  <c r="R1817" i="1"/>
  <c r="Q1817" i="1"/>
  <c r="K1817" i="1"/>
  <c r="J1817" i="1"/>
  <c r="I1817" i="1"/>
  <c r="H1817" i="1"/>
  <c r="F1817" i="1"/>
  <c r="E1817" i="1"/>
  <c r="D1817" i="1"/>
  <c r="B1817" i="1"/>
  <c r="V1816" i="1"/>
  <c r="U1816" i="1"/>
  <c r="T1816" i="1"/>
  <c r="S1816" i="1"/>
  <c r="R1816" i="1"/>
  <c r="Q1816" i="1"/>
  <c r="K1816" i="1"/>
  <c r="J1816" i="1"/>
  <c r="I1816" i="1"/>
  <c r="H1816" i="1"/>
  <c r="F1816" i="1"/>
  <c r="E1816" i="1"/>
  <c r="D1816" i="1"/>
  <c r="B1816" i="1"/>
  <c r="K1815" i="1"/>
  <c r="J1815" i="1"/>
  <c r="I1815" i="1"/>
  <c r="H1815" i="1"/>
  <c r="F1815" i="1"/>
  <c r="K1814" i="1"/>
  <c r="J1814" i="1"/>
  <c r="I1814" i="1"/>
  <c r="H1814" i="1"/>
  <c r="F1814" i="1"/>
  <c r="K1813" i="1"/>
  <c r="J1813" i="1"/>
  <c r="I1813" i="1"/>
  <c r="H1813" i="1"/>
  <c r="F1813" i="1"/>
  <c r="K1812" i="1"/>
  <c r="J1812" i="1"/>
  <c r="I1812" i="1"/>
  <c r="H1812" i="1"/>
  <c r="F1812" i="1"/>
  <c r="C1811" i="1"/>
  <c r="V1810" i="1"/>
  <c r="U1810" i="1"/>
  <c r="T1810" i="1"/>
  <c r="K1820" i="1" s="1"/>
  <c r="S1810" i="1"/>
  <c r="R1810" i="1"/>
  <c r="K1819" i="1" s="1"/>
  <c r="Q1810" i="1"/>
  <c r="E1810" i="1"/>
  <c r="D1810" i="1"/>
  <c r="B1810" i="1"/>
  <c r="V1807" i="1"/>
  <c r="U1807" i="1"/>
  <c r="T1807" i="1"/>
  <c r="S1807" i="1"/>
  <c r="R1807" i="1"/>
  <c r="Q1807" i="1"/>
  <c r="M1807" i="1"/>
  <c r="K1807" i="1"/>
  <c r="J1807" i="1"/>
  <c r="I1807" i="1"/>
  <c r="O1808" i="1" s="1"/>
  <c r="H1807" i="1"/>
  <c r="F1807" i="1"/>
  <c r="E1807" i="1"/>
  <c r="D1807" i="1"/>
  <c r="B1807" i="1"/>
  <c r="P1805" i="1"/>
  <c r="J1805" i="1"/>
  <c r="V1804" i="1"/>
  <c r="U1804" i="1"/>
  <c r="T1804" i="1"/>
  <c r="S1804" i="1"/>
  <c r="R1804" i="1"/>
  <c r="Q1804" i="1"/>
  <c r="K1804" i="1"/>
  <c r="J1804" i="1"/>
  <c r="I1804" i="1"/>
  <c r="O1805" i="1" s="1"/>
  <c r="H1804" i="1"/>
  <c r="F1804" i="1"/>
  <c r="E1804" i="1"/>
  <c r="M1804" i="1" s="1"/>
  <c r="D1804" i="1"/>
  <c r="B1804" i="1"/>
  <c r="J1802" i="1"/>
  <c r="V1801" i="1"/>
  <c r="U1801" i="1"/>
  <c r="T1801" i="1"/>
  <c r="S1801" i="1"/>
  <c r="R1801" i="1"/>
  <c r="Q1801" i="1"/>
  <c r="K1801" i="1"/>
  <c r="P1802" i="1" s="1"/>
  <c r="J1801" i="1"/>
  <c r="I1801" i="1"/>
  <c r="O1802" i="1" s="1"/>
  <c r="H1801" i="1"/>
  <c r="F1801" i="1"/>
  <c r="E1801" i="1"/>
  <c r="M1801" i="1" s="1"/>
  <c r="D1801" i="1"/>
  <c r="B1801" i="1"/>
  <c r="O1799" i="1"/>
  <c r="V1798" i="1"/>
  <c r="U1798" i="1"/>
  <c r="T1798" i="1"/>
  <c r="S1798" i="1"/>
  <c r="R1798" i="1"/>
  <c r="Q1798" i="1"/>
  <c r="K1798" i="1"/>
  <c r="P1799" i="1" s="1"/>
  <c r="J1798" i="1"/>
  <c r="I1798" i="1"/>
  <c r="H1799" i="1" s="1"/>
  <c r="H1798" i="1"/>
  <c r="F1798" i="1"/>
  <c r="E1798" i="1"/>
  <c r="M1798" i="1" s="1"/>
  <c r="D1798" i="1"/>
  <c r="B1798" i="1"/>
  <c r="O1796" i="1"/>
  <c r="H1796" i="1"/>
  <c r="V1795" i="1"/>
  <c r="U1795" i="1"/>
  <c r="T1795" i="1"/>
  <c r="S1795" i="1"/>
  <c r="R1795" i="1"/>
  <c r="Q1795" i="1"/>
  <c r="K1795" i="1"/>
  <c r="P1796" i="1" s="1"/>
  <c r="J1795" i="1"/>
  <c r="I1795" i="1"/>
  <c r="H1795" i="1"/>
  <c r="F1795" i="1"/>
  <c r="E1795" i="1"/>
  <c r="M1795" i="1" s="1"/>
  <c r="D1795" i="1"/>
  <c r="B1795" i="1"/>
  <c r="P1793" i="1"/>
  <c r="J1793" i="1"/>
  <c r="V1792" i="1"/>
  <c r="U1792" i="1"/>
  <c r="T1792" i="1"/>
  <c r="S1792" i="1"/>
  <c r="R1792" i="1"/>
  <c r="Q1792" i="1"/>
  <c r="M1792" i="1"/>
  <c r="K1792" i="1"/>
  <c r="J1792" i="1"/>
  <c r="I1792" i="1"/>
  <c r="O1793" i="1" s="1"/>
  <c r="H1792" i="1"/>
  <c r="F1792" i="1"/>
  <c r="E1792" i="1"/>
  <c r="D1792" i="1"/>
  <c r="B1792" i="1"/>
  <c r="V1789" i="1"/>
  <c r="U1789" i="1"/>
  <c r="T1789" i="1"/>
  <c r="S1789" i="1"/>
  <c r="R1789" i="1"/>
  <c r="Q1789" i="1"/>
  <c r="K1789" i="1"/>
  <c r="J1789" i="1"/>
  <c r="I1789" i="1"/>
  <c r="H1789" i="1"/>
  <c r="F1789" i="1"/>
  <c r="E1789" i="1"/>
  <c r="M1789" i="1" s="1"/>
  <c r="D1789" i="1"/>
  <c r="B1789" i="1"/>
  <c r="J1786" i="1"/>
  <c r="H1786" i="1"/>
  <c r="I1784" i="1"/>
  <c r="H1784" i="1"/>
  <c r="E1784" i="1"/>
  <c r="K1783" i="1"/>
  <c r="J1783" i="1"/>
  <c r="E1783" i="1"/>
  <c r="J1782" i="1"/>
  <c r="I1782" i="1"/>
  <c r="E1782" i="1"/>
  <c r="V1781" i="1"/>
  <c r="U1781" i="1"/>
  <c r="T1781" i="1"/>
  <c r="S1781" i="1"/>
  <c r="R1781" i="1"/>
  <c r="Q1781" i="1"/>
  <c r="K1781" i="1"/>
  <c r="J1781" i="1"/>
  <c r="I1781" i="1"/>
  <c r="H1781" i="1"/>
  <c r="F1781" i="1"/>
  <c r="E1781" i="1"/>
  <c r="D1781" i="1"/>
  <c r="B1781" i="1"/>
  <c r="V1780" i="1"/>
  <c r="U1780" i="1"/>
  <c r="T1780" i="1"/>
  <c r="S1780" i="1"/>
  <c r="R1780" i="1"/>
  <c r="Q1780" i="1"/>
  <c r="K1780" i="1"/>
  <c r="J1780" i="1"/>
  <c r="I1780" i="1"/>
  <c r="H1780" i="1"/>
  <c r="F1780" i="1"/>
  <c r="E1780" i="1"/>
  <c r="D1780" i="1"/>
  <c r="B1780" i="1"/>
  <c r="V1779" i="1"/>
  <c r="U1779" i="1"/>
  <c r="T1779" i="1"/>
  <c r="S1779" i="1"/>
  <c r="R1779" i="1"/>
  <c r="Q1779" i="1"/>
  <c r="K1779" i="1"/>
  <c r="J1779" i="1"/>
  <c r="I1779" i="1"/>
  <c r="H1779" i="1"/>
  <c r="F1779" i="1"/>
  <c r="E1779" i="1"/>
  <c r="D1779" i="1"/>
  <c r="B1779" i="1"/>
  <c r="K1778" i="1"/>
  <c r="J1778" i="1"/>
  <c r="I1778" i="1"/>
  <c r="H1778" i="1"/>
  <c r="F1778" i="1"/>
  <c r="K1777" i="1"/>
  <c r="J1777" i="1"/>
  <c r="I1777" i="1"/>
  <c r="H1777" i="1"/>
  <c r="F1777" i="1"/>
  <c r="K1776" i="1"/>
  <c r="J1776" i="1"/>
  <c r="I1776" i="1"/>
  <c r="H1776" i="1"/>
  <c r="F1776" i="1"/>
  <c r="K1775" i="1"/>
  <c r="J1775" i="1"/>
  <c r="I1775" i="1"/>
  <c r="H1775" i="1"/>
  <c r="F1775" i="1"/>
  <c r="C1774" i="1"/>
  <c r="V1773" i="1"/>
  <c r="U1773" i="1"/>
  <c r="T1773" i="1"/>
  <c r="S1773" i="1"/>
  <c r="R1773" i="1"/>
  <c r="Q1773" i="1"/>
  <c r="E1773" i="1"/>
  <c r="D1773" i="1"/>
  <c r="B1773" i="1"/>
  <c r="A1772" i="1"/>
  <c r="J1770" i="1"/>
  <c r="I1770" i="1"/>
  <c r="J1769" i="1"/>
  <c r="I1769" i="1"/>
  <c r="A1768" i="1"/>
  <c r="J1764" i="1"/>
  <c r="H1764" i="1"/>
  <c r="I1762" i="1"/>
  <c r="H1762" i="1"/>
  <c r="E1762" i="1"/>
  <c r="J1761" i="1"/>
  <c r="E1761" i="1"/>
  <c r="J1760" i="1"/>
  <c r="E1760" i="1"/>
  <c r="K1759" i="1"/>
  <c r="J1759" i="1"/>
  <c r="I1759" i="1"/>
  <c r="H1759" i="1"/>
  <c r="F1759" i="1"/>
  <c r="K1758" i="1"/>
  <c r="J1758" i="1"/>
  <c r="I1758" i="1"/>
  <c r="H1758" i="1"/>
  <c r="F1758" i="1"/>
  <c r="K1757" i="1"/>
  <c r="J1757" i="1"/>
  <c r="I1757" i="1"/>
  <c r="H1757" i="1"/>
  <c r="F1757" i="1"/>
  <c r="K1756" i="1"/>
  <c r="J1765" i="1" s="1"/>
  <c r="J1756" i="1"/>
  <c r="I1756" i="1"/>
  <c r="H1756" i="1"/>
  <c r="F1756" i="1"/>
  <c r="C1755" i="1"/>
  <c r="V1754" i="1"/>
  <c r="U1754" i="1"/>
  <c r="T1754" i="1"/>
  <c r="K1761" i="1" s="1"/>
  <c r="S1754" i="1"/>
  <c r="I1761" i="1" s="1"/>
  <c r="R1754" i="1"/>
  <c r="K1760" i="1" s="1"/>
  <c r="Q1754" i="1"/>
  <c r="I1760" i="1" s="1"/>
  <c r="E1754" i="1"/>
  <c r="D1754" i="1"/>
  <c r="B1754" i="1"/>
  <c r="A1753" i="1"/>
  <c r="A1751" i="1"/>
  <c r="J1749" i="1"/>
  <c r="I1749" i="1"/>
  <c r="J1748" i="1"/>
  <c r="I1748" i="1"/>
  <c r="A1747" i="1"/>
  <c r="J1745" i="1"/>
  <c r="I1745" i="1"/>
  <c r="J1744" i="1"/>
  <c r="I1744" i="1"/>
  <c r="AQ1743" i="1"/>
  <c r="A1743" i="1"/>
  <c r="P1740" i="1"/>
  <c r="V1739" i="1"/>
  <c r="U1739" i="1"/>
  <c r="T1739" i="1"/>
  <c r="S1739" i="1"/>
  <c r="R1739" i="1"/>
  <c r="Q1739" i="1"/>
  <c r="K1739" i="1"/>
  <c r="J1740" i="1" s="1"/>
  <c r="J1739" i="1"/>
  <c r="I1739" i="1"/>
  <c r="O1740" i="1" s="1"/>
  <c r="H1739" i="1"/>
  <c r="F1739" i="1"/>
  <c r="E1739" i="1"/>
  <c r="M1739" i="1" s="1"/>
  <c r="D1739" i="1"/>
  <c r="B1739" i="1"/>
  <c r="O1737" i="1"/>
  <c r="V1736" i="1"/>
  <c r="U1736" i="1"/>
  <c r="T1736" i="1"/>
  <c r="S1736" i="1"/>
  <c r="R1736" i="1"/>
  <c r="Q1736" i="1"/>
  <c r="K1736" i="1"/>
  <c r="P1737" i="1" s="1"/>
  <c r="J1736" i="1"/>
  <c r="I1736" i="1"/>
  <c r="H1737" i="1" s="1"/>
  <c r="H1736" i="1"/>
  <c r="F1736" i="1"/>
  <c r="E1736" i="1"/>
  <c r="M1736" i="1" s="1"/>
  <c r="D1736" i="1"/>
  <c r="B1736" i="1"/>
  <c r="P1734" i="1"/>
  <c r="J1734" i="1"/>
  <c r="H1734" i="1"/>
  <c r="V1733" i="1"/>
  <c r="U1733" i="1"/>
  <c r="T1733" i="1"/>
  <c r="S1733" i="1"/>
  <c r="R1733" i="1"/>
  <c r="Q1733" i="1"/>
  <c r="K1733" i="1"/>
  <c r="J1733" i="1"/>
  <c r="I1733" i="1"/>
  <c r="O1734" i="1" s="1"/>
  <c r="H1733" i="1"/>
  <c r="F1733" i="1"/>
  <c r="E1733" i="1"/>
  <c r="M1733" i="1" s="1"/>
  <c r="D1733" i="1"/>
  <c r="B1733" i="1"/>
  <c r="P1731" i="1"/>
  <c r="O1731" i="1"/>
  <c r="V1730" i="1"/>
  <c r="U1730" i="1"/>
  <c r="T1730" i="1"/>
  <c r="S1730" i="1"/>
  <c r="R1730" i="1"/>
  <c r="Q1730" i="1"/>
  <c r="M1730" i="1"/>
  <c r="K1730" i="1"/>
  <c r="J1731" i="1" s="1"/>
  <c r="J1730" i="1"/>
  <c r="I1730" i="1"/>
  <c r="H1731" i="1" s="1"/>
  <c r="H1730" i="1"/>
  <c r="F1730" i="1"/>
  <c r="E1730" i="1"/>
  <c r="D1730" i="1"/>
  <c r="B1730" i="1"/>
  <c r="J1727" i="1"/>
  <c r="H1727" i="1"/>
  <c r="I1725" i="1"/>
  <c r="H1725" i="1"/>
  <c r="E1725" i="1"/>
  <c r="J1724" i="1"/>
  <c r="E1724" i="1"/>
  <c r="K1723" i="1"/>
  <c r="J1723" i="1"/>
  <c r="E1723" i="1"/>
  <c r="V1722" i="1"/>
  <c r="U1722" i="1"/>
  <c r="T1722" i="1"/>
  <c r="S1722" i="1"/>
  <c r="R1722" i="1"/>
  <c r="Q1722" i="1"/>
  <c r="K1722" i="1"/>
  <c r="J1722" i="1"/>
  <c r="I1722" i="1"/>
  <c r="H1722" i="1"/>
  <c r="F1722" i="1"/>
  <c r="E1722" i="1"/>
  <c r="D1722" i="1"/>
  <c r="B1722" i="1"/>
  <c r="K1721" i="1"/>
  <c r="J1721" i="1"/>
  <c r="I1721" i="1"/>
  <c r="H1721" i="1"/>
  <c r="F1721" i="1"/>
  <c r="K1720" i="1"/>
  <c r="J1720" i="1"/>
  <c r="I1720" i="1"/>
  <c r="H1720" i="1"/>
  <c r="F1720" i="1"/>
  <c r="K1719" i="1"/>
  <c r="J1719" i="1"/>
  <c r="I1719" i="1"/>
  <c r="H1719" i="1"/>
  <c r="F1719" i="1"/>
  <c r="C1718" i="1"/>
  <c r="V1717" i="1"/>
  <c r="U1717" i="1"/>
  <c r="T1717" i="1"/>
  <c r="K1724" i="1" s="1"/>
  <c r="J1728" i="1" s="1"/>
  <c r="S1717" i="1"/>
  <c r="R1717" i="1"/>
  <c r="Q1717" i="1"/>
  <c r="E1717" i="1"/>
  <c r="D1717" i="1"/>
  <c r="B1717" i="1"/>
  <c r="P1715" i="1"/>
  <c r="J1715" i="1"/>
  <c r="V1714" i="1"/>
  <c r="U1714" i="1"/>
  <c r="T1714" i="1"/>
  <c r="S1714" i="1"/>
  <c r="R1714" i="1"/>
  <c r="Q1714" i="1"/>
  <c r="K1714" i="1"/>
  <c r="J1714" i="1"/>
  <c r="I1714" i="1"/>
  <c r="H1714" i="1"/>
  <c r="F1714" i="1"/>
  <c r="E1714" i="1"/>
  <c r="M1714" i="1" s="1"/>
  <c r="D1714" i="1"/>
  <c r="B1714" i="1"/>
  <c r="V1711" i="1"/>
  <c r="U1711" i="1"/>
  <c r="T1711" i="1"/>
  <c r="S1711" i="1"/>
  <c r="R1711" i="1"/>
  <c r="Q1711" i="1"/>
  <c r="K1711" i="1"/>
  <c r="P1712" i="1" s="1"/>
  <c r="J1711" i="1"/>
  <c r="I1711" i="1"/>
  <c r="H1712" i="1" s="1"/>
  <c r="H1711" i="1"/>
  <c r="F1711" i="1"/>
  <c r="E1711" i="1"/>
  <c r="M1711" i="1" s="1"/>
  <c r="D1711" i="1"/>
  <c r="B1711" i="1"/>
  <c r="P1709" i="1"/>
  <c r="O1709" i="1"/>
  <c r="J1709" i="1"/>
  <c r="H1709" i="1"/>
  <c r="V1708" i="1"/>
  <c r="U1708" i="1"/>
  <c r="T1708" i="1"/>
  <c r="S1708" i="1"/>
  <c r="R1708" i="1"/>
  <c r="Q1708" i="1"/>
  <c r="K1708" i="1"/>
  <c r="J1708" i="1"/>
  <c r="I1708" i="1"/>
  <c r="H1708" i="1"/>
  <c r="F1708" i="1"/>
  <c r="E1708" i="1"/>
  <c r="M1708" i="1" s="1"/>
  <c r="D1708" i="1"/>
  <c r="B1708" i="1"/>
  <c r="P1706" i="1"/>
  <c r="O1706" i="1"/>
  <c r="V1705" i="1"/>
  <c r="U1705" i="1"/>
  <c r="T1705" i="1"/>
  <c r="S1705" i="1"/>
  <c r="R1705" i="1"/>
  <c r="Q1705" i="1"/>
  <c r="M1705" i="1"/>
  <c r="K1705" i="1"/>
  <c r="J1706" i="1" s="1"/>
  <c r="J1705" i="1"/>
  <c r="I1705" i="1"/>
  <c r="H1706" i="1" s="1"/>
  <c r="H1705" i="1"/>
  <c r="F1705" i="1"/>
  <c r="E1705" i="1"/>
  <c r="D1705" i="1"/>
  <c r="B1705" i="1"/>
  <c r="O1703" i="1"/>
  <c r="H1703" i="1"/>
  <c r="V1702" i="1"/>
  <c r="U1702" i="1"/>
  <c r="T1702" i="1"/>
  <c r="S1702" i="1"/>
  <c r="R1702" i="1"/>
  <c r="Q1702" i="1"/>
  <c r="K1702" i="1"/>
  <c r="J1703" i="1" s="1"/>
  <c r="J1702" i="1"/>
  <c r="I1702" i="1"/>
  <c r="H1702" i="1"/>
  <c r="F1702" i="1"/>
  <c r="E1702" i="1"/>
  <c r="M1702" i="1" s="1"/>
  <c r="D1702" i="1"/>
  <c r="B1702" i="1"/>
  <c r="O1700" i="1"/>
  <c r="V1699" i="1"/>
  <c r="U1699" i="1"/>
  <c r="T1699" i="1"/>
  <c r="S1699" i="1"/>
  <c r="R1699" i="1"/>
  <c r="Q1699" i="1"/>
  <c r="K1699" i="1"/>
  <c r="P1700" i="1" s="1"/>
  <c r="J1699" i="1"/>
  <c r="I1699" i="1"/>
  <c r="H1700" i="1" s="1"/>
  <c r="H1699" i="1"/>
  <c r="F1699" i="1"/>
  <c r="E1699" i="1"/>
  <c r="M1699" i="1" s="1"/>
  <c r="D1699" i="1"/>
  <c r="B1699" i="1"/>
  <c r="J1697" i="1"/>
  <c r="V1696" i="1"/>
  <c r="U1696" i="1"/>
  <c r="T1696" i="1"/>
  <c r="S1696" i="1"/>
  <c r="R1696" i="1"/>
  <c r="Q1696" i="1"/>
  <c r="M1696" i="1"/>
  <c r="K1696" i="1"/>
  <c r="P1697" i="1" s="1"/>
  <c r="J1696" i="1"/>
  <c r="I1696" i="1"/>
  <c r="O1697" i="1" s="1"/>
  <c r="H1696" i="1"/>
  <c r="F1696" i="1"/>
  <c r="E1696" i="1"/>
  <c r="D1696" i="1"/>
  <c r="B1696" i="1"/>
  <c r="V1693" i="1"/>
  <c r="U1693" i="1"/>
  <c r="T1693" i="1"/>
  <c r="S1693" i="1"/>
  <c r="R1693" i="1"/>
  <c r="Q1693" i="1"/>
  <c r="M1693" i="1"/>
  <c r="K1693" i="1"/>
  <c r="J1693" i="1"/>
  <c r="I1693" i="1"/>
  <c r="H1693" i="1"/>
  <c r="F1693" i="1"/>
  <c r="E1693" i="1"/>
  <c r="D1693" i="1"/>
  <c r="B1693" i="1"/>
  <c r="O1691" i="1"/>
  <c r="V1690" i="1"/>
  <c r="U1690" i="1"/>
  <c r="T1690" i="1"/>
  <c r="S1690" i="1"/>
  <c r="R1690" i="1"/>
  <c r="Q1690" i="1"/>
  <c r="K1690" i="1"/>
  <c r="P1691" i="1" s="1"/>
  <c r="J1690" i="1"/>
  <c r="I1690" i="1"/>
  <c r="H1691" i="1" s="1"/>
  <c r="H1690" i="1"/>
  <c r="F1690" i="1"/>
  <c r="E1690" i="1"/>
  <c r="M1690" i="1" s="1"/>
  <c r="D1690" i="1"/>
  <c r="B1690" i="1"/>
  <c r="V1687" i="1"/>
  <c r="U1687" i="1"/>
  <c r="T1687" i="1"/>
  <c r="S1687" i="1"/>
  <c r="R1687" i="1"/>
  <c r="Q1687" i="1"/>
  <c r="K1687" i="1"/>
  <c r="P1688" i="1" s="1"/>
  <c r="J1687" i="1"/>
  <c r="I1687" i="1"/>
  <c r="H1687" i="1"/>
  <c r="F1687" i="1"/>
  <c r="E1687" i="1"/>
  <c r="M1687" i="1" s="1"/>
  <c r="D1687" i="1"/>
  <c r="B1687" i="1"/>
  <c r="V1684" i="1"/>
  <c r="U1684" i="1"/>
  <c r="T1684" i="1"/>
  <c r="S1684" i="1"/>
  <c r="R1684" i="1"/>
  <c r="Q1684" i="1"/>
  <c r="K1684" i="1"/>
  <c r="P1685" i="1" s="1"/>
  <c r="J1684" i="1"/>
  <c r="I1684" i="1"/>
  <c r="O1685" i="1" s="1"/>
  <c r="H1684" i="1"/>
  <c r="F1684" i="1"/>
  <c r="E1684" i="1"/>
  <c r="M1684" i="1" s="1"/>
  <c r="D1684" i="1"/>
  <c r="B1684" i="1"/>
  <c r="V1681" i="1"/>
  <c r="U1681" i="1"/>
  <c r="T1681" i="1"/>
  <c r="S1681" i="1"/>
  <c r="R1681" i="1"/>
  <c r="Q1681" i="1"/>
  <c r="K1681" i="1"/>
  <c r="P1682" i="1" s="1"/>
  <c r="J1681" i="1"/>
  <c r="I1681" i="1"/>
  <c r="O1682" i="1" s="1"/>
  <c r="H1681" i="1"/>
  <c r="F1681" i="1"/>
  <c r="E1681" i="1"/>
  <c r="M1681" i="1" s="1"/>
  <c r="D1681" i="1"/>
  <c r="B1681" i="1"/>
  <c r="J1679" i="1"/>
  <c r="V1678" i="1"/>
  <c r="U1678" i="1"/>
  <c r="T1678" i="1"/>
  <c r="S1678" i="1"/>
  <c r="R1678" i="1"/>
  <c r="Q1678" i="1"/>
  <c r="K1678" i="1"/>
  <c r="P1679" i="1" s="1"/>
  <c r="J1678" i="1"/>
  <c r="I1678" i="1"/>
  <c r="O1679" i="1" s="1"/>
  <c r="H1678" i="1"/>
  <c r="F1678" i="1"/>
  <c r="E1678" i="1"/>
  <c r="M1678" i="1" s="1"/>
  <c r="D1678" i="1"/>
  <c r="B1678" i="1"/>
  <c r="V1675" i="1"/>
  <c r="U1675" i="1"/>
  <c r="T1675" i="1"/>
  <c r="S1675" i="1"/>
  <c r="R1675" i="1"/>
  <c r="Q1675" i="1"/>
  <c r="K1675" i="1"/>
  <c r="J1675" i="1"/>
  <c r="I1675" i="1"/>
  <c r="O1676" i="1" s="1"/>
  <c r="H1675" i="1"/>
  <c r="F1675" i="1"/>
  <c r="E1675" i="1"/>
  <c r="M1675" i="1" s="1"/>
  <c r="D1675" i="1"/>
  <c r="B1675" i="1"/>
  <c r="J1672" i="1"/>
  <c r="H1672" i="1"/>
  <c r="I1670" i="1"/>
  <c r="H1670" i="1"/>
  <c r="E1670" i="1"/>
  <c r="J1669" i="1"/>
  <c r="I1669" i="1"/>
  <c r="E1669" i="1"/>
  <c r="J1668" i="1"/>
  <c r="E1668" i="1"/>
  <c r="V1667" i="1"/>
  <c r="U1667" i="1"/>
  <c r="T1667" i="1"/>
  <c r="S1667" i="1"/>
  <c r="R1667" i="1"/>
  <c r="Q1667" i="1"/>
  <c r="K1667" i="1"/>
  <c r="J1667" i="1"/>
  <c r="I1667" i="1"/>
  <c r="H1667" i="1"/>
  <c r="F1667" i="1"/>
  <c r="E1667" i="1"/>
  <c r="D1667" i="1"/>
  <c r="B1667" i="1"/>
  <c r="K1666" i="1"/>
  <c r="J1666" i="1"/>
  <c r="I1666" i="1"/>
  <c r="H1666" i="1"/>
  <c r="F1666" i="1"/>
  <c r="K1665" i="1"/>
  <c r="J1665" i="1"/>
  <c r="I1665" i="1"/>
  <c r="H1665" i="1"/>
  <c r="F1665" i="1"/>
  <c r="K1664" i="1"/>
  <c r="J1664" i="1"/>
  <c r="I1664" i="1"/>
  <c r="H1664" i="1"/>
  <c r="F1664" i="1"/>
  <c r="K1663" i="1"/>
  <c r="J1663" i="1"/>
  <c r="I1663" i="1"/>
  <c r="H1663" i="1"/>
  <c r="F1663" i="1"/>
  <c r="C1662" i="1"/>
  <c r="V1661" i="1"/>
  <c r="U1661" i="1"/>
  <c r="T1661" i="1"/>
  <c r="S1661" i="1"/>
  <c r="R1661" i="1"/>
  <c r="Q1661" i="1"/>
  <c r="I1668" i="1" s="1"/>
  <c r="E1661" i="1"/>
  <c r="D1661" i="1"/>
  <c r="B1661" i="1"/>
  <c r="J1658" i="1"/>
  <c r="H1658" i="1"/>
  <c r="I1656" i="1"/>
  <c r="H1656" i="1"/>
  <c r="E1656" i="1"/>
  <c r="J1655" i="1"/>
  <c r="I1655" i="1"/>
  <c r="E1655" i="1"/>
  <c r="J1654" i="1"/>
  <c r="E1654" i="1"/>
  <c r="V1653" i="1"/>
  <c r="U1653" i="1"/>
  <c r="T1653" i="1"/>
  <c r="S1653" i="1"/>
  <c r="R1653" i="1"/>
  <c r="Q1653" i="1"/>
  <c r="K1653" i="1"/>
  <c r="J1653" i="1"/>
  <c r="I1653" i="1"/>
  <c r="H1653" i="1"/>
  <c r="F1653" i="1"/>
  <c r="E1653" i="1"/>
  <c r="D1653" i="1"/>
  <c r="B1653" i="1"/>
  <c r="K1652" i="1"/>
  <c r="J1652" i="1"/>
  <c r="I1652" i="1"/>
  <c r="H1652" i="1"/>
  <c r="F1652" i="1"/>
  <c r="K1651" i="1"/>
  <c r="J1651" i="1"/>
  <c r="I1651" i="1"/>
  <c r="H1651" i="1"/>
  <c r="F1651" i="1"/>
  <c r="K1650" i="1"/>
  <c r="J1650" i="1"/>
  <c r="I1650" i="1"/>
  <c r="H1650" i="1"/>
  <c r="F1650" i="1"/>
  <c r="K1649" i="1"/>
  <c r="J1649" i="1"/>
  <c r="I1649" i="1"/>
  <c r="H1649" i="1"/>
  <c r="F1649" i="1"/>
  <c r="C1648" i="1"/>
  <c r="V1647" i="1"/>
  <c r="U1647" i="1"/>
  <c r="T1647" i="1"/>
  <c r="S1647" i="1"/>
  <c r="R1647" i="1"/>
  <c r="K1654" i="1" s="1"/>
  <c r="Q1647" i="1"/>
  <c r="E1647" i="1"/>
  <c r="D1647" i="1"/>
  <c r="B1647" i="1"/>
  <c r="J1644" i="1"/>
  <c r="H1644" i="1"/>
  <c r="I1642" i="1"/>
  <c r="H1642" i="1"/>
  <c r="E1642" i="1"/>
  <c r="J1641" i="1"/>
  <c r="E1641" i="1"/>
  <c r="J1640" i="1"/>
  <c r="E1640" i="1"/>
  <c r="V1639" i="1"/>
  <c r="U1639" i="1"/>
  <c r="T1639" i="1"/>
  <c r="S1639" i="1"/>
  <c r="R1639" i="1"/>
  <c r="Q1639" i="1"/>
  <c r="K1639" i="1"/>
  <c r="J1639" i="1"/>
  <c r="I1639" i="1"/>
  <c r="H1639" i="1"/>
  <c r="F1639" i="1"/>
  <c r="E1639" i="1"/>
  <c r="D1639" i="1"/>
  <c r="B1639" i="1"/>
  <c r="V1638" i="1"/>
  <c r="U1638" i="1"/>
  <c r="T1638" i="1"/>
  <c r="S1638" i="1"/>
  <c r="R1638" i="1"/>
  <c r="Q1638" i="1"/>
  <c r="K1638" i="1"/>
  <c r="J1638" i="1"/>
  <c r="I1638" i="1"/>
  <c r="H1638" i="1"/>
  <c r="F1638" i="1"/>
  <c r="E1638" i="1"/>
  <c r="D1638" i="1"/>
  <c r="B1638" i="1"/>
  <c r="V1637" i="1"/>
  <c r="U1637" i="1"/>
  <c r="T1637" i="1"/>
  <c r="S1637" i="1"/>
  <c r="R1637" i="1"/>
  <c r="Q1637" i="1"/>
  <c r="K1637" i="1"/>
  <c r="J1637" i="1"/>
  <c r="I1637" i="1"/>
  <c r="H1637" i="1"/>
  <c r="F1637" i="1"/>
  <c r="E1637" i="1"/>
  <c r="D1637" i="1"/>
  <c r="B1637" i="1"/>
  <c r="V1636" i="1"/>
  <c r="U1636" i="1"/>
  <c r="T1636" i="1"/>
  <c r="S1636" i="1"/>
  <c r="R1636" i="1"/>
  <c r="Q1636" i="1"/>
  <c r="K1636" i="1"/>
  <c r="J1636" i="1"/>
  <c r="I1636" i="1"/>
  <c r="H1636" i="1"/>
  <c r="F1636" i="1"/>
  <c r="E1636" i="1"/>
  <c r="D1636" i="1"/>
  <c r="B1636" i="1"/>
  <c r="K1635" i="1"/>
  <c r="J1635" i="1"/>
  <c r="I1635" i="1"/>
  <c r="H1635" i="1"/>
  <c r="F1635" i="1"/>
  <c r="K1634" i="1"/>
  <c r="J1634" i="1"/>
  <c r="I1634" i="1"/>
  <c r="H1634" i="1"/>
  <c r="F1634" i="1"/>
  <c r="K1633" i="1"/>
  <c r="J1633" i="1"/>
  <c r="I1633" i="1"/>
  <c r="H1633" i="1"/>
  <c r="F1633" i="1"/>
  <c r="K1632" i="1"/>
  <c r="J1632" i="1"/>
  <c r="I1632" i="1"/>
  <c r="H1632" i="1"/>
  <c r="F1632" i="1"/>
  <c r="C1631" i="1"/>
  <c r="V1630" i="1"/>
  <c r="U1630" i="1"/>
  <c r="T1630" i="1"/>
  <c r="S1630" i="1"/>
  <c r="R1630" i="1"/>
  <c r="Q1630" i="1"/>
  <c r="E1630" i="1"/>
  <c r="D1630" i="1"/>
  <c r="B1630" i="1"/>
  <c r="J1627" i="1"/>
  <c r="H1627" i="1"/>
  <c r="I1625" i="1"/>
  <c r="H1625" i="1"/>
  <c r="E1625" i="1"/>
  <c r="J1624" i="1"/>
  <c r="E1624" i="1"/>
  <c r="J1623" i="1"/>
  <c r="E1623" i="1"/>
  <c r="V1622" i="1"/>
  <c r="U1622" i="1"/>
  <c r="T1622" i="1"/>
  <c r="S1622" i="1"/>
  <c r="R1622" i="1"/>
  <c r="Q1622" i="1"/>
  <c r="K1622" i="1"/>
  <c r="J1622" i="1"/>
  <c r="I1622" i="1"/>
  <c r="H1622" i="1"/>
  <c r="F1622" i="1"/>
  <c r="E1622" i="1"/>
  <c r="D1622" i="1"/>
  <c r="B1622" i="1"/>
  <c r="V1621" i="1"/>
  <c r="U1621" i="1"/>
  <c r="T1621" i="1"/>
  <c r="S1621" i="1"/>
  <c r="R1621" i="1"/>
  <c r="Q1621" i="1"/>
  <c r="K1621" i="1"/>
  <c r="J1621" i="1"/>
  <c r="I1621" i="1"/>
  <c r="H1621" i="1"/>
  <c r="F1621" i="1"/>
  <c r="E1621" i="1"/>
  <c r="D1621" i="1"/>
  <c r="B1621" i="1"/>
  <c r="K1620" i="1"/>
  <c r="J1620" i="1"/>
  <c r="I1620" i="1"/>
  <c r="H1620" i="1"/>
  <c r="F1620" i="1"/>
  <c r="K1619" i="1"/>
  <c r="J1619" i="1"/>
  <c r="I1619" i="1"/>
  <c r="H1619" i="1"/>
  <c r="F1619" i="1"/>
  <c r="K1618" i="1"/>
  <c r="J1618" i="1"/>
  <c r="I1618" i="1"/>
  <c r="H1618" i="1"/>
  <c r="F1618" i="1"/>
  <c r="K1617" i="1"/>
  <c r="J1617" i="1"/>
  <c r="I1617" i="1"/>
  <c r="H1617" i="1"/>
  <c r="F1617" i="1"/>
  <c r="C1616" i="1"/>
  <c r="V1615" i="1"/>
  <c r="U1615" i="1"/>
  <c r="T1615" i="1"/>
  <c r="K1624" i="1" s="1"/>
  <c r="S1615" i="1"/>
  <c r="R1615" i="1"/>
  <c r="Q1615" i="1"/>
  <c r="I1623" i="1" s="1"/>
  <c r="E1615" i="1"/>
  <c r="D1615" i="1"/>
  <c r="B1615" i="1"/>
  <c r="A1614" i="1"/>
  <c r="J1612" i="1"/>
  <c r="I1612" i="1"/>
  <c r="J1611" i="1"/>
  <c r="I1611" i="1"/>
  <c r="A1610" i="1"/>
  <c r="J1606" i="1"/>
  <c r="H1606" i="1"/>
  <c r="I1604" i="1"/>
  <c r="H1604" i="1"/>
  <c r="E1604" i="1"/>
  <c r="J1603" i="1"/>
  <c r="E1603" i="1"/>
  <c r="J1602" i="1"/>
  <c r="E1602" i="1"/>
  <c r="V1601" i="1"/>
  <c r="U1601" i="1"/>
  <c r="T1601" i="1"/>
  <c r="S1601" i="1"/>
  <c r="R1601" i="1"/>
  <c r="Q1601" i="1"/>
  <c r="K1601" i="1"/>
  <c r="J1601" i="1"/>
  <c r="I1601" i="1"/>
  <c r="H1601" i="1"/>
  <c r="F1601" i="1"/>
  <c r="E1601" i="1"/>
  <c r="D1601" i="1"/>
  <c r="B1601" i="1"/>
  <c r="K1600" i="1"/>
  <c r="J1600" i="1"/>
  <c r="I1600" i="1"/>
  <c r="H1600" i="1"/>
  <c r="F1600" i="1"/>
  <c r="K1599" i="1"/>
  <c r="J1599" i="1"/>
  <c r="I1599" i="1"/>
  <c r="H1599" i="1"/>
  <c r="F1599" i="1"/>
  <c r="K1598" i="1"/>
  <c r="J1598" i="1"/>
  <c r="I1598" i="1"/>
  <c r="H1598" i="1"/>
  <c r="F1598" i="1"/>
  <c r="K1597" i="1"/>
  <c r="J1597" i="1"/>
  <c r="I1597" i="1"/>
  <c r="H1597" i="1"/>
  <c r="F1597" i="1"/>
  <c r="C1596" i="1"/>
  <c r="V1595" i="1"/>
  <c r="U1595" i="1"/>
  <c r="T1595" i="1"/>
  <c r="S1595" i="1"/>
  <c r="R1595" i="1"/>
  <c r="Q1595" i="1"/>
  <c r="I1602" i="1" s="1"/>
  <c r="E1595" i="1"/>
  <c r="D1595" i="1"/>
  <c r="B1595" i="1"/>
  <c r="J1592" i="1"/>
  <c r="H1592" i="1"/>
  <c r="I1590" i="1"/>
  <c r="H1590" i="1"/>
  <c r="E1590" i="1"/>
  <c r="J1589" i="1"/>
  <c r="E1589" i="1"/>
  <c r="J1588" i="1"/>
  <c r="E1588" i="1"/>
  <c r="V1587" i="1"/>
  <c r="U1587" i="1"/>
  <c r="T1587" i="1"/>
  <c r="S1587" i="1"/>
  <c r="R1587" i="1"/>
  <c r="Q1587" i="1"/>
  <c r="I1588" i="1" s="1"/>
  <c r="K1587" i="1"/>
  <c r="J1587" i="1"/>
  <c r="I1587" i="1"/>
  <c r="H1587" i="1"/>
  <c r="F1587" i="1"/>
  <c r="E1587" i="1"/>
  <c r="D1587" i="1"/>
  <c r="B1587" i="1"/>
  <c r="V1586" i="1"/>
  <c r="U1586" i="1"/>
  <c r="T1586" i="1"/>
  <c r="S1586" i="1"/>
  <c r="R1586" i="1"/>
  <c r="Q1586" i="1"/>
  <c r="K1586" i="1"/>
  <c r="J1586" i="1"/>
  <c r="I1586" i="1"/>
  <c r="H1586" i="1"/>
  <c r="F1586" i="1"/>
  <c r="E1586" i="1"/>
  <c r="D1586" i="1"/>
  <c r="B1586" i="1"/>
  <c r="K1585" i="1"/>
  <c r="J1585" i="1"/>
  <c r="I1585" i="1"/>
  <c r="H1585" i="1"/>
  <c r="F1585" i="1"/>
  <c r="K1584" i="1"/>
  <c r="J1584" i="1"/>
  <c r="I1584" i="1"/>
  <c r="H1584" i="1"/>
  <c r="F1584" i="1"/>
  <c r="K1583" i="1"/>
  <c r="J1583" i="1"/>
  <c r="I1583" i="1"/>
  <c r="H1583" i="1"/>
  <c r="F1583" i="1"/>
  <c r="K1582" i="1"/>
  <c r="J1582" i="1"/>
  <c r="I1582" i="1"/>
  <c r="H1582" i="1"/>
  <c r="F1582" i="1"/>
  <c r="C1581" i="1"/>
  <c r="V1580" i="1"/>
  <c r="U1580" i="1"/>
  <c r="T1580" i="1"/>
  <c r="S1580" i="1"/>
  <c r="I1589" i="1" s="1"/>
  <c r="R1580" i="1"/>
  <c r="Q1580" i="1"/>
  <c r="E1580" i="1"/>
  <c r="D1580" i="1"/>
  <c r="B1580" i="1"/>
  <c r="P1578" i="1"/>
  <c r="V1577" i="1"/>
  <c r="U1577" i="1"/>
  <c r="T1577" i="1"/>
  <c r="S1577" i="1"/>
  <c r="R1577" i="1"/>
  <c r="Q1577" i="1"/>
  <c r="K1577" i="1"/>
  <c r="J1578" i="1" s="1"/>
  <c r="J1577" i="1"/>
  <c r="I1577" i="1"/>
  <c r="O1578" i="1" s="1"/>
  <c r="H1577" i="1"/>
  <c r="F1577" i="1"/>
  <c r="E1577" i="1"/>
  <c r="M1577" i="1" s="1"/>
  <c r="D1577" i="1"/>
  <c r="B1577" i="1"/>
  <c r="O1575" i="1"/>
  <c r="V1574" i="1"/>
  <c r="U1574" i="1"/>
  <c r="T1574" i="1"/>
  <c r="S1574" i="1"/>
  <c r="R1574" i="1"/>
  <c r="Q1574" i="1"/>
  <c r="K1574" i="1"/>
  <c r="J1574" i="1"/>
  <c r="I1574" i="1"/>
  <c r="H1575" i="1" s="1"/>
  <c r="H1574" i="1"/>
  <c r="F1574" i="1"/>
  <c r="E1574" i="1"/>
  <c r="M1574" i="1" s="1"/>
  <c r="D1574" i="1"/>
  <c r="B1574" i="1"/>
  <c r="P1572" i="1"/>
  <c r="J1572" i="1"/>
  <c r="H1572" i="1"/>
  <c r="V1571" i="1"/>
  <c r="U1571" i="1"/>
  <c r="T1571" i="1"/>
  <c r="S1571" i="1"/>
  <c r="R1571" i="1"/>
  <c r="Q1571" i="1"/>
  <c r="K1571" i="1"/>
  <c r="J1571" i="1"/>
  <c r="I1571" i="1"/>
  <c r="O1572" i="1" s="1"/>
  <c r="H1571" i="1"/>
  <c r="F1571" i="1"/>
  <c r="E1571" i="1"/>
  <c r="M1571" i="1" s="1"/>
  <c r="D1571" i="1"/>
  <c r="B1571" i="1"/>
  <c r="O1569" i="1"/>
  <c r="V1568" i="1"/>
  <c r="U1568" i="1"/>
  <c r="T1568" i="1"/>
  <c r="S1568" i="1"/>
  <c r="R1568" i="1"/>
  <c r="Q1568" i="1"/>
  <c r="K1568" i="1"/>
  <c r="J1568" i="1"/>
  <c r="I1568" i="1"/>
  <c r="H1569" i="1" s="1"/>
  <c r="H1568" i="1"/>
  <c r="F1568" i="1"/>
  <c r="E1568" i="1"/>
  <c r="M1568" i="1" s="1"/>
  <c r="D1568" i="1"/>
  <c r="B1568" i="1"/>
  <c r="J1566" i="1"/>
  <c r="H1566" i="1"/>
  <c r="V1565" i="1"/>
  <c r="U1565" i="1"/>
  <c r="T1565" i="1"/>
  <c r="S1565" i="1"/>
  <c r="R1565" i="1"/>
  <c r="Q1565" i="1"/>
  <c r="K1565" i="1"/>
  <c r="P1566" i="1" s="1"/>
  <c r="J1565" i="1"/>
  <c r="I1565" i="1"/>
  <c r="O1566" i="1" s="1"/>
  <c r="H1565" i="1"/>
  <c r="F1565" i="1"/>
  <c r="E1565" i="1"/>
  <c r="M1565" i="1" s="1"/>
  <c r="D1565" i="1"/>
  <c r="B1565" i="1"/>
  <c r="V1562" i="1"/>
  <c r="U1562" i="1"/>
  <c r="T1562" i="1"/>
  <c r="S1562" i="1"/>
  <c r="R1562" i="1"/>
  <c r="Q1562" i="1"/>
  <c r="K1562" i="1"/>
  <c r="P1563" i="1" s="1"/>
  <c r="J1562" i="1"/>
  <c r="I1562" i="1"/>
  <c r="H1562" i="1"/>
  <c r="F1562" i="1"/>
  <c r="E1562" i="1"/>
  <c r="M1562" i="1" s="1"/>
  <c r="D1562" i="1"/>
  <c r="B1562" i="1"/>
  <c r="P1560" i="1"/>
  <c r="O1560" i="1"/>
  <c r="V1559" i="1"/>
  <c r="U1559" i="1"/>
  <c r="T1559" i="1"/>
  <c r="S1559" i="1"/>
  <c r="R1559" i="1"/>
  <c r="Q1559" i="1"/>
  <c r="K1559" i="1"/>
  <c r="J1560" i="1" s="1"/>
  <c r="J1559" i="1"/>
  <c r="I1559" i="1"/>
  <c r="H1560" i="1" s="1"/>
  <c r="H1559" i="1"/>
  <c r="F1559" i="1"/>
  <c r="E1559" i="1"/>
  <c r="M1559" i="1" s="1"/>
  <c r="D1559" i="1"/>
  <c r="B1559" i="1"/>
  <c r="O1557" i="1"/>
  <c r="J1557" i="1"/>
  <c r="V1556" i="1"/>
  <c r="U1556" i="1"/>
  <c r="T1556" i="1"/>
  <c r="S1556" i="1"/>
  <c r="R1556" i="1"/>
  <c r="Q1556" i="1"/>
  <c r="M1556" i="1"/>
  <c r="K1556" i="1"/>
  <c r="P1557" i="1" s="1"/>
  <c r="J1556" i="1"/>
  <c r="I1556" i="1"/>
  <c r="H1557" i="1" s="1"/>
  <c r="H1556" i="1"/>
  <c r="F1556" i="1"/>
  <c r="E1556" i="1"/>
  <c r="D1556" i="1"/>
  <c r="B1556" i="1"/>
  <c r="O1554" i="1"/>
  <c r="H1554" i="1"/>
  <c r="V1553" i="1"/>
  <c r="U1553" i="1"/>
  <c r="T1553" i="1"/>
  <c r="S1553" i="1"/>
  <c r="R1553" i="1"/>
  <c r="Q1553" i="1"/>
  <c r="M1553" i="1"/>
  <c r="L1553" i="1"/>
  <c r="K1553" i="1"/>
  <c r="P1554" i="1" s="1"/>
  <c r="J1553" i="1"/>
  <c r="I1553" i="1"/>
  <c r="H1553" i="1"/>
  <c r="F1553" i="1"/>
  <c r="E1553" i="1"/>
  <c r="D1553" i="1"/>
  <c r="B1553" i="1"/>
  <c r="O1551" i="1"/>
  <c r="H1551" i="1"/>
  <c r="V1550" i="1"/>
  <c r="U1550" i="1"/>
  <c r="T1550" i="1"/>
  <c r="S1550" i="1"/>
  <c r="R1550" i="1"/>
  <c r="Q1550" i="1"/>
  <c r="M1550" i="1"/>
  <c r="L1550" i="1"/>
  <c r="K1550" i="1"/>
  <c r="P1551" i="1" s="1"/>
  <c r="J1550" i="1"/>
  <c r="I1550" i="1"/>
  <c r="H1550" i="1"/>
  <c r="F1550" i="1"/>
  <c r="E1550" i="1"/>
  <c r="D1550" i="1"/>
  <c r="B1550" i="1"/>
  <c r="O1548" i="1"/>
  <c r="H1548" i="1"/>
  <c r="V1547" i="1"/>
  <c r="U1547" i="1"/>
  <c r="T1547" i="1"/>
  <c r="S1547" i="1"/>
  <c r="R1547" i="1"/>
  <c r="Q1547" i="1"/>
  <c r="M1547" i="1"/>
  <c r="L1547" i="1"/>
  <c r="K1547" i="1"/>
  <c r="P1548" i="1" s="1"/>
  <c r="J1547" i="1"/>
  <c r="I1547" i="1"/>
  <c r="H1547" i="1"/>
  <c r="F1547" i="1"/>
  <c r="E1547" i="1"/>
  <c r="D1547" i="1"/>
  <c r="B1547" i="1"/>
  <c r="O1545" i="1"/>
  <c r="H1545" i="1"/>
  <c r="V1544" i="1"/>
  <c r="U1544" i="1"/>
  <c r="T1544" i="1"/>
  <c r="S1544" i="1"/>
  <c r="R1544" i="1"/>
  <c r="Q1544" i="1"/>
  <c r="M1544" i="1"/>
  <c r="L1544" i="1"/>
  <c r="K1544" i="1"/>
  <c r="P1545" i="1" s="1"/>
  <c r="J1544" i="1"/>
  <c r="I1544" i="1"/>
  <c r="H1544" i="1"/>
  <c r="F1544" i="1"/>
  <c r="E1544" i="1"/>
  <c r="D1544" i="1"/>
  <c r="B1544" i="1"/>
  <c r="O1542" i="1"/>
  <c r="V1541" i="1"/>
  <c r="U1541" i="1"/>
  <c r="T1541" i="1"/>
  <c r="S1541" i="1"/>
  <c r="R1541" i="1"/>
  <c r="Q1541" i="1"/>
  <c r="K1541" i="1"/>
  <c r="J1541" i="1"/>
  <c r="I1541" i="1"/>
  <c r="H1542" i="1" s="1"/>
  <c r="H1541" i="1"/>
  <c r="F1541" i="1"/>
  <c r="E1541" i="1"/>
  <c r="M1541" i="1" s="1"/>
  <c r="D1541" i="1"/>
  <c r="B1541" i="1"/>
  <c r="O1539" i="1"/>
  <c r="C1538" i="1"/>
  <c r="V1537" i="1"/>
  <c r="U1537" i="1"/>
  <c r="T1537" i="1"/>
  <c r="S1537" i="1"/>
  <c r="R1537" i="1"/>
  <c r="Q1537" i="1"/>
  <c r="K1537" i="1"/>
  <c r="P1539" i="1" s="1"/>
  <c r="J1537" i="1"/>
  <c r="I1537" i="1"/>
  <c r="H1539" i="1" s="1"/>
  <c r="H1537" i="1"/>
  <c r="F1537" i="1"/>
  <c r="E1537" i="1"/>
  <c r="M1537" i="1" s="1"/>
  <c r="D1537" i="1"/>
  <c r="B1537" i="1"/>
  <c r="O1535" i="1"/>
  <c r="V1534" i="1"/>
  <c r="U1534" i="1"/>
  <c r="T1534" i="1"/>
  <c r="S1534" i="1"/>
  <c r="R1534" i="1"/>
  <c r="Q1534" i="1"/>
  <c r="L1534" i="1"/>
  <c r="K1534" i="1"/>
  <c r="P1535" i="1" s="1"/>
  <c r="J1534" i="1"/>
  <c r="I1534" i="1"/>
  <c r="H1535" i="1" s="1"/>
  <c r="H1534" i="1"/>
  <c r="F1534" i="1"/>
  <c r="E1534" i="1"/>
  <c r="D1534" i="1"/>
  <c r="B1534" i="1"/>
  <c r="V1531" i="1"/>
  <c r="U1531" i="1"/>
  <c r="T1531" i="1"/>
  <c r="S1531" i="1"/>
  <c r="R1531" i="1"/>
  <c r="Q1531" i="1"/>
  <c r="L1531" i="1"/>
  <c r="M1531" i="1" s="1"/>
  <c r="K1531" i="1"/>
  <c r="P1532" i="1" s="1"/>
  <c r="J1531" i="1"/>
  <c r="I1531" i="1"/>
  <c r="H1531" i="1"/>
  <c r="F1531" i="1"/>
  <c r="E1531" i="1"/>
  <c r="D1531" i="1"/>
  <c r="B1531" i="1"/>
  <c r="C1528" i="1"/>
  <c r="V1527" i="1"/>
  <c r="U1527" i="1"/>
  <c r="T1527" i="1"/>
  <c r="S1527" i="1"/>
  <c r="R1527" i="1"/>
  <c r="Q1527" i="1"/>
  <c r="L1527" i="1"/>
  <c r="M1527" i="1" s="1"/>
  <c r="K1527" i="1"/>
  <c r="P1529" i="1" s="1"/>
  <c r="J1527" i="1"/>
  <c r="I1527" i="1"/>
  <c r="H1529" i="1" s="1"/>
  <c r="H1527" i="1"/>
  <c r="F1527" i="1"/>
  <c r="E1527" i="1"/>
  <c r="D1527" i="1"/>
  <c r="B1527" i="1"/>
  <c r="P1525" i="1"/>
  <c r="J1525" i="1"/>
  <c r="C1524" i="1"/>
  <c r="V1523" i="1"/>
  <c r="U1523" i="1"/>
  <c r="T1523" i="1"/>
  <c r="S1523" i="1"/>
  <c r="R1523" i="1"/>
  <c r="Q1523" i="1"/>
  <c r="L1523" i="1"/>
  <c r="K1523" i="1"/>
  <c r="J1523" i="1"/>
  <c r="I1523" i="1"/>
  <c r="H1523" i="1"/>
  <c r="F1523" i="1"/>
  <c r="E1523" i="1"/>
  <c r="M1523" i="1" s="1"/>
  <c r="D1523" i="1"/>
  <c r="B1523" i="1"/>
  <c r="J1521" i="1"/>
  <c r="C1520" i="1"/>
  <c r="V1519" i="1"/>
  <c r="U1519" i="1"/>
  <c r="T1519" i="1"/>
  <c r="S1519" i="1"/>
  <c r="R1519" i="1"/>
  <c r="Q1519" i="1"/>
  <c r="L1519" i="1"/>
  <c r="K1519" i="1"/>
  <c r="P1521" i="1" s="1"/>
  <c r="J1519" i="1"/>
  <c r="I1519" i="1"/>
  <c r="H1519" i="1"/>
  <c r="F1519" i="1"/>
  <c r="E1519" i="1"/>
  <c r="M1519" i="1" s="1"/>
  <c r="D1519" i="1"/>
  <c r="B1519" i="1"/>
  <c r="J1517" i="1"/>
  <c r="C1516" i="1"/>
  <c r="V1515" i="1"/>
  <c r="U1515" i="1"/>
  <c r="T1515" i="1"/>
  <c r="S1515" i="1"/>
  <c r="R1515" i="1"/>
  <c r="Q1515" i="1"/>
  <c r="L1515" i="1"/>
  <c r="K1515" i="1"/>
  <c r="P1517" i="1" s="1"/>
  <c r="J1515" i="1"/>
  <c r="I1515" i="1"/>
  <c r="H1515" i="1"/>
  <c r="F1515" i="1"/>
  <c r="E1515" i="1"/>
  <c r="D1515" i="1"/>
  <c r="B1515" i="1"/>
  <c r="H1513" i="1"/>
  <c r="V1512" i="1"/>
  <c r="U1512" i="1"/>
  <c r="T1512" i="1"/>
  <c r="S1512" i="1"/>
  <c r="R1512" i="1"/>
  <c r="Q1512" i="1"/>
  <c r="L1512" i="1"/>
  <c r="K1512" i="1"/>
  <c r="J1512" i="1"/>
  <c r="I1512" i="1"/>
  <c r="O1513" i="1" s="1"/>
  <c r="H1512" i="1"/>
  <c r="F1512" i="1"/>
  <c r="E1512" i="1"/>
  <c r="D1512" i="1"/>
  <c r="B1512" i="1"/>
  <c r="O1510" i="1"/>
  <c r="H1510" i="1"/>
  <c r="C1509" i="1"/>
  <c r="V1508" i="1"/>
  <c r="U1508" i="1"/>
  <c r="T1508" i="1"/>
  <c r="S1508" i="1"/>
  <c r="R1508" i="1"/>
  <c r="Q1508" i="1"/>
  <c r="L1508" i="1"/>
  <c r="K1508" i="1"/>
  <c r="J1508" i="1"/>
  <c r="I1508" i="1"/>
  <c r="H1508" i="1"/>
  <c r="F1508" i="1"/>
  <c r="E1508" i="1"/>
  <c r="M1508" i="1" s="1"/>
  <c r="D1508" i="1"/>
  <c r="B1508" i="1"/>
  <c r="P1506" i="1"/>
  <c r="O1506" i="1"/>
  <c r="H1506" i="1"/>
  <c r="V1505" i="1"/>
  <c r="U1505" i="1"/>
  <c r="T1505" i="1"/>
  <c r="S1505" i="1"/>
  <c r="R1505" i="1"/>
  <c r="Q1505" i="1"/>
  <c r="L1505" i="1"/>
  <c r="K1505" i="1"/>
  <c r="J1506" i="1" s="1"/>
  <c r="J1505" i="1"/>
  <c r="I1505" i="1"/>
  <c r="H1505" i="1"/>
  <c r="F1505" i="1"/>
  <c r="E1505" i="1"/>
  <c r="M1505" i="1" s="1"/>
  <c r="D1505" i="1"/>
  <c r="B1505" i="1"/>
  <c r="P1503" i="1"/>
  <c r="J1503" i="1"/>
  <c r="V1502" i="1"/>
  <c r="U1502" i="1"/>
  <c r="T1502" i="1"/>
  <c r="S1502" i="1"/>
  <c r="R1502" i="1"/>
  <c r="Q1502" i="1"/>
  <c r="L1502" i="1"/>
  <c r="K1502" i="1"/>
  <c r="J1502" i="1"/>
  <c r="I1502" i="1"/>
  <c r="H1502" i="1"/>
  <c r="F1502" i="1"/>
  <c r="E1502" i="1"/>
  <c r="D1502" i="1"/>
  <c r="B1502" i="1"/>
  <c r="O1500" i="1"/>
  <c r="H1500" i="1"/>
  <c r="V1499" i="1"/>
  <c r="U1499" i="1"/>
  <c r="T1499" i="1"/>
  <c r="S1499" i="1"/>
  <c r="R1499" i="1"/>
  <c r="Q1499" i="1"/>
  <c r="L1499" i="1"/>
  <c r="K1499" i="1"/>
  <c r="J1499" i="1"/>
  <c r="I1499" i="1"/>
  <c r="H1499" i="1"/>
  <c r="F1499" i="1"/>
  <c r="E1499" i="1"/>
  <c r="M1499" i="1" s="1"/>
  <c r="D1499" i="1"/>
  <c r="B1499" i="1"/>
  <c r="P1497" i="1"/>
  <c r="J1497" i="1"/>
  <c r="H1497" i="1"/>
  <c r="V1496" i="1"/>
  <c r="U1496" i="1"/>
  <c r="T1496" i="1"/>
  <c r="S1496" i="1"/>
  <c r="R1496" i="1"/>
  <c r="Q1496" i="1"/>
  <c r="L1496" i="1"/>
  <c r="K1496" i="1"/>
  <c r="J1496" i="1"/>
  <c r="I1496" i="1"/>
  <c r="O1497" i="1" s="1"/>
  <c r="H1496" i="1"/>
  <c r="F1496" i="1"/>
  <c r="E1496" i="1"/>
  <c r="D1496" i="1"/>
  <c r="B1496" i="1"/>
  <c r="P1494" i="1"/>
  <c r="H1494" i="1"/>
  <c r="V1493" i="1"/>
  <c r="U1493" i="1"/>
  <c r="T1493" i="1"/>
  <c r="S1493" i="1"/>
  <c r="R1493" i="1"/>
  <c r="Q1493" i="1"/>
  <c r="L1493" i="1"/>
  <c r="K1493" i="1"/>
  <c r="J1494" i="1" s="1"/>
  <c r="J1493" i="1"/>
  <c r="I1493" i="1"/>
  <c r="O1494" i="1" s="1"/>
  <c r="H1493" i="1"/>
  <c r="F1493" i="1"/>
  <c r="E1493" i="1"/>
  <c r="M1493" i="1" s="1"/>
  <c r="D1493" i="1"/>
  <c r="B1493" i="1"/>
  <c r="P1491" i="1"/>
  <c r="O1491" i="1"/>
  <c r="H1491" i="1"/>
  <c r="V1490" i="1"/>
  <c r="U1490" i="1"/>
  <c r="T1490" i="1"/>
  <c r="S1490" i="1"/>
  <c r="R1490" i="1"/>
  <c r="Q1490" i="1"/>
  <c r="L1490" i="1"/>
  <c r="K1490" i="1"/>
  <c r="J1491" i="1" s="1"/>
  <c r="J1490" i="1"/>
  <c r="I1490" i="1"/>
  <c r="H1490" i="1"/>
  <c r="F1490" i="1"/>
  <c r="E1490" i="1"/>
  <c r="D1490" i="1"/>
  <c r="B1490" i="1"/>
  <c r="P1488" i="1"/>
  <c r="O1488" i="1"/>
  <c r="J1488" i="1"/>
  <c r="V1487" i="1"/>
  <c r="U1487" i="1"/>
  <c r="T1487" i="1"/>
  <c r="S1487" i="1"/>
  <c r="R1487" i="1"/>
  <c r="Q1487" i="1"/>
  <c r="L1487" i="1"/>
  <c r="K1487" i="1"/>
  <c r="J1487" i="1"/>
  <c r="I1487" i="1"/>
  <c r="H1488" i="1" s="1"/>
  <c r="H1487" i="1"/>
  <c r="F1487" i="1"/>
  <c r="E1487" i="1"/>
  <c r="D1487" i="1"/>
  <c r="B1487" i="1"/>
  <c r="J1485" i="1"/>
  <c r="H1485" i="1"/>
  <c r="V1484" i="1"/>
  <c r="U1484" i="1"/>
  <c r="T1484" i="1"/>
  <c r="S1484" i="1"/>
  <c r="R1484" i="1"/>
  <c r="Q1484" i="1"/>
  <c r="L1484" i="1"/>
  <c r="K1484" i="1"/>
  <c r="P1485" i="1" s="1"/>
  <c r="J1484" i="1"/>
  <c r="I1484" i="1"/>
  <c r="O1485" i="1" s="1"/>
  <c r="H1484" i="1"/>
  <c r="F1484" i="1"/>
  <c r="E1484" i="1"/>
  <c r="M1484" i="1" s="1"/>
  <c r="D1484" i="1"/>
  <c r="B1484" i="1"/>
  <c r="P1482" i="1"/>
  <c r="H1482" i="1"/>
  <c r="V1481" i="1"/>
  <c r="U1481" i="1"/>
  <c r="T1481" i="1"/>
  <c r="S1481" i="1"/>
  <c r="R1481" i="1"/>
  <c r="Q1481" i="1"/>
  <c r="L1481" i="1"/>
  <c r="K1481" i="1"/>
  <c r="J1482" i="1" s="1"/>
  <c r="J1481" i="1"/>
  <c r="I1481" i="1"/>
  <c r="O1482" i="1" s="1"/>
  <c r="H1481" i="1"/>
  <c r="F1481" i="1"/>
  <c r="E1481" i="1"/>
  <c r="M1481" i="1" s="1"/>
  <c r="D1481" i="1"/>
  <c r="B1481" i="1"/>
  <c r="H1479" i="1"/>
  <c r="C1478" i="1"/>
  <c r="V1477" i="1"/>
  <c r="U1477" i="1"/>
  <c r="T1477" i="1"/>
  <c r="S1477" i="1"/>
  <c r="R1477" i="1"/>
  <c r="Q1477" i="1"/>
  <c r="L1477" i="1"/>
  <c r="K1477" i="1"/>
  <c r="P1479" i="1" s="1"/>
  <c r="J1477" i="1"/>
  <c r="I1477" i="1"/>
  <c r="O1479" i="1" s="1"/>
  <c r="H1477" i="1"/>
  <c r="F1477" i="1"/>
  <c r="E1477" i="1"/>
  <c r="M1477" i="1" s="1"/>
  <c r="D1477" i="1"/>
  <c r="B1477" i="1"/>
  <c r="O1475" i="1"/>
  <c r="V1474" i="1"/>
  <c r="U1474" i="1"/>
  <c r="T1474" i="1"/>
  <c r="S1474" i="1"/>
  <c r="R1474" i="1"/>
  <c r="Q1474" i="1"/>
  <c r="L1474" i="1"/>
  <c r="K1474" i="1"/>
  <c r="P1475" i="1" s="1"/>
  <c r="J1474" i="1"/>
  <c r="I1474" i="1"/>
  <c r="H1475" i="1" s="1"/>
  <c r="H1474" i="1"/>
  <c r="F1474" i="1"/>
  <c r="E1474" i="1"/>
  <c r="M1474" i="1" s="1"/>
  <c r="D1474" i="1"/>
  <c r="B1474" i="1"/>
  <c r="O1472" i="1"/>
  <c r="H1472" i="1"/>
  <c r="V1471" i="1"/>
  <c r="U1471" i="1"/>
  <c r="T1471" i="1"/>
  <c r="S1471" i="1"/>
  <c r="R1471" i="1"/>
  <c r="Q1471" i="1"/>
  <c r="L1471" i="1"/>
  <c r="K1471" i="1"/>
  <c r="P1472" i="1" s="1"/>
  <c r="J1471" i="1"/>
  <c r="I1471" i="1"/>
  <c r="H1471" i="1"/>
  <c r="F1471" i="1"/>
  <c r="E1471" i="1"/>
  <c r="D1471" i="1"/>
  <c r="B1471" i="1"/>
  <c r="O1469" i="1"/>
  <c r="H1469" i="1"/>
  <c r="V1468" i="1"/>
  <c r="U1468" i="1"/>
  <c r="T1468" i="1"/>
  <c r="S1468" i="1"/>
  <c r="R1468" i="1"/>
  <c r="Q1468" i="1"/>
  <c r="L1468" i="1"/>
  <c r="K1468" i="1"/>
  <c r="P1469" i="1" s="1"/>
  <c r="J1468" i="1"/>
  <c r="I1468" i="1"/>
  <c r="H1468" i="1"/>
  <c r="F1468" i="1"/>
  <c r="E1468" i="1"/>
  <c r="D1468" i="1"/>
  <c r="B1468" i="1"/>
  <c r="P1466" i="1"/>
  <c r="J1466" i="1"/>
  <c r="C1465" i="1"/>
  <c r="V1464" i="1"/>
  <c r="U1464" i="1"/>
  <c r="T1464" i="1"/>
  <c r="S1464" i="1"/>
  <c r="R1464" i="1"/>
  <c r="Q1464" i="1"/>
  <c r="L1464" i="1"/>
  <c r="K1464" i="1"/>
  <c r="J1464" i="1"/>
  <c r="I1464" i="1"/>
  <c r="O1466" i="1" s="1"/>
  <c r="H1464" i="1"/>
  <c r="F1464" i="1"/>
  <c r="E1464" i="1"/>
  <c r="D1464" i="1"/>
  <c r="B1464" i="1"/>
  <c r="P1462" i="1"/>
  <c r="J1462" i="1"/>
  <c r="V1461" i="1"/>
  <c r="U1461" i="1"/>
  <c r="T1461" i="1"/>
  <c r="S1461" i="1"/>
  <c r="R1461" i="1"/>
  <c r="Q1461" i="1"/>
  <c r="L1461" i="1"/>
  <c r="M1461" i="1" s="1"/>
  <c r="K1461" i="1"/>
  <c r="J1461" i="1"/>
  <c r="I1461" i="1"/>
  <c r="O1462" i="1" s="1"/>
  <c r="H1461" i="1"/>
  <c r="F1461" i="1"/>
  <c r="E1461" i="1"/>
  <c r="D1461" i="1"/>
  <c r="B1461" i="1"/>
  <c r="P1459" i="1"/>
  <c r="V1458" i="1"/>
  <c r="U1458" i="1"/>
  <c r="T1458" i="1"/>
  <c r="S1458" i="1"/>
  <c r="R1458" i="1"/>
  <c r="Q1458" i="1"/>
  <c r="L1458" i="1"/>
  <c r="M1458" i="1" s="1"/>
  <c r="K1458" i="1"/>
  <c r="J1459" i="1" s="1"/>
  <c r="J1458" i="1"/>
  <c r="I1458" i="1"/>
  <c r="O1459" i="1" s="1"/>
  <c r="H1458" i="1"/>
  <c r="F1458" i="1"/>
  <c r="E1458" i="1"/>
  <c r="D1458" i="1"/>
  <c r="B1458" i="1"/>
  <c r="P1456" i="1"/>
  <c r="J1456" i="1"/>
  <c r="V1455" i="1"/>
  <c r="U1455" i="1"/>
  <c r="T1455" i="1"/>
  <c r="S1455" i="1"/>
  <c r="R1455" i="1"/>
  <c r="Q1455" i="1"/>
  <c r="L1455" i="1"/>
  <c r="K1455" i="1"/>
  <c r="J1455" i="1"/>
  <c r="I1455" i="1"/>
  <c r="O1456" i="1" s="1"/>
  <c r="H1455" i="1"/>
  <c r="F1455" i="1"/>
  <c r="E1455" i="1"/>
  <c r="D1455" i="1"/>
  <c r="B1455" i="1"/>
  <c r="V1452" i="1"/>
  <c r="U1452" i="1"/>
  <c r="T1452" i="1"/>
  <c r="S1452" i="1"/>
  <c r="R1452" i="1"/>
  <c r="Q1452" i="1"/>
  <c r="L1452" i="1"/>
  <c r="K1452" i="1"/>
  <c r="J1452" i="1"/>
  <c r="I1452" i="1"/>
  <c r="O1453" i="1" s="1"/>
  <c r="H1452" i="1"/>
  <c r="F1452" i="1"/>
  <c r="E1452" i="1"/>
  <c r="D1452" i="1"/>
  <c r="B1452" i="1"/>
  <c r="P1450" i="1"/>
  <c r="V1449" i="1"/>
  <c r="U1449" i="1"/>
  <c r="T1449" i="1"/>
  <c r="S1449" i="1"/>
  <c r="R1449" i="1"/>
  <c r="Q1449" i="1"/>
  <c r="L1449" i="1"/>
  <c r="M1449" i="1" s="1"/>
  <c r="K1449" i="1"/>
  <c r="J1450" i="1" s="1"/>
  <c r="J1449" i="1"/>
  <c r="I1449" i="1"/>
  <c r="O1450" i="1" s="1"/>
  <c r="H1449" i="1"/>
  <c r="F1449" i="1"/>
  <c r="E1449" i="1"/>
  <c r="D1449" i="1"/>
  <c r="B1449" i="1"/>
  <c r="P1447" i="1"/>
  <c r="J1447" i="1"/>
  <c r="V1446" i="1"/>
  <c r="U1446" i="1"/>
  <c r="T1446" i="1"/>
  <c r="S1446" i="1"/>
  <c r="R1446" i="1"/>
  <c r="Q1446" i="1"/>
  <c r="L1446" i="1"/>
  <c r="M1446" i="1" s="1"/>
  <c r="K1446" i="1"/>
  <c r="J1446" i="1"/>
  <c r="I1446" i="1"/>
  <c r="O1447" i="1" s="1"/>
  <c r="H1446" i="1"/>
  <c r="F1446" i="1"/>
  <c r="E1446" i="1"/>
  <c r="D1446" i="1"/>
  <c r="B1446" i="1"/>
  <c r="P1444" i="1"/>
  <c r="V1443" i="1"/>
  <c r="U1443" i="1"/>
  <c r="T1443" i="1"/>
  <c r="S1443" i="1"/>
  <c r="R1443" i="1"/>
  <c r="Q1443" i="1"/>
  <c r="L1443" i="1"/>
  <c r="K1443" i="1"/>
  <c r="J1444" i="1" s="1"/>
  <c r="J1443" i="1"/>
  <c r="I1443" i="1"/>
  <c r="O1444" i="1" s="1"/>
  <c r="H1443" i="1"/>
  <c r="F1443" i="1"/>
  <c r="E1443" i="1"/>
  <c r="D1443" i="1"/>
  <c r="B1443" i="1"/>
  <c r="J1441" i="1"/>
  <c r="C1440" i="1"/>
  <c r="V1439" i="1"/>
  <c r="U1439" i="1"/>
  <c r="T1439" i="1"/>
  <c r="S1439" i="1"/>
  <c r="R1439" i="1"/>
  <c r="Q1439" i="1"/>
  <c r="M1439" i="1"/>
  <c r="L1439" i="1"/>
  <c r="K1439" i="1"/>
  <c r="P1441" i="1" s="1"/>
  <c r="J1439" i="1"/>
  <c r="I1439" i="1"/>
  <c r="O1441" i="1" s="1"/>
  <c r="H1439" i="1"/>
  <c r="F1439" i="1"/>
  <c r="E1439" i="1"/>
  <c r="D1439" i="1"/>
  <c r="B1439" i="1"/>
  <c r="O1437" i="1"/>
  <c r="H1437" i="1"/>
  <c r="V1436" i="1"/>
  <c r="U1436" i="1"/>
  <c r="T1436" i="1"/>
  <c r="S1436" i="1"/>
  <c r="R1436" i="1"/>
  <c r="Q1436" i="1"/>
  <c r="M1436" i="1"/>
  <c r="L1436" i="1"/>
  <c r="K1436" i="1"/>
  <c r="P1437" i="1" s="1"/>
  <c r="J1436" i="1"/>
  <c r="I1436" i="1"/>
  <c r="H1436" i="1"/>
  <c r="F1436" i="1"/>
  <c r="E1436" i="1"/>
  <c r="D1436" i="1"/>
  <c r="B1436" i="1"/>
  <c r="O1434" i="1"/>
  <c r="H1434" i="1"/>
  <c r="V1433" i="1"/>
  <c r="U1433" i="1"/>
  <c r="T1433" i="1"/>
  <c r="S1433" i="1"/>
  <c r="R1433" i="1"/>
  <c r="Q1433" i="1"/>
  <c r="M1433" i="1"/>
  <c r="L1433" i="1"/>
  <c r="K1433" i="1"/>
  <c r="P1434" i="1" s="1"/>
  <c r="J1433" i="1"/>
  <c r="I1433" i="1"/>
  <c r="H1433" i="1"/>
  <c r="F1433" i="1"/>
  <c r="E1433" i="1"/>
  <c r="D1433" i="1"/>
  <c r="B1433" i="1"/>
  <c r="O1431" i="1"/>
  <c r="J1431" i="1"/>
  <c r="H1431" i="1"/>
  <c r="V1430" i="1"/>
  <c r="U1430" i="1"/>
  <c r="T1430" i="1"/>
  <c r="S1430" i="1"/>
  <c r="R1430" i="1"/>
  <c r="Q1430" i="1"/>
  <c r="M1430" i="1"/>
  <c r="L1430" i="1"/>
  <c r="K1430" i="1"/>
  <c r="P1431" i="1" s="1"/>
  <c r="J1430" i="1"/>
  <c r="I1430" i="1"/>
  <c r="H1430" i="1"/>
  <c r="F1430" i="1"/>
  <c r="E1430" i="1"/>
  <c r="D1430" i="1"/>
  <c r="B1430" i="1"/>
  <c r="J1427" i="1"/>
  <c r="H1427" i="1"/>
  <c r="I1425" i="1"/>
  <c r="H1425" i="1"/>
  <c r="E1425" i="1"/>
  <c r="J1424" i="1"/>
  <c r="I1424" i="1"/>
  <c r="E1424" i="1"/>
  <c r="J1423" i="1"/>
  <c r="E1423" i="1"/>
  <c r="V1422" i="1"/>
  <c r="U1422" i="1"/>
  <c r="T1422" i="1"/>
  <c r="S1422" i="1"/>
  <c r="R1422" i="1"/>
  <c r="Q1422" i="1"/>
  <c r="K1422" i="1"/>
  <c r="J1422" i="1"/>
  <c r="I1422" i="1"/>
  <c r="H1422" i="1"/>
  <c r="F1422" i="1"/>
  <c r="E1422" i="1"/>
  <c r="D1422" i="1"/>
  <c r="B1422" i="1"/>
  <c r="V1421" i="1"/>
  <c r="U1421" i="1"/>
  <c r="T1421" i="1"/>
  <c r="S1421" i="1"/>
  <c r="R1421" i="1"/>
  <c r="Q1421" i="1"/>
  <c r="K1421" i="1"/>
  <c r="J1421" i="1"/>
  <c r="I1421" i="1"/>
  <c r="H1421" i="1"/>
  <c r="F1421" i="1"/>
  <c r="E1421" i="1"/>
  <c r="D1421" i="1"/>
  <c r="B1421" i="1"/>
  <c r="K1420" i="1"/>
  <c r="J1420" i="1"/>
  <c r="I1420" i="1"/>
  <c r="H1420" i="1"/>
  <c r="F1420" i="1"/>
  <c r="K1419" i="1"/>
  <c r="J1419" i="1"/>
  <c r="I1419" i="1"/>
  <c r="H1419" i="1"/>
  <c r="F1419" i="1"/>
  <c r="K1418" i="1"/>
  <c r="J1418" i="1"/>
  <c r="I1418" i="1"/>
  <c r="H1418" i="1"/>
  <c r="F1418" i="1"/>
  <c r="K1417" i="1"/>
  <c r="J1417" i="1"/>
  <c r="I1417" i="1"/>
  <c r="H1417" i="1"/>
  <c r="F1417" i="1"/>
  <c r="C1416" i="1"/>
  <c r="V1415" i="1"/>
  <c r="U1415" i="1"/>
  <c r="T1415" i="1"/>
  <c r="K1424" i="1" s="1"/>
  <c r="S1415" i="1"/>
  <c r="R1415" i="1"/>
  <c r="Q1415" i="1"/>
  <c r="E1415" i="1"/>
  <c r="D1415" i="1"/>
  <c r="B1415" i="1"/>
  <c r="P1413" i="1"/>
  <c r="V1412" i="1"/>
  <c r="U1412" i="1"/>
  <c r="T1412" i="1"/>
  <c r="S1412" i="1"/>
  <c r="R1412" i="1"/>
  <c r="Q1412" i="1"/>
  <c r="L1412" i="1"/>
  <c r="K1412" i="1"/>
  <c r="J1413" i="1" s="1"/>
  <c r="J1412" i="1"/>
  <c r="I1412" i="1"/>
  <c r="O1413" i="1" s="1"/>
  <c r="H1412" i="1"/>
  <c r="F1412" i="1"/>
  <c r="E1412" i="1"/>
  <c r="D1412" i="1"/>
  <c r="B1412" i="1"/>
  <c r="O1410" i="1"/>
  <c r="J1410" i="1"/>
  <c r="V1409" i="1"/>
  <c r="U1409" i="1"/>
  <c r="T1409" i="1"/>
  <c r="S1409" i="1"/>
  <c r="R1409" i="1"/>
  <c r="Q1409" i="1"/>
  <c r="L1409" i="1"/>
  <c r="K1409" i="1"/>
  <c r="P1410" i="1" s="1"/>
  <c r="J1409" i="1"/>
  <c r="I1409" i="1"/>
  <c r="H1410" i="1" s="1"/>
  <c r="H1409" i="1"/>
  <c r="F1409" i="1"/>
  <c r="E1409" i="1"/>
  <c r="M1409" i="1" s="1"/>
  <c r="D1409" i="1"/>
  <c r="B1409" i="1"/>
  <c r="O1407" i="1"/>
  <c r="H1407" i="1"/>
  <c r="V1406" i="1"/>
  <c r="U1406" i="1"/>
  <c r="T1406" i="1"/>
  <c r="S1406" i="1"/>
  <c r="R1406" i="1"/>
  <c r="Q1406" i="1"/>
  <c r="L1406" i="1"/>
  <c r="K1406" i="1"/>
  <c r="J1406" i="1"/>
  <c r="I1406" i="1"/>
  <c r="H1406" i="1"/>
  <c r="F1406" i="1"/>
  <c r="E1406" i="1"/>
  <c r="D1406" i="1"/>
  <c r="B1406" i="1"/>
  <c r="P1404" i="1"/>
  <c r="V1403" i="1"/>
  <c r="U1403" i="1"/>
  <c r="T1403" i="1"/>
  <c r="S1403" i="1"/>
  <c r="R1403" i="1"/>
  <c r="Q1403" i="1"/>
  <c r="L1403" i="1"/>
  <c r="K1403" i="1"/>
  <c r="J1404" i="1" s="1"/>
  <c r="J1403" i="1"/>
  <c r="I1403" i="1"/>
  <c r="H1403" i="1"/>
  <c r="F1403" i="1"/>
  <c r="E1403" i="1"/>
  <c r="M1403" i="1" s="1"/>
  <c r="D1403" i="1"/>
  <c r="B1403" i="1"/>
  <c r="J1401" i="1"/>
  <c r="V1400" i="1"/>
  <c r="U1400" i="1"/>
  <c r="T1400" i="1"/>
  <c r="S1400" i="1"/>
  <c r="R1400" i="1"/>
  <c r="Q1400" i="1"/>
  <c r="L1400" i="1"/>
  <c r="K1400" i="1"/>
  <c r="P1401" i="1" s="1"/>
  <c r="J1400" i="1"/>
  <c r="I1400" i="1"/>
  <c r="H1400" i="1"/>
  <c r="F1400" i="1"/>
  <c r="E1400" i="1"/>
  <c r="D1400" i="1"/>
  <c r="B1400" i="1"/>
  <c r="O1398" i="1"/>
  <c r="C1397" i="1"/>
  <c r="V1396" i="1"/>
  <c r="U1396" i="1"/>
  <c r="T1396" i="1"/>
  <c r="S1396" i="1"/>
  <c r="R1396" i="1"/>
  <c r="Q1396" i="1"/>
  <c r="L1396" i="1"/>
  <c r="K1396" i="1"/>
  <c r="P1398" i="1" s="1"/>
  <c r="J1396" i="1"/>
  <c r="I1396" i="1"/>
  <c r="H1398" i="1" s="1"/>
  <c r="H1396" i="1"/>
  <c r="F1396" i="1"/>
  <c r="E1396" i="1"/>
  <c r="M1396" i="1" s="1"/>
  <c r="D1396" i="1"/>
  <c r="B1396" i="1"/>
  <c r="O1394" i="1"/>
  <c r="H1394" i="1"/>
  <c r="V1393" i="1"/>
  <c r="U1393" i="1"/>
  <c r="T1393" i="1"/>
  <c r="S1393" i="1"/>
  <c r="R1393" i="1"/>
  <c r="Q1393" i="1"/>
  <c r="L1393" i="1"/>
  <c r="K1393" i="1"/>
  <c r="P1394" i="1" s="1"/>
  <c r="J1393" i="1"/>
  <c r="I1393" i="1"/>
  <c r="H1393" i="1"/>
  <c r="F1393" i="1"/>
  <c r="E1393" i="1"/>
  <c r="D1393" i="1"/>
  <c r="B1393" i="1"/>
  <c r="V1390" i="1"/>
  <c r="U1390" i="1"/>
  <c r="T1390" i="1"/>
  <c r="S1390" i="1"/>
  <c r="R1390" i="1"/>
  <c r="Q1390" i="1"/>
  <c r="L1390" i="1"/>
  <c r="K1390" i="1"/>
  <c r="P1391" i="1" s="1"/>
  <c r="J1390" i="1"/>
  <c r="I1390" i="1"/>
  <c r="H1391" i="1" s="1"/>
  <c r="H1390" i="1"/>
  <c r="F1390" i="1"/>
  <c r="E1390" i="1"/>
  <c r="D1390" i="1"/>
  <c r="B1390" i="1"/>
  <c r="V1387" i="1"/>
  <c r="U1387" i="1"/>
  <c r="T1387" i="1"/>
  <c r="S1387" i="1"/>
  <c r="R1387" i="1"/>
  <c r="Q1387" i="1"/>
  <c r="L1387" i="1"/>
  <c r="K1387" i="1"/>
  <c r="P1388" i="1" s="1"/>
  <c r="J1387" i="1"/>
  <c r="I1387" i="1"/>
  <c r="O1388" i="1" s="1"/>
  <c r="H1387" i="1"/>
  <c r="F1387" i="1"/>
  <c r="E1387" i="1"/>
  <c r="M1387" i="1" s="1"/>
  <c r="D1387" i="1"/>
  <c r="B1387" i="1"/>
  <c r="H1385" i="1"/>
  <c r="V1384" i="1"/>
  <c r="U1384" i="1"/>
  <c r="T1384" i="1"/>
  <c r="S1384" i="1"/>
  <c r="R1384" i="1"/>
  <c r="Q1384" i="1"/>
  <c r="K1384" i="1"/>
  <c r="J1384" i="1"/>
  <c r="I1384" i="1"/>
  <c r="O1385" i="1" s="1"/>
  <c r="H1384" i="1"/>
  <c r="F1384" i="1"/>
  <c r="E1384" i="1"/>
  <c r="M1384" i="1" s="1"/>
  <c r="D1384" i="1"/>
  <c r="B1384" i="1"/>
  <c r="J1381" i="1"/>
  <c r="H1381" i="1"/>
  <c r="I1379" i="1"/>
  <c r="H1379" i="1"/>
  <c r="E1379" i="1"/>
  <c r="J1378" i="1"/>
  <c r="E1378" i="1"/>
  <c r="J1377" i="1"/>
  <c r="E1377" i="1"/>
  <c r="V1376" i="1"/>
  <c r="U1376" i="1"/>
  <c r="T1376" i="1"/>
  <c r="S1376" i="1"/>
  <c r="R1376" i="1"/>
  <c r="Q1376" i="1"/>
  <c r="K1376" i="1"/>
  <c r="J1376" i="1"/>
  <c r="I1376" i="1"/>
  <c r="H1376" i="1"/>
  <c r="F1376" i="1"/>
  <c r="E1376" i="1"/>
  <c r="D1376" i="1"/>
  <c r="B1376" i="1"/>
  <c r="V1375" i="1"/>
  <c r="U1375" i="1"/>
  <c r="T1375" i="1"/>
  <c r="K1378" i="1" s="1"/>
  <c r="S1375" i="1"/>
  <c r="R1375" i="1"/>
  <c r="Q1375" i="1"/>
  <c r="K1375" i="1"/>
  <c r="J1375" i="1"/>
  <c r="I1375" i="1"/>
  <c r="H1375" i="1"/>
  <c r="F1375" i="1"/>
  <c r="E1375" i="1"/>
  <c r="D1375" i="1"/>
  <c r="B1375" i="1"/>
  <c r="K1374" i="1"/>
  <c r="J1374" i="1"/>
  <c r="I1374" i="1"/>
  <c r="H1374" i="1"/>
  <c r="F1374" i="1"/>
  <c r="K1373" i="1"/>
  <c r="J1373" i="1"/>
  <c r="I1373" i="1"/>
  <c r="H1373" i="1"/>
  <c r="F1373" i="1"/>
  <c r="K1372" i="1"/>
  <c r="J1372" i="1"/>
  <c r="I1372" i="1"/>
  <c r="H1372" i="1"/>
  <c r="F1372" i="1"/>
  <c r="K1371" i="1"/>
  <c r="J1371" i="1"/>
  <c r="I1371" i="1"/>
  <c r="H1371" i="1"/>
  <c r="F1371" i="1"/>
  <c r="C1370" i="1"/>
  <c r="V1369" i="1"/>
  <c r="U1369" i="1"/>
  <c r="T1369" i="1"/>
  <c r="S1369" i="1"/>
  <c r="R1369" i="1"/>
  <c r="Q1369" i="1"/>
  <c r="E1369" i="1"/>
  <c r="D1369" i="1"/>
  <c r="B1369" i="1"/>
  <c r="A1368" i="1"/>
  <c r="J1366" i="1"/>
  <c r="I1366" i="1"/>
  <c r="J1365" i="1"/>
  <c r="I1365" i="1"/>
  <c r="A1364" i="1"/>
  <c r="J1360" i="1"/>
  <c r="H1360" i="1"/>
  <c r="I1358" i="1"/>
  <c r="H1358" i="1"/>
  <c r="E1358" i="1"/>
  <c r="J1357" i="1"/>
  <c r="E1357" i="1"/>
  <c r="J1356" i="1"/>
  <c r="E1356" i="1"/>
  <c r="K1355" i="1"/>
  <c r="J1355" i="1"/>
  <c r="I1355" i="1"/>
  <c r="H1355" i="1"/>
  <c r="F1355" i="1"/>
  <c r="C1354" i="1"/>
  <c r="V1353" i="1"/>
  <c r="U1353" i="1"/>
  <c r="T1353" i="1"/>
  <c r="K1357" i="1" s="1"/>
  <c r="S1353" i="1"/>
  <c r="I1357" i="1" s="1"/>
  <c r="R1353" i="1"/>
  <c r="K1356" i="1" s="1"/>
  <c r="Q1353" i="1"/>
  <c r="I1356" i="1" s="1"/>
  <c r="E1353" i="1"/>
  <c r="D1353" i="1"/>
  <c r="B1353" i="1"/>
  <c r="J1350" i="1"/>
  <c r="H1350" i="1"/>
  <c r="I1348" i="1"/>
  <c r="H1348" i="1"/>
  <c r="E1348" i="1"/>
  <c r="J1347" i="1"/>
  <c r="E1347" i="1"/>
  <c r="K1346" i="1"/>
  <c r="P1351" i="1" s="1"/>
  <c r="J1346" i="1"/>
  <c r="E1346" i="1"/>
  <c r="K1345" i="1"/>
  <c r="J1345" i="1"/>
  <c r="I1345" i="1"/>
  <c r="H1345" i="1"/>
  <c r="F1345" i="1"/>
  <c r="K1344" i="1"/>
  <c r="J1344" i="1"/>
  <c r="I1344" i="1"/>
  <c r="H1344" i="1"/>
  <c r="F1344" i="1"/>
  <c r="K1343" i="1"/>
  <c r="J1343" i="1"/>
  <c r="I1343" i="1"/>
  <c r="H1343" i="1"/>
  <c r="F1343" i="1"/>
  <c r="K1342" i="1"/>
  <c r="J1342" i="1"/>
  <c r="I1342" i="1"/>
  <c r="H1349" i="1" s="1"/>
  <c r="H1342" i="1"/>
  <c r="F1342" i="1"/>
  <c r="C1341" i="1"/>
  <c r="V1340" i="1"/>
  <c r="U1340" i="1"/>
  <c r="T1340" i="1"/>
  <c r="K1347" i="1" s="1"/>
  <c r="S1340" i="1"/>
  <c r="I1347" i="1" s="1"/>
  <c r="R1340" i="1"/>
  <c r="Q1340" i="1"/>
  <c r="I1346" i="1" s="1"/>
  <c r="E1340" i="1"/>
  <c r="D1340" i="1"/>
  <c r="B1340" i="1"/>
  <c r="J1337" i="1"/>
  <c r="H1337" i="1"/>
  <c r="I1335" i="1"/>
  <c r="H1335" i="1"/>
  <c r="E1335" i="1"/>
  <c r="J1334" i="1"/>
  <c r="E1334" i="1"/>
  <c r="K1333" i="1"/>
  <c r="J1333" i="1"/>
  <c r="E1333" i="1"/>
  <c r="K1332" i="1"/>
  <c r="J1332" i="1"/>
  <c r="I1332" i="1"/>
  <c r="H1332" i="1"/>
  <c r="F1332" i="1"/>
  <c r="K1331" i="1"/>
  <c r="J1331" i="1"/>
  <c r="I1331" i="1"/>
  <c r="H1331" i="1"/>
  <c r="F1331" i="1"/>
  <c r="K1330" i="1"/>
  <c r="J1330" i="1"/>
  <c r="I1330" i="1"/>
  <c r="H1330" i="1"/>
  <c r="F1330" i="1"/>
  <c r="C1329" i="1"/>
  <c r="V1328" i="1"/>
  <c r="U1328" i="1"/>
  <c r="T1328" i="1"/>
  <c r="K1334" i="1" s="1"/>
  <c r="S1328" i="1"/>
  <c r="I1334" i="1" s="1"/>
  <c r="R1328" i="1"/>
  <c r="Q1328" i="1"/>
  <c r="I1333" i="1" s="1"/>
  <c r="E1328" i="1"/>
  <c r="D1328" i="1"/>
  <c r="B1328" i="1"/>
  <c r="A1327" i="1"/>
  <c r="A1325" i="1"/>
  <c r="J1323" i="1"/>
  <c r="I1323" i="1"/>
  <c r="J1322" i="1"/>
  <c r="I1322" i="1"/>
  <c r="A1321" i="1"/>
  <c r="J1319" i="1"/>
  <c r="I1319" i="1"/>
  <c r="J1318" i="1"/>
  <c r="I1318" i="1"/>
  <c r="A1317" i="1"/>
  <c r="V1313" i="1"/>
  <c r="U1313" i="1"/>
  <c r="T1313" i="1"/>
  <c r="S1313" i="1"/>
  <c r="R1313" i="1"/>
  <c r="Q1313" i="1"/>
  <c r="K1313" i="1"/>
  <c r="P1314" i="1" s="1"/>
  <c r="J1313" i="1"/>
  <c r="I1313" i="1"/>
  <c r="O1314" i="1" s="1"/>
  <c r="H1313" i="1"/>
  <c r="F1313" i="1"/>
  <c r="E1313" i="1"/>
  <c r="D1313" i="1"/>
  <c r="B1313" i="1"/>
  <c r="V1310" i="1"/>
  <c r="U1310" i="1"/>
  <c r="T1310" i="1"/>
  <c r="S1310" i="1"/>
  <c r="R1310" i="1"/>
  <c r="Q1310" i="1"/>
  <c r="K1310" i="1"/>
  <c r="P1311" i="1" s="1"/>
  <c r="J1310" i="1"/>
  <c r="I1310" i="1"/>
  <c r="O1311" i="1" s="1"/>
  <c r="H1310" i="1"/>
  <c r="F1310" i="1"/>
  <c r="E1310" i="1"/>
  <c r="D1310" i="1"/>
  <c r="B1310" i="1"/>
  <c r="V1307" i="1"/>
  <c r="U1307" i="1"/>
  <c r="T1307" i="1"/>
  <c r="S1307" i="1"/>
  <c r="R1307" i="1"/>
  <c r="Q1307" i="1"/>
  <c r="K1307" i="1"/>
  <c r="J1308" i="1" s="1"/>
  <c r="J1307" i="1"/>
  <c r="I1307" i="1"/>
  <c r="H1308" i="1" s="1"/>
  <c r="H1307" i="1"/>
  <c r="F1307" i="1"/>
  <c r="E1307" i="1"/>
  <c r="D1307" i="1"/>
  <c r="B1307" i="1"/>
  <c r="P1305" i="1"/>
  <c r="J1305" i="1"/>
  <c r="V1304" i="1"/>
  <c r="U1304" i="1"/>
  <c r="T1304" i="1"/>
  <c r="S1304" i="1"/>
  <c r="R1304" i="1"/>
  <c r="Q1304" i="1"/>
  <c r="K1304" i="1"/>
  <c r="J1304" i="1"/>
  <c r="I1304" i="1"/>
  <c r="O1305" i="1" s="1"/>
  <c r="H1304" i="1"/>
  <c r="F1304" i="1"/>
  <c r="E1304" i="1"/>
  <c r="D1304" i="1"/>
  <c r="B1304" i="1"/>
  <c r="J1302" i="1"/>
  <c r="J1301" i="1"/>
  <c r="H1301" i="1"/>
  <c r="I1299" i="1"/>
  <c r="H1299" i="1"/>
  <c r="E1299" i="1"/>
  <c r="J1298" i="1"/>
  <c r="E1298" i="1"/>
  <c r="K1297" i="1"/>
  <c r="J1297" i="1"/>
  <c r="E1297" i="1"/>
  <c r="K1296" i="1"/>
  <c r="J1296" i="1"/>
  <c r="I1296" i="1"/>
  <c r="H1296" i="1"/>
  <c r="F1296" i="1"/>
  <c r="K1295" i="1"/>
  <c r="J1295" i="1"/>
  <c r="I1295" i="1"/>
  <c r="H1295" i="1"/>
  <c r="F1295" i="1"/>
  <c r="K1294" i="1"/>
  <c r="J1294" i="1"/>
  <c r="I1294" i="1"/>
  <c r="H1294" i="1"/>
  <c r="F1294" i="1"/>
  <c r="C1293" i="1"/>
  <c r="V1292" i="1"/>
  <c r="U1292" i="1"/>
  <c r="T1292" i="1"/>
  <c r="K1298" i="1" s="1"/>
  <c r="S1292" i="1"/>
  <c r="I1298" i="1" s="1"/>
  <c r="R1292" i="1"/>
  <c r="Q1292" i="1"/>
  <c r="I1297" i="1" s="1"/>
  <c r="E1292" i="1"/>
  <c r="D1292" i="1"/>
  <c r="B1292" i="1"/>
  <c r="J1289" i="1"/>
  <c r="H1289" i="1"/>
  <c r="I1287" i="1"/>
  <c r="H1287" i="1"/>
  <c r="E1287" i="1"/>
  <c r="J1286" i="1"/>
  <c r="E1286" i="1"/>
  <c r="J1285" i="1"/>
  <c r="E1285" i="1"/>
  <c r="V1284" i="1"/>
  <c r="U1284" i="1"/>
  <c r="T1284" i="1"/>
  <c r="K1286" i="1" s="1"/>
  <c r="S1284" i="1"/>
  <c r="R1284" i="1"/>
  <c r="Q1284" i="1"/>
  <c r="K1284" i="1"/>
  <c r="J1284" i="1"/>
  <c r="I1284" i="1"/>
  <c r="H1284" i="1"/>
  <c r="F1284" i="1"/>
  <c r="E1284" i="1"/>
  <c r="M1284" i="1" s="1"/>
  <c r="D1284" i="1"/>
  <c r="B1284" i="1"/>
  <c r="K1283" i="1"/>
  <c r="J1283" i="1"/>
  <c r="I1283" i="1"/>
  <c r="H1283" i="1"/>
  <c r="F1283" i="1"/>
  <c r="K1282" i="1"/>
  <c r="J1282" i="1"/>
  <c r="I1282" i="1"/>
  <c r="H1282" i="1"/>
  <c r="F1282" i="1"/>
  <c r="K1281" i="1"/>
  <c r="J1281" i="1"/>
  <c r="I1281" i="1"/>
  <c r="H1281" i="1"/>
  <c r="F1281" i="1"/>
  <c r="K1280" i="1"/>
  <c r="J1280" i="1"/>
  <c r="I1280" i="1"/>
  <c r="H1280" i="1"/>
  <c r="F1280" i="1"/>
  <c r="V1279" i="1"/>
  <c r="U1279" i="1"/>
  <c r="T1279" i="1"/>
  <c r="S1279" i="1"/>
  <c r="I1286" i="1" s="1"/>
  <c r="R1279" i="1"/>
  <c r="Q1279" i="1"/>
  <c r="E1279" i="1"/>
  <c r="D1279" i="1"/>
  <c r="B1279" i="1"/>
  <c r="J1276" i="1"/>
  <c r="H1276" i="1"/>
  <c r="I1274" i="1"/>
  <c r="H1274" i="1"/>
  <c r="E1274" i="1"/>
  <c r="J1273" i="1"/>
  <c r="E1273" i="1"/>
  <c r="K1272" i="1"/>
  <c r="J1272" i="1"/>
  <c r="E1272" i="1"/>
  <c r="V1271" i="1"/>
  <c r="U1271" i="1"/>
  <c r="T1271" i="1"/>
  <c r="S1271" i="1"/>
  <c r="R1271" i="1"/>
  <c r="Q1271" i="1"/>
  <c r="K1271" i="1"/>
  <c r="J1271" i="1"/>
  <c r="I1271" i="1"/>
  <c r="H1271" i="1"/>
  <c r="F1271" i="1"/>
  <c r="E1271" i="1"/>
  <c r="D1271" i="1"/>
  <c r="B1271" i="1"/>
  <c r="K1270" i="1"/>
  <c r="J1270" i="1"/>
  <c r="I1270" i="1"/>
  <c r="H1270" i="1"/>
  <c r="F1270" i="1"/>
  <c r="K1269" i="1"/>
  <c r="J1269" i="1"/>
  <c r="I1269" i="1"/>
  <c r="H1269" i="1"/>
  <c r="F1269" i="1"/>
  <c r="K1268" i="1"/>
  <c r="J1268" i="1"/>
  <c r="I1268" i="1"/>
  <c r="H1268" i="1"/>
  <c r="F1268" i="1"/>
  <c r="K1267" i="1"/>
  <c r="J1267" i="1"/>
  <c r="I1267" i="1"/>
  <c r="H1267" i="1"/>
  <c r="F1267" i="1"/>
  <c r="C1266" i="1"/>
  <c r="V1265" i="1"/>
  <c r="U1265" i="1"/>
  <c r="T1265" i="1"/>
  <c r="K1273" i="1" s="1"/>
  <c r="S1265" i="1"/>
  <c r="I1273" i="1" s="1"/>
  <c r="R1265" i="1"/>
  <c r="Q1265" i="1"/>
  <c r="I1272" i="1" s="1"/>
  <c r="E1265" i="1"/>
  <c r="D1265" i="1"/>
  <c r="B1265" i="1"/>
  <c r="O1263" i="1"/>
  <c r="V1262" i="1"/>
  <c r="U1262" i="1"/>
  <c r="T1262" i="1"/>
  <c r="S1262" i="1"/>
  <c r="R1262" i="1"/>
  <c r="Q1262" i="1"/>
  <c r="K1262" i="1"/>
  <c r="P1263" i="1" s="1"/>
  <c r="J1262" i="1"/>
  <c r="I1262" i="1"/>
  <c r="H1263" i="1" s="1"/>
  <c r="H1262" i="1"/>
  <c r="F1262" i="1"/>
  <c r="E1262" i="1"/>
  <c r="M1262" i="1" s="1"/>
  <c r="D1262" i="1"/>
  <c r="B1262" i="1"/>
  <c r="J1259" i="1"/>
  <c r="H1259" i="1"/>
  <c r="I1257" i="1"/>
  <c r="H1257" i="1"/>
  <c r="E1257" i="1"/>
  <c r="J1256" i="1"/>
  <c r="I1256" i="1"/>
  <c r="E1256" i="1"/>
  <c r="J1255" i="1"/>
  <c r="E1255" i="1"/>
  <c r="K1254" i="1"/>
  <c r="J1254" i="1"/>
  <c r="I1254" i="1"/>
  <c r="H1254" i="1"/>
  <c r="F1254" i="1"/>
  <c r="K1253" i="1"/>
  <c r="J1253" i="1"/>
  <c r="I1253" i="1"/>
  <c r="H1253" i="1"/>
  <c r="F1253" i="1"/>
  <c r="K1252" i="1"/>
  <c r="J1252" i="1"/>
  <c r="I1252" i="1"/>
  <c r="H1252" i="1"/>
  <c r="F1252" i="1"/>
  <c r="C1251" i="1"/>
  <c r="V1250" i="1"/>
  <c r="U1250" i="1"/>
  <c r="T1250" i="1"/>
  <c r="K1256" i="1" s="1"/>
  <c r="S1250" i="1"/>
  <c r="R1250" i="1"/>
  <c r="K1255" i="1" s="1"/>
  <c r="Q1250" i="1"/>
  <c r="I1255" i="1" s="1"/>
  <c r="H1258" i="1" s="1"/>
  <c r="E1250" i="1"/>
  <c r="D1250" i="1"/>
  <c r="B1250" i="1"/>
  <c r="V1247" i="1"/>
  <c r="U1247" i="1"/>
  <c r="T1247" i="1"/>
  <c r="S1247" i="1"/>
  <c r="R1247" i="1"/>
  <c r="Q1247" i="1"/>
  <c r="K1247" i="1"/>
  <c r="P1248" i="1" s="1"/>
  <c r="J1247" i="1"/>
  <c r="I1247" i="1"/>
  <c r="H1248" i="1" s="1"/>
  <c r="H1247" i="1"/>
  <c r="F1247" i="1"/>
  <c r="E1247" i="1"/>
  <c r="D1247" i="1"/>
  <c r="B1247" i="1"/>
  <c r="J1244" i="1"/>
  <c r="H1244" i="1"/>
  <c r="I1242" i="1"/>
  <c r="H1242" i="1"/>
  <c r="E1242" i="1"/>
  <c r="J1241" i="1"/>
  <c r="E1241" i="1"/>
  <c r="J1240" i="1"/>
  <c r="E1240" i="1"/>
  <c r="K1239" i="1"/>
  <c r="J1239" i="1"/>
  <c r="I1239" i="1"/>
  <c r="H1239" i="1"/>
  <c r="F1239" i="1"/>
  <c r="K1238" i="1"/>
  <c r="J1238" i="1"/>
  <c r="I1238" i="1"/>
  <c r="H1238" i="1"/>
  <c r="F1238" i="1"/>
  <c r="K1237" i="1"/>
  <c r="J1237" i="1"/>
  <c r="I1237" i="1"/>
  <c r="H1237" i="1"/>
  <c r="F1237" i="1"/>
  <c r="K1236" i="1"/>
  <c r="J1236" i="1"/>
  <c r="I1236" i="1"/>
  <c r="H1236" i="1"/>
  <c r="F1236" i="1"/>
  <c r="C1235" i="1"/>
  <c r="V1234" i="1"/>
  <c r="U1234" i="1"/>
  <c r="T1234" i="1"/>
  <c r="K1241" i="1" s="1"/>
  <c r="S1234" i="1"/>
  <c r="I1241" i="1" s="1"/>
  <c r="R1234" i="1"/>
  <c r="K1240" i="1" s="1"/>
  <c r="Q1234" i="1"/>
  <c r="I1240" i="1" s="1"/>
  <c r="E1234" i="1"/>
  <c r="D1234" i="1"/>
  <c r="B1234" i="1"/>
  <c r="J1231" i="1"/>
  <c r="H1231" i="1"/>
  <c r="I1229" i="1"/>
  <c r="H1229" i="1"/>
  <c r="E1229" i="1"/>
  <c r="J1228" i="1"/>
  <c r="E1228" i="1"/>
  <c r="K1227" i="1"/>
  <c r="J1227" i="1"/>
  <c r="E1227" i="1"/>
  <c r="V1226" i="1"/>
  <c r="U1226" i="1"/>
  <c r="T1226" i="1"/>
  <c r="S1226" i="1"/>
  <c r="R1226" i="1"/>
  <c r="Q1226" i="1"/>
  <c r="K1226" i="1"/>
  <c r="J1226" i="1"/>
  <c r="I1226" i="1"/>
  <c r="H1226" i="1"/>
  <c r="F1226" i="1"/>
  <c r="E1226" i="1"/>
  <c r="M1226" i="1" s="1"/>
  <c r="D1226" i="1"/>
  <c r="B1226" i="1"/>
  <c r="K1225" i="1"/>
  <c r="J1225" i="1"/>
  <c r="I1225" i="1"/>
  <c r="H1225" i="1"/>
  <c r="F1225" i="1"/>
  <c r="K1224" i="1"/>
  <c r="J1224" i="1"/>
  <c r="I1224" i="1"/>
  <c r="H1224" i="1"/>
  <c r="F1224" i="1"/>
  <c r="K1223" i="1"/>
  <c r="J1223" i="1"/>
  <c r="I1223" i="1"/>
  <c r="H1223" i="1"/>
  <c r="F1223" i="1"/>
  <c r="K1222" i="1"/>
  <c r="J1222" i="1"/>
  <c r="I1222" i="1"/>
  <c r="H1222" i="1"/>
  <c r="F1222" i="1"/>
  <c r="V1221" i="1"/>
  <c r="U1221" i="1"/>
  <c r="T1221" i="1"/>
  <c r="K1228" i="1" s="1"/>
  <c r="S1221" i="1"/>
  <c r="R1221" i="1"/>
  <c r="Q1221" i="1"/>
  <c r="I1227" i="1" s="1"/>
  <c r="E1221" i="1"/>
  <c r="D1221" i="1"/>
  <c r="B1221" i="1"/>
  <c r="J1218" i="1"/>
  <c r="H1218" i="1"/>
  <c r="I1216" i="1"/>
  <c r="H1216" i="1"/>
  <c r="E1216" i="1"/>
  <c r="J1215" i="1"/>
  <c r="E1215" i="1"/>
  <c r="J1214" i="1"/>
  <c r="E1214" i="1"/>
  <c r="V1213" i="1"/>
  <c r="U1213" i="1"/>
  <c r="T1213" i="1"/>
  <c r="S1213" i="1"/>
  <c r="R1213" i="1"/>
  <c r="Q1213" i="1"/>
  <c r="K1213" i="1"/>
  <c r="J1213" i="1"/>
  <c r="I1213" i="1"/>
  <c r="H1213" i="1"/>
  <c r="F1213" i="1"/>
  <c r="E1213" i="1"/>
  <c r="D1213" i="1"/>
  <c r="B1213" i="1"/>
  <c r="V1212" i="1"/>
  <c r="U1212" i="1"/>
  <c r="T1212" i="1"/>
  <c r="S1212" i="1"/>
  <c r="R1212" i="1"/>
  <c r="Q1212" i="1"/>
  <c r="K1212" i="1"/>
  <c r="J1212" i="1"/>
  <c r="I1212" i="1"/>
  <c r="H1212" i="1"/>
  <c r="F1212" i="1"/>
  <c r="E1212" i="1"/>
  <c r="D1212" i="1"/>
  <c r="B1212" i="1"/>
  <c r="K1211" i="1"/>
  <c r="J1211" i="1"/>
  <c r="I1211" i="1"/>
  <c r="H1211" i="1"/>
  <c r="F1211" i="1"/>
  <c r="K1210" i="1"/>
  <c r="J1210" i="1"/>
  <c r="I1210" i="1"/>
  <c r="H1210" i="1"/>
  <c r="F1210" i="1"/>
  <c r="C1209" i="1"/>
  <c r="V1208" i="1"/>
  <c r="U1208" i="1"/>
  <c r="T1208" i="1"/>
  <c r="S1208" i="1"/>
  <c r="R1208" i="1"/>
  <c r="Q1208" i="1"/>
  <c r="I1214" i="1" s="1"/>
  <c r="E1208" i="1"/>
  <c r="D1208" i="1"/>
  <c r="B1208" i="1"/>
  <c r="J1205" i="1"/>
  <c r="H1205" i="1"/>
  <c r="I1203" i="1"/>
  <c r="H1203" i="1"/>
  <c r="E1203" i="1"/>
  <c r="J1202" i="1"/>
  <c r="E1202" i="1"/>
  <c r="J1201" i="1"/>
  <c r="E1201" i="1"/>
  <c r="V1200" i="1"/>
  <c r="U1200" i="1"/>
  <c r="T1200" i="1"/>
  <c r="S1200" i="1"/>
  <c r="R1200" i="1"/>
  <c r="Q1200" i="1"/>
  <c r="K1200" i="1"/>
  <c r="J1200" i="1"/>
  <c r="I1200" i="1"/>
  <c r="H1200" i="1"/>
  <c r="F1200" i="1"/>
  <c r="E1200" i="1"/>
  <c r="D1200" i="1"/>
  <c r="B1200" i="1"/>
  <c r="V1199" i="1"/>
  <c r="U1199" i="1"/>
  <c r="T1199" i="1"/>
  <c r="S1199" i="1"/>
  <c r="R1199" i="1"/>
  <c r="Q1199" i="1"/>
  <c r="K1199" i="1"/>
  <c r="J1199" i="1"/>
  <c r="I1199" i="1"/>
  <c r="H1199" i="1"/>
  <c r="F1199" i="1"/>
  <c r="E1199" i="1"/>
  <c r="D1199" i="1"/>
  <c r="B1199" i="1"/>
  <c r="K1198" i="1"/>
  <c r="J1198" i="1"/>
  <c r="I1198" i="1"/>
  <c r="H1198" i="1"/>
  <c r="F1198" i="1"/>
  <c r="K1197" i="1"/>
  <c r="J1197" i="1"/>
  <c r="I1197" i="1"/>
  <c r="H1197" i="1"/>
  <c r="F1197" i="1"/>
  <c r="K1196" i="1"/>
  <c r="J1196" i="1"/>
  <c r="I1196" i="1"/>
  <c r="H1196" i="1"/>
  <c r="F1196" i="1"/>
  <c r="K1195" i="1"/>
  <c r="J1195" i="1"/>
  <c r="I1195" i="1"/>
  <c r="H1195" i="1"/>
  <c r="F1195" i="1"/>
  <c r="C1194" i="1"/>
  <c r="V1193" i="1"/>
  <c r="U1193" i="1"/>
  <c r="T1193" i="1"/>
  <c r="S1193" i="1"/>
  <c r="I1202" i="1" s="1"/>
  <c r="R1193" i="1"/>
  <c r="Q1193" i="1"/>
  <c r="E1193" i="1"/>
  <c r="D1193" i="1"/>
  <c r="B1193" i="1"/>
  <c r="J1190" i="1"/>
  <c r="H1190" i="1"/>
  <c r="I1188" i="1"/>
  <c r="H1188" i="1"/>
  <c r="E1188" i="1"/>
  <c r="J1187" i="1"/>
  <c r="E1187" i="1"/>
  <c r="J1186" i="1"/>
  <c r="I1186" i="1"/>
  <c r="E1186" i="1"/>
  <c r="V1185" i="1"/>
  <c r="U1185" i="1"/>
  <c r="T1185" i="1"/>
  <c r="S1185" i="1"/>
  <c r="R1185" i="1"/>
  <c r="Q1185" i="1"/>
  <c r="K1185" i="1"/>
  <c r="J1185" i="1"/>
  <c r="I1185" i="1"/>
  <c r="H1185" i="1"/>
  <c r="F1185" i="1"/>
  <c r="E1185" i="1"/>
  <c r="D1185" i="1"/>
  <c r="B1185" i="1"/>
  <c r="V1184" i="1"/>
  <c r="U1184" i="1"/>
  <c r="T1184" i="1"/>
  <c r="S1184" i="1"/>
  <c r="R1184" i="1"/>
  <c r="Q1184" i="1"/>
  <c r="K1184" i="1"/>
  <c r="J1184" i="1"/>
  <c r="I1184" i="1"/>
  <c r="H1184" i="1"/>
  <c r="F1184" i="1"/>
  <c r="E1184" i="1"/>
  <c r="D1184" i="1"/>
  <c r="B1184" i="1"/>
  <c r="K1183" i="1"/>
  <c r="J1183" i="1"/>
  <c r="I1183" i="1"/>
  <c r="H1183" i="1"/>
  <c r="F1183" i="1"/>
  <c r="K1182" i="1"/>
  <c r="J1182" i="1"/>
  <c r="I1182" i="1"/>
  <c r="H1182" i="1"/>
  <c r="F1182" i="1"/>
  <c r="K1181" i="1"/>
  <c r="J1181" i="1"/>
  <c r="I1181" i="1"/>
  <c r="H1181" i="1"/>
  <c r="F1181" i="1"/>
  <c r="K1180" i="1"/>
  <c r="J1180" i="1"/>
  <c r="I1180" i="1"/>
  <c r="H1180" i="1"/>
  <c r="F1180" i="1"/>
  <c r="C1179" i="1"/>
  <c r="V1178" i="1"/>
  <c r="U1178" i="1"/>
  <c r="T1178" i="1"/>
  <c r="S1178" i="1"/>
  <c r="R1178" i="1"/>
  <c r="K1186" i="1" s="1"/>
  <c r="Q1178" i="1"/>
  <c r="E1178" i="1"/>
  <c r="D1178" i="1"/>
  <c r="B1178" i="1"/>
  <c r="A1177" i="1"/>
  <c r="J1175" i="1"/>
  <c r="I1175" i="1"/>
  <c r="J1174" i="1"/>
  <c r="I1174" i="1"/>
  <c r="A1173" i="1"/>
  <c r="V1169" i="1"/>
  <c r="U1169" i="1"/>
  <c r="T1169" i="1"/>
  <c r="S1169" i="1"/>
  <c r="R1169" i="1"/>
  <c r="Q1169" i="1"/>
  <c r="K1169" i="1"/>
  <c r="J1169" i="1"/>
  <c r="I1169" i="1"/>
  <c r="O1170" i="1" s="1"/>
  <c r="H1169" i="1"/>
  <c r="F1169" i="1"/>
  <c r="E1169" i="1"/>
  <c r="D1169" i="1"/>
  <c r="B1169" i="1"/>
  <c r="V1166" i="1"/>
  <c r="U1166" i="1"/>
  <c r="T1166" i="1"/>
  <c r="S1166" i="1"/>
  <c r="R1166" i="1"/>
  <c r="Q1166" i="1"/>
  <c r="K1166" i="1"/>
  <c r="P1167" i="1" s="1"/>
  <c r="J1166" i="1"/>
  <c r="I1166" i="1"/>
  <c r="H1166" i="1"/>
  <c r="F1166" i="1"/>
  <c r="E1166" i="1"/>
  <c r="D1166" i="1"/>
  <c r="B1166" i="1"/>
  <c r="J1163" i="1"/>
  <c r="H1163" i="1"/>
  <c r="I1161" i="1"/>
  <c r="H1161" i="1"/>
  <c r="E1161" i="1"/>
  <c r="K1160" i="1"/>
  <c r="J1160" i="1"/>
  <c r="E1160" i="1"/>
  <c r="J1159" i="1"/>
  <c r="E1159" i="1"/>
  <c r="K1158" i="1"/>
  <c r="J1158" i="1"/>
  <c r="I1158" i="1"/>
  <c r="H1158" i="1"/>
  <c r="F1158" i="1"/>
  <c r="K1157" i="1"/>
  <c r="J1157" i="1"/>
  <c r="I1157" i="1"/>
  <c r="H1157" i="1"/>
  <c r="F1157" i="1"/>
  <c r="K1156" i="1"/>
  <c r="J1156" i="1"/>
  <c r="I1156" i="1"/>
  <c r="H1156" i="1"/>
  <c r="F1156" i="1"/>
  <c r="K1155" i="1"/>
  <c r="J1155" i="1"/>
  <c r="I1155" i="1"/>
  <c r="H1155" i="1"/>
  <c r="F1155" i="1"/>
  <c r="C1154" i="1"/>
  <c r="V1153" i="1"/>
  <c r="U1153" i="1"/>
  <c r="T1153" i="1"/>
  <c r="S1153" i="1"/>
  <c r="I1160" i="1" s="1"/>
  <c r="R1153" i="1"/>
  <c r="K1159" i="1" s="1"/>
  <c r="Q1153" i="1"/>
  <c r="I1159" i="1" s="1"/>
  <c r="E1153" i="1"/>
  <c r="D1153" i="1"/>
  <c r="B1153" i="1"/>
  <c r="J1150" i="1"/>
  <c r="H1150" i="1"/>
  <c r="I1148" i="1"/>
  <c r="H1148" i="1"/>
  <c r="E1148" i="1"/>
  <c r="J1147" i="1"/>
  <c r="E1147" i="1"/>
  <c r="J1146" i="1"/>
  <c r="E1146" i="1"/>
  <c r="V1145" i="1"/>
  <c r="U1145" i="1"/>
  <c r="T1145" i="1"/>
  <c r="S1145" i="1"/>
  <c r="R1145" i="1"/>
  <c r="Q1145" i="1"/>
  <c r="K1145" i="1"/>
  <c r="J1145" i="1"/>
  <c r="I1145" i="1"/>
  <c r="H1145" i="1"/>
  <c r="F1145" i="1"/>
  <c r="E1145" i="1"/>
  <c r="D1145" i="1"/>
  <c r="B1145" i="1"/>
  <c r="K1144" i="1"/>
  <c r="J1144" i="1"/>
  <c r="I1144" i="1"/>
  <c r="H1144" i="1"/>
  <c r="F1144" i="1"/>
  <c r="K1143" i="1"/>
  <c r="J1143" i="1"/>
  <c r="I1143" i="1"/>
  <c r="H1143" i="1"/>
  <c r="F1143" i="1"/>
  <c r="K1142" i="1"/>
  <c r="J1142" i="1"/>
  <c r="I1142" i="1"/>
  <c r="H1142" i="1"/>
  <c r="F1142" i="1"/>
  <c r="C1141" i="1"/>
  <c r="V1140" i="1"/>
  <c r="U1140" i="1"/>
  <c r="T1140" i="1"/>
  <c r="S1140" i="1"/>
  <c r="I1147" i="1" s="1"/>
  <c r="R1140" i="1"/>
  <c r="Q1140" i="1"/>
  <c r="E1140" i="1"/>
  <c r="D1140" i="1"/>
  <c r="B1140" i="1"/>
  <c r="A1139" i="1"/>
  <c r="J1137" i="1"/>
  <c r="I1137" i="1"/>
  <c r="J1136" i="1"/>
  <c r="I1136" i="1"/>
  <c r="A1135" i="1"/>
  <c r="O1132" i="1"/>
  <c r="V1131" i="1"/>
  <c r="U1131" i="1"/>
  <c r="T1131" i="1"/>
  <c r="S1131" i="1"/>
  <c r="R1131" i="1"/>
  <c r="Q1131" i="1"/>
  <c r="K1131" i="1"/>
  <c r="P1132" i="1" s="1"/>
  <c r="J1131" i="1"/>
  <c r="I1131" i="1"/>
  <c r="H1132" i="1" s="1"/>
  <c r="H1131" i="1"/>
  <c r="F1131" i="1"/>
  <c r="E1131" i="1"/>
  <c r="M1131" i="1" s="1"/>
  <c r="D1131" i="1"/>
  <c r="B1131" i="1"/>
  <c r="J1128" i="1"/>
  <c r="H1128" i="1"/>
  <c r="I1126" i="1"/>
  <c r="H1126" i="1"/>
  <c r="E1126" i="1"/>
  <c r="J1125" i="1"/>
  <c r="E1125" i="1"/>
  <c r="J1124" i="1"/>
  <c r="E1124" i="1"/>
  <c r="V1123" i="1"/>
  <c r="U1123" i="1"/>
  <c r="T1123" i="1"/>
  <c r="S1123" i="1"/>
  <c r="R1123" i="1"/>
  <c r="Q1123" i="1"/>
  <c r="K1123" i="1"/>
  <c r="J1123" i="1"/>
  <c r="I1123" i="1"/>
  <c r="H1123" i="1"/>
  <c r="F1123" i="1"/>
  <c r="E1123" i="1"/>
  <c r="D1123" i="1"/>
  <c r="B1123" i="1"/>
  <c r="V1122" i="1"/>
  <c r="U1122" i="1"/>
  <c r="T1122" i="1"/>
  <c r="S1122" i="1"/>
  <c r="R1122" i="1"/>
  <c r="Q1122" i="1"/>
  <c r="K1122" i="1"/>
  <c r="J1122" i="1"/>
  <c r="I1122" i="1"/>
  <c r="H1122" i="1"/>
  <c r="F1122" i="1"/>
  <c r="E1122" i="1"/>
  <c r="D1122" i="1"/>
  <c r="B1122" i="1"/>
  <c r="V1121" i="1"/>
  <c r="U1121" i="1"/>
  <c r="T1121" i="1"/>
  <c r="S1121" i="1"/>
  <c r="R1121" i="1"/>
  <c r="Q1121" i="1"/>
  <c r="K1121" i="1"/>
  <c r="J1121" i="1"/>
  <c r="I1121" i="1"/>
  <c r="H1121" i="1"/>
  <c r="F1121" i="1"/>
  <c r="E1121" i="1"/>
  <c r="D1121" i="1"/>
  <c r="B1121" i="1"/>
  <c r="V1120" i="1"/>
  <c r="U1120" i="1"/>
  <c r="T1120" i="1"/>
  <c r="S1120" i="1"/>
  <c r="R1120" i="1"/>
  <c r="Q1120" i="1"/>
  <c r="K1120" i="1"/>
  <c r="J1120" i="1"/>
  <c r="I1120" i="1"/>
  <c r="H1120" i="1"/>
  <c r="F1120" i="1"/>
  <c r="E1120" i="1"/>
  <c r="D1120" i="1"/>
  <c r="B1120" i="1"/>
  <c r="K1119" i="1"/>
  <c r="J1119" i="1"/>
  <c r="I1119" i="1"/>
  <c r="H1119" i="1"/>
  <c r="F1119" i="1"/>
  <c r="K1118" i="1"/>
  <c r="J1118" i="1"/>
  <c r="I1118" i="1"/>
  <c r="H1118" i="1"/>
  <c r="F1118" i="1"/>
  <c r="K1117" i="1"/>
  <c r="J1117" i="1"/>
  <c r="I1117" i="1"/>
  <c r="H1117" i="1"/>
  <c r="F1117" i="1"/>
  <c r="K1116" i="1"/>
  <c r="J1116" i="1"/>
  <c r="I1116" i="1"/>
  <c r="H1116" i="1"/>
  <c r="F1116" i="1"/>
  <c r="C1115" i="1"/>
  <c r="V1114" i="1"/>
  <c r="U1114" i="1"/>
  <c r="T1114" i="1"/>
  <c r="S1114" i="1"/>
  <c r="R1114" i="1"/>
  <c r="Q1114" i="1"/>
  <c r="E1114" i="1"/>
  <c r="D1114" i="1"/>
  <c r="B1114" i="1"/>
  <c r="J1111" i="1"/>
  <c r="H1111" i="1"/>
  <c r="I1109" i="1"/>
  <c r="H1109" i="1"/>
  <c r="E1109" i="1"/>
  <c r="J1108" i="1"/>
  <c r="E1108" i="1"/>
  <c r="K1107" i="1"/>
  <c r="J1107" i="1"/>
  <c r="I1107" i="1"/>
  <c r="E1107" i="1"/>
  <c r="V1106" i="1"/>
  <c r="U1106" i="1"/>
  <c r="T1106" i="1"/>
  <c r="S1106" i="1"/>
  <c r="R1106" i="1"/>
  <c r="Q1106" i="1"/>
  <c r="K1106" i="1"/>
  <c r="J1106" i="1"/>
  <c r="I1106" i="1"/>
  <c r="H1106" i="1"/>
  <c r="F1106" i="1"/>
  <c r="E1106" i="1"/>
  <c r="D1106" i="1"/>
  <c r="B1106" i="1"/>
  <c r="K1105" i="1"/>
  <c r="J1105" i="1"/>
  <c r="I1105" i="1"/>
  <c r="H1105" i="1"/>
  <c r="F1105" i="1"/>
  <c r="K1104" i="1"/>
  <c r="J1104" i="1"/>
  <c r="I1104" i="1"/>
  <c r="H1104" i="1"/>
  <c r="F1104" i="1"/>
  <c r="K1103" i="1"/>
  <c r="J1103" i="1"/>
  <c r="I1103" i="1"/>
  <c r="H1103" i="1"/>
  <c r="F1103" i="1"/>
  <c r="K1102" i="1"/>
  <c r="J1102" i="1"/>
  <c r="I1102" i="1"/>
  <c r="H1102" i="1"/>
  <c r="F1102" i="1"/>
  <c r="C1101" i="1"/>
  <c r="V1100" i="1"/>
  <c r="U1100" i="1"/>
  <c r="T1100" i="1"/>
  <c r="K1108" i="1" s="1"/>
  <c r="S1100" i="1"/>
  <c r="R1100" i="1"/>
  <c r="Q1100" i="1"/>
  <c r="E1100" i="1"/>
  <c r="D1100" i="1"/>
  <c r="B1100" i="1"/>
  <c r="J1097" i="1"/>
  <c r="H1097" i="1"/>
  <c r="I1095" i="1"/>
  <c r="H1095" i="1"/>
  <c r="E1095" i="1"/>
  <c r="J1094" i="1"/>
  <c r="E1094" i="1"/>
  <c r="K1093" i="1"/>
  <c r="J1093" i="1"/>
  <c r="E1093" i="1"/>
  <c r="V1092" i="1"/>
  <c r="U1092" i="1"/>
  <c r="T1092" i="1"/>
  <c r="S1092" i="1"/>
  <c r="R1092" i="1"/>
  <c r="Q1092" i="1"/>
  <c r="K1092" i="1"/>
  <c r="J1092" i="1"/>
  <c r="I1092" i="1"/>
  <c r="H1092" i="1"/>
  <c r="F1092" i="1"/>
  <c r="E1092" i="1"/>
  <c r="D1092" i="1"/>
  <c r="B1092" i="1"/>
  <c r="K1091" i="1"/>
  <c r="J1091" i="1"/>
  <c r="I1091" i="1"/>
  <c r="H1091" i="1"/>
  <c r="F1091" i="1"/>
  <c r="C1090" i="1"/>
  <c r="V1089" i="1"/>
  <c r="U1089" i="1"/>
  <c r="T1089" i="1"/>
  <c r="K1094" i="1" s="1"/>
  <c r="J1096" i="1" s="1"/>
  <c r="S1089" i="1"/>
  <c r="I1094" i="1" s="1"/>
  <c r="R1089" i="1"/>
  <c r="Q1089" i="1"/>
  <c r="I1093" i="1" s="1"/>
  <c r="E1089" i="1"/>
  <c r="D1089" i="1"/>
  <c r="B1089" i="1"/>
  <c r="J1086" i="1"/>
  <c r="H1086" i="1"/>
  <c r="I1084" i="1"/>
  <c r="H1084" i="1"/>
  <c r="E1084" i="1"/>
  <c r="J1083" i="1"/>
  <c r="E1083" i="1"/>
  <c r="J1082" i="1"/>
  <c r="E1082" i="1"/>
  <c r="V1081" i="1"/>
  <c r="U1081" i="1"/>
  <c r="T1081" i="1"/>
  <c r="S1081" i="1"/>
  <c r="R1081" i="1"/>
  <c r="Q1081" i="1"/>
  <c r="K1081" i="1"/>
  <c r="J1081" i="1"/>
  <c r="I1081" i="1"/>
  <c r="H1081" i="1"/>
  <c r="F1081" i="1"/>
  <c r="E1081" i="1"/>
  <c r="D1081" i="1"/>
  <c r="B1081" i="1"/>
  <c r="K1080" i="1"/>
  <c r="J1080" i="1"/>
  <c r="I1080" i="1"/>
  <c r="H1080" i="1"/>
  <c r="F1080" i="1"/>
  <c r="K1079" i="1"/>
  <c r="J1079" i="1"/>
  <c r="I1079" i="1"/>
  <c r="H1079" i="1"/>
  <c r="F1079" i="1"/>
  <c r="K1078" i="1"/>
  <c r="J1078" i="1"/>
  <c r="I1078" i="1"/>
  <c r="H1078" i="1"/>
  <c r="F1078" i="1"/>
  <c r="C1077" i="1"/>
  <c r="V1076" i="1"/>
  <c r="U1076" i="1"/>
  <c r="T1076" i="1"/>
  <c r="K1083" i="1" s="1"/>
  <c r="S1076" i="1"/>
  <c r="I1083" i="1" s="1"/>
  <c r="R1076" i="1"/>
  <c r="Q1076" i="1"/>
  <c r="E1076" i="1"/>
  <c r="D1076" i="1"/>
  <c r="B1076" i="1"/>
  <c r="J1073" i="1"/>
  <c r="H1073" i="1"/>
  <c r="I1071" i="1"/>
  <c r="H1071" i="1"/>
  <c r="E1071" i="1"/>
  <c r="J1070" i="1"/>
  <c r="E1070" i="1"/>
  <c r="J1069" i="1"/>
  <c r="E1069" i="1"/>
  <c r="V1068" i="1"/>
  <c r="U1068" i="1"/>
  <c r="T1068" i="1"/>
  <c r="S1068" i="1"/>
  <c r="I1070" i="1" s="1"/>
  <c r="R1068" i="1"/>
  <c r="Q1068" i="1"/>
  <c r="K1068" i="1"/>
  <c r="J1068" i="1"/>
  <c r="I1068" i="1"/>
  <c r="H1068" i="1"/>
  <c r="F1068" i="1"/>
  <c r="E1068" i="1"/>
  <c r="D1068" i="1"/>
  <c r="B1068" i="1"/>
  <c r="K1067" i="1"/>
  <c r="J1067" i="1"/>
  <c r="I1067" i="1"/>
  <c r="H1067" i="1"/>
  <c r="F1067" i="1"/>
  <c r="K1066" i="1"/>
  <c r="J1066" i="1"/>
  <c r="I1066" i="1"/>
  <c r="H1066" i="1"/>
  <c r="F1066" i="1"/>
  <c r="K1065" i="1"/>
  <c r="J1065" i="1"/>
  <c r="I1065" i="1"/>
  <c r="H1065" i="1"/>
  <c r="F1065" i="1"/>
  <c r="V1064" i="1"/>
  <c r="U1064" i="1"/>
  <c r="T1064" i="1"/>
  <c r="K1070" i="1" s="1"/>
  <c r="S1064" i="1"/>
  <c r="R1064" i="1"/>
  <c r="K1069" i="1" s="1"/>
  <c r="Q1064" i="1"/>
  <c r="I1069" i="1" s="1"/>
  <c r="E1064" i="1"/>
  <c r="D1064" i="1"/>
  <c r="B1064" i="1"/>
  <c r="J1061" i="1"/>
  <c r="H1061" i="1"/>
  <c r="I1059" i="1"/>
  <c r="H1059" i="1"/>
  <c r="E1059" i="1"/>
  <c r="J1058" i="1"/>
  <c r="E1058" i="1"/>
  <c r="J1057" i="1"/>
  <c r="E1057" i="1"/>
  <c r="K1056" i="1"/>
  <c r="J1056" i="1"/>
  <c r="I1056" i="1"/>
  <c r="H1056" i="1"/>
  <c r="F1056" i="1"/>
  <c r="K1055" i="1"/>
  <c r="J1055" i="1"/>
  <c r="I1055" i="1"/>
  <c r="H1055" i="1"/>
  <c r="F1055" i="1"/>
  <c r="K1054" i="1"/>
  <c r="J1054" i="1"/>
  <c r="I1054" i="1"/>
  <c r="H1054" i="1"/>
  <c r="F1054" i="1"/>
  <c r="K1053" i="1"/>
  <c r="J1053" i="1"/>
  <c r="I1053" i="1"/>
  <c r="H1053" i="1"/>
  <c r="F1053" i="1"/>
  <c r="C1052" i="1"/>
  <c r="V1051" i="1"/>
  <c r="U1051" i="1"/>
  <c r="T1051" i="1"/>
  <c r="K1058" i="1" s="1"/>
  <c r="S1051" i="1"/>
  <c r="I1058" i="1" s="1"/>
  <c r="R1051" i="1"/>
  <c r="K1057" i="1" s="1"/>
  <c r="Q1051" i="1"/>
  <c r="I1057" i="1" s="1"/>
  <c r="E1051" i="1"/>
  <c r="D1051" i="1"/>
  <c r="B1051" i="1"/>
  <c r="J1048" i="1"/>
  <c r="H1048" i="1"/>
  <c r="I1046" i="1"/>
  <c r="H1046" i="1"/>
  <c r="E1046" i="1"/>
  <c r="J1045" i="1"/>
  <c r="E1045" i="1"/>
  <c r="J1044" i="1"/>
  <c r="E1044" i="1"/>
  <c r="V1043" i="1"/>
  <c r="U1043" i="1"/>
  <c r="T1043" i="1"/>
  <c r="S1043" i="1"/>
  <c r="I1045" i="1" s="1"/>
  <c r="R1043" i="1"/>
  <c r="Q1043" i="1"/>
  <c r="K1043" i="1"/>
  <c r="J1043" i="1"/>
  <c r="I1043" i="1"/>
  <c r="H1043" i="1"/>
  <c r="F1043" i="1"/>
  <c r="E1043" i="1"/>
  <c r="D1043" i="1"/>
  <c r="B1043" i="1"/>
  <c r="K1042" i="1"/>
  <c r="J1042" i="1"/>
  <c r="I1042" i="1"/>
  <c r="H1042" i="1"/>
  <c r="F1042" i="1"/>
  <c r="K1041" i="1"/>
  <c r="J1041" i="1"/>
  <c r="I1041" i="1"/>
  <c r="H1041" i="1"/>
  <c r="F1041" i="1"/>
  <c r="K1040" i="1"/>
  <c r="J1040" i="1"/>
  <c r="I1040" i="1"/>
  <c r="H1040" i="1"/>
  <c r="F1040" i="1"/>
  <c r="K1039" i="1"/>
  <c r="J1039" i="1"/>
  <c r="I1039" i="1"/>
  <c r="H1039" i="1"/>
  <c r="F1039" i="1"/>
  <c r="C1038" i="1"/>
  <c r="V1037" i="1"/>
  <c r="U1037" i="1"/>
  <c r="T1037" i="1"/>
  <c r="K1045" i="1" s="1"/>
  <c r="P1049" i="1" s="1"/>
  <c r="S1037" i="1"/>
  <c r="R1037" i="1"/>
  <c r="K1044" i="1" s="1"/>
  <c r="Q1037" i="1"/>
  <c r="I1044" i="1" s="1"/>
  <c r="E1037" i="1"/>
  <c r="D1037" i="1"/>
  <c r="B1037" i="1"/>
  <c r="J1034" i="1"/>
  <c r="H1034" i="1"/>
  <c r="I1032" i="1"/>
  <c r="H1032" i="1"/>
  <c r="E1032" i="1"/>
  <c r="J1031" i="1"/>
  <c r="E1031" i="1"/>
  <c r="J1030" i="1"/>
  <c r="E1030" i="1"/>
  <c r="V1029" i="1"/>
  <c r="U1029" i="1"/>
  <c r="T1029" i="1"/>
  <c r="S1029" i="1"/>
  <c r="R1029" i="1"/>
  <c r="Q1029" i="1"/>
  <c r="K1029" i="1"/>
  <c r="J1029" i="1"/>
  <c r="I1029" i="1"/>
  <c r="H1029" i="1"/>
  <c r="F1029" i="1"/>
  <c r="E1029" i="1"/>
  <c r="D1029" i="1"/>
  <c r="B1029" i="1"/>
  <c r="K1028" i="1"/>
  <c r="J1028" i="1"/>
  <c r="I1028" i="1"/>
  <c r="H1028" i="1"/>
  <c r="F1028" i="1"/>
  <c r="K1027" i="1"/>
  <c r="J1027" i="1"/>
  <c r="I1027" i="1"/>
  <c r="H1027" i="1"/>
  <c r="F1027" i="1"/>
  <c r="K1026" i="1"/>
  <c r="J1026" i="1"/>
  <c r="I1026" i="1"/>
  <c r="H1026" i="1"/>
  <c r="F1026" i="1"/>
  <c r="C1025" i="1"/>
  <c r="V1024" i="1"/>
  <c r="U1024" i="1"/>
  <c r="T1024" i="1"/>
  <c r="K1031" i="1" s="1"/>
  <c r="S1024" i="1"/>
  <c r="R1024" i="1"/>
  <c r="K1030" i="1" s="1"/>
  <c r="Q1024" i="1"/>
  <c r="E1024" i="1"/>
  <c r="D1024" i="1"/>
  <c r="B1024" i="1"/>
  <c r="J1021" i="1"/>
  <c r="H1021" i="1"/>
  <c r="I1019" i="1"/>
  <c r="H1019" i="1"/>
  <c r="E1019" i="1"/>
  <c r="J1018" i="1"/>
  <c r="E1018" i="1"/>
  <c r="J1017" i="1"/>
  <c r="E1017" i="1"/>
  <c r="V1016" i="1"/>
  <c r="U1016" i="1"/>
  <c r="T1016" i="1"/>
  <c r="S1016" i="1"/>
  <c r="R1016" i="1"/>
  <c r="Q1016" i="1"/>
  <c r="K1016" i="1"/>
  <c r="J1016" i="1"/>
  <c r="I1016" i="1"/>
  <c r="H1016" i="1"/>
  <c r="F1016" i="1"/>
  <c r="E1016" i="1"/>
  <c r="D1016" i="1"/>
  <c r="B1016" i="1"/>
  <c r="K1015" i="1"/>
  <c r="J1015" i="1"/>
  <c r="I1015" i="1"/>
  <c r="H1015" i="1"/>
  <c r="F1015" i="1"/>
  <c r="K1014" i="1"/>
  <c r="J1014" i="1"/>
  <c r="I1014" i="1"/>
  <c r="H1014" i="1"/>
  <c r="F1014" i="1"/>
  <c r="K1013" i="1"/>
  <c r="J1013" i="1"/>
  <c r="I1013" i="1"/>
  <c r="H1013" i="1"/>
  <c r="F1013" i="1"/>
  <c r="C1012" i="1"/>
  <c r="V1011" i="1"/>
  <c r="U1011" i="1"/>
  <c r="T1011" i="1"/>
  <c r="K1018" i="1" s="1"/>
  <c r="S1011" i="1"/>
  <c r="R1011" i="1"/>
  <c r="K1017" i="1" s="1"/>
  <c r="Q1011" i="1"/>
  <c r="E1011" i="1"/>
  <c r="D1011" i="1"/>
  <c r="B1011" i="1"/>
  <c r="J1008" i="1"/>
  <c r="H1008" i="1"/>
  <c r="I1006" i="1"/>
  <c r="H1006" i="1"/>
  <c r="E1006" i="1"/>
  <c r="J1005" i="1"/>
  <c r="I1005" i="1"/>
  <c r="E1005" i="1"/>
  <c r="J1004" i="1"/>
  <c r="E1004" i="1"/>
  <c r="V1003" i="1"/>
  <c r="U1003" i="1"/>
  <c r="T1003" i="1"/>
  <c r="S1003" i="1"/>
  <c r="R1003" i="1"/>
  <c r="K1004" i="1" s="1"/>
  <c r="Q1003" i="1"/>
  <c r="K1003" i="1"/>
  <c r="J1003" i="1"/>
  <c r="I1003" i="1"/>
  <c r="H1003" i="1"/>
  <c r="F1003" i="1"/>
  <c r="E1003" i="1"/>
  <c r="D1003" i="1"/>
  <c r="B1003" i="1"/>
  <c r="K1002" i="1"/>
  <c r="J1002" i="1"/>
  <c r="I1002" i="1"/>
  <c r="H1002" i="1"/>
  <c r="F1002" i="1"/>
  <c r="K1001" i="1"/>
  <c r="J1001" i="1"/>
  <c r="I1001" i="1"/>
  <c r="H1001" i="1"/>
  <c r="F1001" i="1"/>
  <c r="K1000" i="1"/>
  <c r="J1000" i="1"/>
  <c r="I1000" i="1"/>
  <c r="O1009" i="1" s="1"/>
  <c r="H1000" i="1"/>
  <c r="F1000" i="1"/>
  <c r="K999" i="1"/>
  <c r="J999" i="1"/>
  <c r="I999" i="1"/>
  <c r="H999" i="1"/>
  <c r="F999" i="1"/>
  <c r="C998" i="1"/>
  <c r="V997" i="1"/>
  <c r="U997" i="1"/>
  <c r="T997" i="1"/>
  <c r="S997" i="1"/>
  <c r="R997" i="1"/>
  <c r="Q997" i="1"/>
  <c r="I1004" i="1" s="1"/>
  <c r="E997" i="1"/>
  <c r="D997" i="1"/>
  <c r="B997" i="1"/>
  <c r="J994" i="1"/>
  <c r="H994" i="1"/>
  <c r="I992" i="1"/>
  <c r="H992" i="1"/>
  <c r="E992" i="1"/>
  <c r="K991" i="1"/>
  <c r="J991" i="1"/>
  <c r="I991" i="1"/>
  <c r="E991" i="1"/>
  <c r="K990" i="1"/>
  <c r="J990" i="1"/>
  <c r="E990" i="1"/>
  <c r="V989" i="1"/>
  <c r="U989" i="1"/>
  <c r="T989" i="1"/>
  <c r="S989" i="1"/>
  <c r="R989" i="1"/>
  <c r="Q989" i="1"/>
  <c r="K989" i="1"/>
  <c r="J989" i="1"/>
  <c r="I989" i="1"/>
  <c r="H989" i="1"/>
  <c r="F989" i="1"/>
  <c r="E989" i="1"/>
  <c r="D989" i="1"/>
  <c r="B989" i="1"/>
  <c r="K988" i="1"/>
  <c r="J988" i="1"/>
  <c r="I988" i="1"/>
  <c r="H988" i="1"/>
  <c r="F988" i="1"/>
  <c r="C987" i="1"/>
  <c r="V986" i="1"/>
  <c r="U986" i="1"/>
  <c r="T986" i="1"/>
  <c r="S986" i="1"/>
  <c r="R986" i="1"/>
  <c r="Q986" i="1"/>
  <c r="I990" i="1" s="1"/>
  <c r="E986" i="1"/>
  <c r="D986" i="1"/>
  <c r="B986" i="1"/>
  <c r="J983" i="1"/>
  <c r="H983" i="1"/>
  <c r="I981" i="1"/>
  <c r="H981" i="1"/>
  <c r="E981" i="1"/>
  <c r="J980" i="1"/>
  <c r="E980" i="1"/>
  <c r="J979" i="1"/>
  <c r="E979" i="1"/>
  <c r="V978" i="1"/>
  <c r="U978" i="1"/>
  <c r="T978" i="1"/>
  <c r="S978" i="1"/>
  <c r="R978" i="1"/>
  <c r="Q978" i="1"/>
  <c r="I979" i="1" s="1"/>
  <c r="K978" i="1"/>
  <c r="J978" i="1"/>
  <c r="I978" i="1"/>
  <c r="H978" i="1"/>
  <c r="F978" i="1"/>
  <c r="E978" i="1"/>
  <c r="D978" i="1"/>
  <c r="B978" i="1"/>
  <c r="K977" i="1"/>
  <c r="J977" i="1"/>
  <c r="I977" i="1"/>
  <c r="H977" i="1"/>
  <c r="F977" i="1"/>
  <c r="K976" i="1"/>
  <c r="J976" i="1"/>
  <c r="I976" i="1"/>
  <c r="H976" i="1"/>
  <c r="F976" i="1"/>
  <c r="K975" i="1"/>
  <c r="J975" i="1"/>
  <c r="I975" i="1"/>
  <c r="H975" i="1"/>
  <c r="F975" i="1"/>
  <c r="C974" i="1"/>
  <c r="V973" i="1"/>
  <c r="U973" i="1"/>
  <c r="T973" i="1"/>
  <c r="K980" i="1" s="1"/>
  <c r="S973" i="1"/>
  <c r="R973" i="1"/>
  <c r="K979" i="1" s="1"/>
  <c r="J984" i="1" s="1"/>
  <c r="Q973" i="1"/>
  <c r="E973" i="1"/>
  <c r="D973" i="1"/>
  <c r="B973" i="1"/>
  <c r="A972" i="1"/>
  <c r="J970" i="1"/>
  <c r="I970" i="1"/>
  <c r="J969" i="1"/>
  <c r="I969" i="1"/>
  <c r="A968" i="1"/>
  <c r="P965" i="1"/>
  <c r="J965" i="1"/>
  <c r="V964" i="1"/>
  <c r="U964" i="1"/>
  <c r="T964" i="1"/>
  <c r="S964" i="1"/>
  <c r="R964" i="1"/>
  <c r="Q964" i="1"/>
  <c r="K964" i="1"/>
  <c r="J964" i="1"/>
  <c r="I964" i="1"/>
  <c r="H964" i="1"/>
  <c r="F964" i="1"/>
  <c r="E964" i="1"/>
  <c r="D964" i="1"/>
  <c r="B964" i="1"/>
  <c r="P962" i="1"/>
  <c r="J962" i="1"/>
  <c r="H962" i="1"/>
  <c r="V961" i="1"/>
  <c r="U961" i="1"/>
  <c r="T961" i="1"/>
  <c r="S961" i="1"/>
  <c r="R961" i="1"/>
  <c r="Q961" i="1"/>
  <c r="K961" i="1"/>
  <c r="J961" i="1"/>
  <c r="I961" i="1"/>
  <c r="O962" i="1" s="1"/>
  <c r="H961" i="1"/>
  <c r="F961" i="1"/>
  <c r="E961" i="1"/>
  <c r="D961" i="1"/>
  <c r="B961" i="1"/>
  <c r="J958" i="1"/>
  <c r="H958" i="1"/>
  <c r="I956" i="1"/>
  <c r="H956" i="1"/>
  <c r="E956" i="1"/>
  <c r="J955" i="1"/>
  <c r="E955" i="1"/>
  <c r="J954" i="1"/>
  <c r="E954" i="1"/>
  <c r="K953" i="1"/>
  <c r="J953" i="1"/>
  <c r="I953" i="1"/>
  <c r="H953" i="1"/>
  <c r="F953" i="1"/>
  <c r="K952" i="1"/>
  <c r="J952" i="1"/>
  <c r="I952" i="1"/>
  <c r="H952" i="1"/>
  <c r="F952" i="1"/>
  <c r="K951" i="1"/>
  <c r="J951" i="1"/>
  <c r="I951" i="1"/>
  <c r="H951" i="1"/>
  <c r="F951" i="1"/>
  <c r="K950" i="1"/>
  <c r="J950" i="1"/>
  <c r="I950" i="1"/>
  <c r="H950" i="1"/>
  <c r="F950" i="1"/>
  <c r="C949" i="1"/>
  <c r="V948" i="1"/>
  <c r="U948" i="1"/>
  <c r="T948" i="1"/>
  <c r="K955" i="1" s="1"/>
  <c r="S948" i="1"/>
  <c r="I955" i="1" s="1"/>
  <c r="R948" i="1"/>
  <c r="K954" i="1" s="1"/>
  <c r="Q948" i="1"/>
  <c r="I954" i="1" s="1"/>
  <c r="E948" i="1"/>
  <c r="D948" i="1"/>
  <c r="B948" i="1"/>
  <c r="J945" i="1"/>
  <c r="H945" i="1"/>
  <c r="I943" i="1"/>
  <c r="H943" i="1"/>
  <c r="E943" i="1"/>
  <c r="J942" i="1"/>
  <c r="I942" i="1"/>
  <c r="E942" i="1"/>
  <c r="K941" i="1"/>
  <c r="J941" i="1"/>
  <c r="E941" i="1"/>
  <c r="V940" i="1"/>
  <c r="U940" i="1"/>
  <c r="T940" i="1"/>
  <c r="S940" i="1"/>
  <c r="R940" i="1"/>
  <c r="Q940" i="1"/>
  <c r="K940" i="1"/>
  <c r="J940" i="1"/>
  <c r="I940" i="1"/>
  <c r="H940" i="1"/>
  <c r="F940" i="1"/>
  <c r="E940" i="1"/>
  <c r="D940" i="1"/>
  <c r="B940" i="1"/>
  <c r="K939" i="1"/>
  <c r="J939" i="1"/>
  <c r="I939" i="1"/>
  <c r="H939" i="1"/>
  <c r="F939" i="1"/>
  <c r="C938" i="1"/>
  <c r="V937" i="1"/>
  <c r="U937" i="1"/>
  <c r="T937" i="1"/>
  <c r="S937" i="1"/>
  <c r="R937" i="1"/>
  <c r="Q937" i="1"/>
  <c r="I941" i="1" s="1"/>
  <c r="E937" i="1"/>
  <c r="D937" i="1"/>
  <c r="B937" i="1"/>
  <c r="J934" i="1"/>
  <c r="H934" i="1"/>
  <c r="I932" i="1"/>
  <c r="H932" i="1"/>
  <c r="E932" i="1"/>
  <c r="J931" i="1"/>
  <c r="E931" i="1"/>
  <c r="J930" i="1"/>
  <c r="E930" i="1"/>
  <c r="V929" i="1"/>
  <c r="U929" i="1"/>
  <c r="T929" i="1"/>
  <c r="S929" i="1"/>
  <c r="R929" i="1"/>
  <c r="Q929" i="1"/>
  <c r="I930" i="1" s="1"/>
  <c r="K929" i="1"/>
  <c r="J929" i="1"/>
  <c r="I929" i="1"/>
  <c r="H929" i="1"/>
  <c r="F929" i="1"/>
  <c r="E929" i="1"/>
  <c r="D929" i="1"/>
  <c r="B929" i="1"/>
  <c r="K928" i="1"/>
  <c r="J928" i="1"/>
  <c r="I928" i="1"/>
  <c r="H928" i="1"/>
  <c r="F928" i="1"/>
  <c r="K927" i="1"/>
  <c r="J927" i="1"/>
  <c r="I927" i="1"/>
  <c r="H927" i="1"/>
  <c r="F927" i="1"/>
  <c r="K926" i="1"/>
  <c r="J926" i="1"/>
  <c r="I926" i="1"/>
  <c r="H926" i="1"/>
  <c r="F926" i="1"/>
  <c r="K925" i="1"/>
  <c r="J925" i="1"/>
  <c r="I925" i="1"/>
  <c r="H925" i="1"/>
  <c r="F925" i="1"/>
  <c r="C924" i="1"/>
  <c r="V923" i="1"/>
  <c r="U923" i="1"/>
  <c r="T923" i="1"/>
  <c r="K931" i="1" s="1"/>
  <c r="S923" i="1"/>
  <c r="I931" i="1" s="1"/>
  <c r="R923" i="1"/>
  <c r="Q923" i="1"/>
  <c r="E923" i="1"/>
  <c r="D923" i="1"/>
  <c r="B923" i="1"/>
  <c r="J920" i="1"/>
  <c r="H920" i="1"/>
  <c r="I918" i="1"/>
  <c r="H918" i="1"/>
  <c r="E918" i="1"/>
  <c r="J917" i="1"/>
  <c r="E917" i="1"/>
  <c r="J916" i="1"/>
  <c r="I916" i="1"/>
  <c r="E916" i="1"/>
  <c r="V915" i="1"/>
  <c r="U915" i="1"/>
  <c r="T915" i="1"/>
  <c r="S915" i="1"/>
  <c r="R915" i="1"/>
  <c r="Q915" i="1"/>
  <c r="K915" i="1"/>
  <c r="J915" i="1"/>
  <c r="I915" i="1"/>
  <c r="H915" i="1"/>
  <c r="F915" i="1"/>
  <c r="E915" i="1"/>
  <c r="D915" i="1"/>
  <c r="B915" i="1"/>
  <c r="K914" i="1"/>
  <c r="J914" i="1"/>
  <c r="I914" i="1"/>
  <c r="H914" i="1"/>
  <c r="F914" i="1"/>
  <c r="C913" i="1"/>
  <c r="V912" i="1"/>
  <c r="U912" i="1"/>
  <c r="T912" i="1"/>
  <c r="K917" i="1" s="1"/>
  <c r="S912" i="1"/>
  <c r="I917" i="1" s="1"/>
  <c r="R912" i="1"/>
  <c r="K916" i="1" s="1"/>
  <c r="Q912" i="1"/>
  <c r="E912" i="1"/>
  <c r="D912" i="1"/>
  <c r="B912" i="1"/>
  <c r="J909" i="1"/>
  <c r="H909" i="1"/>
  <c r="I907" i="1"/>
  <c r="H907" i="1"/>
  <c r="E907" i="1"/>
  <c r="J906" i="1"/>
  <c r="E906" i="1"/>
  <c r="J905" i="1"/>
  <c r="E905" i="1"/>
  <c r="V904" i="1"/>
  <c r="U904" i="1"/>
  <c r="T904" i="1"/>
  <c r="S904" i="1"/>
  <c r="R904" i="1"/>
  <c r="Q904" i="1"/>
  <c r="K904" i="1"/>
  <c r="J904" i="1"/>
  <c r="I904" i="1"/>
  <c r="H904" i="1"/>
  <c r="F904" i="1"/>
  <c r="E904" i="1"/>
  <c r="D904" i="1"/>
  <c r="B904" i="1"/>
  <c r="K903" i="1"/>
  <c r="J903" i="1"/>
  <c r="I903" i="1"/>
  <c r="H903" i="1"/>
  <c r="F903" i="1"/>
  <c r="K902" i="1"/>
  <c r="J902" i="1"/>
  <c r="I902" i="1"/>
  <c r="H902" i="1"/>
  <c r="F902" i="1"/>
  <c r="K901" i="1"/>
  <c r="J901" i="1"/>
  <c r="I901" i="1"/>
  <c r="H901" i="1"/>
  <c r="F901" i="1"/>
  <c r="C900" i="1"/>
  <c r="V899" i="1"/>
  <c r="U899" i="1"/>
  <c r="T899" i="1"/>
  <c r="K906" i="1" s="1"/>
  <c r="S899" i="1"/>
  <c r="I906" i="1" s="1"/>
  <c r="R899" i="1"/>
  <c r="K905" i="1" s="1"/>
  <c r="Q899" i="1"/>
  <c r="E899" i="1"/>
  <c r="D899" i="1"/>
  <c r="B899" i="1"/>
  <c r="J896" i="1"/>
  <c r="H896" i="1"/>
  <c r="I894" i="1"/>
  <c r="H894" i="1"/>
  <c r="E894" i="1"/>
  <c r="J893" i="1"/>
  <c r="E893" i="1"/>
  <c r="J892" i="1"/>
  <c r="I892" i="1"/>
  <c r="E892" i="1"/>
  <c r="K891" i="1"/>
  <c r="J891" i="1"/>
  <c r="I891" i="1"/>
  <c r="H891" i="1"/>
  <c r="F891" i="1"/>
  <c r="K890" i="1"/>
  <c r="J890" i="1"/>
  <c r="I890" i="1"/>
  <c r="H890" i="1"/>
  <c r="F890" i="1"/>
  <c r="K889" i="1"/>
  <c r="J889" i="1"/>
  <c r="I889" i="1"/>
  <c r="H889" i="1"/>
  <c r="F889" i="1"/>
  <c r="K888" i="1"/>
  <c r="J897" i="1" s="1"/>
  <c r="J888" i="1"/>
  <c r="I888" i="1"/>
  <c r="H888" i="1"/>
  <c r="F888" i="1"/>
  <c r="C887" i="1"/>
  <c r="V886" i="1"/>
  <c r="U886" i="1"/>
  <c r="T886" i="1"/>
  <c r="K893" i="1" s="1"/>
  <c r="S886" i="1"/>
  <c r="I893" i="1" s="1"/>
  <c r="R886" i="1"/>
  <c r="K892" i="1" s="1"/>
  <c r="Q886" i="1"/>
  <c r="E886" i="1"/>
  <c r="D886" i="1"/>
  <c r="B886" i="1"/>
  <c r="A885" i="1"/>
  <c r="J883" i="1"/>
  <c r="I883" i="1"/>
  <c r="J882" i="1"/>
  <c r="I882" i="1"/>
  <c r="A881" i="1"/>
  <c r="H878" i="1"/>
  <c r="V877" i="1"/>
  <c r="U877" i="1"/>
  <c r="T877" i="1"/>
  <c r="S877" i="1"/>
  <c r="R877" i="1"/>
  <c r="Q877" i="1"/>
  <c r="K877" i="1"/>
  <c r="P878" i="1" s="1"/>
  <c r="J877" i="1"/>
  <c r="I877" i="1"/>
  <c r="O878" i="1" s="1"/>
  <c r="H877" i="1"/>
  <c r="F877" i="1"/>
  <c r="E877" i="1"/>
  <c r="D877" i="1"/>
  <c r="B877" i="1"/>
  <c r="H875" i="1"/>
  <c r="V874" i="1"/>
  <c r="U874" i="1"/>
  <c r="T874" i="1"/>
  <c r="S874" i="1"/>
  <c r="R874" i="1"/>
  <c r="Q874" i="1"/>
  <c r="K874" i="1"/>
  <c r="J874" i="1"/>
  <c r="I874" i="1"/>
  <c r="O875" i="1" s="1"/>
  <c r="H874" i="1"/>
  <c r="F874" i="1"/>
  <c r="E874" i="1"/>
  <c r="D874" i="1"/>
  <c r="B874" i="1"/>
  <c r="J871" i="1"/>
  <c r="H871" i="1"/>
  <c r="I869" i="1"/>
  <c r="H869" i="1"/>
  <c r="E869" i="1"/>
  <c r="J868" i="1"/>
  <c r="E868" i="1"/>
  <c r="J867" i="1"/>
  <c r="E867" i="1"/>
  <c r="K866" i="1"/>
  <c r="J866" i="1"/>
  <c r="I866" i="1"/>
  <c r="O872" i="1" s="1"/>
  <c r="H866" i="1"/>
  <c r="F866" i="1"/>
  <c r="K865" i="1"/>
  <c r="J865" i="1"/>
  <c r="I865" i="1"/>
  <c r="H865" i="1"/>
  <c r="F865" i="1"/>
  <c r="K864" i="1"/>
  <c r="J864" i="1"/>
  <c r="I864" i="1"/>
  <c r="H864" i="1"/>
  <c r="F864" i="1"/>
  <c r="K863" i="1"/>
  <c r="J863" i="1"/>
  <c r="I863" i="1"/>
  <c r="H863" i="1"/>
  <c r="F863" i="1"/>
  <c r="C862" i="1"/>
  <c r="V861" i="1"/>
  <c r="U861" i="1"/>
  <c r="T861" i="1"/>
  <c r="K868" i="1" s="1"/>
  <c r="S861" i="1"/>
  <c r="I868" i="1" s="1"/>
  <c r="R861" i="1"/>
  <c r="K867" i="1" s="1"/>
  <c r="Q861" i="1"/>
  <c r="I867" i="1" s="1"/>
  <c r="E861" i="1"/>
  <c r="D861" i="1"/>
  <c r="B861" i="1"/>
  <c r="J858" i="1"/>
  <c r="H858" i="1"/>
  <c r="I856" i="1"/>
  <c r="H856" i="1"/>
  <c r="E856" i="1"/>
  <c r="J855" i="1"/>
  <c r="E855" i="1"/>
  <c r="J854" i="1"/>
  <c r="I854" i="1"/>
  <c r="E854" i="1"/>
  <c r="V853" i="1"/>
  <c r="U853" i="1"/>
  <c r="T853" i="1"/>
  <c r="S853" i="1"/>
  <c r="R853" i="1"/>
  <c r="Q853" i="1"/>
  <c r="K853" i="1"/>
  <c r="J853" i="1"/>
  <c r="I853" i="1"/>
  <c r="H853" i="1"/>
  <c r="F853" i="1"/>
  <c r="E853" i="1"/>
  <c r="D853" i="1"/>
  <c r="B853" i="1"/>
  <c r="K852" i="1"/>
  <c r="J852" i="1"/>
  <c r="I852" i="1"/>
  <c r="H852" i="1"/>
  <c r="F852" i="1"/>
  <c r="C851" i="1"/>
  <c r="V850" i="1"/>
  <c r="U850" i="1"/>
  <c r="T850" i="1"/>
  <c r="K855" i="1" s="1"/>
  <c r="S850" i="1"/>
  <c r="I855" i="1" s="1"/>
  <c r="R850" i="1"/>
  <c r="K854" i="1" s="1"/>
  <c r="P859" i="1" s="1"/>
  <c r="Q850" i="1"/>
  <c r="E850" i="1"/>
  <c r="D850" i="1"/>
  <c r="B850" i="1"/>
  <c r="J847" i="1"/>
  <c r="H847" i="1"/>
  <c r="I845" i="1"/>
  <c r="H845" i="1"/>
  <c r="E845" i="1"/>
  <c r="J844" i="1"/>
  <c r="E844" i="1"/>
  <c r="J843" i="1"/>
  <c r="E843" i="1"/>
  <c r="V842" i="1"/>
  <c r="U842" i="1"/>
  <c r="T842" i="1"/>
  <c r="K844" i="1" s="1"/>
  <c r="S842" i="1"/>
  <c r="R842" i="1"/>
  <c r="Q842" i="1"/>
  <c r="K842" i="1"/>
  <c r="J842" i="1"/>
  <c r="I842" i="1"/>
  <c r="H842" i="1"/>
  <c r="F842" i="1"/>
  <c r="E842" i="1"/>
  <c r="D842" i="1"/>
  <c r="B842" i="1"/>
  <c r="K841" i="1"/>
  <c r="J841" i="1"/>
  <c r="I841" i="1"/>
  <c r="H841" i="1"/>
  <c r="F841" i="1"/>
  <c r="K840" i="1"/>
  <c r="J840" i="1"/>
  <c r="I840" i="1"/>
  <c r="H840" i="1"/>
  <c r="F840" i="1"/>
  <c r="K839" i="1"/>
  <c r="J839" i="1"/>
  <c r="I839" i="1"/>
  <c r="H839" i="1"/>
  <c r="F839" i="1"/>
  <c r="K838" i="1"/>
  <c r="J838" i="1"/>
  <c r="I838" i="1"/>
  <c r="H838" i="1"/>
  <c r="F838" i="1"/>
  <c r="C837" i="1"/>
  <c r="V836" i="1"/>
  <c r="U836" i="1"/>
  <c r="T836" i="1"/>
  <c r="S836" i="1"/>
  <c r="I844" i="1" s="1"/>
  <c r="R836" i="1"/>
  <c r="K843" i="1" s="1"/>
  <c r="Q836" i="1"/>
  <c r="E836" i="1"/>
  <c r="D836" i="1"/>
  <c r="B836" i="1"/>
  <c r="J833" i="1"/>
  <c r="H833" i="1"/>
  <c r="I831" i="1"/>
  <c r="H831" i="1"/>
  <c r="E831" i="1"/>
  <c r="J830" i="1"/>
  <c r="E830" i="1"/>
  <c r="J829" i="1"/>
  <c r="E829" i="1"/>
  <c r="V828" i="1"/>
  <c r="U828" i="1"/>
  <c r="T828" i="1"/>
  <c r="S828" i="1"/>
  <c r="R828" i="1"/>
  <c r="Q828" i="1"/>
  <c r="K828" i="1"/>
  <c r="J828" i="1"/>
  <c r="I828" i="1"/>
  <c r="O834" i="1" s="1"/>
  <c r="H828" i="1"/>
  <c r="F828" i="1"/>
  <c r="E828" i="1"/>
  <c r="D828" i="1"/>
  <c r="B828" i="1"/>
  <c r="K827" i="1"/>
  <c r="J827" i="1"/>
  <c r="I827" i="1"/>
  <c r="H827" i="1"/>
  <c r="F827" i="1"/>
  <c r="C826" i="1"/>
  <c r="V825" i="1"/>
  <c r="U825" i="1"/>
  <c r="T825" i="1"/>
  <c r="K830" i="1" s="1"/>
  <c r="S825" i="1"/>
  <c r="I830" i="1" s="1"/>
  <c r="R825" i="1"/>
  <c r="Q825" i="1"/>
  <c r="I829" i="1" s="1"/>
  <c r="E825" i="1"/>
  <c r="D825" i="1"/>
  <c r="B825" i="1"/>
  <c r="J822" i="1"/>
  <c r="H822" i="1"/>
  <c r="I820" i="1"/>
  <c r="H820" i="1"/>
  <c r="E820" i="1"/>
  <c r="J819" i="1"/>
  <c r="E819" i="1"/>
  <c r="J818" i="1"/>
  <c r="E818" i="1"/>
  <c r="V817" i="1"/>
  <c r="U817" i="1"/>
  <c r="T817" i="1"/>
  <c r="S817" i="1"/>
  <c r="R817" i="1"/>
  <c r="Q817" i="1"/>
  <c r="K817" i="1"/>
  <c r="J817" i="1"/>
  <c r="I817" i="1"/>
  <c r="H817" i="1"/>
  <c r="F817" i="1"/>
  <c r="E817" i="1"/>
  <c r="D817" i="1"/>
  <c r="B817" i="1"/>
  <c r="K816" i="1"/>
  <c r="J816" i="1"/>
  <c r="I816" i="1"/>
  <c r="H816" i="1"/>
  <c r="F816" i="1"/>
  <c r="K815" i="1"/>
  <c r="J815" i="1"/>
  <c r="I815" i="1"/>
  <c r="H815" i="1"/>
  <c r="F815" i="1"/>
  <c r="K814" i="1"/>
  <c r="J814" i="1"/>
  <c r="I814" i="1"/>
  <c r="H814" i="1"/>
  <c r="F814" i="1"/>
  <c r="C813" i="1"/>
  <c r="V812" i="1"/>
  <c r="U812" i="1"/>
  <c r="T812" i="1"/>
  <c r="K819" i="1" s="1"/>
  <c r="S812" i="1"/>
  <c r="R812" i="1"/>
  <c r="K818" i="1" s="1"/>
  <c r="Q812" i="1"/>
  <c r="E812" i="1"/>
  <c r="D812" i="1"/>
  <c r="B812" i="1"/>
  <c r="J809" i="1"/>
  <c r="H809" i="1"/>
  <c r="I807" i="1"/>
  <c r="H807" i="1"/>
  <c r="E807" i="1"/>
  <c r="J806" i="1"/>
  <c r="E806" i="1"/>
  <c r="K805" i="1"/>
  <c r="J805" i="1"/>
  <c r="I805" i="1"/>
  <c r="E805" i="1"/>
  <c r="V804" i="1"/>
  <c r="U804" i="1"/>
  <c r="T804" i="1"/>
  <c r="S804" i="1"/>
  <c r="R804" i="1"/>
  <c r="Q804" i="1"/>
  <c r="K804" i="1"/>
  <c r="J804" i="1"/>
  <c r="I804" i="1"/>
  <c r="H804" i="1"/>
  <c r="F804" i="1"/>
  <c r="E804" i="1"/>
  <c r="D804" i="1"/>
  <c r="B804" i="1"/>
  <c r="K803" i="1"/>
  <c r="J803" i="1"/>
  <c r="I803" i="1"/>
  <c r="H803" i="1"/>
  <c r="F803" i="1"/>
  <c r="K802" i="1"/>
  <c r="J802" i="1"/>
  <c r="I802" i="1"/>
  <c r="H802" i="1"/>
  <c r="F802" i="1"/>
  <c r="K801" i="1"/>
  <c r="J801" i="1"/>
  <c r="I801" i="1"/>
  <c r="H801" i="1"/>
  <c r="F801" i="1"/>
  <c r="V800" i="1"/>
  <c r="U800" i="1"/>
  <c r="T800" i="1"/>
  <c r="S800" i="1"/>
  <c r="R800" i="1"/>
  <c r="Q800" i="1"/>
  <c r="E800" i="1"/>
  <c r="D800" i="1"/>
  <c r="B800" i="1"/>
  <c r="J797" i="1"/>
  <c r="H797" i="1"/>
  <c r="I795" i="1"/>
  <c r="H795" i="1"/>
  <c r="E795" i="1"/>
  <c r="J794" i="1"/>
  <c r="E794" i="1"/>
  <c r="J793" i="1"/>
  <c r="E793" i="1"/>
  <c r="K792" i="1"/>
  <c r="J792" i="1"/>
  <c r="I792" i="1"/>
  <c r="H792" i="1"/>
  <c r="F792" i="1"/>
  <c r="K791" i="1"/>
  <c r="J791" i="1"/>
  <c r="I791" i="1"/>
  <c r="H791" i="1"/>
  <c r="F791" i="1"/>
  <c r="K790" i="1"/>
  <c r="J796" i="1" s="1"/>
  <c r="J790" i="1"/>
  <c r="I790" i="1"/>
  <c r="H790" i="1"/>
  <c r="F790" i="1"/>
  <c r="K789" i="1"/>
  <c r="J789" i="1"/>
  <c r="I789" i="1"/>
  <c r="H789" i="1"/>
  <c r="F789" i="1"/>
  <c r="C788" i="1"/>
  <c r="V787" i="1"/>
  <c r="U787" i="1"/>
  <c r="T787" i="1"/>
  <c r="K794" i="1" s="1"/>
  <c r="S787" i="1"/>
  <c r="I794" i="1" s="1"/>
  <c r="R787" i="1"/>
  <c r="K793" i="1" s="1"/>
  <c r="Q787" i="1"/>
  <c r="I793" i="1" s="1"/>
  <c r="E787" i="1"/>
  <c r="D787" i="1"/>
  <c r="B787" i="1"/>
  <c r="J784" i="1"/>
  <c r="H784" i="1"/>
  <c r="I782" i="1"/>
  <c r="H782" i="1"/>
  <c r="E782" i="1"/>
  <c r="J781" i="1"/>
  <c r="E781" i="1"/>
  <c r="J780" i="1"/>
  <c r="E780" i="1"/>
  <c r="V779" i="1"/>
  <c r="U779" i="1"/>
  <c r="T779" i="1"/>
  <c r="S779" i="1"/>
  <c r="R779" i="1"/>
  <c r="Q779" i="1"/>
  <c r="I780" i="1" s="1"/>
  <c r="K779" i="1"/>
  <c r="J779" i="1"/>
  <c r="I779" i="1"/>
  <c r="H779" i="1"/>
  <c r="F779" i="1"/>
  <c r="E779" i="1"/>
  <c r="D779" i="1"/>
  <c r="B779" i="1"/>
  <c r="K778" i="1"/>
  <c r="J778" i="1"/>
  <c r="I778" i="1"/>
  <c r="H778" i="1"/>
  <c r="F778" i="1"/>
  <c r="K777" i="1"/>
  <c r="J777" i="1"/>
  <c r="I777" i="1"/>
  <c r="H777" i="1"/>
  <c r="F777" i="1"/>
  <c r="K776" i="1"/>
  <c r="J776" i="1"/>
  <c r="I776" i="1"/>
  <c r="H776" i="1"/>
  <c r="F776" i="1"/>
  <c r="K775" i="1"/>
  <c r="J775" i="1"/>
  <c r="I775" i="1"/>
  <c r="H775" i="1"/>
  <c r="F775" i="1"/>
  <c r="C774" i="1"/>
  <c r="V773" i="1"/>
  <c r="U773" i="1"/>
  <c r="T773" i="1"/>
  <c r="K781" i="1" s="1"/>
  <c r="S773" i="1"/>
  <c r="R773" i="1"/>
  <c r="K780" i="1" s="1"/>
  <c r="Q773" i="1"/>
  <c r="E773" i="1"/>
  <c r="D773" i="1"/>
  <c r="B773" i="1"/>
  <c r="J770" i="1"/>
  <c r="H770" i="1"/>
  <c r="I768" i="1"/>
  <c r="H768" i="1"/>
  <c r="E768" i="1"/>
  <c r="J767" i="1"/>
  <c r="E767" i="1"/>
  <c r="J766" i="1"/>
  <c r="E766" i="1"/>
  <c r="V765" i="1"/>
  <c r="U765" i="1"/>
  <c r="T765" i="1"/>
  <c r="S765" i="1"/>
  <c r="R765" i="1"/>
  <c r="Q765" i="1"/>
  <c r="K765" i="1"/>
  <c r="J765" i="1"/>
  <c r="I765" i="1"/>
  <c r="H765" i="1"/>
  <c r="F765" i="1"/>
  <c r="E765" i="1"/>
  <c r="D765" i="1"/>
  <c r="B765" i="1"/>
  <c r="K764" i="1"/>
  <c r="J764" i="1"/>
  <c r="I764" i="1"/>
  <c r="H764" i="1"/>
  <c r="F764" i="1"/>
  <c r="K763" i="1"/>
  <c r="J763" i="1"/>
  <c r="I763" i="1"/>
  <c r="H763" i="1"/>
  <c r="F763" i="1"/>
  <c r="K762" i="1"/>
  <c r="J762" i="1"/>
  <c r="I762" i="1"/>
  <c r="H762" i="1"/>
  <c r="F762" i="1"/>
  <c r="C761" i="1"/>
  <c r="V760" i="1"/>
  <c r="U760" i="1"/>
  <c r="T760" i="1"/>
  <c r="K767" i="1" s="1"/>
  <c r="J769" i="1" s="1"/>
  <c r="S760" i="1"/>
  <c r="R760" i="1"/>
  <c r="K766" i="1" s="1"/>
  <c r="Q760" i="1"/>
  <c r="I766" i="1" s="1"/>
  <c r="E760" i="1"/>
  <c r="D760" i="1"/>
  <c r="B760" i="1"/>
  <c r="J757" i="1"/>
  <c r="H757" i="1"/>
  <c r="I755" i="1"/>
  <c r="H755" i="1"/>
  <c r="E755" i="1"/>
  <c r="J754" i="1"/>
  <c r="E754" i="1"/>
  <c r="J753" i="1"/>
  <c r="E753" i="1"/>
  <c r="V752" i="1"/>
  <c r="U752" i="1"/>
  <c r="T752" i="1"/>
  <c r="S752" i="1"/>
  <c r="R752" i="1"/>
  <c r="Q752" i="1"/>
  <c r="K752" i="1"/>
  <c r="J752" i="1"/>
  <c r="I752" i="1"/>
  <c r="H752" i="1"/>
  <c r="F752" i="1"/>
  <c r="E752" i="1"/>
  <c r="D752" i="1"/>
  <c r="B752" i="1"/>
  <c r="K751" i="1"/>
  <c r="J751" i="1"/>
  <c r="I751" i="1"/>
  <c r="H751" i="1"/>
  <c r="F751" i="1"/>
  <c r="K750" i="1"/>
  <c r="J750" i="1"/>
  <c r="I750" i="1"/>
  <c r="H750" i="1"/>
  <c r="F750" i="1"/>
  <c r="K749" i="1"/>
  <c r="J749" i="1"/>
  <c r="I749" i="1"/>
  <c r="H749" i="1"/>
  <c r="F749" i="1"/>
  <c r="C748" i="1"/>
  <c r="V747" i="1"/>
  <c r="U747" i="1"/>
  <c r="T747" i="1"/>
  <c r="S747" i="1"/>
  <c r="I754" i="1" s="1"/>
  <c r="R747" i="1"/>
  <c r="Q747" i="1"/>
  <c r="E747" i="1"/>
  <c r="D747" i="1"/>
  <c r="B747" i="1"/>
  <c r="J744" i="1"/>
  <c r="H744" i="1"/>
  <c r="I742" i="1"/>
  <c r="H742" i="1"/>
  <c r="E742" i="1"/>
  <c r="K741" i="1"/>
  <c r="J741" i="1"/>
  <c r="E741" i="1"/>
  <c r="J740" i="1"/>
  <c r="E740" i="1"/>
  <c r="V739" i="1"/>
  <c r="U739" i="1"/>
  <c r="T739" i="1"/>
  <c r="S739" i="1"/>
  <c r="R739" i="1"/>
  <c r="Q739" i="1"/>
  <c r="K739" i="1"/>
  <c r="J739" i="1"/>
  <c r="I739" i="1"/>
  <c r="H739" i="1"/>
  <c r="F739" i="1"/>
  <c r="E739" i="1"/>
  <c r="D739" i="1"/>
  <c r="B739" i="1"/>
  <c r="K738" i="1"/>
  <c r="J738" i="1"/>
  <c r="I738" i="1"/>
  <c r="H738" i="1"/>
  <c r="F738" i="1"/>
  <c r="K737" i="1"/>
  <c r="J737" i="1"/>
  <c r="I737" i="1"/>
  <c r="H737" i="1"/>
  <c r="F737" i="1"/>
  <c r="K736" i="1"/>
  <c r="J736" i="1"/>
  <c r="I736" i="1"/>
  <c r="H736" i="1"/>
  <c r="F736" i="1"/>
  <c r="K735" i="1"/>
  <c r="J735" i="1"/>
  <c r="I735" i="1"/>
  <c r="H735" i="1"/>
  <c r="F735" i="1"/>
  <c r="C734" i="1"/>
  <c r="V733" i="1"/>
  <c r="U733" i="1"/>
  <c r="T733" i="1"/>
  <c r="S733" i="1"/>
  <c r="I741" i="1" s="1"/>
  <c r="R733" i="1"/>
  <c r="K740" i="1" s="1"/>
  <c r="Q733" i="1"/>
  <c r="I740" i="1" s="1"/>
  <c r="E733" i="1"/>
  <c r="D733" i="1"/>
  <c r="B733" i="1"/>
  <c r="J730" i="1"/>
  <c r="H730" i="1"/>
  <c r="I728" i="1"/>
  <c r="H728" i="1"/>
  <c r="E728" i="1"/>
  <c r="J727" i="1"/>
  <c r="E727" i="1"/>
  <c r="J726" i="1"/>
  <c r="I726" i="1"/>
  <c r="E726" i="1"/>
  <c r="V725" i="1"/>
  <c r="U725" i="1"/>
  <c r="T725" i="1"/>
  <c r="S725" i="1"/>
  <c r="R725" i="1"/>
  <c r="Q725" i="1"/>
  <c r="K725" i="1"/>
  <c r="J725" i="1"/>
  <c r="I725" i="1"/>
  <c r="H725" i="1"/>
  <c r="F725" i="1"/>
  <c r="E725" i="1"/>
  <c r="D725" i="1"/>
  <c r="B725" i="1"/>
  <c r="K724" i="1"/>
  <c r="J724" i="1"/>
  <c r="I724" i="1"/>
  <c r="H724" i="1"/>
  <c r="F724" i="1"/>
  <c r="C723" i="1"/>
  <c r="V722" i="1"/>
  <c r="U722" i="1"/>
  <c r="T722" i="1"/>
  <c r="K727" i="1" s="1"/>
  <c r="S722" i="1"/>
  <c r="I727" i="1" s="1"/>
  <c r="R722" i="1"/>
  <c r="K726" i="1" s="1"/>
  <c r="Q722" i="1"/>
  <c r="E722" i="1"/>
  <c r="D722" i="1"/>
  <c r="B722" i="1"/>
  <c r="J719" i="1"/>
  <c r="H719" i="1"/>
  <c r="I717" i="1"/>
  <c r="H717" i="1"/>
  <c r="E717" i="1"/>
  <c r="J716" i="1"/>
  <c r="E716" i="1"/>
  <c r="J715" i="1"/>
  <c r="E715" i="1"/>
  <c r="V714" i="1"/>
  <c r="U714" i="1"/>
  <c r="T714" i="1"/>
  <c r="S714" i="1"/>
  <c r="I716" i="1" s="1"/>
  <c r="H718" i="1" s="1"/>
  <c r="R714" i="1"/>
  <c r="Q714" i="1"/>
  <c r="I715" i="1" s="1"/>
  <c r="K714" i="1"/>
  <c r="J714" i="1"/>
  <c r="I714" i="1"/>
  <c r="H714" i="1"/>
  <c r="F714" i="1"/>
  <c r="E714" i="1"/>
  <c r="D714" i="1"/>
  <c r="B714" i="1"/>
  <c r="K713" i="1"/>
  <c r="J713" i="1"/>
  <c r="I713" i="1"/>
  <c r="H713" i="1"/>
  <c r="F713" i="1"/>
  <c r="K712" i="1"/>
  <c r="J712" i="1"/>
  <c r="I712" i="1"/>
  <c r="H712" i="1"/>
  <c r="F712" i="1"/>
  <c r="K711" i="1"/>
  <c r="J711" i="1"/>
  <c r="I711" i="1"/>
  <c r="H711" i="1"/>
  <c r="F711" i="1"/>
  <c r="C710" i="1"/>
  <c r="V709" i="1"/>
  <c r="U709" i="1"/>
  <c r="T709" i="1"/>
  <c r="S709" i="1"/>
  <c r="R709" i="1"/>
  <c r="Q709" i="1"/>
  <c r="E709" i="1"/>
  <c r="D709" i="1"/>
  <c r="B709" i="1"/>
  <c r="A708" i="1"/>
  <c r="J706" i="1"/>
  <c r="I706" i="1"/>
  <c r="J705" i="1"/>
  <c r="I705" i="1"/>
  <c r="A704" i="1"/>
  <c r="J700" i="1"/>
  <c r="H700" i="1"/>
  <c r="I698" i="1"/>
  <c r="H698" i="1"/>
  <c r="E698" i="1"/>
  <c r="J697" i="1"/>
  <c r="E697" i="1"/>
  <c r="J696" i="1"/>
  <c r="E696" i="1"/>
  <c r="V695" i="1"/>
  <c r="U695" i="1"/>
  <c r="T695" i="1"/>
  <c r="S695" i="1"/>
  <c r="R695" i="1"/>
  <c r="Q695" i="1"/>
  <c r="K695" i="1"/>
  <c r="J695" i="1"/>
  <c r="I695" i="1"/>
  <c r="H695" i="1"/>
  <c r="F695" i="1"/>
  <c r="E695" i="1"/>
  <c r="D695" i="1"/>
  <c r="B695" i="1"/>
  <c r="K694" i="1"/>
  <c r="J694" i="1"/>
  <c r="I694" i="1"/>
  <c r="H694" i="1"/>
  <c r="F694" i="1"/>
  <c r="K693" i="1"/>
  <c r="J693" i="1"/>
  <c r="I693" i="1"/>
  <c r="H693" i="1"/>
  <c r="F693" i="1"/>
  <c r="C692" i="1"/>
  <c r="V691" i="1"/>
  <c r="U691" i="1"/>
  <c r="T691" i="1"/>
  <c r="S691" i="1"/>
  <c r="I697" i="1" s="1"/>
  <c r="R691" i="1"/>
  <c r="K696" i="1" s="1"/>
  <c r="Q691" i="1"/>
  <c r="E691" i="1"/>
  <c r="D691" i="1"/>
  <c r="B691" i="1"/>
  <c r="A690" i="1"/>
  <c r="J688" i="1"/>
  <c r="I688" i="1"/>
  <c r="J687" i="1"/>
  <c r="I687" i="1"/>
  <c r="A686" i="1"/>
  <c r="J682" i="1"/>
  <c r="H682" i="1"/>
  <c r="I680" i="1"/>
  <c r="H680" i="1"/>
  <c r="E680" i="1"/>
  <c r="J679" i="1"/>
  <c r="I679" i="1"/>
  <c r="E679" i="1"/>
  <c r="K678" i="1"/>
  <c r="J678" i="1"/>
  <c r="E678" i="1"/>
  <c r="K677" i="1"/>
  <c r="J677" i="1"/>
  <c r="I677" i="1"/>
  <c r="H677" i="1"/>
  <c r="F677" i="1"/>
  <c r="K676" i="1"/>
  <c r="J676" i="1"/>
  <c r="I676" i="1"/>
  <c r="H676" i="1"/>
  <c r="F676" i="1"/>
  <c r="K675" i="1"/>
  <c r="P683" i="1" s="1"/>
  <c r="J675" i="1"/>
  <c r="I675" i="1"/>
  <c r="H675" i="1"/>
  <c r="F675" i="1"/>
  <c r="K674" i="1"/>
  <c r="J674" i="1"/>
  <c r="I674" i="1"/>
  <c r="H674" i="1"/>
  <c r="F674" i="1"/>
  <c r="C673" i="1"/>
  <c r="V672" i="1"/>
  <c r="U672" i="1"/>
  <c r="T672" i="1"/>
  <c r="K679" i="1" s="1"/>
  <c r="S672" i="1"/>
  <c r="R672" i="1"/>
  <c r="Q672" i="1"/>
  <c r="I678" i="1" s="1"/>
  <c r="E672" i="1"/>
  <c r="D672" i="1"/>
  <c r="B672" i="1"/>
  <c r="J669" i="1"/>
  <c r="H669" i="1"/>
  <c r="I667" i="1"/>
  <c r="H667" i="1"/>
  <c r="E667" i="1"/>
  <c r="K666" i="1"/>
  <c r="J666" i="1"/>
  <c r="E666" i="1"/>
  <c r="J665" i="1"/>
  <c r="E665" i="1"/>
  <c r="K664" i="1"/>
  <c r="J664" i="1"/>
  <c r="I664" i="1"/>
  <c r="H664" i="1"/>
  <c r="F664" i="1"/>
  <c r="K663" i="1"/>
  <c r="J663" i="1"/>
  <c r="I663" i="1"/>
  <c r="H670" i="1" s="1"/>
  <c r="H663" i="1"/>
  <c r="F663" i="1"/>
  <c r="K662" i="1"/>
  <c r="J662" i="1"/>
  <c r="I662" i="1"/>
  <c r="H662" i="1"/>
  <c r="F662" i="1"/>
  <c r="C661" i="1"/>
  <c r="V660" i="1"/>
  <c r="U660" i="1"/>
  <c r="T660" i="1"/>
  <c r="S660" i="1"/>
  <c r="I666" i="1" s="1"/>
  <c r="R660" i="1"/>
  <c r="K665" i="1" s="1"/>
  <c r="Q660" i="1"/>
  <c r="I665" i="1" s="1"/>
  <c r="E660" i="1"/>
  <c r="D660" i="1"/>
  <c r="B660" i="1"/>
  <c r="J657" i="1"/>
  <c r="H657" i="1"/>
  <c r="H656" i="1"/>
  <c r="I655" i="1"/>
  <c r="H655" i="1"/>
  <c r="E655" i="1"/>
  <c r="J654" i="1"/>
  <c r="E654" i="1"/>
  <c r="J653" i="1"/>
  <c r="E653" i="1"/>
  <c r="K652" i="1"/>
  <c r="J652" i="1"/>
  <c r="I652" i="1"/>
  <c r="H652" i="1"/>
  <c r="F652" i="1"/>
  <c r="C651" i="1"/>
  <c r="V650" i="1"/>
  <c r="U650" i="1"/>
  <c r="T650" i="1"/>
  <c r="K654" i="1" s="1"/>
  <c r="S650" i="1"/>
  <c r="I654" i="1" s="1"/>
  <c r="R650" i="1"/>
  <c r="K653" i="1" s="1"/>
  <c r="Q650" i="1"/>
  <c r="I653" i="1" s="1"/>
  <c r="E650" i="1"/>
  <c r="D650" i="1"/>
  <c r="B650" i="1"/>
  <c r="J647" i="1"/>
  <c r="H647" i="1"/>
  <c r="I645" i="1"/>
  <c r="H645" i="1"/>
  <c r="E645" i="1"/>
  <c r="J644" i="1"/>
  <c r="E644" i="1"/>
  <c r="J643" i="1"/>
  <c r="E643" i="1"/>
  <c r="K642" i="1"/>
  <c r="J642" i="1"/>
  <c r="I642" i="1"/>
  <c r="H642" i="1"/>
  <c r="F642" i="1"/>
  <c r="K641" i="1"/>
  <c r="J641" i="1"/>
  <c r="I641" i="1"/>
  <c r="H641" i="1"/>
  <c r="F641" i="1"/>
  <c r="K640" i="1"/>
  <c r="J640" i="1"/>
  <c r="I640" i="1"/>
  <c r="H640" i="1"/>
  <c r="F640" i="1"/>
  <c r="C639" i="1"/>
  <c r="V638" i="1"/>
  <c r="U638" i="1"/>
  <c r="T638" i="1"/>
  <c r="K644" i="1" s="1"/>
  <c r="S638" i="1"/>
  <c r="I644" i="1" s="1"/>
  <c r="R638" i="1"/>
  <c r="K643" i="1" s="1"/>
  <c r="Q638" i="1"/>
  <c r="I643" i="1" s="1"/>
  <c r="E638" i="1"/>
  <c r="D638" i="1"/>
  <c r="B638" i="1"/>
  <c r="J635" i="1"/>
  <c r="H635" i="1"/>
  <c r="I633" i="1"/>
  <c r="H633" i="1"/>
  <c r="E633" i="1"/>
  <c r="J632" i="1"/>
  <c r="E632" i="1"/>
  <c r="J631" i="1"/>
  <c r="E631" i="1"/>
  <c r="K630" i="1"/>
  <c r="J630" i="1"/>
  <c r="I630" i="1"/>
  <c r="H630" i="1"/>
  <c r="F630" i="1"/>
  <c r="C629" i="1"/>
  <c r="V628" i="1"/>
  <c r="U628" i="1"/>
  <c r="T628" i="1"/>
  <c r="K632" i="1" s="1"/>
  <c r="S628" i="1"/>
  <c r="I632" i="1" s="1"/>
  <c r="R628" i="1"/>
  <c r="K631" i="1" s="1"/>
  <c r="Q628" i="1"/>
  <c r="I631" i="1" s="1"/>
  <c r="O636" i="1" s="1"/>
  <c r="E628" i="1"/>
  <c r="D628" i="1"/>
  <c r="B628" i="1"/>
  <c r="J625" i="1"/>
  <c r="H625" i="1"/>
  <c r="I623" i="1"/>
  <c r="H623" i="1"/>
  <c r="E623" i="1"/>
  <c r="J622" i="1"/>
  <c r="E622" i="1"/>
  <c r="J621" i="1"/>
  <c r="E621" i="1"/>
  <c r="K620" i="1"/>
  <c r="J620" i="1"/>
  <c r="I620" i="1"/>
  <c r="H620" i="1"/>
  <c r="F620" i="1"/>
  <c r="K619" i="1"/>
  <c r="J619" i="1"/>
  <c r="I619" i="1"/>
  <c r="H619" i="1"/>
  <c r="F619" i="1"/>
  <c r="K618" i="1"/>
  <c r="J618" i="1"/>
  <c r="I618" i="1"/>
  <c r="H618" i="1"/>
  <c r="F618" i="1"/>
  <c r="C617" i="1"/>
  <c r="V616" i="1"/>
  <c r="U616" i="1"/>
  <c r="T616" i="1"/>
  <c r="K622" i="1" s="1"/>
  <c r="S616" i="1"/>
  <c r="I622" i="1" s="1"/>
  <c r="R616" i="1"/>
  <c r="K621" i="1" s="1"/>
  <c r="Q616" i="1"/>
  <c r="I621" i="1" s="1"/>
  <c r="E616" i="1"/>
  <c r="D616" i="1"/>
  <c r="B616" i="1"/>
  <c r="J613" i="1"/>
  <c r="H613" i="1"/>
  <c r="I611" i="1"/>
  <c r="H611" i="1"/>
  <c r="E611" i="1"/>
  <c r="K610" i="1"/>
  <c r="J610" i="1"/>
  <c r="E610" i="1"/>
  <c r="J609" i="1"/>
  <c r="E609" i="1"/>
  <c r="K608" i="1"/>
  <c r="J608" i="1"/>
  <c r="I608" i="1"/>
  <c r="H608" i="1"/>
  <c r="F608" i="1"/>
  <c r="C607" i="1"/>
  <c r="V606" i="1"/>
  <c r="U606" i="1"/>
  <c r="T606" i="1"/>
  <c r="S606" i="1"/>
  <c r="I610" i="1" s="1"/>
  <c r="R606" i="1"/>
  <c r="K609" i="1" s="1"/>
  <c r="Q606" i="1"/>
  <c r="I609" i="1" s="1"/>
  <c r="E606" i="1"/>
  <c r="D606" i="1"/>
  <c r="B606" i="1"/>
  <c r="A605" i="1"/>
  <c r="A603" i="1"/>
  <c r="J601" i="1"/>
  <c r="I601" i="1"/>
  <c r="J600" i="1"/>
  <c r="I600" i="1"/>
  <c r="A599" i="1"/>
  <c r="J595" i="1"/>
  <c r="H595" i="1"/>
  <c r="I593" i="1"/>
  <c r="H593" i="1"/>
  <c r="E593" i="1"/>
  <c r="J592" i="1"/>
  <c r="E592" i="1"/>
  <c r="J591" i="1"/>
  <c r="E591" i="1"/>
  <c r="V590" i="1"/>
  <c r="U590" i="1"/>
  <c r="T590" i="1"/>
  <c r="K592" i="1" s="1"/>
  <c r="S590" i="1"/>
  <c r="R590" i="1"/>
  <c r="Q590" i="1"/>
  <c r="K590" i="1"/>
  <c r="J590" i="1"/>
  <c r="I590" i="1"/>
  <c r="H590" i="1"/>
  <c r="F590" i="1"/>
  <c r="E590" i="1"/>
  <c r="M590" i="1" s="1"/>
  <c r="D590" i="1"/>
  <c r="B590" i="1"/>
  <c r="K589" i="1"/>
  <c r="J589" i="1"/>
  <c r="I589" i="1"/>
  <c r="H589" i="1"/>
  <c r="F589" i="1"/>
  <c r="K588" i="1"/>
  <c r="J588" i="1"/>
  <c r="I588" i="1"/>
  <c r="H588" i="1"/>
  <c r="F588" i="1"/>
  <c r="K587" i="1"/>
  <c r="J587" i="1"/>
  <c r="I587" i="1"/>
  <c r="H587" i="1"/>
  <c r="F587" i="1"/>
  <c r="K586" i="1"/>
  <c r="J586" i="1"/>
  <c r="I586" i="1"/>
  <c r="H586" i="1"/>
  <c r="F586" i="1"/>
  <c r="C585" i="1"/>
  <c r="V584" i="1"/>
  <c r="U584" i="1"/>
  <c r="T584" i="1"/>
  <c r="S584" i="1"/>
  <c r="I592" i="1" s="1"/>
  <c r="R584" i="1"/>
  <c r="Q584" i="1"/>
  <c r="I591" i="1" s="1"/>
  <c r="E584" i="1"/>
  <c r="D584" i="1"/>
  <c r="B584" i="1"/>
  <c r="A583" i="1"/>
  <c r="J581" i="1"/>
  <c r="I581" i="1"/>
  <c r="J580" i="1"/>
  <c r="I580" i="1"/>
  <c r="A579" i="1"/>
  <c r="J577" i="1"/>
  <c r="I577" i="1"/>
  <c r="J576" i="1"/>
  <c r="I576" i="1"/>
  <c r="AQ575" i="1"/>
  <c r="A575" i="1"/>
  <c r="P572" i="1"/>
  <c r="O572" i="1"/>
  <c r="H572" i="1"/>
  <c r="V571" i="1"/>
  <c r="U571" i="1"/>
  <c r="T571" i="1"/>
  <c r="S571" i="1"/>
  <c r="R571" i="1"/>
  <c r="Q571" i="1"/>
  <c r="K571" i="1"/>
  <c r="J572" i="1" s="1"/>
  <c r="J571" i="1"/>
  <c r="I571" i="1"/>
  <c r="H571" i="1"/>
  <c r="F571" i="1"/>
  <c r="E571" i="1"/>
  <c r="M571" i="1" s="1"/>
  <c r="D571" i="1"/>
  <c r="B571" i="1"/>
  <c r="O569" i="1"/>
  <c r="H569" i="1"/>
  <c r="V568" i="1"/>
  <c r="U568" i="1"/>
  <c r="T568" i="1"/>
  <c r="S568" i="1"/>
  <c r="R568" i="1"/>
  <c r="Q568" i="1"/>
  <c r="M568" i="1"/>
  <c r="K568" i="1"/>
  <c r="P569" i="1" s="1"/>
  <c r="J568" i="1"/>
  <c r="I568" i="1"/>
  <c r="H568" i="1"/>
  <c r="F568" i="1"/>
  <c r="E568" i="1"/>
  <c r="D568" i="1"/>
  <c r="B568" i="1"/>
  <c r="V565" i="1"/>
  <c r="U565" i="1"/>
  <c r="T565" i="1"/>
  <c r="S565" i="1"/>
  <c r="R565" i="1"/>
  <c r="Q565" i="1"/>
  <c r="M565" i="1"/>
  <c r="K565" i="1"/>
  <c r="P566" i="1" s="1"/>
  <c r="J565" i="1"/>
  <c r="I565" i="1"/>
  <c r="O566" i="1" s="1"/>
  <c r="H565" i="1"/>
  <c r="F565" i="1"/>
  <c r="E565" i="1"/>
  <c r="D565" i="1"/>
  <c r="B565" i="1"/>
  <c r="V562" i="1"/>
  <c r="U562" i="1"/>
  <c r="T562" i="1"/>
  <c r="S562" i="1"/>
  <c r="R562" i="1"/>
  <c r="Q562" i="1"/>
  <c r="M562" i="1"/>
  <c r="K562" i="1"/>
  <c r="J562" i="1"/>
  <c r="I562" i="1"/>
  <c r="O563" i="1" s="1"/>
  <c r="H562" i="1"/>
  <c r="F562" i="1"/>
  <c r="E562" i="1"/>
  <c r="D562" i="1"/>
  <c r="B562" i="1"/>
  <c r="J559" i="1"/>
  <c r="H559" i="1"/>
  <c r="I557" i="1"/>
  <c r="H557" i="1"/>
  <c r="E557" i="1"/>
  <c r="J556" i="1"/>
  <c r="E556" i="1"/>
  <c r="J555" i="1"/>
  <c r="E555" i="1"/>
  <c r="V554" i="1"/>
  <c r="U554" i="1"/>
  <c r="T554" i="1"/>
  <c r="S554" i="1"/>
  <c r="R554" i="1"/>
  <c r="Q554" i="1"/>
  <c r="K554" i="1"/>
  <c r="J554" i="1"/>
  <c r="I554" i="1"/>
  <c r="H554" i="1"/>
  <c r="F554" i="1"/>
  <c r="E554" i="1"/>
  <c r="D554" i="1"/>
  <c r="B554" i="1"/>
  <c r="K553" i="1"/>
  <c r="J553" i="1"/>
  <c r="I553" i="1"/>
  <c r="H553" i="1"/>
  <c r="F553" i="1"/>
  <c r="K552" i="1"/>
  <c r="J552" i="1"/>
  <c r="I552" i="1"/>
  <c r="H552" i="1"/>
  <c r="F552" i="1"/>
  <c r="K551" i="1"/>
  <c r="J551" i="1"/>
  <c r="I551" i="1"/>
  <c r="H551" i="1"/>
  <c r="F551" i="1"/>
  <c r="C550" i="1"/>
  <c r="V549" i="1"/>
  <c r="U549" i="1"/>
  <c r="T549" i="1"/>
  <c r="S549" i="1"/>
  <c r="R549" i="1"/>
  <c r="K555" i="1" s="1"/>
  <c r="Q549" i="1"/>
  <c r="E549" i="1"/>
  <c r="D549" i="1"/>
  <c r="B549" i="1"/>
  <c r="A548" i="1"/>
  <c r="J546" i="1"/>
  <c r="I546" i="1"/>
  <c r="J545" i="1"/>
  <c r="I545" i="1"/>
  <c r="A544" i="1"/>
  <c r="J540" i="1"/>
  <c r="H540" i="1"/>
  <c r="I538" i="1"/>
  <c r="H538" i="1"/>
  <c r="E538" i="1"/>
  <c r="J537" i="1"/>
  <c r="E537" i="1"/>
  <c r="J536" i="1"/>
  <c r="E536" i="1"/>
  <c r="V535" i="1"/>
  <c r="U535" i="1"/>
  <c r="T535" i="1"/>
  <c r="S535" i="1"/>
  <c r="R535" i="1"/>
  <c r="Q535" i="1"/>
  <c r="K535" i="1"/>
  <c r="J535" i="1"/>
  <c r="I535" i="1"/>
  <c r="H535" i="1"/>
  <c r="F535" i="1"/>
  <c r="E535" i="1"/>
  <c r="D535" i="1"/>
  <c r="B535" i="1"/>
  <c r="K534" i="1"/>
  <c r="J534" i="1"/>
  <c r="I534" i="1"/>
  <c r="H534" i="1"/>
  <c r="F534" i="1"/>
  <c r="K533" i="1"/>
  <c r="J533" i="1"/>
  <c r="I533" i="1"/>
  <c r="H533" i="1"/>
  <c r="F533" i="1"/>
  <c r="K532" i="1"/>
  <c r="J532" i="1"/>
  <c r="I532" i="1"/>
  <c r="H532" i="1"/>
  <c r="F532" i="1"/>
  <c r="C531" i="1"/>
  <c r="V530" i="1"/>
  <c r="U530" i="1"/>
  <c r="T530" i="1"/>
  <c r="S530" i="1"/>
  <c r="R530" i="1"/>
  <c r="Q530" i="1"/>
  <c r="E530" i="1"/>
  <c r="D530" i="1"/>
  <c r="B530" i="1"/>
  <c r="A529" i="1"/>
  <c r="J527" i="1"/>
  <c r="I527" i="1"/>
  <c r="J526" i="1"/>
  <c r="I526" i="1"/>
  <c r="A525" i="1"/>
  <c r="J521" i="1"/>
  <c r="H521" i="1"/>
  <c r="I519" i="1"/>
  <c r="H519" i="1"/>
  <c r="E519" i="1"/>
  <c r="J518" i="1"/>
  <c r="E518" i="1"/>
  <c r="J517" i="1"/>
  <c r="E517" i="1"/>
  <c r="V516" i="1"/>
  <c r="U516" i="1"/>
  <c r="T516" i="1"/>
  <c r="S516" i="1"/>
  <c r="R516" i="1"/>
  <c r="Q516" i="1"/>
  <c r="K516" i="1"/>
  <c r="J516" i="1"/>
  <c r="I516" i="1"/>
  <c r="H516" i="1"/>
  <c r="F516" i="1"/>
  <c r="E516" i="1"/>
  <c r="D516" i="1"/>
  <c r="B516" i="1"/>
  <c r="K515" i="1"/>
  <c r="J515" i="1"/>
  <c r="I515" i="1"/>
  <c r="H515" i="1"/>
  <c r="F515" i="1"/>
  <c r="K514" i="1"/>
  <c r="J514" i="1"/>
  <c r="I514" i="1"/>
  <c r="H514" i="1"/>
  <c r="F514" i="1"/>
  <c r="K513" i="1"/>
  <c r="J513" i="1"/>
  <c r="I513" i="1"/>
  <c r="H513" i="1"/>
  <c r="F513" i="1"/>
  <c r="K512" i="1"/>
  <c r="J512" i="1"/>
  <c r="I512" i="1"/>
  <c r="H512" i="1"/>
  <c r="F512" i="1"/>
  <c r="C511" i="1"/>
  <c r="V510" i="1"/>
  <c r="U510" i="1"/>
  <c r="T510" i="1"/>
  <c r="K518" i="1" s="1"/>
  <c r="S510" i="1"/>
  <c r="I518" i="1" s="1"/>
  <c r="R510" i="1"/>
  <c r="Q510" i="1"/>
  <c r="I517" i="1" s="1"/>
  <c r="E510" i="1"/>
  <c r="D510" i="1"/>
  <c r="B510" i="1"/>
  <c r="J507" i="1"/>
  <c r="H507" i="1"/>
  <c r="I505" i="1"/>
  <c r="H505" i="1"/>
  <c r="E505" i="1"/>
  <c r="J504" i="1"/>
  <c r="E504" i="1"/>
  <c r="J503" i="1"/>
  <c r="I503" i="1"/>
  <c r="E503" i="1"/>
  <c r="V502" i="1"/>
  <c r="U502" i="1"/>
  <c r="T502" i="1"/>
  <c r="K504" i="1" s="1"/>
  <c r="S502" i="1"/>
  <c r="R502" i="1"/>
  <c r="Q502" i="1"/>
  <c r="K502" i="1"/>
  <c r="J502" i="1"/>
  <c r="I502" i="1"/>
  <c r="H502" i="1"/>
  <c r="F502" i="1"/>
  <c r="E502" i="1"/>
  <c r="D502" i="1"/>
  <c r="B502" i="1"/>
  <c r="K501" i="1"/>
  <c r="J501" i="1"/>
  <c r="I501" i="1"/>
  <c r="H501" i="1"/>
  <c r="F501" i="1"/>
  <c r="K500" i="1"/>
  <c r="J500" i="1"/>
  <c r="I500" i="1"/>
  <c r="H500" i="1"/>
  <c r="F500" i="1"/>
  <c r="C499" i="1"/>
  <c r="V498" i="1"/>
  <c r="U498" i="1"/>
  <c r="T498" i="1"/>
  <c r="S498" i="1"/>
  <c r="I504" i="1" s="1"/>
  <c r="R498" i="1"/>
  <c r="K503" i="1" s="1"/>
  <c r="Q498" i="1"/>
  <c r="E498" i="1"/>
  <c r="D498" i="1"/>
  <c r="B498" i="1"/>
  <c r="J495" i="1"/>
  <c r="H495" i="1"/>
  <c r="I493" i="1"/>
  <c r="H493" i="1"/>
  <c r="E493" i="1"/>
  <c r="J492" i="1"/>
  <c r="E492" i="1"/>
  <c r="J491" i="1"/>
  <c r="E491" i="1"/>
  <c r="V490" i="1"/>
  <c r="U490" i="1"/>
  <c r="T490" i="1"/>
  <c r="S490" i="1"/>
  <c r="R490" i="1"/>
  <c r="Q490" i="1"/>
  <c r="K490" i="1"/>
  <c r="J490" i="1"/>
  <c r="I490" i="1"/>
  <c r="H490" i="1"/>
  <c r="F490" i="1"/>
  <c r="E490" i="1"/>
  <c r="D490" i="1"/>
  <c r="B490" i="1"/>
  <c r="K489" i="1"/>
  <c r="J489" i="1"/>
  <c r="I489" i="1"/>
  <c r="H489" i="1"/>
  <c r="F489" i="1"/>
  <c r="K488" i="1"/>
  <c r="J488" i="1"/>
  <c r="I488" i="1"/>
  <c r="H488" i="1"/>
  <c r="F488" i="1"/>
  <c r="K487" i="1"/>
  <c r="J487" i="1"/>
  <c r="I487" i="1"/>
  <c r="H487" i="1"/>
  <c r="F487" i="1"/>
  <c r="C486" i="1"/>
  <c r="V485" i="1"/>
  <c r="U485" i="1"/>
  <c r="T485" i="1"/>
  <c r="K492" i="1" s="1"/>
  <c r="S485" i="1"/>
  <c r="R485" i="1"/>
  <c r="K491" i="1" s="1"/>
  <c r="P496" i="1" s="1"/>
  <c r="Q485" i="1"/>
  <c r="I491" i="1" s="1"/>
  <c r="E485" i="1"/>
  <c r="D485" i="1"/>
  <c r="B485" i="1"/>
  <c r="J482" i="1"/>
  <c r="H482" i="1"/>
  <c r="I480" i="1"/>
  <c r="H480" i="1"/>
  <c r="E480" i="1"/>
  <c r="J479" i="1"/>
  <c r="E479" i="1"/>
  <c r="J478" i="1"/>
  <c r="E478" i="1"/>
  <c r="V477" i="1"/>
  <c r="U477" i="1"/>
  <c r="T477" i="1"/>
  <c r="S477" i="1"/>
  <c r="I479" i="1" s="1"/>
  <c r="R477" i="1"/>
  <c r="Q477" i="1"/>
  <c r="K477" i="1"/>
  <c r="J477" i="1"/>
  <c r="I477" i="1"/>
  <c r="H477" i="1"/>
  <c r="F477" i="1"/>
  <c r="E477" i="1"/>
  <c r="D477" i="1"/>
  <c r="B477" i="1"/>
  <c r="K476" i="1"/>
  <c r="J476" i="1"/>
  <c r="I476" i="1"/>
  <c r="H476" i="1"/>
  <c r="F476" i="1"/>
  <c r="K475" i="1"/>
  <c r="J475" i="1"/>
  <c r="I475" i="1"/>
  <c r="H475" i="1"/>
  <c r="F475" i="1"/>
  <c r="K474" i="1"/>
  <c r="J474" i="1"/>
  <c r="I474" i="1"/>
  <c r="H474" i="1"/>
  <c r="F474" i="1"/>
  <c r="K473" i="1"/>
  <c r="J473" i="1"/>
  <c r="I473" i="1"/>
  <c r="H473" i="1"/>
  <c r="F473" i="1"/>
  <c r="C472" i="1"/>
  <c r="V471" i="1"/>
  <c r="U471" i="1"/>
  <c r="T471" i="1"/>
  <c r="S471" i="1"/>
  <c r="R471" i="1"/>
  <c r="Q471" i="1"/>
  <c r="E471" i="1"/>
  <c r="D471" i="1"/>
  <c r="B471" i="1"/>
  <c r="J468" i="1"/>
  <c r="H468" i="1"/>
  <c r="I466" i="1"/>
  <c r="H466" i="1"/>
  <c r="E466" i="1"/>
  <c r="J465" i="1"/>
  <c r="E465" i="1"/>
  <c r="J464" i="1"/>
  <c r="E464" i="1"/>
  <c r="V463" i="1"/>
  <c r="U463" i="1"/>
  <c r="T463" i="1"/>
  <c r="S463" i="1"/>
  <c r="R463" i="1"/>
  <c r="Q463" i="1"/>
  <c r="K463" i="1"/>
  <c r="J463" i="1"/>
  <c r="I463" i="1"/>
  <c r="H463" i="1"/>
  <c r="F463" i="1"/>
  <c r="E463" i="1"/>
  <c r="D463" i="1"/>
  <c r="B463" i="1"/>
  <c r="V462" i="1"/>
  <c r="U462" i="1"/>
  <c r="T462" i="1"/>
  <c r="S462" i="1"/>
  <c r="R462" i="1"/>
  <c r="Q462" i="1"/>
  <c r="K462" i="1"/>
  <c r="J462" i="1"/>
  <c r="I462" i="1"/>
  <c r="H462" i="1"/>
  <c r="F462" i="1"/>
  <c r="E462" i="1"/>
  <c r="D462" i="1"/>
  <c r="B462" i="1"/>
  <c r="V461" i="1"/>
  <c r="U461" i="1"/>
  <c r="T461" i="1"/>
  <c r="S461" i="1"/>
  <c r="R461" i="1"/>
  <c r="Q461" i="1"/>
  <c r="K461" i="1"/>
  <c r="J461" i="1"/>
  <c r="I461" i="1"/>
  <c r="H461" i="1"/>
  <c r="F461" i="1"/>
  <c r="E461" i="1"/>
  <c r="D461" i="1"/>
  <c r="B461" i="1"/>
  <c r="V460" i="1"/>
  <c r="U460" i="1"/>
  <c r="T460" i="1"/>
  <c r="S460" i="1"/>
  <c r="R460" i="1"/>
  <c r="Q460" i="1"/>
  <c r="K460" i="1"/>
  <c r="J460" i="1"/>
  <c r="I460" i="1"/>
  <c r="H460" i="1"/>
  <c r="F460" i="1"/>
  <c r="E460" i="1"/>
  <c r="D460" i="1"/>
  <c r="B460" i="1"/>
  <c r="V459" i="1"/>
  <c r="U459" i="1"/>
  <c r="T459" i="1"/>
  <c r="S459" i="1"/>
  <c r="R459" i="1"/>
  <c r="Q459" i="1"/>
  <c r="K459" i="1"/>
  <c r="J459" i="1"/>
  <c r="I459" i="1"/>
  <c r="H459" i="1"/>
  <c r="F459" i="1"/>
  <c r="E459" i="1"/>
  <c r="D459" i="1"/>
  <c r="B459" i="1"/>
  <c r="K458" i="1"/>
  <c r="J458" i="1"/>
  <c r="I458" i="1"/>
  <c r="H458" i="1"/>
  <c r="F458" i="1"/>
  <c r="K457" i="1"/>
  <c r="J457" i="1"/>
  <c r="I457" i="1"/>
  <c r="H457" i="1"/>
  <c r="F457" i="1"/>
  <c r="K456" i="1"/>
  <c r="J456" i="1"/>
  <c r="I456" i="1"/>
  <c r="H456" i="1"/>
  <c r="F456" i="1"/>
  <c r="K455" i="1"/>
  <c r="J455" i="1"/>
  <c r="I455" i="1"/>
  <c r="H455" i="1"/>
  <c r="F455" i="1"/>
  <c r="C454" i="1"/>
  <c r="V453" i="1"/>
  <c r="U453" i="1"/>
  <c r="T453" i="1"/>
  <c r="S453" i="1"/>
  <c r="R453" i="1"/>
  <c r="Q453" i="1"/>
  <c r="I464" i="1" s="1"/>
  <c r="E453" i="1"/>
  <c r="D453" i="1"/>
  <c r="B453" i="1"/>
  <c r="A452" i="1"/>
  <c r="J450" i="1"/>
  <c r="I450" i="1"/>
  <c r="J449" i="1"/>
  <c r="I449" i="1"/>
  <c r="A448" i="1"/>
  <c r="J444" i="1"/>
  <c r="H444" i="1"/>
  <c r="I442" i="1"/>
  <c r="H442" i="1"/>
  <c r="E442" i="1"/>
  <c r="J441" i="1"/>
  <c r="I441" i="1"/>
  <c r="E441" i="1"/>
  <c r="K440" i="1"/>
  <c r="J440" i="1"/>
  <c r="E440" i="1"/>
  <c r="V439" i="1"/>
  <c r="U439" i="1"/>
  <c r="T439" i="1"/>
  <c r="S439" i="1"/>
  <c r="R439" i="1"/>
  <c r="Q439" i="1"/>
  <c r="K439" i="1"/>
  <c r="J439" i="1"/>
  <c r="I439" i="1"/>
  <c r="H439" i="1"/>
  <c r="F439" i="1"/>
  <c r="E439" i="1"/>
  <c r="D439" i="1"/>
  <c r="B439" i="1"/>
  <c r="K438" i="1"/>
  <c r="J438" i="1"/>
  <c r="I438" i="1"/>
  <c r="H438" i="1"/>
  <c r="F438" i="1"/>
  <c r="K437" i="1"/>
  <c r="J437" i="1"/>
  <c r="I437" i="1"/>
  <c r="H437" i="1"/>
  <c r="F437" i="1"/>
  <c r="K436" i="1"/>
  <c r="J436" i="1"/>
  <c r="I436" i="1"/>
  <c r="H436" i="1"/>
  <c r="F436" i="1"/>
  <c r="K435" i="1"/>
  <c r="J435" i="1"/>
  <c r="I435" i="1"/>
  <c r="H435" i="1"/>
  <c r="F435" i="1"/>
  <c r="C434" i="1"/>
  <c r="V433" i="1"/>
  <c r="U433" i="1"/>
  <c r="T433" i="1"/>
  <c r="K441" i="1" s="1"/>
  <c r="S433" i="1"/>
  <c r="R433" i="1"/>
  <c r="Q433" i="1"/>
  <c r="I440" i="1" s="1"/>
  <c r="E433" i="1"/>
  <c r="D433" i="1"/>
  <c r="B433" i="1"/>
  <c r="J430" i="1"/>
  <c r="H430" i="1"/>
  <c r="I428" i="1"/>
  <c r="H428" i="1"/>
  <c r="E428" i="1"/>
  <c r="J427" i="1"/>
  <c r="E427" i="1"/>
  <c r="K426" i="1"/>
  <c r="J426" i="1"/>
  <c r="E426" i="1"/>
  <c r="V425" i="1"/>
  <c r="U425" i="1"/>
  <c r="T425" i="1"/>
  <c r="S425" i="1"/>
  <c r="R425" i="1"/>
  <c r="Q425" i="1"/>
  <c r="K425" i="1"/>
  <c r="J425" i="1"/>
  <c r="I425" i="1"/>
  <c r="H425" i="1"/>
  <c r="F425" i="1"/>
  <c r="E425" i="1"/>
  <c r="D425" i="1"/>
  <c r="B425" i="1"/>
  <c r="K424" i="1"/>
  <c r="J424" i="1"/>
  <c r="I424" i="1"/>
  <c r="H424" i="1"/>
  <c r="F424" i="1"/>
  <c r="K423" i="1"/>
  <c r="J423" i="1"/>
  <c r="I423" i="1"/>
  <c r="H423" i="1"/>
  <c r="F423" i="1"/>
  <c r="C422" i="1"/>
  <c r="V421" i="1"/>
  <c r="U421" i="1"/>
  <c r="T421" i="1"/>
  <c r="S421" i="1"/>
  <c r="R421" i="1"/>
  <c r="Q421" i="1"/>
  <c r="E421" i="1"/>
  <c r="D421" i="1"/>
  <c r="B421" i="1"/>
  <c r="J418" i="1"/>
  <c r="H418" i="1"/>
  <c r="I416" i="1"/>
  <c r="H416" i="1"/>
  <c r="E416" i="1"/>
  <c r="J415" i="1"/>
  <c r="E415" i="1"/>
  <c r="J414" i="1"/>
  <c r="I414" i="1"/>
  <c r="E414" i="1"/>
  <c r="V413" i="1"/>
  <c r="U413" i="1"/>
  <c r="T413" i="1"/>
  <c r="S413" i="1"/>
  <c r="R413" i="1"/>
  <c r="Q413" i="1"/>
  <c r="K413" i="1"/>
  <c r="J413" i="1"/>
  <c r="I413" i="1"/>
  <c r="H413" i="1"/>
  <c r="F413" i="1"/>
  <c r="E413" i="1"/>
  <c r="D413" i="1"/>
  <c r="B413" i="1"/>
  <c r="K412" i="1"/>
  <c r="J412" i="1"/>
  <c r="I412" i="1"/>
  <c r="H412" i="1"/>
  <c r="F412" i="1"/>
  <c r="K411" i="1"/>
  <c r="J411" i="1"/>
  <c r="I411" i="1"/>
  <c r="H411" i="1"/>
  <c r="F411" i="1"/>
  <c r="K410" i="1"/>
  <c r="J410" i="1"/>
  <c r="I410" i="1"/>
  <c r="H410" i="1"/>
  <c r="F410" i="1"/>
  <c r="C409" i="1"/>
  <c r="V408" i="1"/>
  <c r="U408" i="1"/>
  <c r="T408" i="1"/>
  <c r="K415" i="1" s="1"/>
  <c r="S408" i="1"/>
  <c r="R408" i="1"/>
  <c r="K414" i="1" s="1"/>
  <c r="Q408" i="1"/>
  <c r="E408" i="1"/>
  <c r="D408" i="1"/>
  <c r="B408" i="1"/>
  <c r="J405" i="1"/>
  <c r="H405" i="1"/>
  <c r="I403" i="1"/>
  <c r="H403" i="1"/>
  <c r="E403" i="1"/>
  <c r="J402" i="1"/>
  <c r="E402" i="1"/>
  <c r="J401" i="1"/>
  <c r="E401" i="1"/>
  <c r="V400" i="1"/>
  <c r="U400" i="1"/>
  <c r="T400" i="1"/>
  <c r="S400" i="1"/>
  <c r="R400" i="1"/>
  <c r="Q400" i="1"/>
  <c r="K400" i="1"/>
  <c r="J400" i="1"/>
  <c r="I400" i="1"/>
  <c r="H400" i="1"/>
  <c r="F400" i="1"/>
  <c r="E400" i="1"/>
  <c r="D400" i="1"/>
  <c r="B400" i="1"/>
  <c r="K399" i="1"/>
  <c r="J399" i="1"/>
  <c r="I399" i="1"/>
  <c r="H399" i="1"/>
  <c r="F399" i="1"/>
  <c r="K398" i="1"/>
  <c r="J398" i="1"/>
  <c r="I398" i="1"/>
  <c r="H398" i="1"/>
  <c r="F398" i="1"/>
  <c r="K397" i="1"/>
  <c r="J397" i="1"/>
  <c r="I397" i="1"/>
  <c r="H397" i="1"/>
  <c r="F397" i="1"/>
  <c r="K396" i="1"/>
  <c r="J396" i="1"/>
  <c r="I396" i="1"/>
  <c r="H396" i="1"/>
  <c r="F396" i="1"/>
  <c r="C395" i="1"/>
  <c r="V394" i="1"/>
  <c r="U394" i="1"/>
  <c r="T394" i="1"/>
  <c r="S394" i="1"/>
  <c r="R394" i="1"/>
  <c r="K401" i="1" s="1"/>
  <c r="Q394" i="1"/>
  <c r="E394" i="1"/>
  <c r="D394" i="1"/>
  <c r="B394" i="1"/>
  <c r="J391" i="1"/>
  <c r="H391" i="1"/>
  <c r="I389" i="1"/>
  <c r="H389" i="1"/>
  <c r="E389" i="1"/>
  <c r="J388" i="1"/>
  <c r="E388" i="1"/>
  <c r="J387" i="1"/>
  <c r="E387" i="1"/>
  <c r="V386" i="1"/>
  <c r="U386" i="1"/>
  <c r="T386" i="1"/>
  <c r="S386" i="1"/>
  <c r="R386" i="1"/>
  <c r="Q386" i="1"/>
  <c r="K386" i="1"/>
  <c r="J386" i="1"/>
  <c r="I386" i="1"/>
  <c r="H386" i="1"/>
  <c r="F386" i="1"/>
  <c r="E386" i="1"/>
  <c r="D386" i="1"/>
  <c r="B386" i="1"/>
  <c r="V385" i="1"/>
  <c r="U385" i="1"/>
  <c r="T385" i="1"/>
  <c r="S385" i="1"/>
  <c r="R385" i="1"/>
  <c r="Q385" i="1"/>
  <c r="I387" i="1" s="1"/>
  <c r="K385" i="1"/>
  <c r="J385" i="1"/>
  <c r="I385" i="1"/>
  <c r="H385" i="1"/>
  <c r="F385" i="1"/>
  <c r="E385" i="1"/>
  <c r="D385" i="1"/>
  <c r="B385" i="1"/>
  <c r="V384" i="1"/>
  <c r="U384" i="1"/>
  <c r="T384" i="1"/>
  <c r="S384" i="1"/>
  <c r="R384" i="1"/>
  <c r="Q384" i="1"/>
  <c r="K384" i="1"/>
  <c r="J384" i="1"/>
  <c r="I384" i="1"/>
  <c r="H384" i="1"/>
  <c r="F384" i="1"/>
  <c r="E384" i="1"/>
  <c r="D384" i="1"/>
  <c r="B384" i="1"/>
  <c r="V383" i="1"/>
  <c r="U383" i="1"/>
  <c r="T383" i="1"/>
  <c r="S383" i="1"/>
  <c r="R383" i="1"/>
  <c r="Q383" i="1"/>
  <c r="K383" i="1"/>
  <c r="J383" i="1"/>
  <c r="I383" i="1"/>
  <c r="H383" i="1"/>
  <c r="F383" i="1"/>
  <c r="E383" i="1"/>
  <c r="D383" i="1"/>
  <c r="B383" i="1"/>
  <c r="V382" i="1"/>
  <c r="U382" i="1"/>
  <c r="T382" i="1"/>
  <c r="S382" i="1"/>
  <c r="R382" i="1"/>
  <c r="Q382" i="1"/>
  <c r="K382" i="1"/>
  <c r="J382" i="1"/>
  <c r="I382" i="1"/>
  <c r="H382" i="1"/>
  <c r="F382" i="1"/>
  <c r="E382" i="1"/>
  <c r="D382" i="1"/>
  <c r="B382" i="1"/>
  <c r="K381" i="1"/>
  <c r="J381" i="1"/>
  <c r="I381" i="1"/>
  <c r="H381" i="1"/>
  <c r="F381" i="1"/>
  <c r="K380" i="1"/>
  <c r="J380" i="1"/>
  <c r="I380" i="1"/>
  <c r="H380" i="1"/>
  <c r="F380" i="1"/>
  <c r="K379" i="1"/>
  <c r="J379" i="1"/>
  <c r="I379" i="1"/>
  <c r="H379" i="1"/>
  <c r="F379" i="1"/>
  <c r="K378" i="1"/>
  <c r="J378" i="1"/>
  <c r="I378" i="1"/>
  <c r="H378" i="1"/>
  <c r="F378" i="1"/>
  <c r="C377" i="1"/>
  <c r="V376" i="1"/>
  <c r="U376" i="1"/>
  <c r="T376" i="1"/>
  <c r="S376" i="1"/>
  <c r="R376" i="1"/>
  <c r="Q376" i="1"/>
  <c r="E376" i="1"/>
  <c r="D376" i="1"/>
  <c r="B376" i="1"/>
  <c r="J373" i="1"/>
  <c r="H373" i="1"/>
  <c r="I371" i="1"/>
  <c r="H371" i="1"/>
  <c r="E371" i="1"/>
  <c r="J370" i="1"/>
  <c r="E370" i="1"/>
  <c r="J369" i="1"/>
  <c r="E369" i="1"/>
  <c r="V368" i="1"/>
  <c r="U368" i="1"/>
  <c r="T368" i="1"/>
  <c r="S368" i="1"/>
  <c r="R368" i="1"/>
  <c r="Q368" i="1"/>
  <c r="K368" i="1"/>
  <c r="J368" i="1"/>
  <c r="I368" i="1"/>
  <c r="H368" i="1"/>
  <c r="F368" i="1"/>
  <c r="E368" i="1"/>
  <c r="D368" i="1"/>
  <c r="B368" i="1"/>
  <c r="V367" i="1"/>
  <c r="U367" i="1"/>
  <c r="T367" i="1"/>
  <c r="S367" i="1"/>
  <c r="R367" i="1"/>
  <c r="Q367" i="1"/>
  <c r="K367" i="1"/>
  <c r="J367" i="1"/>
  <c r="I367" i="1"/>
  <c r="H367" i="1"/>
  <c r="F367" i="1"/>
  <c r="E367" i="1"/>
  <c r="D367" i="1"/>
  <c r="B367" i="1"/>
  <c r="V366" i="1"/>
  <c r="U366" i="1"/>
  <c r="T366" i="1"/>
  <c r="S366" i="1"/>
  <c r="R366" i="1"/>
  <c r="Q366" i="1"/>
  <c r="K366" i="1"/>
  <c r="J366" i="1"/>
  <c r="I366" i="1"/>
  <c r="H366" i="1"/>
  <c r="F366" i="1"/>
  <c r="E366" i="1"/>
  <c r="D366" i="1"/>
  <c r="B366" i="1"/>
  <c r="V365" i="1"/>
  <c r="U365" i="1"/>
  <c r="T365" i="1"/>
  <c r="S365" i="1"/>
  <c r="R365" i="1"/>
  <c r="Q365" i="1"/>
  <c r="K365" i="1"/>
  <c r="J365" i="1"/>
  <c r="I365" i="1"/>
  <c r="H365" i="1"/>
  <c r="F365" i="1"/>
  <c r="E365" i="1"/>
  <c r="D365" i="1"/>
  <c r="B365" i="1"/>
  <c r="K364" i="1"/>
  <c r="J364" i="1"/>
  <c r="I364" i="1"/>
  <c r="H364" i="1"/>
  <c r="F364" i="1"/>
  <c r="K363" i="1"/>
  <c r="J363" i="1"/>
  <c r="I363" i="1"/>
  <c r="H363" i="1"/>
  <c r="F363" i="1"/>
  <c r="K362" i="1"/>
  <c r="J362" i="1"/>
  <c r="I362" i="1"/>
  <c r="H362" i="1"/>
  <c r="F362" i="1"/>
  <c r="K361" i="1"/>
  <c r="J361" i="1"/>
  <c r="I361" i="1"/>
  <c r="H361" i="1"/>
  <c r="F361" i="1"/>
  <c r="C360" i="1"/>
  <c r="V359" i="1"/>
  <c r="U359" i="1"/>
  <c r="T359" i="1"/>
  <c r="S359" i="1"/>
  <c r="R359" i="1"/>
  <c r="Q359" i="1"/>
  <c r="E359" i="1"/>
  <c r="D359" i="1"/>
  <c r="B359" i="1"/>
  <c r="A358" i="1"/>
  <c r="A356" i="1"/>
  <c r="J354" i="1"/>
  <c r="I354" i="1"/>
  <c r="J353" i="1"/>
  <c r="I353" i="1"/>
  <c r="A352" i="1"/>
  <c r="J350" i="1"/>
  <c r="I350" i="1"/>
  <c r="J349" i="1"/>
  <c r="I349" i="1"/>
  <c r="A348" i="1"/>
  <c r="J344" i="1"/>
  <c r="H344" i="1"/>
  <c r="I342" i="1"/>
  <c r="H342" i="1"/>
  <c r="E342" i="1"/>
  <c r="J341" i="1"/>
  <c r="E341" i="1"/>
  <c r="J340" i="1"/>
  <c r="E340" i="1"/>
  <c r="V339" i="1"/>
  <c r="U339" i="1"/>
  <c r="T339" i="1"/>
  <c r="S339" i="1"/>
  <c r="R339" i="1"/>
  <c r="Q339" i="1"/>
  <c r="K339" i="1"/>
  <c r="J339" i="1"/>
  <c r="I339" i="1"/>
  <c r="H339" i="1"/>
  <c r="F339" i="1"/>
  <c r="E339" i="1"/>
  <c r="D339" i="1"/>
  <c r="B339" i="1"/>
  <c r="V338" i="1"/>
  <c r="U338" i="1"/>
  <c r="T338" i="1"/>
  <c r="S338" i="1"/>
  <c r="R338" i="1"/>
  <c r="Q338" i="1"/>
  <c r="K338" i="1"/>
  <c r="J338" i="1"/>
  <c r="I338" i="1"/>
  <c r="H338" i="1"/>
  <c r="F338" i="1"/>
  <c r="E338" i="1"/>
  <c r="D338" i="1"/>
  <c r="B338" i="1"/>
  <c r="V337" i="1"/>
  <c r="U337" i="1"/>
  <c r="T337" i="1"/>
  <c r="S337" i="1"/>
  <c r="R337" i="1"/>
  <c r="Q337" i="1"/>
  <c r="K337" i="1"/>
  <c r="J337" i="1"/>
  <c r="I337" i="1"/>
  <c r="H337" i="1"/>
  <c r="F337" i="1"/>
  <c r="E337" i="1"/>
  <c r="D337" i="1"/>
  <c r="B337" i="1"/>
  <c r="V336" i="1"/>
  <c r="U336" i="1"/>
  <c r="T336" i="1"/>
  <c r="S336" i="1"/>
  <c r="R336" i="1"/>
  <c r="Q336" i="1"/>
  <c r="K336" i="1"/>
  <c r="J336" i="1"/>
  <c r="I336" i="1"/>
  <c r="H336" i="1"/>
  <c r="F336" i="1"/>
  <c r="E336" i="1"/>
  <c r="D336" i="1"/>
  <c r="B336" i="1"/>
  <c r="K335" i="1"/>
  <c r="J335" i="1"/>
  <c r="I335" i="1"/>
  <c r="H335" i="1"/>
  <c r="F335" i="1"/>
  <c r="K334" i="1"/>
  <c r="J334" i="1"/>
  <c r="I334" i="1"/>
  <c r="H334" i="1"/>
  <c r="F334" i="1"/>
  <c r="K333" i="1"/>
  <c r="J333" i="1"/>
  <c r="I333" i="1"/>
  <c r="H333" i="1"/>
  <c r="F333" i="1"/>
  <c r="K332" i="1"/>
  <c r="J332" i="1"/>
  <c r="I332" i="1"/>
  <c r="H332" i="1"/>
  <c r="F332" i="1"/>
  <c r="C331" i="1"/>
  <c r="V330" i="1"/>
  <c r="U330" i="1"/>
  <c r="T330" i="1"/>
  <c r="S330" i="1"/>
  <c r="R330" i="1"/>
  <c r="K340" i="1" s="1"/>
  <c r="Q330" i="1"/>
  <c r="E330" i="1"/>
  <c r="D330" i="1"/>
  <c r="B330" i="1"/>
  <c r="J327" i="1"/>
  <c r="H327" i="1"/>
  <c r="I325" i="1"/>
  <c r="H325" i="1"/>
  <c r="E325" i="1"/>
  <c r="K324" i="1"/>
  <c r="J324" i="1"/>
  <c r="E324" i="1"/>
  <c r="J323" i="1"/>
  <c r="E323" i="1"/>
  <c r="V322" i="1"/>
  <c r="U322" i="1"/>
  <c r="T322" i="1"/>
  <c r="S322" i="1"/>
  <c r="R322" i="1"/>
  <c r="Q322" i="1"/>
  <c r="I323" i="1" s="1"/>
  <c r="K322" i="1"/>
  <c r="J322" i="1"/>
  <c r="I322" i="1"/>
  <c r="H322" i="1"/>
  <c r="F322" i="1"/>
  <c r="E322" i="1"/>
  <c r="D322" i="1"/>
  <c r="B322" i="1"/>
  <c r="V321" i="1"/>
  <c r="U321" i="1"/>
  <c r="T321" i="1"/>
  <c r="S321" i="1"/>
  <c r="R321" i="1"/>
  <c r="Q321" i="1"/>
  <c r="K321" i="1"/>
  <c r="J321" i="1"/>
  <c r="I321" i="1"/>
  <c r="H321" i="1"/>
  <c r="F321" i="1"/>
  <c r="E321" i="1"/>
  <c r="D321" i="1"/>
  <c r="B321" i="1"/>
  <c r="V320" i="1"/>
  <c r="U320" i="1"/>
  <c r="T320" i="1"/>
  <c r="S320" i="1"/>
  <c r="R320" i="1"/>
  <c r="Q320" i="1"/>
  <c r="K320" i="1"/>
  <c r="J320" i="1"/>
  <c r="I320" i="1"/>
  <c r="H320" i="1"/>
  <c r="F320" i="1"/>
  <c r="E320" i="1"/>
  <c r="D320" i="1"/>
  <c r="B320" i="1"/>
  <c r="K319" i="1"/>
  <c r="J319" i="1"/>
  <c r="I319" i="1"/>
  <c r="H319" i="1"/>
  <c r="F319" i="1"/>
  <c r="K318" i="1"/>
  <c r="J318" i="1"/>
  <c r="I318" i="1"/>
  <c r="H318" i="1"/>
  <c r="F318" i="1"/>
  <c r="K317" i="1"/>
  <c r="J317" i="1"/>
  <c r="I317" i="1"/>
  <c r="H317" i="1"/>
  <c r="F317" i="1"/>
  <c r="C316" i="1"/>
  <c r="V315" i="1"/>
  <c r="U315" i="1"/>
  <c r="T315" i="1"/>
  <c r="S315" i="1"/>
  <c r="I324" i="1" s="1"/>
  <c r="R315" i="1"/>
  <c r="Q315" i="1"/>
  <c r="E315" i="1"/>
  <c r="D315" i="1"/>
  <c r="B315" i="1"/>
  <c r="J312" i="1"/>
  <c r="H312" i="1"/>
  <c r="I310" i="1"/>
  <c r="H310" i="1"/>
  <c r="E310" i="1"/>
  <c r="J309" i="1"/>
  <c r="E309" i="1"/>
  <c r="J308" i="1"/>
  <c r="E308" i="1"/>
  <c r="V307" i="1"/>
  <c r="U307" i="1"/>
  <c r="T307" i="1"/>
  <c r="S307" i="1"/>
  <c r="R307" i="1"/>
  <c r="Q307" i="1"/>
  <c r="K307" i="1"/>
  <c r="J307" i="1"/>
  <c r="I307" i="1"/>
  <c r="H307" i="1"/>
  <c r="F307" i="1"/>
  <c r="E307" i="1"/>
  <c r="D307" i="1"/>
  <c r="B307" i="1"/>
  <c r="K306" i="1"/>
  <c r="J306" i="1"/>
  <c r="I306" i="1"/>
  <c r="H306" i="1"/>
  <c r="F306" i="1"/>
  <c r="K305" i="1"/>
  <c r="J305" i="1"/>
  <c r="I305" i="1"/>
  <c r="H305" i="1"/>
  <c r="F305" i="1"/>
  <c r="K304" i="1"/>
  <c r="J304" i="1"/>
  <c r="I304" i="1"/>
  <c r="H304" i="1"/>
  <c r="F304" i="1"/>
  <c r="K303" i="1"/>
  <c r="J303" i="1"/>
  <c r="I303" i="1"/>
  <c r="H303" i="1"/>
  <c r="F303" i="1"/>
  <c r="C302" i="1"/>
  <c r="V301" i="1"/>
  <c r="U301" i="1"/>
  <c r="T301" i="1"/>
  <c r="K309" i="1" s="1"/>
  <c r="S301" i="1"/>
  <c r="R301" i="1"/>
  <c r="Q301" i="1"/>
  <c r="I308" i="1" s="1"/>
  <c r="E301" i="1"/>
  <c r="D301" i="1"/>
  <c r="B301" i="1"/>
  <c r="J298" i="1"/>
  <c r="H298" i="1"/>
  <c r="I296" i="1"/>
  <c r="H296" i="1"/>
  <c r="E296" i="1"/>
  <c r="J295" i="1"/>
  <c r="E295" i="1"/>
  <c r="K294" i="1"/>
  <c r="J294" i="1"/>
  <c r="E294" i="1"/>
  <c r="V293" i="1"/>
  <c r="U293" i="1"/>
  <c r="T293" i="1"/>
  <c r="K295" i="1" s="1"/>
  <c r="S293" i="1"/>
  <c r="R293" i="1"/>
  <c r="Q293" i="1"/>
  <c r="K293" i="1"/>
  <c r="J293" i="1"/>
  <c r="I293" i="1"/>
  <c r="H293" i="1"/>
  <c r="F293" i="1"/>
  <c r="E293" i="1"/>
  <c r="D293" i="1"/>
  <c r="B293" i="1"/>
  <c r="K292" i="1"/>
  <c r="J292" i="1"/>
  <c r="I292" i="1"/>
  <c r="H292" i="1"/>
  <c r="F292" i="1"/>
  <c r="K291" i="1"/>
  <c r="J291" i="1"/>
  <c r="I291" i="1"/>
  <c r="H291" i="1"/>
  <c r="F291" i="1"/>
  <c r="K290" i="1"/>
  <c r="J290" i="1"/>
  <c r="I290" i="1"/>
  <c r="H290" i="1"/>
  <c r="F290" i="1"/>
  <c r="K289" i="1"/>
  <c r="J299" i="1" s="1"/>
  <c r="J289" i="1"/>
  <c r="I289" i="1"/>
  <c r="H289" i="1"/>
  <c r="F289" i="1"/>
  <c r="C288" i="1"/>
  <c r="V287" i="1"/>
  <c r="U287" i="1"/>
  <c r="T287" i="1"/>
  <c r="S287" i="1"/>
  <c r="R287" i="1"/>
  <c r="Q287" i="1"/>
  <c r="E287" i="1"/>
  <c r="D287" i="1"/>
  <c r="B287" i="1"/>
  <c r="J284" i="1"/>
  <c r="H284" i="1"/>
  <c r="I282" i="1"/>
  <c r="H282" i="1"/>
  <c r="E282" i="1"/>
  <c r="J281" i="1"/>
  <c r="E281" i="1"/>
  <c r="J280" i="1"/>
  <c r="E280" i="1"/>
  <c r="V279" i="1"/>
  <c r="U279" i="1"/>
  <c r="T279" i="1"/>
  <c r="S279" i="1"/>
  <c r="R279" i="1"/>
  <c r="Q279" i="1"/>
  <c r="K279" i="1"/>
  <c r="J279" i="1"/>
  <c r="I279" i="1"/>
  <c r="H279" i="1"/>
  <c r="F279" i="1"/>
  <c r="E279" i="1"/>
  <c r="D279" i="1"/>
  <c r="B279" i="1"/>
  <c r="K278" i="1"/>
  <c r="J278" i="1"/>
  <c r="I278" i="1"/>
  <c r="H278" i="1"/>
  <c r="F278" i="1"/>
  <c r="K277" i="1"/>
  <c r="J277" i="1"/>
  <c r="I277" i="1"/>
  <c r="H277" i="1"/>
  <c r="F277" i="1"/>
  <c r="K276" i="1"/>
  <c r="J276" i="1"/>
  <c r="I276" i="1"/>
  <c r="H276" i="1"/>
  <c r="F276" i="1"/>
  <c r="K275" i="1"/>
  <c r="J275" i="1"/>
  <c r="I275" i="1"/>
  <c r="H275" i="1"/>
  <c r="F275" i="1"/>
  <c r="C274" i="1"/>
  <c r="V273" i="1"/>
  <c r="U273" i="1"/>
  <c r="T273" i="1"/>
  <c r="S273" i="1"/>
  <c r="I281" i="1" s="1"/>
  <c r="R273" i="1"/>
  <c r="K280" i="1" s="1"/>
  <c r="Q273" i="1"/>
  <c r="I280" i="1" s="1"/>
  <c r="E273" i="1"/>
  <c r="D273" i="1"/>
  <c r="B273" i="1"/>
  <c r="J270" i="1"/>
  <c r="H270" i="1"/>
  <c r="I268" i="1"/>
  <c r="H268" i="1"/>
  <c r="E268" i="1"/>
  <c r="J267" i="1"/>
  <c r="E267" i="1"/>
  <c r="J266" i="1"/>
  <c r="E266" i="1"/>
  <c r="V265" i="1"/>
  <c r="U265" i="1"/>
  <c r="T265" i="1"/>
  <c r="S265" i="1"/>
  <c r="R265" i="1"/>
  <c r="K266" i="1" s="1"/>
  <c r="Q265" i="1"/>
  <c r="K265" i="1"/>
  <c r="J265" i="1"/>
  <c r="I265" i="1"/>
  <c r="H265" i="1"/>
  <c r="F265" i="1"/>
  <c r="E265" i="1"/>
  <c r="D265" i="1"/>
  <c r="B265" i="1"/>
  <c r="K264" i="1"/>
  <c r="J264" i="1"/>
  <c r="I264" i="1"/>
  <c r="H264" i="1"/>
  <c r="F264" i="1"/>
  <c r="K263" i="1"/>
  <c r="J263" i="1"/>
  <c r="I263" i="1"/>
  <c r="H263" i="1"/>
  <c r="F263" i="1"/>
  <c r="K262" i="1"/>
  <c r="J262" i="1"/>
  <c r="I262" i="1"/>
  <c r="H262" i="1"/>
  <c r="F262" i="1"/>
  <c r="K261" i="1"/>
  <c r="J261" i="1"/>
  <c r="I261" i="1"/>
  <c r="H261" i="1"/>
  <c r="F261" i="1"/>
  <c r="C260" i="1"/>
  <c r="V259" i="1"/>
  <c r="U259" i="1"/>
  <c r="T259" i="1"/>
  <c r="S259" i="1"/>
  <c r="R259" i="1"/>
  <c r="Q259" i="1"/>
  <c r="E259" i="1"/>
  <c r="D259" i="1"/>
  <c r="B259" i="1"/>
  <c r="A258" i="1"/>
  <c r="J256" i="1"/>
  <c r="I256" i="1"/>
  <c r="J255" i="1"/>
  <c r="I255" i="1"/>
  <c r="A254" i="1"/>
  <c r="J250" i="1"/>
  <c r="H250" i="1"/>
  <c r="I248" i="1"/>
  <c r="H248" i="1"/>
  <c r="E248" i="1"/>
  <c r="J247" i="1"/>
  <c r="E247" i="1"/>
  <c r="J246" i="1"/>
  <c r="E246" i="1"/>
  <c r="K245" i="1"/>
  <c r="J245" i="1"/>
  <c r="I245" i="1"/>
  <c r="H245" i="1"/>
  <c r="F245" i="1"/>
  <c r="K244" i="1"/>
  <c r="J244" i="1"/>
  <c r="I244" i="1"/>
  <c r="H244" i="1"/>
  <c r="F244" i="1"/>
  <c r="K243" i="1"/>
  <c r="J243" i="1"/>
  <c r="I243" i="1"/>
  <c r="H243" i="1"/>
  <c r="F243" i="1"/>
  <c r="C242" i="1"/>
  <c r="V241" i="1"/>
  <c r="U241" i="1"/>
  <c r="T241" i="1"/>
  <c r="K247" i="1" s="1"/>
  <c r="S241" i="1"/>
  <c r="I247" i="1" s="1"/>
  <c r="R241" i="1"/>
  <c r="K246" i="1" s="1"/>
  <c r="Q241" i="1"/>
  <c r="I246" i="1" s="1"/>
  <c r="E241" i="1"/>
  <c r="D241" i="1"/>
  <c r="B241" i="1"/>
  <c r="J238" i="1"/>
  <c r="H238" i="1"/>
  <c r="I236" i="1"/>
  <c r="H236" i="1"/>
  <c r="E236" i="1"/>
  <c r="J235" i="1"/>
  <c r="E235" i="1"/>
  <c r="J234" i="1"/>
  <c r="E234" i="1"/>
  <c r="K233" i="1"/>
  <c r="J233" i="1"/>
  <c r="I233" i="1"/>
  <c r="H233" i="1"/>
  <c r="F233" i="1"/>
  <c r="K232" i="1"/>
  <c r="J232" i="1"/>
  <c r="I232" i="1"/>
  <c r="H232" i="1"/>
  <c r="F232" i="1"/>
  <c r="K231" i="1"/>
  <c r="J231" i="1"/>
  <c r="I231" i="1"/>
  <c r="H231" i="1"/>
  <c r="F231" i="1"/>
  <c r="C230" i="1"/>
  <c r="V229" i="1"/>
  <c r="U229" i="1"/>
  <c r="T229" i="1"/>
  <c r="K235" i="1" s="1"/>
  <c r="S229" i="1"/>
  <c r="I235" i="1" s="1"/>
  <c r="R229" i="1"/>
  <c r="K234" i="1" s="1"/>
  <c r="Q229" i="1"/>
  <c r="I234" i="1" s="1"/>
  <c r="E229" i="1"/>
  <c r="D229" i="1"/>
  <c r="B229" i="1"/>
  <c r="J226" i="1"/>
  <c r="H226" i="1"/>
  <c r="I224" i="1"/>
  <c r="H224" i="1"/>
  <c r="E224" i="1"/>
  <c r="J223" i="1"/>
  <c r="E223" i="1"/>
  <c r="J222" i="1"/>
  <c r="E222" i="1"/>
  <c r="K221" i="1"/>
  <c r="P227" i="1" s="1"/>
  <c r="J221" i="1"/>
  <c r="I221" i="1"/>
  <c r="H221" i="1"/>
  <c r="F221" i="1"/>
  <c r="C220" i="1"/>
  <c r="V219" i="1"/>
  <c r="U219" i="1"/>
  <c r="T219" i="1"/>
  <c r="K223" i="1" s="1"/>
  <c r="S219" i="1"/>
  <c r="I223" i="1" s="1"/>
  <c r="R219" i="1"/>
  <c r="K222" i="1" s="1"/>
  <c r="J227" i="1" s="1"/>
  <c r="Q219" i="1"/>
  <c r="I222" i="1" s="1"/>
  <c r="E219" i="1"/>
  <c r="D219" i="1"/>
  <c r="B219" i="1"/>
  <c r="A218" i="1"/>
  <c r="A216" i="1"/>
  <c r="J214" i="1"/>
  <c r="I214" i="1"/>
  <c r="J213" i="1"/>
  <c r="I213" i="1"/>
  <c r="A212" i="1"/>
  <c r="J210" i="1"/>
  <c r="I210" i="1"/>
  <c r="J209" i="1"/>
  <c r="I209" i="1"/>
  <c r="A208" i="1"/>
  <c r="J204" i="1"/>
  <c r="H204" i="1"/>
  <c r="I202" i="1"/>
  <c r="H202" i="1"/>
  <c r="E202" i="1"/>
  <c r="K201" i="1"/>
  <c r="J201" i="1"/>
  <c r="E201" i="1"/>
  <c r="J200" i="1"/>
  <c r="E200" i="1"/>
  <c r="V199" i="1"/>
  <c r="U199" i="1"/>
  <c r="T199" i="1"/>
  <c r="S199" i="1"/>
  <c r="R199" i="1"/>
  <c r="Q199" i="1"/>
  <c r="K199" i="1"/>
  <c r="J199" i="1"/>
  <c r="I199" i="1"/>
  <c r="H199" i="1"/>
  <c r="F199" i="1"/>
  <c r="E199" i="1"/>
  <c r="D199" i="1"/>
  <c r="B199" i="1"/>
  <c r="K198" i="1"/>
  <c r="J198" i="1"/>
  <c r="I198" i="1"/>
  <c r="H198" i="1"/>
  <c r="F198" i="1"/>
  <c r="K197" i="1"/>
  <c r="J197" i="1"/>
  <c r="I197" i="1"/>
  <c r="H197" i="1"/>
  <c r="F197" i="1"/>
  <c r="V196" i="1"/>
  <c r="U196" i="1"/>
  <c r="T196" i="1"/>
  <c r="S196" i="1"/>
  <c r="I201" i="1" s="1"/>
  <c r="R196" i="1"/>
  <c r="K200" i="1" s="1"/>
  <c r="Q196" i="1"/>
  <c r="I200" i="1" s="1"/>
  <c r="E196" i="1"/>
  <c r="D196" i="1"/>
  <c r="B196" i="1"/>
  <c r="J193" i="1"/>
  <c r="H193" i="1"/>
  <c r="I191" i="1"/>
  <c r="H191" i="1"/>
  <c r="E191" i="1"/>
  <c r="J190" i="1"/>
  <c r="E190" i="1"/>
  <c r="J189" i="1"/>
  <c r="E189" i="1"/>
  <c r="V188" i="1"/>
  <c r="U188" i="1"/>
  <c r="T188" i="1"/>
  <c r="S188" i="1"/>
  <c r="R188" i="1"/>
  <c r="Q188" i="1"/>
  <c r="K188" i="1"/>
  <c r="J188" i="1"/>
  <c r="I188" i="1"/>
  <c r="H188" i="1"/>
  <c r="F188" i="1"/>
  <c r="E188" i="1"/>
  <c r="D188" i="1"/>
  <c r="B188" i="1"/>
  <c r="V187" i="1"/>
  <c r="U187" i="1"/>
  <c r="T187" i="1"/>
  <c r="S187" i="1"/>
  <c r="R187" i="1"/>
  <c r="Q187" i="1"/>
  <c r="K187" i="1"/>
  <c r="J187" i="1"/>
  <c r="I187" i="1"/>
  <c r="H187" i="1"/>
  <c r="F187" i="1"/>
  <c r="E187" i="1"/>
  <c r="D187" i="1"/>
  <c r="B187" i="1"/>
  <c r="K186" i="1"/>
  <c r="J186" i="1"/>
  <c r="I186" i="1"/>
  <c r="H186" i="1"/>
  <c r="F186" i="1"/>
  <c r="K185" i="1"/>
  <c r="J185" i="1"/>
  <c r="I185" i="1"/>
  <c r="H185" i="1"/>
  <c r="F185" i="1"/>
  <c r="K184" i="1"/>
  <c r="J184" i="1"/>
  <c r="I184" i="1"/>
  <c r="H184" i="1"/>
  <c r="F184" i="1"/>
  <c r="K183" i="1"/>
  <c r="J183" i="1"/>
  <c r="I183" i="1"/>
  <c r="H183" i="1"/>
  <c r="F183" i="1"/>
  <c r="C182" i="1"/>
  <c r="V181" i="1"/>
  <c r="U181" i="1"/>
  <c r="T181" i="1"/>
  <c r="S181" i="1"/>
  <c r="I190" i="1" s="1"/>
  <c r="R181" i="1"/>
  <c r="Q181" i="1"/>
  <c r="E181" i="1"/>
  <c r="D181" i="1"/>
  <c r="B181" i="1"/>
  <c r="J178" i="1"/>
  <c r="H178" i="1"/>
  <c r="I176" i="1"/>
  <c r="H176" i="1"/>
  <c r="E176" i="1"/>
  <c r="J175" i="1"/>
  <c r="E175" i="1"/>
  <c r="J174" i="1"/>
  <c r="E174" i="1"/>
  <c r="V173" i="1"/>
  <c r="U173" i="1"/>
  <c r="T173" i="1"/>
  <c r="S173" i="1"/>
  <c r="R173" i="1"/>
  <c r="Q173" i="1"/>
  <c r="K173" i="1"/>
  <c r="J173" i="1"/>
  <c r="I173" i="1"/>
  <c r="H173" i="1"/>
  <c r="F173" i="1"/>
  <c r="E173" i="1"/>
  <c r="D173" i="1"/>
  <c r="B173" i="1"/>
  <c r="K172" i="1"/>
  <c r="J172" i="1"/>
  <c r="I172" i="1"/>
  <c r="H172" i="1"/>
  <c r="F172" i="1"/>
  <c r="K171" i="1"/>
  <c r="J171" i="1"/>
  <c r="I171" i="1"/>
  <c r="H171" i="1"/>
  <c r="F171" i="1"/>
  <c r="V170" i="1"/>
  <c r="U170" i="1"/>
  <c r="T170" i="1"/>
  <c r="S170" i="1"/>
  <c r="I175" i="1" s="1"/>
  <c r="R170" i="1"/>
  <c r="Q170" i="1"/>
  <c r="E170" i="1"/>
  <c r="D170" i="1"/>
  <c r="B170" i="1"/>
  <c r="J167" i="1"/>
  <c r="H167" i="1"/>
  <c r="I165" i="1"/>
  <c r="H165" i="1"/>
  <c r="E165" i="1"/>
  <c r="J164" i="1"/>
  <c r="E164" i="1"/>
  <c r="J163" i="1"/>
  <c r="E163" i="1"/>
  <c r="V162" i="1"/>
  <c r="U162" i="1"/>
  <c r="T162" i="1"/>
  <c r="S162" i="1"/>
  <c r="R162" i="1"/>
  <c r="Q162" i="1"/>
  <c r="K162" i="1"/>
  <c r="J162" i="1"/>
  <c r="I162" i="1"/>
  <c r="H162" i="1"/>
  <c r="F162" i="1"/>
  <c r="E162" i="1"/>
  <c r="D162" i="1"/>
  <c r="B162" i="1"/>
  <c r="V161" i="1"/>
  <c r="U161" i="1"/>
  <c r="T161" i="1"/>
  <c r="S161" i="1"/>
  <c r="R161" i="1"/>
  <c r="K163" i="1" s="1"/>
  <c r="Q161" i="1"/>
  <c r="K161" i="1"/>
  <c r="J161" i="1"/>
  <c r="I161" i="1"/>
  <c r="H161" i="1"/>
  <c r="F161" i="1"/>
  <c r="E161" i="1"/>
  <c r="D161" i="1"/>
  <c r="B161" i="1"/>
  <c r="V160" i="1"/>
  <c r="U160" i="1"/>
  <c r="T160" i="1"/>
  <c r="S160" i="1"/>
  <c r="R160" i="1"/>
  <c r="Q160" i="1"/>
  <c r="K160" i="1"/>
  <c r="J160" i="1"/>
  <c r="I160" i="1"/>
  <c r="H160" i="1"/>
  <c r="F160" i="1"/>
  <c r="E160" i="1"/>
  <c r="D160" i="1"/>
  <c r="B160" i="1"/>
  <c r="V159" i="1"/>
  <c r="U159" i="1"/>
  <c r="T159" i="1"/>
  <c r="S159" i="1"/>
  <c r="R159" i="1"/>
  <c r="Q159" i="1"/>
  <c r="K159" i="1"/>
  <c r="J159" i="1"/>
  <c r="I159" i="1"/>
  <c r="H159" i="1"/>
  <c r="F159" i="1"/>
  <c r="E159" i="1"/>
  <c r="D159" i="1"/>
  <c r="B159" i="1"/>
  <c r="V158" i="1"/>
  <c r="U158" i="1"/>
  <c r="T158" i="1"/>
  <c r="S158" i="1"/>
  <c r="R158" i="1"/>
  <c r="Q158" i="1"/>
  <c r="K158" i="1"/>
  <c r="J158" i="1"/>
  <c r="I158" i="1"/>
  <c r="H158" i="1"/>
  <c r="F158" i="1"/>
  <c r="E158" i="1"/>
  <c r="D158" i="1"/>
  <c r="B158" i="1"/>
  <c r="K157" i="1"/>
  <c r="J157" i="1"/>
  <c r="I157" i="1"/>
  <c r="H157" i="1"/>
  <c r="F157" i="1"/>
  <c r="K156" i="1"/>
  <c r="J156" i="1"/>
  <c r="I156" i="1"/>
  <c r="H156" i="1"/>
  <c r="F156" i="1"/>
  <c r="K155" i="1"/>
  <c r="J155" i="1"/>
  <c r="I155" i="1"/>
  <c r="H155" i="1"/>
  <c r="F155" i="1"/>
  <c r="K154" i="1"/>
  <c r="J154" i="1"/>
  <c r="I154" i="1"/>
  <c r="H154" i="1"/>
  <c r="F154" i="1"/>
  <c r="V153" i="1"/>
  <c r="U153" i="1"/>
  <c r="T153" i="1"/>
  <c r="S153" i="1"/>
  <c r="R153" i="1"/>
  <c r="Q153" i="1"/>
  <c r="E153" i="1"/>
  <c r="D153" i="1"/>
  <c r="B153" i="1"/>
  <c r="J150" i="1"/>
  <c r="H150" i="1"/>
  <c r="I148" i="1"/>
  <c r="H148" i="1"/>
  <c r="E148" i="1"/>
  <c r="J147" i="1"/>
  <c r="E147" i="1"/>
  <c r="J146" i="1"/>
  <c r="E146" i="1"/>
  <c r="V145" i="1"/>
  <c r="U145" i="1"/>
  <c r="T145" i="1"/>
  <c r="S145" i="1"/>
  <c r="R145" i="1"/>
  <c r="Q145" i="1"/>
  <c r="K145" i="1"/>
  <c r="J145" i="1"/>
  <c r="I145" i="1"/>
  <c r="H145" i="1"/>
  <c r="F145" i="1"/>
  <c r="E145" i="1"/>
  <c r="D145" i="1"/>
  <c r="B145" i="1"/>
  <c r="V144" i="1"/>
  <c r="U144" i="1"/>
  <c r="T144" i="1"/>
  <c r="K147" i="1" s="1"/>
  <c r="S144" i="1"/>
  <c r="R144" i="1"/>
  <c r="Q144" i="1"/>
  <c r="K144" i="1"/>
  <c r="J144" i="1"/>
  <c r="I144" i="1"/>
  <c r="H144" i="1"/>
  <c r="F144" i="1"/>
  <c r="E144" i="1"/>
  <c r="D144" i="1"/>
  <c r="B144" i="1"/>
  <c r="V143" i="1"/>
  <c r="U143" i="1"/>
  <c r="T143" i="1"/>
  <c r="S143" i="1"/>
  <c r="R143" i="1"/>
  <c r="K146" i="1" s="1"/>
  <c r="Q143" i="1"/>
  <c r="K143" i="1"/>
  <c r="J143" i="1"/>
  <c r="I143" i="1"/>
  <c r="H143" i="1"/>
  <c r="F143" i="1"/>
  <c r="E143" i="1"/>
  <c r="D143" i="1"/>
  <c r="B143" i="1"/>
  <c r="K142" i="1"/>
  <c r="J142" i="1"/>
  <c r="I142" i="1"/>
  <c r="H142" i="1"/>
  <c r="F142" i="1"/>
  <c r="K141" i="1"/>
  <c r="J141" i="1"/>
  <c r="I141" i="1"/>
  <c r="H141" i="1"/>
  <c r="F141" i="1"/>
  <c r="K140" i="1"/>
  <c r="J140" i="1"/>
  <c r="I140" i="1"/>
  <c r="H140" i="1"/>
  <c r="F140" i="1"/>
  <c r="C139" i="1"/>
  <c r="V138" i="1"/>
  <c r="U138" i="1"/>
  <c r="T138" i="1"/>
  <c r="S138" i="1"/>
  <c r="I147" i="1" s="1"/>
  <c r="R138" i="1"/>
  <c r="Q138" i="1"/>
  <c r="E138" i="1"/>
  <c r="D138" i="1"/>
  <c r="B138" i="1"/>
  <c r="J135" i="1"/>
  <c r="H135" i="1"/>
  <c r="I133" i="1"/>
  <c r="H133" i="1"/>
  <c r="E133" i="1"/>
  <c r="K132" i="1"/>
  <c r="J132" i="1"/>
  <c r="E132" i="1"/>
  <c r="J131" i="1"/>
  <c r="E131" i="1"/>
  <c r="V130" i="1"/>
  <c r="U130" i="1"/>
  <c r="T130" i="1"/>
  <c r="S130" i="1"/>
  <c r="R130" i="1"/>
  <c r="K131" i="1" s="1"/>
  <c r="Q130" i="1"/>
  <c r="K130" i="1"/>
  <c r="J130" i="1"/>
  <c r="I130" i="1"/>
  <c r="H130" i="1"/>
  <c r="F130" i="1"/>
  <c r="E130" i="1"/>
  <c r="D130" i="1"/>
  <c r="B130" i="1"/>
  <c r="K129" i="1"/>
  <c r="J129" i="1"/>
  <c r="I129" i="1"/>
  <c r="H129" i="1"/>
  <c r="F129" i="1"/>
  <c r="K128" i="1"/>
  <c r="J128" i="1"/>
  <c r="I128" i="1"/>
  <c r="H128" i="1"/>
  <c r="F128" i="1"/>
  <c r="K127" i="1"/>
  <c r="J127" i="1"/>
  <c r="I127" i="1"/>
  <c r="H127" i="1"/>
  <c r="F127" i="1"/>
  <c r="K126" i="1"/>
  <c r="J126" i="1"/>
  <c r="I126" i="1"/>
  <c r="H126" i="1"/>
  <c r="F126" i="1"/>
  <c r="C125" i="1"/>
  <c r="V124" i="1"/>
  <c r="U124" i="1"/>
  <c r="T124" i="1"/>
  <c r="S124" i="1"/>
  <c r="R124" i="1"/>
  <c r="Q124" i="1"/>
  <c r="E124" i="1"/>
  <c r="D124" i="1"/>
  <c r="B124" i="1"/>
  <c r="A123" i="1"/>
  <c r="J121" i="1"/>
  <c r="I121" i="1"/>
  <c r="J120" i="1"/>
  <c r="I120" i="1"/>
  <c r="J119" i="1"/>
  <c r="H119" i="1"/>
  <c r="A119" i="1"/>
  <c r="A117" i="1"/>
  <c r="J115" i="1"/>
  <c r="I115" i="1"/>
  <c r="J114" i="1"/>
  <c r="I114" i="1"/>
  <c r="A113" i="1"/>
  <c r="J109" i="1"/>
  <c r="H109" i="1"/>
  <c r="I107" i="1"/>
  <c r="H107" i="1"/>
  <c r="E107" i="1"/>
  <c r="J106" i="1"/>
  <c r="E106" i="1"/>
  <c r="J105" i="1"/>
  <c r="E105" i="1"/>
  <c r="K104" i="1"/>
  <c r="J104" i="1"/>
  <c r="I104" i="1"/>
  <c r="H104" i="1"/>
  <c r="F104" i="1"/>
  <c r="K103" i="1"/>
  <c r="J103" i="1"/>
  <c r="I103" i="1"/>
  <c r="H103" i="1"/>
  <c r="F103" i="1"/>
  <c r="V102" i="1"/>
  <c r="U102" i="1"/>
  <c r="T102" i="1"/>
  <c r="K106" i="1" s="1"/>
  <c r="S102" i="1"/>
  <c r="I106" i="1" s="1"/>
  <c r="H108" i="1" s="1"/>
  <c r="R102" i="1"/>
  <c r="K105" i="1" s="1"/>
  <c r="Q102" i="1"/>
  <c r="I105" i="1" s="1"/>
  <c r="E102" i="1"/>
  <c r="D102" i="1"/>
  <c r="B102" i="1"/>
  <c r="J99" i="1"/>
  <c r="H99" i="1"/>
  <c r="I97" i="1"/>
  <c r="H97" i="1"/>
  <c r="E97" i="1"/>
  <c r="K96" i="1"/>
  <c r="J96" i="1"/>
  <c r="I96" i="1"/>
  <c r="E96" i="1"/>
  <c r="J95" i="1"/>
  <c r="E95" i="1"/>
  <c r="K94" i="1"/>
  <c r="J94" i="1"/>
  <c r="I94" i="1"/>
  <c r="H94" i="1"/>
  <c r="F94" i="1"/>
  <c r="V93" i="1"/>
  <c r="U93" i="1"/>
  <c r="T93" i="1"/>
  <c r="S93" i="1"/>
  <c r="R93" i="1"/>
  <c r="K95" i="1" s="1"/>
  <c r="J98" i="1" s="1"/>
  <c r="Q93" i="1"/>
  <c r="I95" i="1" s="1"/>
  <c r="E93" i="1"/>
  <c r="D93" i="1"/>
  <c r="B93" i="1"/>
  <c r="J90" i="1"/>
  <c r="H90" i="1"/>
  <c r="I88" i="1"/>
  <c r="H88" i="1"/>
  <c r="E88" i="1"/>
  <c r="J87" i="1"/>
  <c r="E87" i="1"/>
  <c r="J86" i="1"/>
  <c r="I86" i="1"/>
  <c r="E86" i="1"/>
  <c r="K85" i="1"/>
  <c r="J85" i="1"/>
  <c r="I85" i="1"/>
  <c r="H85" i="1"/>
  <c r="F85" i="1"/>
  <c r="V84" i="1"/>
  <c r="U84" i="1"/>
  <c r="T84" i="1"/>
  <c r="K87" i="1" s="1"/>
  <c r="S84" i="1"/>
  <c r="I87" i="1" s="1"/>
  <c r="R84" i="1"/>
  <c r="K86" i="1" s="1"/>
  <c r="Q84" i="1"/>
  <c r="E84" i="1"/>
  <c r="D84" i="1"/>
  <c r="B84" i="1"/>
  <c r="J81" i="1"/>
  <c r="H81" i="1"/>
  <c r="I79" i="1"/>
  <c r="H79" i="1"/>
  <c r="E79" i="1"/>
  <c r="J78" i="1"/>
  <c r="E78" i="1"/>
  <c r="J77" i="1"/>
  <c r="E77" i="1"/>
  <c r="K76" i="1"/>
  <c r="P82" i="1" s="1"/>
  <c r="J76" i="1"/>
  <c r="I76" i="1"/>
  <c r="H76" i="1"/>
  <c r="F76" i="1"/>
  <c r="C75" i="1"/>
  <c r="V74" i="1"/>
  <c r="U74" i="1"/>
  <c r="T74" i="1"/>
  <c r="K78" i="1" s="1"/>
  <c r="S74" i="1"/>
  <c r="I78" i="1" s="1"/>
  <c r="R74" i="1"/>
  <c r="K77" i="1" s="1"/>
  <c r="Q74" i="1"/>
  <c r="I77" i="1" s="1"/>
  <c r="E74" i="1"/>
  <c r="D74" i="1"/>
  <c r="B74" i="1"/>
  <c r="A73" i="1"/>
  <c r="A71" i="1"/>
  <c r="J69" i="1"/>
  <c r="I69" i="1"/>
  <c r="J68" i="1"/>
  <c r="I68" i="1"/>
  <c r="A67" i="1"/>
  <c r="J63" i="1"/>
  <c r="H63" i="1"/>
  <c r="I61" i="1"/>
  <c r="H61" i="1"/>
  <c r="E61" i="1"/>
  <c r="J60" i="1"/>
  <c r="E60" i="1"/>
  <c r="J59" i="1"/>
  <c r="E59" i="1"/>
  <c r="V58" i="1"/>
  <c r="U58" i="1"/>
  <c r="T58" i="1"/>
  <c r="S58" i="1"/>
  <c r="R58" i="1"/>
  <c r="Q58" i="1"/>
  <c r="K58" i="1"/>
  <c r="J58" i="1"/>
  <c r="I58" i="1"/>
  <c r="H58" i="1"/>
  <c r="F58" i="1"/>
  <c r="E58" i="1"/>
  <c r="D58" i="1"/>
  <c r="B58" i="1"/>
  <c r="K57" i="1"/>
  <c r="J57" i="1"/>
  <c r="I57" i="1"/>
  <c r="H57" i="1"/>
  <c r="F57" i="1"/>
  <c r="K56" i="1"/>
  <c r="J56" i="1"/>
  <c r="I56" i="1"/>
  <c r="H56" i="1"/>
  <c r="F56" i="1"/>
  <c r="K55" i="1"/>
  <c r="J55" i="1"/>
  <c r="I55" i="1"/>
  <c r="H55" i="1"/>
  <c r="F55" i="1"/>
  <c r="K54" i="1"/>
  <c r="J54" i="1"/>
  <c r="I54" i="1"/>
  <c r="H54" i="1"/>
  <c r="F54" i="1"/>
  <c r="C53" i="1"/>
  <c r="V52" i="1"/>
  <c r="U52" i="1"/>
  <c r="T52" i="1"/>
  <c r="S52" i="1"/>
  <c r="I60" i="1" s="1"/>
  <c r="R52" i="1"/>
  <c r="Q52" i="1"/>
  <c r="E52" i="1"/>
  <c r="D52" i="1"/>
  <c r="B52" i="1"/>
  <c r="K49" i="1"/>
  <c r="P50" i="1" s="1"/>
  <c r="J49" i="1"/>
  <c r="I49" i="1"/>
  <c r="O50" i="1" s="1"/>
  <c r="H49" i="1"/>
  <c r="F49" i="1"/>
  <c r="V48" i="1"/>
  <c r="U48" i="1"/>
  <c r="T48" i="1"/>
  <c r="S48" i="1"/>
  <c r="R48" i="1"/>
  <c r="Q48" i="1"/>
  <c r="E48" i="1"/>
  <c r="D48" i="1"/>
  <c r="B48" i="1"/>
  <c r="J45" i="1"/>
  <c r="H45" i="1"/>
  <c r="I43" i="1"/>
  <c r="H43" i="1"/>
  <c r="E43" i="1"/>
  <c r="J42" i="1"/>
  <c r="E42" i="1"/>
  <c r="J41" i="1"/>
  <c r="E41" i="1"/>
  <c r="K40" i="1"/>
  <c r="J40" i="1"/>
  <c r="I40" i="1"/>
  <c r="H40" i="1"/>
  <c r="F40" i="1"/>
  <c r="K39" i="1"/>
  <c r="J39" i="1"/>
  <c r="I39" i="1"/>
  <c r="H39" i="1"/>
  <c r="F39" i="1"/>
  <c r="K38" i="1"/>
  <c r="J38" i="1"/>
  <c r="I38" i="1"/>
  <c r="H38" i="1"/>
  <c r="F38" i="1"/>
  <c r="K37" i="1"/>
  <c r="J37" i="1"/>
  <c r="I37" i="1"/>
  <c r="H37" i="1"/>
  <c r="F37" i="1"/>
  <c r="C36" i="1"/>
  <c r="V35" i="1"/>
  <c r="U35" i="1"/>
  <c r="T35" i="1"/>
  <c r="K42" i="1" s="1"/>
  <c r="S35" i="1"/>
  <c r="I42" i="1" s="1"/>
  <c r="R35" i="1"/>
  <c r="K41" i="1" s="1"/>
  <c r="Q35" i="1"/>
  <c r="I41" i="1" s="1"/>
  <c r="E35" i="1"/>
  <c r="D35" i="1"/>
  <c r="B35" i="1"/>
  <c r="A34" i="1"/>
  <c r="J25" i="1"/>
  <c r="I25" i="1"/>
  <c r="I23" i="1"/>
  <c r="J22" i="1"/>
  <c r="I22" i="1"/>
  <c r="J21" i="1"/>
  <c r="I21" i="1"/>
  <c r="J20" i="1"/>
  <c r="I20" i="1"/>
  <c r="J19" i="1"/>
  <c r="J17" i="1" s="1"/>
  <c r="I19" i="1"/>
  <c r="J18" i="1"/>
  <c r="I18" i="1"/>
  <c r="I17" i="1" s="1"/>
  <c r="A14" i="1"/>
  <c r="J783" i="1" l="1"/>
  <c r="H227" i="1"/>
  <c r="J646" i="1"/>
  <c r="P670" i="1"/>
  <c r="P875" i="1"/>
  <c r="J875" i="1"/>
  <c r="P959" i="1"/>
  <c r="K1125" i="1"/>
  <c r="O1532" i="1"/>
  <c r="H1532" i="1"/>
  <c r="P1569" i="1"/>
  <c r="J1569" i="1"/>
  <c r="J1676" i="1"/>
  <c r="P1676" i="1"/>
  <c r="H3495" i="1"/>
  <c r="O4344" i="1"/>
  <c r="H98" i="1"/>
  <c r="K281" i="1"/>
  <c r="K341" i="1"/>
  <c r="K387" i="1"/>
  <c r="I696" i="1"/>
  <c r="O701" i="1" s="1"/>
  <c r="H704" i="1" s="1"/>
  <c r="O1503" i="1"/>
  <c r="H1503" i="1"/>
  <c r="P1887" i="1"/>
  <c r="J1887" i="1"/>
  <c r="H612" i="1"/>
  <c r="I341" i="1"/>
  <c r="P136" i="1"/>
  <c r="P179" i="1"/>
  <c r="O239" i="1"/>
  <c r="O285" i="1"/>
  <c r="I388" i="1"/>
  <c r="H614" i="1"/>
  <c r="P1232" i="1"/>
  <c r="M1443" i="1"/>
  <c r="J846" i="1"/>
  <c r="H50" i="1"/>
  <c r="K189" i="1"/>
  <c r="J239" i="1"/>
  <c r="I266" i="1"/>
  <c r="I401" i="1"/>
  <c r="I415" i="1"/>
  <c r="K697" i="1"/>
  <c r="J878" i="1"/>
  <c r="I1108" i="1"/>
  <c r="J1361" i="1"/>
  <c r="O1525" i="1"/>
  <c r="H1525" i="1"/>
  <c r="O1694" i="1"/>
  <c r="H1694" i="1"/>
  <c r="O2955" i="1"/>
  <c r="H2955" i="1"/>
  <c r="H3001" i="1"/>
  <c r="O3102" i="1"/>
  <c r="H3102" i="1"/>
  <c r="J44" i="1"/>
  <c r="J50" i="1"/>
  <c r="J89" i="1"/>
  <c r="I369" i="1"/>
  <c r="H946" i="1"/>
  <c r="P1260" i="1"/>
  <c r="K1423" i="1"/>
  <c r="K1669" i="1"/>
  <c r="O2099" i="1"/>
  <c r="H2099" i="1"/>
  <c r="P3860" i="1"/>
  <c r="I536" i="1"/>
  <c r="J560" i="1"/>
  <c r="O1338" i="1"/>
  <c r="P1500" i="1"/>
  <c r="J1500" i="1"/>
  <c r="J508" i="1"/>
  <c r="I164" i="1"/>
  <c r="H225" i="1"/>
  <c r="K267" i="1"/>
  <c r="I370" i="1"/>
  <c r="K536" i="1"/>
  <c r="J566" i="1"/>
  <c r="O596" i="1"/>
  <c r="H599" i="1" s="1"/>
  <c r="H646" i="1"/>
  <c r="J699" i="1"/>
  <c r="P798" i="1"/>
  <c r="K806" i="1"/>
  <c r="H821" i="1"/>
  <c r="P1407" i="1"/>
  <c r="J1407" i="1"/>
  <c r="M1455" i="1"/>
  <c r="O1521" i="1"/>
  <c r="H1521" i="1"/>
  <c r="O1563" i="1"/>
  <c r="H1563" i="1"/>
  <c r="H1790" i="1"/>
  <c r="O1790" i="1"/>
  <c r="O614" i="1"/>
  <c r="H624" i="1"/>
  <c r="K715" i="1"/>
  <c r="I1030" i="1"/>
  <c r="O1035" i="1" s="1"/>
  <c r="O1074" i="1"/>
  <c r="H1275" i="1"/>
  <c r="O1593" i="1"/>
  <c r="K1602" i="1"/>
  <c r="J1605" i="1" s="1"/>
  <c r="I1624" i="1"/>
  <c r="I1911" i="1"/>
  <c r="P345" i="1"/>
  <c r="I163" i="1"/>
  <c r="I146" i="1"/>
  <c r="H1351" i="1"/>
  <c r="O1404" i="1"/>
  <c r="H1404" i="1"/>
  <c r="H1413" i="1"/>
  <c r="J1542" i="1"/>
  <c r="P1542" i="1"/>
  <c r="P1790" i="1"/>
  <c r="J1790" i="1"/>
  <c r="H2049" i="1"/>
  <c r="P299" i="1"/>
  <c r="I555" i="1"/>
  <c r="H596" i="1"/>
  <c r="K716" i="1"/>
  <c r="I781" i="1"/>
  <c r="H785" i="1" s="1"/>
  <c r="O1248" i="1"/>
  <c r="O1517" i="1"/>
  <c r="H1517" i="1"/>
  <c r="O1712" i="1"/>
  <c r="I1723" i="1"/>
  <c r="I2031" i="1"/>
  <c r="P2905" i="1"/>
  <c r="J2905" i="1"/>
  <c r="K829" i="1"/>
  <c r="I59" i="1"/>
  <c r="O64" i="1" s="1"/>
  <c r="P100" i="1"/>
  <c r="I131" i="1"/>
  <c r="O136" i="1" s="1"/>
  <c r="I402" i="1"/>
  <c r="I492" i="1"/>
  <c r="O496" i="1" s="1"/>
  <c r="H563" i="1"/>
  <c r="H957" i="1"/>
  <c r="J1072" i="1"/>
  <c r="H1338" i="1"/>
  <c r="P1453" i="1"/>
  <c r="J1453" i="1"/>
  <c r="K1897" i="1"/>
  <c r="P1902" i="1" s="1"/>
  <c r="P3124" i="1"/>
  <c r="J3130" i="1" s="1"/>
  <c r="J3629" i="1"/>
  <c r="K3950" i="1"/>
  <c r="J785" i="1"/>
  <c r="H91" i="1"/>
  <c r="I174" i="1"/>
  <c r="K190" i="1"/>
  <c r="J194" i="1" s="1"/>
  <c r="H285" i="1"/>
  <c r="I294" i="1"/>
  <c r="O299" i="1" s="1"/>
  <c r="K323" i="1"/>
  <c r="K402" i="1"/>
  <c r="I426" i="1"/>
  <c r="H431" i="1" s="1"/>
  <c r="P508" i="1"/>
  <c r="K517" i="1"/>
  <c r="J520" i="1" s="1"/>
  <c r="I556" i="1"/>
  <c r="I753" i="1"/>
  <c r="H758" i="1" s="1"/>
  <c r="H1098" i="1"/>
  <c r="I1215" i="1"/>
  <c r="P1575" i="1"/>
  <c r="J1575" i="1"/>
  <c r="J1763" i="1"/>
  <c r="O1940" i="1"/>
  <c r="K164" i="1"/>
  <c r="I267" i="1"/>
  <c r="H205" i="1"/>
  <c r="I132" i="1"/>
  <c r="K174" i="1"/>
  <c r="J179" i="1" s="1"/>
  <c r="K464" i="1"/>
  <c r="K556" i="1"/>
  <c r="J558" i="1" s="1"/>
  <c r="K753" i="1"/>
  <c r="P758" i="1" s="1"/>
  <c r="I818" i="1"/>
  <c r="O823" i="1" s="1"/>
  <c r="O946" i="1"/>
  <c r="H995" i="1"/>
  <c r="I1146" i="1"/>
  <c r="O1151" i="1" s="1"/>
  <c r="K1215" i="1"/>
  <c r="I1377" i="1"/>
  <c r="H1380" i="1" s="1"/>
  <c r="O1391" i="1"/>
  <c r="O1401" i="1"/>
  <c r="H1401" i="1"/>
  <c r="H1805" i="1"/>
  <c r="H4358" i="1"/>
  <c r="H44" i="1"/>
  <c r="I189" i="1"/>
  <c r="H192" i="1" s="1"/>
  <c r="K59" i="1"/>
  <c r="H203" i="1"/>
  <c r="I295" i="1"/>
  <c r="I427" i="1"/>
  <c r="K591" i="1"/>
  <c r="J596" i="1" s="1"/>
  <c r="P785" i="1"/>
  <c r="O1529" i="1"/>
  <c r="J3617" i="1"/>
  <c r="K942" i="1"/>
  <c r="J944" i="1" s="1"/>
  <c r="K369" i="1"/>
  <c r="J372" i="1" s="1"/>
  <c r="O100" i="1"/>
  <c r="J225" i="1"/>
  <c r="K60" i="1"/>
  <c r="O110" i="1"/>
  <c r="K175" i="1"/>
  <c r="K427" i="1"/>
  <c r="K754" i="1"/>
  <c r="I819" i="1"/>
  <c r="J1260" i="1"/>
  <c r="P1385" i="1"/>
  <c r="J1385" i="1"/>
  <c r="J1437" i="1"/>
  <c r="J2168" i="1"/>
  <c r="P2168" i="1"/>
  <c r="P205" i="1"/>
  <c r="H681" i="1"/>
  <c r="J910" i="1"/>
  <c r="O965" i="1"/>
  <c r="H965" i="1"/>
  <c r="J1020" i="1"/>
  <c r="J1434" i="1"/>
  <c r="P1513" i="1"/>
  <c r="J1513" i="1"/>
  <c r="J1563" i="1"/>
  <c r="O1715" i="1"/>
  <c r="H1715" i="1"/>
  <c r="I1847" i="1"/>
  <c r="H2936" i="1"/>
  <c r="J1049" i="1"/>
  <c r="O2838" i="1"/>
  <c r="P3495" i="1"/>
  <c r="J668" i="1"/>
  <c r="J91" i="1"/>
  <c r="I340" i="1"/>
  <c r="K388" i="1"/>
  <c r="P419" i="1"/>
  <c r="P648" i="1"/>
  <c r="P910" i="1"/>
  <c r="K1124" i="1"/>
  <c r="J1127" i="1" s="1"/>
  <c r="M1502" i="1"/>
  <c r="P1510" i="1"/>
  <c r="J1510" i="1"/>
  <c r="M1534" i="1"/>
  <c r="P1890" i="1"/>
  <c r="J1890" i="1"/>
  <c r="O2164" i="1"/>
  <c r="H2164" i="1"/>
  <c r="O2341" i="1"/>
  <c r="K2323" i="1"/>
  <c r="O2451" i="1"/>
  <c r="H2454" i="1" s="1"/>
  <c r="P2951" i="1"/>
  <c r="I3392" i="1"/>
  <c r="J3658" i="1"/>
  <c r="P4059" i="1"/>
  <c r="O4443" i="1"/>
  <c r="O4447" i="1"/>
  <c r="J4492" i="1"/>
  <c r="J5080" i="1"/>
  <c r="J995" i="1"/>
  <c r="H993" i="1"/>
  <c r="H1007" i="1"/>
  <c r="J1047" i="1"/>
  <c r="K1146" i="1"/>
  <c r="H1219" i="1"/>
  <c r="J1230" i="1"/>
  <c r="O1361" i="1"/>
  <c r="K1377" i="1"/>
  <c r="J1382" i="1" s="1"/>
  <c r="H1388" i="1"/>
  <c r="K1603" i="1"/>
  <c r="I1640" i="1"/>
  <c r="I1654" i="1"/>
  <c r="P1703" i="1"/>
  <c r="H1793" i="1"/>
  <c r="H1851" i="1"/>
  <c r="K1898" i="1"/>
  <c r="J1900" i="1" s="1"/>
  <c r="I1912" i="1"/>
  <c r="O1916" i="1" s="1"/>
  <c r="J2062" i="1"/>
  <c r="J2096" i="1"/>
  <c r="I2215" i="1"/>
  <c r="H2341" i="1"/>
  <c r="K2970" i="1"/>
  <c r="K3065" i="1"/>
  <c r="K3154" i="1"/>
  <c r="K3290" i="1"/>
  <c r="J3295" i="1" s="1"/>
  <c r="K3340" i="1"/>
  <c r="H3573" i="1"/>
  <c r="I3837" i="1"/>
  <c r="I3869" i="1"/>
  <c r="P3954" i="1"/>
  <c r="H4073" i="1"/>
  <c r="K4097" i="1"/>
  <c r="P4179" i="1"/>
  <c r="I4235" i="1"/>
  <c r="K4314" i="1"/>
  <c r="P4318" i="1" s="1"/>
  <c r="I4371" i="1"/>
  <c r="K4461" i="1"/>
  <c r="K4610" i="1"/>
  <c r="K4670" i="1"/>
  <c r="K4741" i="1"/>
  <c r="P4745" i="1" s="1"/>
  <c r="I4759" i="1"/>
  <c r="H4761" i="1" s="1"/>
  <c r="H5077" i="1"/>
  <c r="H5106" i="1"/>
  <c r="H959" i="1"/>
  <c r="I1124" i="1"/>
  <c r="J1232" i="1"/>
  <c r="J1290" i="1"/>
  <c r="P1302" i="1"/>
  <c r="M1393" i="1"/>
  <c r="H1426" i="1"/>
  <c r="M1496" i="1"/>
  <c r="M1515" i="1"/>
  <c r="J1545" i="1"/>
  <c r="J1548" i="1"/>
  <c r="J1551" i="1"/>
  <c r="J1554" i="1"/>
  <c r="I1986" i="1"/>
  <c r="O2062" i="1"/>
  <c r="O2083" i="1"/>
  <c r="H2395" i="1"/>
  <c r="O2805" i="1"/>
  <c r="I2971" i="1"/>
  <c r="I3021" i="1"/>
  <c r="P3051" i="1"/>
  <c r="P3186" i="1"/>
  <c r="J3184" i="1"/>
  <c r="I3291" i="1"/>
  <c r="O3295" i="1" s="1"/>
  <c r="I3356" i="1"/>
  <c r="K3391" i="1"/>
  <c r="J3394" i="1" s="1"/>
  <c r="I3520" i="1"/>
  <c r="H3524" i="1" s="1"/>
  <c r="J3573" i="1"/>
  <c r="K3711" i="1"/>
  <c r="I3891" i="1"/>
  <c r="H3894" i="1" s="1"/>
  <c r="I4043" i="1"/>
  <c r="I4098" i="1"/>
  <c r="P4198" i="1"/>
  <c r="I4206" i="1"/>
  <c r="K4235" i="1"/>
  <c r="O4284" i="1"/>
  <c r="J4328" i="1"/>
  <c r="K4353" i="1"/>
  <c r="J4358" i="1" s="1"/>
  <c r="K4371" i="1"/>
  <c r="J4376" i="1" s="1"/>
  <c r="P4443" i="1"/>
  <c r="I4547" i="1"/>
  <c r="O4552" i="1" s="1"/>
  <c r="I4611" i="1"/>
  <c r="I4658" i="1"/>
  <c r="I4671" i="1"/>
  <c r="H4673" i="1" s="1"/>
  <c r="K4685" i="1"/>
  <c r="P4689" i="1" s="1"/>
  <c r="K4830" i="1"/>
  <c r="H5032" i="1"/>
  <c r="J5077" i="1"/>
  <c r="I2045" i="1"/>
  <c r="J2341" i="1"/>
  <c r="J2395" i="1"/>
  <c r="K2418" i="1"/>
  <c r="I2470" i="1"/>
  <c r="H2855" i="1"/>
  <c r="H2886" i="1"/>
  <c r="K3021" i="1"/>
  <c r="I3340" i="1"/>
  <c r="H3541" i="1"/>
  <c r="I3712" i="1"/>
  <c r="O3789" i="1"/>
  <c r="P3896" i="1"/>
  <c r="J3908" i="1"/>
  <c r="H4057" i="1"/>
  <c r="I4083" i="1"/>
  <c r="I4372" i="1"/>
  <c r="O4429" i="1"/>
  <c r="K4611" i="1"/>
  <c r="J4615" i="1" s="1"/>
  <c r="K4658" i="1"/>
  <c r="I4831" i="1"/>
  <c r="K4939" i="1"/>
  <c r="H5074" i="1"/>
  <c r="O959" i="1"/>
  <c r="I980" i="1"/>
  <c r="P1087" i="1"/>
  <c r="I1201" i="1"/>
  <c r="O1206" i="1" s="1"/>
  <c r="M1490" i="1"/>
  <c r="M1512" i="1"/>
  <c r="H1578" i="1"/>
  <c r="H1593" i="1"/>
  <c r="K1641" i="1"/>
  <c r="K1655" i="1"/>
  <c r="H2172" i="1"/>
  <c r="P2176" i="1"/>
  <c r="J2247" i="1"/>
  <c r="J2267" i="1"/>
  <c r="J2287" i="1"/>
  <c r="H2923" i="1"/>
  <c r="I3357" i="1"/>
  <c r="I3474" i="1"/>
  <c r="K3506" i="1"/>
  <c r="P3511" i="1" s="1"/>
  <c r="K3712" i="1"/>
  <c r="J3716" i="1" s="1"/>
  <c r="H3826" i="1"/>
  <c r="I3855" i="1"/>
  <c r="O3860" i="1" s="1"/>
  <c r="K3969" i="1"/>
  <c r="J3971" i="1" s="1"/>
  <c r="K4083" i="1"/>
  <c r="K4157" i="1"/>
  <c r="I4265" i="1"/>
  <c r="O4270" i="1" s="1"/>
  <c r="K4294" i="1"/>
  <c r="J4299" i="1" s="1"/>
  <c r="H4344" i="1"/>
  <c r="H4413" i="1"/>
  <c r="O4466" i="1"/>
  <c r="I4487" i="1"/>
  <c r="I4521" i="1"/>
  <c r="K4561" i="1"/>
  <c r="I4599" i="1"/>
  <c r="K4624" i="1"/>
  <c r="I4684" i="1"/>
  <c r="I4800" i="1"/>
  <c r="O4805" i="1" s="1"/>
  <c r="I4940" i="1"/>
  <c r="H4967" i="1"/>
  <c r="K5066" i="1"/>
  <c r="J5071" i="1" s="1"/>
  <c r="P5108" i="1"/>
  <c r="J5114" i="1" s="1"/>
  <c r="P921" i="1"/>
  <c r="K1201" i="1"/>
  <c r="P1338" i="1"/>
  <c r="M1390" i="1"/>
  <c r="M1464" i="1"/>
  <c r="M1487" i="1"/>
  <c r="J2083" i="1"/>
  <c r="P2855" i="1"/>
  <c r="H3175" i="1"/>
  <c r="I3373" i="1"/>
  <c r="O3378" i="1" s="1"/>
  <c r="I3490" i="1"/>
  <c r="O3495" i="1" s="1"/>
  <c r="K3566" i="1"/>
  <c r="K3855" i="1"/>
  <c r="K3892" i="1"/>
  <c r="I3949" i="1"/>
  <c r="I4008" i="1"/>
  <c r="K4219" i="1"/>
  <c r="K4253" i="1"/>
  <c r="I4295" i="1"/>
  <c r="K4487" i="1"/>
  <c r="J4490" i="1" s="1"/>
  <c r="I4562" i="1"/>
  <c r="I4625" i="1"/>
  <c r="K4800" i="1"/>
  <c r="P4899" i="1"/>
  <c r="K4940" i="1"/>
  <c r="P4944" i="1" s="1"/>
  <c r="J4947" i="1" s="1"/>
  <c r="K5005" i="1"/>
  <c r="J3293" i="1"/>
  <c r="H3920" i="1"/>
  <c r="J3952" i="1"/>
  <c r="J4177" i="1"/>
  <c r="I806" i="1"/>
  <c r="H810" i="1" s="1"/>
  <c r="I1017" i="1"/>
  <c r="O1022" i="1" s="1"/>
  <c r="J1035" i="1"/>
  <c r="K1202" i="1"/>
  <c r="J1243" i="1"/>
  <c r="I1378" i="1"/>
  <c r="K1640" i="1"/>
  <c r="H1808" i="1"/>
  <c r="H2638" i="1"/>
  <c r="I3374" i="1"/>
  <c r="K3392" i="1"/>
  <c r="P3447" i="1"/>
  <c r="K3742" i="1"/>
  <c r="P3747" i="1" s="1"/>
  <c r="K3856" i="1"/>
  <c r="K3931" i="1"/>
  <c r="I3950" i="1"/>
  <c r="K4175" i="1"/>
  <c r="J4393" i="1"/>
  <c r="K4425" i="1"/>
  <c r="J4443" i="1"/>
  <c r="O5032" i="1"/>
  <c r="H5035" i="1" s="1"/>
  <c r="J2487" i="1"/>
  <c r="J2638" i="1"/>
  <c r="O2738" i="1"/>
  <c r="P2788" i="1"/>
  <c r="O3038" i="1"/>
  <c r="K3474" i="1"/>
  <c r="O3595" i="1"/>
  <c r="P3698" i="1"/>
  <c r="O3841" i="1"/>
  <c r="J3920" i="1"/>
  <c r="O4721" i="1"/>
  <c r="I1018" i="1"/>
  <c r="K1082" i="1"/>
  <c r="J1085" i="1" s="1"/>
  <c r="H1884" i="1"/>
  <c r="J2573" i="1"/>
  <c r="H2601" i="1"/>
  <c r="K2621" i="1"/>
  <c r="I3308" i="1"/>
  <c r="O3313" i="1" s="1"/>
  <c r="P3538" i="1"/>
  <c r="O3617" i="1"/>
  <c r="K3743" i="1"/>
  <c r="K3932" i="1"/>
  <c r="I4054" i="1"/>
  <c r="I4097" i="1"/>
  <c r="O4210" i="1"/>
  <c r="J4282" i="1"/>
  <c r="H4464" i="1"/>
  <c r="O4675" i="1"/>
  <c r="I4740" i="1"/>
  <c r="I4815" i="1"/>
  <c r="H4820" i="1" s="1"/>
  <c r="H4853" i="1"/>
  <c r="O935" i="1"/>
  <c r="H1882" i="1"/>
  <c r="O1950" i="1"/>
  <c r="K1967" i="1"/>
  <c r="P2099" i="1"/>
  <c r="P2164" i="1"/>
  <c r="O2588" i="1"/>
  <c r="J2601" i="1"/>
  <c r="P2955" i="1"/>
  <c r="I3226" i="1"/>
  <c r="I3225" i="1"/>
  <c r="H3230" i="1" s="1"/>
  <c r="I3242" i="1"/>
  <c r="H3244" i="1" s="1"/>
  <c r="I3257" i="1"/>
  <c r="H3260" i="1" s="1"/>
  <c r="K3308" i="1"/>
  <c r="I3507" i="1"/>
  <c r="I3519" i="1"/>
  <c r="J3595" i="1"/>
  <c r="P3807" i="1"/>
  <c r="I3821" i="1"/>
  <c r="I3994" i="1"/>
  <c r="H3997" i="1" s="1"/>
  <c r="K4054" i="1"/>
  <c r="J4059" i="1" s="1"/>
  <c r="O4161" i="1"/>
  <c r="I4339" i="1"/>
  <c r="H4342" i="1" s="1"/>
  <c r="K4424" i="1"/>
  <c r="P4703" i="1"/>
  <c r="O4877" i="1"/>
  <c r="P1884" i="1"/>
  <c r="K2387" i="1"/>
  <c r="I2386" i="1"/>
  <c r="I2620" i="1"/>
  <c r="K2720" i="1"/>
  <c r="J2725" i="1" s="1"/>
  <c r="K2771" i="1"/>
  <c r="P2775" i="1" s="1"/>
  <c r="J2808" i="1" s="1"/>
  <c r="K3226" i="1"/>
  <c r="K3257" i="1"/>
  <c r="J3260" i="1" s="1"/>
  <c r="I3309" i="1"/>
  <c r="H3313" i="1" s="1"/>
  <c r="O3570" i="1"/>
  <c r="P3617" i="1"/>
  <c r="K3679" i="1"/>
  <c r="J3684" i="1" s="1"/>
  <c r="I3931" i="1"/>
  <c r="I3968" i="1"/>
  <c r="K3980" i="1"/>
  <c r="J3983" i="1" s="1"/>
  <c r="K4008" i="1"/>
  <c r="J4013" i="1" s="1"/>
  <c r="I4193" i="1"/>
  <c r="I4266" i="1"/>
  <c r="O4644" i="1"/>
  <c r="J4673" i="1"/>
  <c r="O4964" i="1"/>
  <c r="H4970" i="1" s="1"/>
  <c r="H5007" i="1"/>
  <c r="H1009" i="1"/>
  <c r="I1125" i="1"/>
  <c r="O1129" i="1" s="1"/>
  <c r="I1285" i="1"/>
  <c r="H1290" i="1" s="1"/>
  <c r="I2030" i="1"/>
  <c r="O2035" i="1" s="1"/>
  <c r="P2160" i="1"/>
  <c r="O2751" i="1"/>
  <c r="H3922" i="1"/>
  <c r="O4603" i="1"/>
  <c r="J4989" i="1"/>
  <c r="I767" i="1"/>
  <c r="I905" i="1"/>
  <c r="H935" i="1"/>
  <c r="K1147" i="1"/>
  <c r="K1214" i="1"/>
  <c r="J1219" i="1" s="1"/>
  <c r="K1285" i="1"/>
  <c r="P1290" i="1" s="1"/>
  <c r="M1412" i="1"/>
  <c r="I1423" i="1"/>
  <c r="O1428" i="1" s="1"/>
  <c r="H1466" i="1"/>
  <c r="J1529" i="1"/>
  <c r="K1589" i="1"/>
  <c r="K1623" i="1"/>
  <c r="J1626" i="1" s="1"/>
  <c r="J1712" i="1"/>
  <c r="K1846" i="1"/>
  <c r="P1851" i="1" s="1"/>
  <c r="K1861" i="1"/>
  <c r="H1938" i="1"/>
  <c r="I2323" i="1"/>
  <c r="O2328" i="1" s="1"/>
  <c r="P2341" i="1"/>
  <c r="H2551" i="1"/>
  <c r="J2701" i="1"/>
  <c r="H2738" i="1"/>
  <c r="P2801" i="1"/>
  <c r="I2820" i="1"/>
  <c r="O2888" i="1"/>
  <c r="J2951" i="1"/>
  <c r="H2999" i="1"/>
  <c r="H3005" i="1"/>
  <c r="K3208" i="1"/>
  <c r="J3211" i="1" s="1"/>
  <c r="I3324" i="1"/>
  <c r="H3477" i="1"/>
  <c r="K3520" i="1"/>
  <c r="P3524" i="1" s="1"/>
  <c r="P3570" i="1"/>
  <c r="P3658" i="1"/>
  <c r="K3757" i="1"/>
  <c r="J3761" i="1" s="1"/>
  <c r="K3822" i="1"/>
  <c r="J3894" i="1"/>
  <c r="K4068" i="1"/>
  <c r="J4071" i="1" s="1"/>
  <c r="I4326" i="1"/>
  <c r="K4340" i="1"/>
  <c r="J4344" i="1" s="1"/>
  <c r="K4462" i="1"/>
  <c r="J4603" i="1"/>
  <c r="K4639" i="1"/>
  <c r="O4763" i="1"/>
  <c r="H4805" i="1"/>
  <c r="K4918" i="1"/>
  <c r="J4921" i="1" s="1"/>
  <c r="J5111" i="1"/>
  <c r="K3064" i="1"/>
  <c r="O3435" i="1"/>
  <c r="H3698" i="1"/>
  <c r="J3759" i="1"/>
  <c r="H3773" i="1"/>
  <c r="I3784" i="1"/>
  <c r="H3787" i="1" s="1"/>
  <c r="I3836" i="1"/>
  <c r="J4198" i="1"/>
  <c r="J4564" i="1"/>
  <c r="J4627" i="1"/>
  <c r="M1406" i="1"/>
  <c r="M1471" i="1"/>
  <c r="I1603" i="1"/>
  <c r="H1607" i="1" s="1"/>
  <c r="K1847" i="1"/>
  <c r="I1860" i="1"/>
  <c r="K1911" i="1"/>
  <c r="P1916" i="1" s="1"/>
  <c r="H2196" i="1"/>
  <c r="I2571" i="1"/>
  <c r="H2573" i="1" s="1"/>
  <c r="J2738" i="1"/>
  <c r="J2899" i="1"/>
  <c r="P3038" i="1"/>
  <c r="K3209" i="1"/>
  <c r="I3475" i="1"/>
  <c r="J3605" i="1"/>
  <c r="O3747" i="1"/>
  <c r="K3802" i="1"/>
  <c r="J3805" i="1" s="1"/>
  <c r="P3841" i="1"/>
  <c r="K3836" i="1"/>
  <c r="J3841" i="1" s="1"/>
  <c r="K3904" i="1"/>
  <c r="P3908" i="1" s="1"/>
  <c r="I3980" i="1"/>
  <c r="I4174" i="1"/>
  <c r="I4405" i="1"/>
  <c r="P4492" i="1"/>
  <c r="K4580" i="1"/>
  <c r="P4584" i="1" s="1"/>
  <c r="J4701" i="1"/>
  <c r="K4716" i="1"/>
  <c r="I4782" i="1"/>
  <c r="O4835" i="1"/>
  <c r="K5027" i="1"/>
  <c r="P5032" i="1" s="1"/>
  <c r="J5035" i="1" s="1"/>
  <c r="I1968" i="1"/>
  <c r="H1970" i="1" s="1"/>
  <c r="H2081" i="1"/>
  <c r="J2196" i="1"/>
  <c r="J2309" i="1"/>
  <c r="O2801" i="1"/>
  <c r="H2838" i="1"/>
  <c r="O2901" i="1"/>
  <c r="P2938" i="1"/>
  <c r="O3172" i="1"/>
  <c r="P3295" i="1"/>
  <c r="P3435" i="1"/>
  <c r="J3495" i="1"/>
  <c r="O3555" i="1"/>
  <c r="H3629" i="1"/>
  <c r="J3637" i="1"/>
  <c r="J3698" i="1"/>
  <c r="I3803" i="1"/>
  <c r="H3805" i="1" s="1"/>
  <c r="I4117" i="1"/>
  <c r="O4121" i="1" s="1"/>
  <c r="I4254" i="1"/>
  <c r="O4258" i="1" s="1"/>
  <c r="H4302" i="1" s="1"/>
  <c r="I4390" i="1"/>
  <c r="H4393" i="1" s="1"/>
  <c r="J4476" i="1"/>
  <c r="I4522" i="1"/>
  <c r="H4536" i="1"/>
  <c r="H4687" i="1"/>
  <c r="I4717" i="1"/>
  <c r="K4782" i="1"/>
  <c r="P4787" i="1" s="1"/>
  <c r="I4816" i="1"/>
  <c r="K4960" i="1"/>
  <c r="H1087" i="1"/>
  <c r="I1187" i="1"/>
  <c r="H1189" i="1" s="1"/>
  <c r="J1336" i="1"/>
  <c r="M1400" i="1"/>
  <c r="M1452" i="1"/>
  <c r="I1641" i="1"/>
  <c r="H1643" i="1" s="1"/>
  <c r="K1668" i="1"/>
  <c r="J1673" i="1" s="1"/>
  <c r="H1763" i="1"/>
  <c r="P2121" i="1"/>
  <c r="K2151" i="1"/>
  <c r="H2501" i="1"/>
  <c r="I2871" i="1"/>
  <c r="I3341" i="1"/>
  <c r="I3506" i="1"/>
  <c r="I3653" i="1"/>
  <c r="O3698" i="1"/>
  <c r="I3730" i="1"/>
  <c r="H3733" i="1" s="1"/>
  <c r="K3785" i="1"/>
  <c r="K3803" i="1"/>
  <c r="I3903" i="1"/>
  <c r="O3908" i="1" s="1"/>
  <c r="K4117" i="1"/>
  <c r="K4156" i="1"/>
  <c r="K4254" i="1"/>
  <c r="J4356" i="1"/>
  <c r="P4376" i="1"/>
  <c r="P4395" i="1"/>
  <c r="J4408" i="1"/>
  <c r="K4503" i="1"/>
  <c r="P4507" i="1" s="1"/>
  <c r="K4522" i="1"/>
  <c r="I4579" i="1"/>
  <c r="H4582" i="1" s="1"/>
  <c r="K4717" i="1"/>
  <c r="K4816" i="1"/>
  <c r="J4818" i="1" s="1"/>
  <c r="O4887" i="1"/>
  <c r="I4959" i="1"/>
  <c r="H4964" i="1" s="1"/>
  <c r="P4989" i="1"/>
  <c r="J4992" i="1" s="1"/>
  <c r="I5004" i="1"/>
  <c r="P5083" i="1"/>
  <c r="I1031" i="1"/>
  <c r="I1082" i="1"/>
  <c r="O1087" i="1" s="1"/>
  <c r="J1248" i="1"/>
  <c r="H1314" i="1"/>
  <c r="M1468" i="1"/>
  <c r="I1724" i="1"/>
  <c r="O2096" i="1"/>
  <c r="H2102" i="1" s="1"/>
  <c r="I2152" i="1"/>
  <c r="H2156" i="1" s="1"/>
  <c r="J2402" i="1"/>
  <c r="P2487" i="1"/>
  <c r="K2496" i="1"/>
  <c r="J2499" i="1" s="1"/>
  <c r="H2673" i="1"/>
  <c r="J2801" i="1"/>
  <c r="J2838" i="1"/>
  <c r="I3533" i="1"/>
  <c r="K3565" i="1"/>
  <c r="J3627" i="1"/>
  <c r="K3730" i="1"/>
  <c r="J3733" i="1" s="1"/>
  <c r="K3917" i="1"/>
  <c r="H4429" i="1"/>
  <c r="H4492" i="1"/>
  <c r="I4561" i="1"/>
  <c r="H4566" i="1" s="1"/>
  <c r="I4624" i="1"/>
  <c r="H4627" i="1" s="1"/>
  <c r="K4783" i="1"/>
  <c r="K4851" i="1"/>
  <c r="K4959" i="1"/>
  <c r="J4964" i="1" s="1"/>
  <c r="H251" i="1"/>
  <c r="H249" i="1"/>
  <c r="O374" i="1"/>
  <c r="H374" i="1"/>
  <c r="J134" i="1"/>
  <c r="J136" i="1"/>
  <c r="J108" i="1"/>
  <c r="J166" i="1"/>
  <c r="O271" i="1"/>
  <c r="H194" i="1"/>
  <c r="J64" i="1"/>
  <c r="P406" i="1"/>
  <c r="H82" i="1"/>
  <c r="H80" i="1"/>
  <c r="O168" i="1"/>
  <c r="P239" i="1"/>
  <c r="J237" i="1"/>
  <c r="P251" i="1"/>
  <c r="H46" i="1"/>
  <c r="O151" i="1"/>
  <c r="O179" i="1"/>
  <c r="H177" i="1"/>
  <c r="H179" i="1"/>
  <c r="J297" i="1"/>
  <c r="J429" i="1"/>
  <c r="J431" i="1"/>
  <c r="H299" i="1"/>
  <c r="J82" i="1"/>
  <c r="J80" i="1"/>
  <c r="O392" i="1"/>
  <c r="P64" i="1"/>
  <c r="J62" i="1"/>
  <c r="P151" i="1"/>
  <c r="P110" i="1"/>
  <c r="H237" i="1"/>
  <c r="P328" i="1"/>
  <c r="O46" i="1"/>
  <c r="P168" i="1"/>
  <c r="O345" i="1"/>
  <c r="O251" i="1"/>
  <c r="P46" i="1"/>
  <c r="H62" i="1"/>
  <c r="O82" i="1"/>
  <c r="H326" i="1"/>
  <c r="H328" i="1"/>
  <c r="H419" i="1"/>
  <c r="P872" i="1"/>
  <c r="J872" i="1"/>
  <c r="J870" i="1"/>
  <c r="O921" i="1"/>
  <c r="H921" i="1"/>
  <c r="H1151" i="1"/>
  <c r="H1149" i="1"/>
  <c r="P1170" i="1"/>
  <c r="J1170" i="1"/>
  <c r="P91" i="1"/>
  <c r="J113" i="1" s="1"/>
  <c r="J177" i="1"/>
  <c r="O227" i="1"/>
  <c r="H541" i="1"/>
  <c r="J636" i="1"/>
  <c r="J634" i="1"/>
  <c r="H720" i="1"/>
  <c r="H908" i="1"/>
  <c r="O910" i="1"/>
  <c r="H910" i="1"/>
  <c r="H1110" i="1"/>
  <c r="J1151" i="1"/>
  <c r="P1151" i="1"/>
  <c r="P1645" i="1"/>
  <c r="J1645" i="1"/>
  <c r="J1643" i="1"/>
  <c r="J326" i="1"/>
  <c r="J192" i="1"/>
  <c r="O194" i="1"/>
  <c r="H239" i="1"/>
  <c r="H771" i="1"/>
  <c r="H769" i="1"/>
  <c r="O1245" i="1"/>
  <c r="H1245" i="1"/>
  <c r="H1243" i="1"/>
  <c r="J46" i="1"/>
  <c r="H64" i="1"/>
  <c r="P194" i="1"/>
  <c r="J249" i="1"/>
  <c r="O1062" i="1"/>
  <c r="O1167" i="1"/>
  <c r="H1167" i="1"/>
  <c r="H134" i="1"/>
  <c r="K308" i="1"/>
  <c r="J311" i="1" s="1"/>
  <c r="J343" i="1"/>
  <c r="J345" i="1"/>
  <c r="J390" i="1"/>
  <c r="I478" i="1"/>
  <c r="H481" i="1" s="1"/>
  <c r="O508" i="1"/>
  <c r="H508" i="1"/>
  <c r="H506" i="1"/>
  <c r="H699" i="1"/>
  <c r="H919" i="1"/>
  <c r="K478" i="1"/>
  <c r="O731" i="1"/>
  <c r="H731" i="1"/>
  <c r="P745" i="1"/>
  <c r="O1277" i="1"/>
  <c r="H1361" i="1"/>
  <c r="H1359" i="1"/>
  <c r="O1607" i="1"/>
  <c r="J1916" i="1"/>
  <c r="O431" i="1"/>
  <c r="H494" i="1"/>
  <c r="J1022" i="1"/>
  <c r="O1112" i="1"/>
  <c r="J251" i="1"/>
  <c r="K479" i="1"/>
  <c r="J494" i="1"/>
  <c r="O522" i="1"/>
  <c r="H522" i="1"/>
  <c r="P731" i="1"/>
  <c r="I843" i="1"/>
  <c r="H846" i="1" s="1"/>
  <c r="H872" i="1"/>
  <c r="O1049" i="1"/>
  <c r="H1072" i="1"/>
  <c r="P1277" i="1"/>
  <c r="J1426" i="1"/>
  <c r="H136" i="1"/>
  <c r="H166" i="1"/>
  <c r="K370" i="1"/>
  <c r="P720" i="1"/>
  <c r="J720" i="1"/>
  <c r="H745" i="1"/>
  <c r="H743" i="1"/>
  <c r="O745" i="1"/>
  <c r="H834" i="1"/>
  <c r="H832" i="1"/>
  <c r="O984" i="1"/>
  <c r="P1098" i="1"/>
  <c r="P1112" i="1"/>
  <c r="O1164" i="1"/>
  <c r="P1694" i="1"/>
  <c r="J1694" i="1"/>
  <c r="H110" i="1"/>
  <c r="J203" i="1"/>
  <c r="I537" i="1"/>
  <c r="O541" i="1" s="1"/>
  <c r="H544" i="1" s="1"/>
  <c r="H636" i="1"/>
  <c r="H634" i="1"/>
  <c r="H701" i="1"/>
  <c r="J821" i="1"/>
  <c r="P834" i="1"/>
  <c r="J834" i="1"/>
  <c r="J832" i="1"/>
  <c r="J1591" i="1"/>
  <c r="O1673" i="1"/>
  <c r="P1808" i="1"/>
  <c r="J1808" i="1"/>
  <c r="J110" i="1"/>
  <c r="K537" i="1"/>
  <c r="J541" i="1" s="1"/>
  <c r="J539" i="1"/>
  <c r="J745" i="1"/>
  <c r="P984" i="1"/>
  <c r="P1062" i="1"/>
  <c r="P1164" i="1"/>
  <c r="J1164" i="1"/>
  <c r="J1162" i="1"/>
  <c r="J1204" i="1"/>
  <c r="H1605" i="1"/>
  <c r="O1628" i="1"/>
  <c r="H149" i="1"/>
  <c r="H271" i="1"/>
  <c r="H100" i="1"/>
  <c r="J149" i="1"/>
  <c r="I465" i="1"/>
  <c r="O469" i="1" s="1"/>
  <c r="J506" i="1"/>
  <c r="P636" i="1"/>
  <c r="O798" i="1"/>
  <c r="H857" i="1"/>
  <c r="H933" i="1"/>
  <c r="J1659" i="1"/>
  <c r="J1657" i="1"/>
  <c r="H1726" i="1"/>
  <c r="H1765" i="1"/>
  <c r="J100" i="1"/>
  <c r="H168" i="1"/>
  <c r="J254" i="1"/>
  <c r="J269" i="1"/>
  <c r="J283" i="1"/>
  <c r="H297" i="1"/>
  <c r="J419" i="1"/>
  <c r="K465" i="1"/>
  <c r="P469" i="1" s="1"/>
  <c r="H520" i="1"/>
  <c r="O626" i="1"/>
  <c r="O658" i="1"/>
  <c r="H1047" i="1"/>
  <c r="H1074" i="1"/>
  <c r="O1260" i="1"/>
  <c r="J168" i="1"/>
  <c r="J205" i="1"/>
  <c r="O328" i="1"/>
  <c r="H404" i="1"/>
  <c r="P431" i="1"/>
  <c r="O560" i="1"/>
  <c r="H575" i="1" s="1"/>
  <c r="H729" i="1"/>
  <c r="P771" i="1"/>
  <c r="J798" i="1"/>
  <c r="J857" i="1"/>
  <c r="P935" i="1"/>
  <c r="J933" i="1"/>
  <c r="K1005" i="1"/>
  <c r="J1007" i="1" s="1"/>
  <c r="H1062" i="1"/>
  <c r="I1228" i="1"/>
  <c r="H1230" i="1" s="1"/>
  <c r="J1726" i="1"/>
  <c r="H2422" i="1"/>
  <c r="H89" i="1"/>
  <c r="H151" i="1"/>
  <c r="H372" i="1"/>
  <c r="J417" i="1"/>
  <c r="P626" i="1"/>
  <c r="P658" i="1"/>
  <c r="J658" i="1"/>
  <c r="J656" i="1"/>
  <c r="H1022" i="1"/>
  <c r="P1074" i="1"/>
  <c r="K1588" i="1"/>
  <c r="J1593" i="1" s="1"/>
  <c r="O1659" i="1"/>
  <c r="O1865" i="1"/>
  <c r="O2688" i="1"/>
  <c r="H2688" i="1"/>
  <c r="H2686" i="1"/>
  <c r="J151" i="1"/>
  <c r="O205" i="1"/>
  <c r="J271" i="1"/>
  <c r="H283" i="1"/>
  <c r="J285" i="1"/>
  <c r="J328" i="1"/>
  <c r="J404" i="1"/>
  <c r="O445" i="1"/>
  <c r="H445" i="1"/>
  <c r="H443" i="1"/>
  <c r="P560" i="1"/>
  <c r="O648" i="1"/>
  <c r="H895" i="1"/>
  <c r="J1033" i="1"/>
  <c r="P1035" i="1"/>
  <c r="J1062" i="1"/>
  <c r="J1060" i="1"/>
  <c r="P1206" i="1"/>
  <c r="H1300" i="1"/>
  <c r="H496" i="1"/>
  <c r="J522" i="1"/>
  <c r="H539" i="1"/>
  <c r="P614" i="1"/>
  <c r="J614" i="1"/>
  <c r="J612" i="1"/>
  <c r="O771" i="1"/>
  <c r="H808" i="1"/>
  <c r="H1428" i="1"/>
  <c r="P1659" i="1"/>
  <c r="O1688" i="1"/>
  <c r="H1688" i="1"/>
  <c r="O91" i="1"/>
  <c r="P271" i="1"/>
  <c r="P285" i="1"/>
  <c r="H345" i="1"/>
  <c r="H343" i="1"/>
  <c r="H392" i="1"/>
  <c r="J406" i="1"/>
  <c r="H417" i="1"/>
  <c r="O419" i="1"/>
  <c r="P445" i="1"/>
  <c r="J445" i="1"/>
  <c r="J443" i="1"/>
  <c r="P522" i="1"/>
  <c r="O670" i="1"/>
  <c r="H668" i="1"/>
  <c r="J681" i="1"/>
  <c r="O720" i="1"/>
  <c r="H823" i="1"/>
  <c r="H870" i="1"/>
  <c r="J895" i="1"/>
  <c r="P897" i="1"/>
  <c r="J959" i="1"/>
  <c r="J957" i="1"/>
  <c r="O1098" i="1"/>
  <c r="H1096" i="1"/>
  <c r="P1245" i="1"/>
  <c r="J1300" i="1"/>
  <c r="J1380" i="1"/>
  <c r="P1382" i="1"/>
  <c r="H1626" i="1"/>
  <c r="O1902" i="1"/>
  <c r="J1902" i="1"/>
  <c r="H2121" i="1"/>
  <c r="H2119" i="1"/>
  <c r="I309" i="1"/>
  <c r="O313" i="1" s="1"/>
  <c r="J392" i="1"/>
  <c r="H406" i="1"/>
  <c r="O406" i="1"/>
  <c r="H429" i="1"/>
  <c r="H467" i="1"/>
  <c r="H469" i="1"/>
  <c r="J496" i="1"/>
  <c r="P541" i="1"/>
  <c r="J544" i="1" s="1"/>
  <c r="P563" i="1"/>
  <c r="J563" i="1"/>
  <c r="J718" i="1"/>
  <c r="P810" i="1"/>
  <c r="J810" i="1"/>
  <c r="J808" i="1"/>
  <c r="P848" i="1"/>
  <c r="J908" i="1"/>
  <c r="J921" i="1"/>
  <c r="J919" i="1"/>
  <c r="K930" i="1"/>
  <c r="J935" i="1" s="1"/>
  <c r="K1187" i="1"/>
  <c r="J1189" i="1" s="1"/>
  <c r="I1820" i="1"/>
  <c r="O1824" i="1" s="1"/>
  <c r="H683" i="1"/>
  <c r="H859" i="1"/>
  <c r="J946" i="1"/>
  <c r="O995" i="1"/>
  <c r="H1049" i="1"/>
  <c r="H1085" i="1"/>
  <c r="H1129" i="1"/>
  <c r="J1132" i="1"/>
  <c r="H1305" i="1"/>
  <c r="O1308" i="1"/>
  <c r="J1349" i="1"/>
  <c r="P1361" i="1"/>
  <c r="J1737" i="1"/>
  <c r="O1831" i="1"/>
  <c r="H1831" i="1"/>
  <c r="P1972" i="1"/>
  <c r="J1975" i="1" s="1"/>
  <c r="J1972" i="1"/>
  <c r="J1970" i="1"/>
  <c r="J683" i="1"/>
  <c r="J859" i="1"/>
  <c r="P995" i="1"/>
  <c r="O1219" i="1"/>
  <c r="P1308" i="1"/>
  <c r="H1849" i="1"/>
  <c r="H1863" i="1"/>
  <c r="H2047" i="1"/>
  <c r="O683" i="1"/>
  <c r="J701" i="1"/>
  <c r="H796" i="1"/>
  <c r="J823" i="1"/>
  <c r="O859" i="1"/>
  <c r="H897" i="1"/>
  <c r="P946" i="1"/>
  <c r="P1022" i="1"/>
  <c r="J1149" i="1"/>
  <c r="P1219" i="1"/>
  <c r="H1302" i="1"/>
  <c r="J1428" i="1"/>
  <c r="H1441" i="1"/>
  <c r="H1444" i="1"/>
  <c r="H1447" i="1"/>
  <c r="H1450" i="1"/>
  <c r="H1453" i="1"/>
  <c r="H1456" i="1"/>
  <c r="H1459" i="1"/>
  <c r="H1462" i="1"/>
  <c r="H1728" i="1"/>
  <c r="P1831" i="1"/>
  <c r="J1831" i="1"/>
  <c r="K1986" i="1"/>
  <c r="J1989" i="1" s="1"/>
  <c r="H2062" i="1"/>
  <c r="H2060" i="1"/>
  <c r="P2096" i="1"/>
  <c r="O2625" i="1"/>
  <c r="P2851" i="1"/>
  <c r="J2851" i="1"/>
  <c r="J2849" i="1"/>
  <c r="H594" i="1"/>
  <c r="P701" i="1"/>
  <c r="J704" i="1" s="1"/>
  <c r="P823" i="1"/>
  <c r="O897" i="1"/>
  <c r="H968" i="1" s="1"/>
  <c r="O1302" i="1"/>
  <c r="J1351" i="1"/>
  <c r="J1388" i="1"/>
  <c r="J1391" i="1"/>
  <c r="J1394" i="1"/>
  <c r="P1428" i="1"/>
  <c r="J1469" i="1"/>
  <c r="J1472" i="1"/>
  <c r="J1475" i="1"/>
  <c r="O1728" i="1"/>
  <c r="O1765" i="1"/>
  <c r="H1865" i="1"/>
  <c r="P1950" i="1"/>
  <c r="J1950" i="1"/>
  <c r="P2062" i="1"/>
  <c r="P2065" i="1"/>
  <c r="H2499" i="1"/>
  <c r="P2625" i="1"/>
  <c r="O2651" i="1"/>
  <c r="H2651" i="1"/>
  <c r="H2649" i="1"/>
  <c r="O4703" i="1"/>
  <c r="H4703" i="1"/>
  <c r="H4701" i="1"/>
  <c r="P4855" i="1"/>
  <c r="J4858" i="1" s="1"/>
  <c r="J4855" i="1"/>
  <c r="J4853" i="1"/>
  <c r="O810" i="1"/>
  <c r="H1060" i="1"/>
  <c r="J1087" i="1"/>
  <c r="O1351" i="1"/>
  <c r="J1398" i="1"/>
  <c r="J1479" i="1"/>
  <c r="H1628" i="1"/>
  <c r="P1728" i="1"/>
  <c r="O1827" i="1"/>
  <c r="H1827" i="1"/>
  <c r="H2096" i="1"/>
  <c r="H2094" i="1"/>
  <c r="P2134" i="1"/>
  <c r="J2132" i="1"/>
  <c r="J2134" i="1"/>
  <c r="I2305" i="1"/>
  <c r="O2309" i="1" s="1"/>
  <c r="O2422" i="1"/>
  <c r="H2420" i="1"/>
  <c r="H2588" i="1"/>
  <c r="H2586" i="1"/>
  <c r="P2688" i="1"/>
  <c r="I2771" i="1"/>
  <c r="O2775" i="1" s="1"/>
  <c r="H2808" i="1" s="1"/>
  <c r="J3051" i="1"/>
  <c r="H798" i="1"/>
  <c r="H982" i="1"/>
  <c r="J1628" i="1"/>
  <c r="O1851" i="1"/>
  <c r="H1902" i="1"/>
  <c r="H1900" i="1"/>
  <c r="H1950" i="1"/>
  <c r="H1948" i="1"/>
  <c r="H2389" i="1"/>
  <c r="J2406" i="1"/>
  <c r="P2651" i="1"/>
  <c r="O2851" i="1"/>
  <c r="H2851" i="1"/>
  <c r="H2849" i="1"/>
  <c r="P3025" i="1"/>
  <c r="J3025" i="1"/>
  <c r="J3244" i="1"/>
  <c r="P3246" i="1"/>
  <c r="J3246" i="1"/>
  <c r="H658" i="1"/>
  <c r="J982" i="1"/>
  <c r="J1074" i="1"/>
  <c r="H1822" i="1"/>
  <c r="P1827" i="1"/>
  <c r="J1827" i="1"/>
  <c r="J1938" i="1"/>
  <c r="J2094" i="1"/>
  <c r="H2307" i="1"/>
  <c r="P2309" i="1"/>
  <c r="O2525" i="1"/>
  <c r="H2525" i="1"/>
  <c r="H2523" i="1"/>
  <c r="H2549" i="1"/>
  <c r="H2725" i="1"/>
  <c r="O2825" i="1"/>
  <c r="H2858" i="1" s="1"/>
  <c r="H3023" i="1"/>
  <c r="P3159" i="1"/>
  <c r="J3157" i="1"/>
  <c r="H1204" i="1"/>
  <c r="J2047" i="1"/>
  <c r="P2049" i="1"/>
  <c r="O3092" i="1"/>
  <c r="H3109" i="1" s="1"/>
  <c r="H3090" i="1"/>
  <c r="P4538" i="1"/>
  <c r="J4538" i="1"/>
  <c r="J4536" i="1"/>
  <c r="H1657" i="1"/>
  <c r="P1824" i="1"/>
  <c r="J1824" i="1"/>
  <c r="I2009" i="1"/>
  <c r="O2014" i="1" s="1"/>
  <c r="H2017" i="1" s="1"/>
  <c r="J2623" i="1"/>
  <c r="H566" i="1"/>
  <c r="J569" i="1"/>
  <c r="H984" i="1"/>
  <c r="H1162" i="1"/>
  <c r="H1170" i="1"/>
  <c r="J1258" i="1"/>
  <c r="H1336" i="1"/>
  <c r="J1532" i="1"/>
  <c r="J1535" i="1"/>
  <c r="J1539" i="1"/>
  <c r="H1645" i="1"/>
  <c r="H1697" i="1"/>
  <c r="J1700" i="1"/>
  <c r="O1839" i="1"/>
  <c r="H1839" i="1"/>
  <c r="O2219" i="1"/>
  <c r="H2219" i="1"/>
  <c r="J2688" i="1"/>
  <c r="P3001" i="1"/>
  <c r="J3001" i="1"/>
  <c r="P1765" i="1"/>
  <c r="J1882" i="1"/>
  <c r="O2391" i="1"/>
  <c r="H2429" i="1" s="1"/>
  <c r="J2501" i="1"/>
  <c r="O2551" i="1"/>
  <c r="J2651" i="1"/>
  <c r="H560" i="1"/>
  <c r="J624" i="1"/>
  <c r="J670" i="1"/>
  <c r="J729" i="1"/>
  <c r="H756" i="1"/>
  <c r="J1110" i="1"/>
  <c r="H1206" i="1"/>
  <c r="J1245" i="1"/>
  <c r="J1275" i="1"/>
  <c r="H1671" i="1"/>
  <c r="P1839" i="1"/>
  <c r="J1839" i="1"/>
  <c r="K1860" i="1"/>
  <c r="P1865" i="1" s="1"/>
  <c r="P1940" i="1"/>
  <c r="J1940" i="1"/>
  <c r="P1991" i="1"/>
  <c r="J1994" i="1" s="1"/>
  <c r="K2010" i="1"/>
  <c r="P2014" i="1" s="1"/>
  <c r="J2017" i="1" s="1"/>
  <c r="O2121" i="1"/>
  <c r="K2417" i="1"/>
  <c r="J2422" i="1" s="1"/>
  <c r="O2538" i="1"/>
  <c r="O4330" i="1"/>
  <c r="H4330" i="1"/>
  <c r="H648" i="1"/>
  <c r="J756" i="1"/>
  <c r="J848" i="1"/>
  <c r="H1033" i="1"/>
  <c r="J1098" i="1"/>
  <c r="J1167" i="1"/>
  <c r="J1206" i="1"/>
  <c r="H1260" i="1"/>
  <c r="J1263" i="1"/>
  <c r="H1591" i="1"/>
  <c r="H1659" i="1"/>
  <c r="J1671" i="1"/>
  <c r="J1691" i="1"/>
  <c r="H2014" i="1"/>
  <c r="K2044" i="1"/>
  <c r="J2049" i="1" s="1"/>
  <c r="H2154" i="1"/>
  <c r="K2386" i="1"/>
  <c r="J2389" i="1" s="1"/>
  <c r="I2469" i="1"/>
  <c r="H2474" i="1" s="1"/>
  <c r="H2625" i="1"/>
  <c r="P2751" i="1"/>
  <c r="J2751" i="1"/>
  <c r="J2749" i="1"/>
  <c r="O2788" i="1"/>
  <c r="H2788" i="1"/>
  <c r="H2786" i="1"/>
  <c r="H2951" i="1"/>
  <c r="H2949" i="1"/>
  <c r="O3159" i="1"/>
  <c r="H3159" i="1"/>
  <c r="H3157" i="1"/>
  <c r="O4047" i="1"/>
  <c r="O4239" i="1"/>
  <c r="H4239" i="1"/>
  <c r="J648" i="1"/>
  <c r="H1164" i="1"/>
  <c r="H1288" i="1"/>
  <c r="J1359" i="1"/>
  <c r="H1685" i="1"/>
  <c r="J1688" i="1"/>
  <c r="H1802" i="1"/>
  <c r="J1884" i="1"/>
  <c r="J2121" i="1"/>
  <c r="J2119" i="1"/>
  <c r="J2307" i="1"/>
  <c r="P2451" i="1"/>
  <c r="K2469" i="1"/>
  <c r="J2474" i="1" s="1"/>
  <c r="O2505" i="1"/>
  <c r="H2505" i="1"/>
  <c r="O2675" i="1"/>
  <c r="J2773" i="1"/>
  <c r="J2775" i="1"/>
  <c r="P3069" i="1"/>
  <c r="H269" i="1"/>
  <c r="H390" i="1"/>
  <c r="H626" i="1"/>
  <c r="J743" i="1"/>
  <c r="J771" i="1"/>
  <c r="H944" i="1"/>
  <c r="J993" i="1"/>
  <c r="H1020" i="1"/>
  <c r="H1112" i="1"/>
  <c r="H1191" i="1"/>
  <c r="H1217" i="1"/>
  <c r="H1277" i="1"/>
  <c r="J1288" i="1"/>
  <c r="J1314" i="1"/>
  <c r="J1338" i="1"/>
  <c r="H1682" i="1"/>
  <c r="J1685" i="1"/>
  <c r="O1835" i="1"/>
  <c r="H1835" i="1"/>
  <c r="O1884" i="1"/>
  <c r="J1948" i="1"/>
  <c r="O1991" i="1"/>
  <c r="H1994" i="1" s="1"/>
  <c r="H1989" i="1"/>
  <c r="J2081" i="1"/>
  <c r="P2083" i="1"/>
  <c r="J2102" i="1" s="1"/>
  <c r="H2328" i="1"/>
  <c r="H2599" i="1"/>
  <c r="P2655" i="1"/>
  <c r="J2655" i="1"/>
  <c r="K2670" i="1"/>
  <c r="P2675" i="1" s="1"/>
  <c r="J2708" i="1" s="1"/>
  <c r="J2788" i="1"/>
  <c r="P2888" i="1"/>
  <c r="O2988" i="1"/>
  <c r="H2988" i="1"/>
  <c r="H2986" i="1"/>
  <c r="O3145" i="1"/>
  <c r="H3145" i="1"/>
  <c r="H3143" i="1"/>
  <c r="J626" i="1"/>
  <c r="J731" i="1"/>
  <c r="J1112" i="1"/>
  <c r="J1191" i="1"/>
  <c r="J1277" i="1"/>
  <c r="H1311" i="1"/>
  <c r="H1673" i="1"/>
  <c r="H1679" i="1"/>
  <c r="J1682" i="1"/>
  <c r="J1799" i="1"/>
  <c r="K2031" i="1"/>
  <c r="P2035" i="1" s="1"/>
  <c r="P2365" i="1"/>
  <c r="H2391" i="1"/>
  <c r="J2523" i="1"/>
  <c r="P2588" i="1"/>
  <c r="J2588" i="1"/>
  <c r="J2586" i="1"/>
  <c r="H2636" i="1"/>
  <c r="H2825" i="1"/>
  <c r="H1035" i="1"/>
  <c r="J1311" i="1"/>
  <c r="H1676" i="1"/>
  <c r="H1740" i="1"/>
  <c r="K1782" i="1"/>
  <c r="P1787" i="1" s="1"/>
  <c r="J1822" i="1"/>
  <c r="P1835" i="1"/>
  <c r="J1835" i="1"/>
  <c r="K2214" i="1"/>
  <c r="P2219" i="1" s="1"/>
  <c r="P2328" i="1"/>
  <c r="H2536" i="1"/>
  <c r="J2599" i="1"/>
  <c r="H2751" i="1"/>
  <c r="H2749" i="1"/>
  <c r="I1783" i="1"/>
  <c r="O1787" i="1" s="1"/>
  <c r="J1796" i="1"/>
  <c r="J1914" i="1"/>
  <c r="H1916" i="1"/>
  <c r="O1972" i="1"/>
  <c r="H1975" i="1" s="1"/>
  <c r="H1972" i="1"/>
  <c r="H1991" i="1"/>
  <c r="O2134" i="1"/>
  <c r="P2551" i="1"/>
  <c r="J2558" i="1" s="1"/>
  <c r="J2551" i="1"/>
  <c r="J2549" i="1"/>
  <c r="J2636" i="1"/>
  <c r="H2701" i="1"/>
  <c r="O2725" i="1"/>
  <c r="P2825" i="1"/>
  <c r="H1953" i="1"/>
  <c r="J1991" i="1"/>
  <c r="K2152" i="1"/>
  <c r="H2217" i="1"/>
  <c r="H2363" i="1"/>
  <c r="H2487" i="1"/>
  <c r="O2501" i="1"/>
  <c r="J2536" i="1"/>
  <c r="P2538" i="1"/>
  <c r="J2538" i="1"/>
  <c r="H2938" i="1"/>
  <c r="O2049" i="1"/>
  <c r="H2132" i="1"/>
  <c r="H2538" i="1"/>
  <c r="O2601" i="1"/>
  <c r="O2638" i="1"/>
  <c r="J3143" i="1"/>
  <c r="P3145" i="1"/>
  <c r="J3145" i="1"/>
  <c r="J3159" i="1"/>
  <c r="O3345" i="1"/>
  <c r="P3361" i="1"/>
  <c r="H3858" i="1"/>
  <c r="J4224" i="1"/>
  <c r="H2365" i="1"/>
  <c r="J2505" i="1"/>
  <c r="J2575" i="1"/>
  <c r="P2601" i="1"/>
  <c r="P2638" i="1"/>
  <c r="P3213" i="1"/>
  <c r="O3538" i="1"/>
  <c r="H3627" i="1"/>
  <c r="O3629" i="1"/>
  <c r="J3858" i="1"/>
  <c r="I4741" i="1"/>
  <c r="P5089" i="1"/>
  <c r="J5089" i="1"/>
  <c r="J2365" i="1"/>
  <c r="H2899" i="1"/>
  <c r="H3457" i="1"/>
  <c r="H3455" i="1"/>
  <c r="P3555" i="1"/>
  <c r="J3555" i="1"/>
  <c r="J3553" i="1"/>
  <c r="P3826" i="1"/>
  <c r="H4689" i="1"/>
  <c r="P4887" i="1"/>
  <c r="J4885" i="1"/>
  <c r="H2326" i="1"/>
  <c r="O2365" i="1"/>
  <c r="H2372" i="1" s="1"/>
  <c r="P2575" i="1"/>
  <c r="H2723" i="1"/>
  <c r="J2786" i="1"/>
  <c r="H2823" i="1"/>
  <c r="J2949" i="1"/>
  <c r="I3065" i="1"/>
  <c r="P3172" i="1"/>
  <c r="J3172" i="1"/>
  <c r="J3170" i="1"/>
  <c r="J3186" i="1"/>
  <c r="J3457" i="1"/>
  <c r="J3936" i="1"/>
  <c r="P3936" i="1"/>
  <c r="J3934" i="1"/>
  <c r="J2060" i="1"/>
  <c r="H2134" i="1"/>
  <c r="J2326" i="1"/>
  <c r="J2649" i="1"/>
  <c r="J2686" i="1"/>
  <c r="J2723" i="1"/>
  <c r="J2823" i="1"/>
  <c r="J3036" i="1"/>
  <c r="H3172" i="1"/>
  <c r="J3359" i="1"/>
  <c r="J3906" i="1"/>
  <c r="P3999" i="1"/>
  <c r="J3999" i="1"/>
  <c r="J3997" i="1"/>
  <c r="P4013" i="1"/>
  <c r="P4121" i="1"/>
  <c r="J4284" i="1"/>
  <c r="P4410" i="1"/>
  <c r="J4464" i="1"/>
  <c r="P4466" i="1"/>
  <c r="J4466" i="1"/>
  <c r="I4503" i="1"/>
  <c r="H4507" i="1" s="1"/>
  <c r="H2623" i="1"/>
  <c r="I3208" i="1"/>
  <c r="O3213" i="1" s="1"/>
  <c r="O3447" i="1"/>
  <c r="H3447" i="1"/>
  <c r="P3541" i="1"/>
  <c r="J3541" i="1"/>
  <c r="H3605" i="1"/>
  <c r="P3789" i="1"/>
  <c r="J3789" i="1"/>
  <c r="J3787" i="1"/>
  <c r="J4256" i="1"/>
  <c r="P4258" i="1"/>
  <c r="J4258" i="1"/>
  <c r="P4877" i="1"/>
  <c r="J4877" i="1"/>
  <c r="J4875" i="1"/>
  <c r="O4989" i="1"/>
  <c r="H4992" i="1" s="1"/>
  <c r="J1863" i="1"/>
  <c r="H2901" i="1"/>
  <c r="J2988" i="1"/>
  <c r="J3023" i="1"/>
  <c r="O3051" i="1"/>
  <c r="H3051" i="1"/>
  <c r="J3092" i="1"/>
  <c r="J3213" i="1"/>
  <c r="H3228" i="1"/>
  <c r="P3262" i="1"/>
  <c r="H3410" i="1"/>
  <c r="O3511" i="1"/>
  <c r="O3639" i="1"/>
  <c r="I3757" i="1"/>
  <c r="O3761" i="1" s="1"/>
  <c r="O3826" i="1"/>
  <c r="H3824" i="1"/>
  <c r="O4147" i="1"/>
  <c r="H4145" i="1"/>
  <c r="H4613" i="1"/>
  <c r="O4615" i="1"/>
  <c r="H4942" i="1"/>
  <c r="O5083" i="1"/>
  <c r="H5083" i="1"/>
  <c r="O3124" i="1"/>
  <c r="H3122" i="1"/>
  <c r="I3391" i="1"/>
  <c r="H3396" i="1" s="1"/>
  <c r="H3479" i="1"/>
  <c r="J3824" i="1"/>
  <c r="O3936" i="1"/>
  <c r="H4133" i="1"/>
  <c r="O4299" i="1"/>
  <c r="H4601" i="1"/>
  <c r="J4613" i="1"/>
  <c r="I4783" i="1"/>
  <c r="H4787" i="1" s="1"/>
  <c r="J2328" i="1"/>
  <c r="J2825" i="1"/>
  <c r="H2873" i="1"/>
  <c r="H2973" i="1"/>
  <c r="H2975" i="1"/>
  <c r="P3189" i="1"/>
  <c r="J3189" i="1"/>
  <c r="O3361" i="1"/>
  <c r="H3361" i="1"/>
  <c r="O3670" i="1"/>
  <c r="O3973" i="1"/>
  <c r="J4028" i="1"/>
  <c r="H4045" i="1"/>
  <c r="O4059" i="1"/>
  <c r="H4059" i="1"/>
  <c r="P4087" i="1"/>
  <c r="J4087" i="1"/>
  <c r="O4102" i="1"/>
  <c r="H4237" i="1"/>
  <c r="J4374" i="1"/>
  <c r="H4524" i="1"/>
  <c r="O4526" i="1"/>
  <c r="H4526" i="1"/>
  <c r="J4582" i="1"/>
  <c r="H4642" i="1"/>
  <c r="J5007" i="1"/>
  <c r="J2888" i="1"/>
  <c r="H3092" i="1"/>
  <c r="J3124" i="1"/>
  <c r="J3122" i="1"/>
  <c r="O3412" i="1"/>
  <c r="H3412" i="1"/>
  <c r="O4087" i="1"/>
  <c r="H4085" i="1"/>
  <c r="H4316" i="1"/>
  <c r="H4318" i="1"/>
  <c r="P4603" i="1"/>
  <c r="O4663" i="1"/>
  <c r="H4724" i="1" s="1"/>
  <c r="H4675" i="1"/>
  <c r="O5052" i="1"/>
  <c r="H5052" i="1"/>
  <c r="H5050" i="1"/>
  <c r="O5108" i="1"/>
  <c r="H5114" i="1" s="1"/>
  <c r="J1865" i="1"/>
  <c r="J2217" i="1"/>
  <c r="J2426" i="1"/>
  <c r="H2449" i="1"/>
  <c r="J2555" i="1"/>
  <c r="J2625" i="1"/>
  <c r="J2873" i="1"/>
  <c r="P2875" i="1"/>
  <c r="O2938" i="1"/>
  <c r="H2958" i="1" s="1"/>
  <c r="J2973" i="1"/>
  <c r="P2975" i="1"/>
  <c r="J3008" i="1" s="1"/>
  <c r="J2975" i="1"/>
  <c r="H3036" i="1"/>
  <c r="H3067" i="1"/>
  <c r="I3273" i="1"/>
  <c r="H3343" i="1"/>
  <c r="H3345" i="1"/>
  <c r="H3553" i="1"/>
  <c r="H3595" i="1"/>
  <c r="H3593" i="1"/>
  <c r="J3668" i="1"/>
  <c r="P4047" i="1"/>
  <c r="J4102" i="1"/>
  <c r="P4239" i="1"/>
  <c r="J4524" i="1"/>
  <c r="H4663" i="1"/>
  <c r="J4721" i="1"/>
  <c r="J2449" i="1"/>
  <c r="H2799" i="1"/>
  <c r="H2925" i="1"/>
  <c r="O2975" i="1"/>
  <c r="O3001" i="1"/>
  <c r="K3242" i="1"/>
  <c r="K3357" i="1"/>
  <c r="O3457" i="1"/>
  <c r="I3654" i="1"/>
  <c r="H3656" i="1" s="1"/>
  <c r="J3773" i="1"/>
  <c r="J3860" i="1"/>
  <c r="H3872" i="1"/>
  <c r="H3952" i="1"/>
  <c r="O3954" i="1"/>
  <c r="H3954" i="1"/>
  <c r="O4028" i="1"/>
  <c r="O4133" i="1"/>
  <c r="J4208" i="1"/>
  <c r="H4376" i="1"/>
  <c r="O4507" i="1"/>
  <c r="P4629" i="1"/>
  <c r="P4663" i="1"/>
  <c r="J4785" i="1"/>
  <c r="J4805" i="1"/>
  <c r="P5052" i="1"/>
  <c r="O5071" i="1"/>
  <c r="J5108" i="1"/>
  <c r="J2033" i="1"/>
  <c r="H2243" i="1"/>
  <c r="H2247" i="1"/>
  <c r="H2251" i="1"/>
  <c r="H2255" i="1"/>
  <c r="H2259" i="1"/>
  <c r="H2263" i="1"/>
  <c r="H2267" i="1"/>
  <c r="H2271" i="1"/>
  <c r="H2275" i="1"/>
  <c r="H2279" i="1"/>
  <c r="H2283" i="1"/>
  <c r="H2287" i="1"/>
  <c r="H2339" i="1"/>
  <c r="H2352" i="1"/>
  <c r="H2485" i="1"/>
  <c r="J2525" i="1"/>
  <c r="H2699" i="1"/>
  <c r="H2736" i="1"/>
  <c r="J2799" i="1"/>
  <c r="H2836" i="1"/>
  <c r="H2875" i="1"/>
  <c r="J2936" i="1"/>
  <c r="J2938" i="1"/>
  <c r="H3095" i="1"/>
  <c r="H3295" i="1"/>
  <c r="K3309" i="1"/>
  <c r="J3313" i="1" s="1"/>
  <c r="K3373" i="1"/>
  <c r="J3378" i="1" s="1"/>
  <c r="P3670" i="1"/>
  <c r="J3670" i="1"/>
  <c r="O3684" i="1"/>
  <c r="H3696" i="1"/>
  <c r="H3896" i="1"/>
  <c r="J4145" i="1"/>
  <c r="I4194" i="1"/>
  <c r="H4198" i="1" s="1"/>
  <c r="H4297" i="1"/>
  <c r="H4476" i="1"/>
  <c r="K4759" i="1"/>
  <c r="P4763" i="1" s="1"/>
  <c r="O4855" i="1"/>
  <c r="H4858" i="1" s="1"/>
  <c r="J4887" i="1"/>
  <c r="H2223" i="1"/>
  <c r="H2227" i="1"/>
  <c r="H2231" i="1"/>
  <c r="H2235" i="1"/>
  <c r="H2239" i="1"/>
  <c r="J2243" i="1"/>
  <c r="J2339" i="1"/>
  <c r="H2348" i="1"/>
  <c r="J2352" i="1"/>
  <c r="J2485" i="1"/>
  <c r="J2699" i="1"/>
  <c r="J2736" i="1"/>
  <c r="H2773" i="1"/>
  <c r="J2836" i="1"/>
  <c r="J2875" i="1"/>
  <c r="J2923" i="1"/>
  <c r="J2986" i="1"/>
  <c r="H3038" i="1"/>
  <c r="H3049" i="1"/>
  <c r="J3090" i="1"/>
  <c r="K3225" i="1"/>
  <c r="J3228" i="1" s="1"/>
  <c r="O3329" i="1"/>
  <c r="P3396" i="1"/>
  <c r="P3457" i="1"/>
  <c r="O3479" i="1"/>
  <c r="J3872" i="1"/>
  <c r="P4028" i="1"/>
  <c r="P4133" i="1"/>
  <c r="P4210" i="1"/>
  <c r="J4242" i="1" s="1"/>
  <c r="J4210" i="1"/>
  <c r="O4224" i="1"/>
  <c r="H4268" i="1"/>
  <c r="O4318" i="1"/>
  <c r="P4330" i="1"/>
  <c r="J4330" i="1"/>
  <c r="O4689" i="1"/>
  <c r="H4719" i="1"/>
  <c r="O4745" i="1"/>
  <c r="H4766" i="1" s="1"/>
  <c r="I4919" i="1"/>
  <c r="P5071" i="1"/>
  <c r="J5092" i="1" s="1"/>
  <c r="J2219" i="1"/>
  <c r="J2223" i="1"/>
  <c r="J2227" i="1"/>
  <c r="J2231" i="1"/>
  <c r="J2235" i="1"/>
  <c r="J2239" i="1"/>
  <c r="H2291" i="1"/>
  <c r="H2295" i="1"/>
  <c r="H2344" i="1"/>
  <c r="J2348" i="1"/>
  <c r="H2451" i="1"/>
  <c r="O2875" i="1"/>
  <c r="H2908" i="1" s="1"/>
  <c r="J3049" i="1"/>
  <c r="H3069" i="1"/>
  <c r="K3272" i="1"/>
  <c r="J3277" i="1" s="1"/>
  <c r="J3361" i="1"/>
  <c r="H3445" i="1"/>
  <c r="P3684" i="1"/>
  <c r="I3711" i="1"/>
  <c r="H3714" i="1" s="1"/>
  <c r="H3745" i="1"/>
  <c r="H3860" i="1"/>
  <c r="H4087" i="1"/>
  <c r="H4179" i="1"/>
  <c r="H4208" i="1"/>
  <c r="P4299" i="1"/>
  <c r="J4584" i="1"/>
  <c r="H4644" i="1"/>
  <c r="H4877" i="1"/>
  <c r="H4875" i="1"/>
  <c r="I4918" i="1"/>
  <c r="J2291" i="1"/>
  <c r="J2295" i="1"/>
  <c r="J2344" i="1"/>
  <c r="J2451" i="1"/>
  <c r="H2801" i="1"/>
  <c r="J2925" i="1"/>
  <c r="O2951" i="1"/>
  <c r="I3020" i="1"/>
  <c r="H3025" i="1" s="1"/>
  <c r="H3055" i="1"/>
  <c r="J3069" i="1"/>
  <c r="J3311" i="1"/>
  <c r="P3313" i="1"/>
  <c r="P3329" i="1"/>
  <c r="K3408" i="1"/>
  <c r="P3412" i="1" s="1"/>
  <c r="J3493" i="1"/>
  <c r="H3570" i="1"/>
  <c r="P3761" i="1"/>
  <c r="P3973" i="1"/>
  <c r="P4102" i="1"/>
  <c r="H4147" i="1"/>
  <c r="P4224" i="1"/>
  <c r="J4268" i="1"/>
  <c r="P4526" i="1"/>
  <c r="K4548" i="1"/>
  <c r="P4552" i="1" s="1"/>
  <c r="H4615" i="1"/>
  <c r="J4642" i="1"/>
  <c r="P4644" i="1"/>
  <c r="J4644" i="1"/>
  <c r="P4721" i="1"/>
  <c r="K4831" i="1"/>
  <c r="P4835" i="1" s="1"/>
  <c r="O4944" i="1"/>
  <c r="H4947" i="1" s="1"/>
  <c r="J2886" i="1"/>
  <c r="O3069" i="1"/>
  <c r="H3170" i="1"/>
  <c r="O3186" i="1"/>
  <c r="H3186" i="1"/>
  <c r="H3184" i="1"/>
  <c r="H3394" i="1"/>
  <c r="K3475" i="1"/>
  <c r="P3479" i="1" s="1"/>
  <c r="H3538" i="1"/>
  <c r="H3936" i="1"/>
  <c r="H3934" i="1"/>
  <c r="J4085" i="1"/>
  <c r="H4131" i="1"/>
  <c r="P4161" i="1"/>
  <c r="J4161" i="1"/>
  <c r="I4175" i="1"/>
  <c r="O4179" i="1" s="1"/>
  <c r="H4328" i="1"/>
  <c r="H4356" i="1"/>
  <c r="H4374" i="1"/>
  <c r="P4478" i="1"/>
  <c r="O4492" i="1"/>
  <c r="J4803" i="1"/>
  <c r="P4805" i="1"/>
  <c r="P4820" i="1"/>
  <c r="H4835" i="1"/>
  <c r="O4899" i="1"/>
  <c r="H4902" i="1" s="1"/>
  <c r="J5050" i="1"/>
  <c r="P2925" i="1"/>
  <c r="J2958" i="1" s="1"/>
  <c r="P3092" i="1"/>
  <c r="J3109" i="1" s="1"/>
  <c r="H3124" i="1"/>
  <c r="O3127" i="1"/>
  <c r="O3246" i="1"/>
  <c r="J3343" i="1"/>
  <c r="H3359" i="1"/>
  <c r="H3639" i="1"/>
  <c r="J3826" i="1"/>
  <c r="H3874" i="1"/>
  <c r="O3896" i="1"/>
  <c r="H3908" i="1"/>
  <c r="H3983" i="1"/>
  <c r="O3999" i="1"/>
  <c r="O4013" i="1"/>
  <c r="P4147" i="1"/>
  <c r="P4270" i="1"/>
  <c r="J4342" i="1"/>
  <c r="H4408" i="1"/>
  <c r="P4429" i="1"/>
  <c r="J4450" i="1" s="1"/>
  <c r="O4478" i="1"/>
  <c r="H4564" i="1"/>
  <c r="H4603" i="1"/>
  <c r="P4615" i="1"/>
  <c r="J4944" i="1"/>
  <c r="O4376" i="1"/>
  <c r="J3038" i="1"/>
  <c r="J3230" i="1"/>
  <c r="J3345" i="1"/>
  <c r="J3607" i="1"/>
  <c r="P3629" i="1"/>
  <c r="H3775" i="1"/>
  <c r="J3874" i="1"/>
  <c r="J3922" i="1"/>
  <c r="H3985" i="1"/>
  <c r="O4358" i="1"/>
  <c r="H4410" i="1"/>
  <c r="J4566" i="1"/>
  <c r="H4629" i="1"/>
  <c r="J4675" i="1"/>
  <c r="H5009" i="1"/>
  <c r="J5106" i="1"/>
  <c r="O3230" i="1"/>
  <c r="H3262" i="1"/>
  <c r="O3396" i="1"/>
  <c r="J3522" i="1"/>
  <c r="H3568" i="1"/>
  <c r="O3607" i="1"/>
  <c r="H3735" i="1"/>
  <c r="J3775" i="1"/>
  <c r="O3874" i="1"/>
  <c r="O3922" i="1"/>
  <c r="J3985" i="1"/>
  <c r="H4026" i="1"/>
  <c r="J4057" i="1"/>
  <c r="P4358" i="1"/>
  <c r="J4410" i="1"/>
  <c r="J4526" i="1"/>
  <c r="O4566" i="1"/>
  <c r="J4601" i="1"/>
  <c r="J4629" i="1"/>
  <c r="J4719" i="1"/>
  <c r="J5009" i="1"/>
  <c r="J5012" i="1"/>
  <c r="P3230" i="1"/>
  <c r="J3262" i="1"/>
  <c r="P3345" i="1"/>
  <c r="J3455" i="1"/>
  <c r="H3509" i="1"/>
  <c r="J3568" i="1"/>
  <c r="P3607" i="1"/>
  <c r="J3735" i="1"/>
  <c r="O3775" i="1"/>
  <c r="H3807" i="1"/>
  <c r="H3839" i="1"/>
  <c r="P3874" i="1"/>
  <c r="P3922" i="1"/>
  <c r="J3954" i="1"/>
  <c r="O3985" i="1"/>
  <c r="H4011" i="1"/>
  <c r="J4026" i="1"/>
  <c r="O4410" i="1"/>
  <c r="P4566" i="1"/>
  <c r="O4629" i="1"/>
  <c r="H4661" i="1"/>
  <c r="P4675" i="1"/>
  <c r="O5009" i="1"/>
  <c r="H5015" i="1" s="1"/>
  <c r="H5111" i="1"/>
  <c r="O3262" i="1"/>
  <c r="H3327" i="1"/>
  <c r="H3433" i="1"/>
  <c r="J3509" i="1"/>
  <c r="H3536" i="1"/>
  <c r="O3735" i="1"/>
  <c r="P3775" i="1"/>
  <c r="H3789" i="1"/>
  <c r="J3807" i="1"/>
  <c r="J3839" i="1"/>
  <c r="H3971" i="1"/>
  <c r="P3985" i="1"/>
  <c r="H3999" i="1"/>
  <c r="J4011" i="1"/>
  <c r="H4071" i="1"/>
  <c r="H4100" i="1"/>
  <c r="J4131" i="1"/>
  <c r="J4661" i="1"/>
  <c r="H4987" i="1"/>
  <c r="P5009" i="1"/>
  <c r="J5015" i="1" s="1"/>
  <c r="H5108" i="1"/>
  <c r="J3327" i="1"/>
  <c r="J3433" i="1"/>
  <c r="J3896" i="1"/>
  <c r="J4100" i="1"/>
  <c r="J4395" i="1"/>
  <c r="H4721" i="1"/>
  <c r="H4855" i="1"/>
  <c r="H4885" i="1"/>
  <c r="H4962" i="1"/>
  <c r="J4987" i="1"/>
  <c r="H4427" i="1"/>
  <c r="H3511" i="1"/>
  <c r="J3570" i="1"/>
  <c r="H3668" i="1"/>
  <c r="H3841" i="1"/>
  <c r="H4013" i="1"/>
  <c r="J4427" i="1"/>
  <c r="H3329" i="1"/>
  <c r="H3435" i="1"/>
  <c r="J3511" i="1"/>
  <c r="H3637" i="1"/>
  <c r="H3973" i="1"/>
  <c r="H4102" i="1"/>
  <c r="J4133" i="1"/>
  <c r="J4663" i="1"/>
  <c r="H4743" i="1"/>
  <c r="H4989" i="1"/>
  <c r="J5052" i="1"/>
  <c r="J3329" i="1"/>
  <c r="J3435" i="1"/>
  <c r="J3445" i="1"/>
  <c r="J3538" i="1"/>
  <c r="H3555" i="1"/>
  <c r="J3973" i="1"/>
  <c r="J4045" i="1"/>
  <c r="J4073" i="1"/>
  <c r="H4159" i="1"/>
  <c r="J4237" i="1"/>
  <c r="J4743" i="1"/>
  <c r="H4833" i="1"/>
  <c r="H4887" i="1"/>
  <c r="H4897" i="1"/>
  <c r="J4967" i="1"/>
  <c r="H5069" i="1"/>
  <c r="J5086" i="1"/>
  <c r="H3615" i="1"/>
  <c r="H3682" i="1"/>
  <c r="H4119" i="1"/>
  <c r="J4159" i="1"/>
  <c r="H4222" i="1"/>
  <c r="J4297" i="1"/>
  <c r="H4441" i="1"/>
  <c r="H4505" i="1"/>
  <c r="J4833" i="1"/>
  <c r="J4897" i="1"/>
  <c r="H5030" i="1"/>
  <c r="J5069" i="1"/>
  <c r="H5080" i="1"/>
  <c r="H3246" i="1"/>
  <c r="H3670" i="1"/>
  <c r="J3682" i="1"/>
  <c r="J4119" i="1"/>
  <c r="J4147" i="1"/>
  <c r="H4210" i="1"/>
  <c r="J4222" i="1"/>
  <c r="H4282" i="1"/>
  <c r="J4429" i="1"/>
  <c r="J4441" i="1"/>
  <c r="H4490" i="1"/>
  <c r="J4505" i="1"/>
  <c r="H4763" i="1"/>
  <c r="H3493" i="1"/>
  <c r="H4047" i="1"/>
  <c r="H4270" i="1"/>
  <c r="H4478" i="1"/>
  <c r="H4745" i="1"/>
  <c r="J3447" i="1"/>
  <c r="J3593" i="1"/>
  <c r="J3639" i="1"/>
  <c r="J3714" i="1"/>
  <c r="H3906" i="1"/>
  <c r="J4047" i="1"/>
  <c r="H4161" i="1"/>
  <c r="J4179" i="1"/>
  <c r="J4239" i="1"/>
  <c r="J4270" i="1"/>
  <c r="H4299" i="1"/>
  <c r="J4478" i="1"/>
  <c r="J4745" i="1"/>
  <c r="H4803" i="1"/>
  <c r="H4899" i="1"/>
  <c r="J4942" i="1"/>
  <c r="H5071" i="1"/>
  <c r="H3293" i="1"/>
  <c r="H3684" i="1"/>
  <c r="J3696" i="1"/>
  <c r="H4121" i="1"/>
  <c r="H4224" i="1"/>
  <c r="H4538" i="1"/>
  <c r="J4550" i="1"/>
  <c r="J4899" i="1"/>
  <c r="J4121" i="1"/>
  <c r="H4284" i="1"/>
  <c r="J4507" i="1"/>
  <c r="J4820" i="1"/>
  <c r="H3716" i="1"/>
  <c r="H4944" i="1"/>
  <c r="J1919" i="1" l="1"/>
  <c r="H3311" i="1"/>
  <c r="J4318" i="1"/>
  <c r="O4584" i="1"/>
  <c r="J3880" i="1"/>
  <c r="P2501" i="1"/>
  <c r="O3524" i="1"/>
  <c r="J1607" i="1"/>
  <c r="H1919" i="1"/>
  <c r="H2708" i="1"/>
  <c r="O3807" i="1"/>
  <c r="H3810" i="1" s="1"/>
  <c r="P1129" i="1"/>
  <c r="H558" i="1"/>
  <c r="J3072" i="1"/>
  <c r="J1129" i="1"/>
  <c r="H3761" i="1"/>
  <c r="H4182" i="1"/>
  <c r="J3524" i="1"/>
  <c r="P2156" i="1"/>
  <c r="P2725" i="1"/>
  <c r="J2758" i="1" s="1"/>
  <c r="J968" i="1"/>
  <c r="P374" i="1"/>
  <c r="O1191" i="1"/>
  <c r="H1317" i="1" s="1"/>
  <c r="J758" i="1"/>
  <c r="J3745" i="1"/>
  <c r="H3576" i="1"/>
  <c r="J4316" i="1"/>
  <c r="H1382" i="1"/>
  <c r="J1849" i="1"/>
  <c r="O1645" i="1"/>
  <c r="H1743" i="1" s="1"/>
  <c r="J594" i="1"/>
  <c r="H4818" i="1"/>
  <c r="H4395" i="1"/>
  <c r="J3580" i="1"/>
  <c r="J575" i="1"/>
  <c r="J1851" i="1"/>
  <c r="H1127" i="1"/>
  <c r="O785" i="1"/>
  <c r="J3747" i="1"/>
  <c r="J5030" i="1"/>
  <c r="J4962" i="1"/>
  <c r="O4198" i="1"/>
  <c r="J2858" i="1"/>
  <c r="J2372" i="1"/>
  <c r="O2156" i="1"/>
  <c r="H2312" i="1" s="1"/>
  <c r="H3378" i="1"/>
  <c r="J3477" i="1"/>
  <c r="P4964" i="1"/>
  <c r="J4970" i="1" s="1"/>
  <c r="H4196" i="1"/>
  <c r="H2758" i="1"/>
  <c r="J2068" i="1"/>
  <c r="H2575" i="1"/>
  <c r="H2033" i="1"/>
  <c r="P1673" i="1"/>
  <c r="J1743" i="1" s="1"/>
  <c r="P4344" i="1"/>
  <c r="J4379" i="1" s="1"/>
  <c r="J5032" i="1"/>
  <c r="H3522" i="1"/>
  <c r="H1914" i="1"/>
  <c r="O2575" i="1"/>
  <c r="H2035" i="1"/>
  <c r="J208" i="1"/>
  <c r="P3716" i="1"/>
  <c r="J3719" i="1" s="1"/>
  <c r="P3378" i="1"/>
  <c r="O4787" i="1"/>
  <c r="H3130" i="1"/>
  <c r="H3580" i="1"/>
  <c r="J3479" i="1"/>
  <c r="H783" i="1"/>
  <c r="P1628" i="1"/>
  <c r="P1607" i="1"/>
  <c r="H4256" i="1"/>
  <c r="J4689" i="1"/>
  <c r="J4587" i="1"/>
  <c r="J4766" i="1"/>
  <c r="O1382" i="1"/>
  <c r="H1610" i="1" s="1"/>
  <c r="J4787" i="1"/>
  <c r="J1217" i="1"/>
  <c r="H4584" i="1"/>
  <c r="H1785" i="1"/>
  <c r="J2137" i="1"/>
  <c r="J1364" i="1"/>
  <c r="P483" i="1"/>
  <c r="J525" i="1" s="1"/>
  <c r="J3067" i="1"/>
  <c r="O758" i="1"/>
  <c r="O4395" i="1"/>
  <c r="J4923" i="1"/>
  <c r="H4258" i="1"/>
  <c r="J4835" i="1"/>
  <c r="J3410" i="1"/>
  <c r="H4923" i="1"/>
  <c r="H4647" i="1"/>
  <c r="J4552" i="1"/>
  <c r="P4923" i="1"/>
  <c r="J4926" i="1" s="1"/>
  <c r="H2012" i="1"/>
  <c r="H4552" i="1"/>
  <c r="H4550" i="1"/>
  <c r="P392" i="1"/>
  <c r="J3957" i="1"/>
  <c r="J3576" i="1"/>
  <c r="J4687" i="1"/>
  <c r="H4587" i="1"/>
  <c r="J3396" i="1"/>
  <c r="H3376" i="1"/>
  <c r="O1290" i="1"/>
  <c r="P596" i="1"/>
  <c r="J599" i="1" s="1"/>
  <c r="O4820" i="1"/>
  <c r="J4724" i="1"/>
  <c r="H3008" i="1"/>
  <c r="H2309" i="1"/>
  <c r="P1593" i="1"/>
  <c r="J1747" i="1" s="1"/>
  <c r="P3735" i="1"/>
  <c r="J3810" i="1" s="1"/>
  <c r="P4073" i="1"/>
  <c r="J4105" i="1" s="1"/>
  <c r="J2312" i="1"/>
  <c r="J579" i="1"/>
  <c r="J448" i="1"/>
  <c r="H1868" i="1"/>
  <c r="H3192" i="1"/>
  <c r="J4838" i="1"/>
  <c r="H3275" i="1"/>
  <c r="H3277" i="1"/>
  <c r="H4105" i="1"/>
  <c r="O3025" i="1"/>
  <c r="H3072" i="1" s="1"/>
  <c r="J313" i="1"/>
  <c r="H5118" i="1"/>
  <c r="H5055" i="1"/>
  <c r="H4177" i="1"/>
  <c r="J2608" i="1"/>
  <c r="J3642" i="1"/>
  <c r="J2658" i="1"/>
  <c r="H1232" i="1"/>
  <c r="J2675" i="1"/>
  <c r="H208" i="1"/>
  <c r="J2156" i="1"/>
  <c r="H1135" i="1"/>
  <c r="H352" i="1"/>
  <c r="H254" i="1"/>
  <c r="H113" i="1"/>
  <c r="H212" i="1"/>
  <c r="P313" i="1"/>
  <c r="J4647" i="1"/>
  <c r="P3277" i="1"/>
  <c r="J3419" i="1" s="1"/>
  <c r="J3192" i="1"/>
  <c r="H2433" i="1"/>
  <c r="H2137" i="1"/>
  <c r="O1232" i="1"/>
  <c r="H2068" i="1"/>
  <c r="J3275" i="1"/>
  <c r="J2454" i="1"/>
  <c r="J2012" i="1"/>
  <c r="J2014" i="1"/>
  <c r="H4785" i="1"/>
  <c r="P2474" i="1"/>
  <c r="J67" i="1"/>
  <c r="H311" i="1"/>
  <c r="H3957" i="1"/>
  <c r="J2420" i="1"/>
  <c r="J3460" i="1"/>
  <c r="O3716" i="1"/>
  <c r="J469" i="1"/>
  <c r="H1364" i="1"/>
  <c r="H348" i="1"/>
  <c r="H3211" i="1"/>
  <c r="H2558" i="1"/>
  <c r="J1009" i="1"/>
  <c r="J212" i="1"/>
  <c r="H313" i="1"/>
  <c r="J3412" i="1"/>
  <c r="J2908" i="1"/>
  <c r="H3460" i="1"/>
  <c r="J1868" i="1"/>
  <c r="J2106" i="1"/>
  <c r="J1953" i="1"/>
  <c r="H3213" i="1"/>
  <c r="P2422" i="1"/>
  <c r="J2035" i="1"/>
  <c r="H1787" i="1"/>
  <c r="O3658" i="1"/>
  <c r="H4862" i="1" s="1"/>
  <c r="O4923" i="1"/>
  <c r="H4926" i="1" s="1"/>
  <c r="J2673" i="1"/>
  <c r="O848" i="1"/>
  <c r="H1321" i="1" s="1"/>
  <c r="J467" i="1"/>
  <c r="P1191" i="1"/>
  <c r="J1317" i="1" s="1"/>
  <c r="H4242" i="1"/>
  <c r="H3880" i="1"/>
  <c r="H3658" i="1"/>
  <c r="J1923" i="1"/>
  <c r="J1768" i="1"/>
  <c r="H2608" i="1"/>
  <c r="J881" i="1"/>
  <c r="H686" i="1"/>
  <c r="H1173" i="1"/>
  <c r="H67" i="1"/>
  <c r="J374" i="1"/>
  <c r="J4902" i="1"/>
  <c r="J4510" i="1"/>
  <c r="H1923" i="1"/>
  <c r="H1768" i="1"/>
  <c r="P1009" i="1"/>
  <c r="J1135" i="1" s="1"/>
  <c r="J1173" i="1"/>
  <c r="J4761" i="1"/>
  <c r="J2472" i="1"/>
  <c r="O2474" i="1"/>
  <c r="H5092" i="1"/>
  <c r="H2658" i="1"/>
  <c r="J1321" i="1"/>
  <c r="J686" i="1"/>
  <c r="J5118" i="1"/>
  <c r="J5055" i="1"/>
  <c r="H4031" i="1"/>
  <c r="J4302" i="1"/>
  <c r="H2472" i="1"/>
  <c r="H3642" i="1"/>
  <c r="J1610" i="1"/>
  <c r="H448" i="1"/>
  <c r="H4510" i="1"/>
  <c r="H4450" i="1"/>
  <c r="H3759" i="1"/>
  <c r="J4182" i="1"/>
  <c r="H4921" i="1"/>
  <c r="H1824" i="1"/>
  <c r="O483" i="1"/>
  <c r="H579" i="1" s="1"/>
  <c r="H483" i="1"/>
  <c r="J481" i="1"/>
  <c r="J4031" i="1"/>
  <c r="H4379" i="1"/>
  <c r="J4763" i="1"/>
  <c r="P2391" i="1"/>
  <c r="J2433" i="1" s="1"/>
  <c r="J2391" i="1"/>
  <c r="H2775" i="1"/>
  <c r="J2154" i="1"/>
  <c r="J1787" i="1"/>
  <c r="J3376" i="1"/>
  <c r="H848" i="1"/>
  <c r="J483" i="1"/>
  <c r="O3277" i="1"/>
  <c r="H3415" i="1" s="1"/>
  <c r="J1785" i="1"/>
  <c r="H2106" i="1"/>
  <c r="H1747" i="1" l="1"/>
  <c r="H4838" i="1"/>
  <c r="J5122" i="1"/>
  <c r="J4974" i="1"/>
  <c r="H881" i="1"/>
  <c r="H4974" i="1"/>
  <c r="H5122" i="1"/>
  <c r="J4862" i="1"/>
  <c r="H5126" i="1"/>
  <c r="J2508" i="1"/>
  <c r="J5126" i="1"/>
  <c r="J352" i="1"/>
  <c r="J348" i="1"/>
  <c r="H525" i="1"/>
  <c r="J3076" i="1"/>
  <c r="H3419" i="1"/>
  <c r="J3415" i="1"/>
  <c r="H2508" i="1"/>
  <c r="H3076" i="1"/>
  <c r="J2429" i="1"/>
  <c r="H3719" i="1"/>
</calcChain>
</file>

<file path=xl/sharedStrings.xml><?xml version="1.0" encoding="utf-8"?>
<sst xmlns="http://schemas.openxmlformats.org/spreadsheetml/2006/main" count="6859" uniqueCount="928">
  <si>
    <t>текущий уровень цен- 1 квартал 2026</t>
  </si>
  <si>
    <t>Заявленная стоимость руб/ед. с НДС</t>
  </si>
  <si>
    <t>ВСЕГО заявленная стоимость руб. с НДС</t>
  </si>
  <si>
    <t>Форма № 4б</t>
  </si>
  <si>
    <t xml:space="preserve">Капитальный ремонт здания Государственного бюджетного общеобразовательного учреждения города Москвы «Школа №1574», расположенного по адресу: г. Москва, Старопименовский переулок, д. 5. 1 этап. </t>
  </si>
  <si>
    <t>(наименование стройки и/или объекта)</t>
  </si>
  <si>
    <t xml:space="preserve">ЛОКАЛЬНАЯ СМЕТА № 02-01-01 </t>
  </si>
  <si>
    <t xml:space="preserve"> Архитектурные решения</t>
  </si>
  <si>
    <t>(наименование работ и затрат)</t>
  </si>
  <si>
    <t>В
базисном
уровне
цен</t>
  </si>
  <si>
    <t>В
текущем
уровне
цен</t>
  </si>
  <si>
    <t>Сметная стоимость</t>
  </si>
  <si>
    <t xml:space="preserve"> тыс.руб.</t>
  </si>
  <si>
    <t>Строительные работы</t>
  </si>
  <si>
    <t>Работы по монтажу оборудования</t>
  </si>
  <si>
    <t>Оборудование</t>
  </si>
  <si>
    <t>Прочие работы и затраты</t>
  </si>
  <si>
    <t>Средства на оплату труда</t>
  </si>
  <si>
    <t>Затраты труда</t>
  </si>
  <si>
    <t>чел.-ч.</t>
  </si>
  <si>
    <t xml:space="preserve">Кроме того: </t>
  </si>
  <si>
    <t>Возврат материалов</t>
  </si>
  <si>
    <t>Составлен(а) по ТСН-2001 с учетом Дополнения №: 81</t>
  </si>
  <si>
    <t>№ и период сборника коэффициентов (индексов) пересчета: Коэффициенты к ТСН-2001 МГЭ Дополнение 81, ремонт №219/81 I квартал 2026 года и Коэффициенты к ТСН-2001.13-2 Дополнение 47 №64/47 I квартал 2026 года</t>
  </si>
  <si>
    <t>№ п/п</t>
  </si>
  <si>
    <t>Шифр расценки и коды ресурсов</t>
  </si>
  <si>
    <t>Наименование работ и затрат</t>
  </si>
  <si>
    <t>Ед. изм.</t>
  </si>
  <si>
    <t>Кол-во
единиц</t>
  </si>
  <si>
    <t>Цена на
ед. изм.,
руб.</t>
  </si>
  <si>
    <t>Попра-
вочные
коэффи-
циенты</t>
  </si>
  <si>
    <t>Коэффи-
циенты
зимних
удорожа-
ний</t>
  </si>
  <si>
    <t>Всего в
ценах на
январь 2000 года,
руб.</t>
  </si>
  <si>
    <t>Коэффи-
циенты
(индек-
сы) пере-
счета,
нормы
НР и СП</t>
  </si>
  <si>
    <t>ВСЕГО
затрат в
текущем
уровне цен,
руб.</t>
  </si>
  <si>
    <t>Установка и разборка инвентарных лесов наружных высотой до 16 м, трубчатых (без затрат по эксплуатации лесов)</t>
  </si>
  <si>
    <t>ЗП</t>
  </si>
  <si>
    <t>1,15*1,2</t>
  </si>
  <si>
    <t>ЭМ</t>
  </si>
  <si>
    <t>1,25*1,2</t>
  </si>
  <si>
    <t>в т.ч. ЗПМ</t>
  </si>
  <si>
    <t>МР</t>
  </si>
  <si>
    <t>НР от ФОТ</t>
  </si>
  <si>
    <t>%</t>
  </si>
  <si>
    <t>СП от ФОТ</t>
  </si>
  <si>
    <t>ЗТР</t>
  </si>
  <si>
    <t>чел-ч</t>
  </si>
  <si>
    <t>ВСЕГО работ по позиции:</t>
  </si>
  <si>
    <t>ВСЕГО оборудование по позиции:</t>
  </si>
  <si>
    <t>ВСЕГО по позиции:</t>
  </si>
  <si>
    <t>Леса инвентарные металлические оцинкованные хомутовые с настилом, высота до 60 м, 100 м2</t>
  </si>
  <si>
    <t>Устройство и разборка защитного ограждения лесов</t>
  </si>
  <si>
    <t>3,1</t>
  </si>
  <si>
    <t>Сетка полимерная, защитная, для строительства</t>
  </si>
  <si>
    <t/>
  </si>
  <si>
    <t xml:space="preserve">   Итого по ТСН-2001.16</t>
  </si>
  <si>
    <t xml:space="preserve">   Итого возвратных сумм</t>
  </si>
  <si>
    <t>Очистка вручную фасадов простых от известковой окраски с земли и лесов</t>
  </si>
  <si>
    <t>1,2</t>
  </si>
  <si>
    <t>Демонтаж указателя пожарного гидранта / Установка номерных табличек с номерами подъезда и квартир</t>
  </si>
  <si>
    <t>1,2*0,8</t>
  </si>
  <si>
    <t>Демонтаж домового знака / Установка номерных табличек с номерами подъезда и квартир</t>
  </si>
  <si>
    <t>Демонтаж / Установка флагодержателей стальных</t>
  </si>
  <si>
    <t>0,6*1,2</t>
  </si>
  <si>
    <t>0,6</t>
  </si>
  <si>
    <t>Антигрибковая защита, обработка зараженных поверхностей каменных конструкций антисептиком строительным комплексного биологического действия</t>
  </si>
  <si>
    <t>8,1</t>
  </si>
  <si>
    <t>Антисептик на водной основе (массовая доля картоцида 4,9%, юглона 0,006%), фунгицидный, бактерицидный, альгицидный, водородный показатель рН 4, для борьбы с биокоррозией минеральных строительных материалов, бетона, кирпича, штукатурки, гипсокартона, природного камня и в качестве добавки в лакокрасочные покрытия</t>
  </si>
  <si>
    <t>Улучшенная штукатурка цементно-известковым раствором по камню стен до 20 мм к=20/17=1,18</t>
  </si>
  <si>
    <t>1,18*1,15*1,2</t>
  </si>
  <si>
    <t>1,18*1,25*1,2</t>
  </si>
  <si>
    <t>9,1</t>
  </si>
  <si>
    <t>Вода</t>
  </si>
  <si>
    <t>9,2</t>
  </si>
  <si>
    <t>Смесь сухая, цементно-песчаная, штукатурная, для наружных и внутренних работ, ручного нанесения, В12,5 (М150), F50, крупность заполнителя не более 0,5 мм</t>
  </si>
  <si>
    <t>9,3</t>
  </si>
  <si>
    <t>Раствор цементно-известковый, марка М75</t>
  </si>
  <si>
    <t>Устройство тонкостенной многослойной системы наружного утепления фасадов зданий с жестким креплением к основанию стартового ряда</t>
  </si>
  <si>
    <t>10,1</t>
  </si>
  <si>
    <t>Грунтовка акрилатная, водно-дисперсионная, с высокой проникающей способностью, паропроницаемая, для всех видов впитывающих оснований, светло-желтая</t>
  </si>
  <si>
    <t>10,2</t>
  </si>
  <si>
    <t>Плита тепло- и звукоизоляционная на основе базальтового волокна, жесткая, гидрофобизированная, плотность 115 кг/м3, коэффициент теплопроводности не более 0,042 Вт/(м х К), группа горючести НГ, для использования в качестве нижнего звукопоглощающего и теплоизоляционного слоя в многослойных теплоизоляционных системах кровель</t>
  </si>
  <si>
    <t>10,3</t>
  </si>
  <si>
    <t>Смесь сухая, цементная, клеевая, для наружных работ, ручного нанесения, расход от 2,7 до 5,0 кг/м2, для приклеивания утеплителя</t>
  </si>
  <si>
    <t>10,4</t>
  </si>
  <si>
    <t>Сетка из стекловолокна, штукатурная, размер ячейки 4х4 мм</t>
  </si>
  <si>
    <t>10,5</t>
  </si>
  <si>
    <t>Смесь сухая крупнозернистая, цементная, штукатурная, ручного нанесения, для создания паропроницаемой, атмосферостойкой, моющейся декоративной штукатурки с шероховатой структурой</t>
  </si>
  <si>
    <t>Установка номерных табличек с номерами подъезда и квартир</t>
  </si>
  <si>
    <t>11,1</t>
  </si>
  <si>
    <t>Знак безопасности и эвакуационный указатель, из пластика с фотолюминесцентным покрытием, размер 200х200 мм/абличка ПВХ 3мм "Пожарный Гидрант" (ПГ), знак F 09 (ГОСТ)</t>
  </si>
  <si>
    <t>Монтаж светильников с лампами накаливания, светового настенного указателя</t>
  </si>
  <si>
    <t>12,1</t>
  </si>
  <si>
    <t>Указатель световой, светодиодный, односторонний, корпус антивандальный сварной из оцинкованной стали, окрашен порошковой эмалью, лицевая панель из поликарбоната, оклеена пленкой, степень защиты IP54, питание 220 В, мощность 20 Вт, размеры 1200х350х75 мм/табличка с названием улицы</t>
  </si>
  <si>
    <t>12,2</t>
  </si>
  <si>
    <t>Лампа накаливания, зеркальная, концентрированного светораспределения, марка ЗК220-40, напряжение 220 В, мощность 40 Вт, цоколь E27/27</t>
  </si>
  <si>
    <t>Установка флагодержателей стальных</t>
  </si>
  <si>
    <t>13,1</t>
  </si>
  <si>
    <t>Флагодержатель из листовой стали, для двух флагов, окрашенный, размер 145х300х80 мм</t>
  </si>
  <si>
    <t>Отбивка штукатурки по кирпичу и бетону стен, потолков площадью более 5 м2</t>
  </si>
  <si>
    <t>Разборка покрытий из керамических плиток (демонтаж облицовки ступеней и площадок, вертикальных поверхностей спусков)</t>
  </si>
  <si>
    <t>Установка металлических ограждений без поручня/демонтаж</t>
  </si>
  <si>
    <t>1,2*0,6</t>
  </si>
  <si>
    <t>17,1</t>
  </si>
  <si>
    <t>Устройство цокольного отлива при устройстве вентилируемого фасада</t>
  </si>
  <si>
    <t>18,1</t>
  </si>
  <si>
    <t>Отлив стальной оцинкованный, толщина 0,8 мм</t>
  </si>
  <si>
    <t>Устройство теплоизоляции фасадов зданий, минераловатными плитами на клее с креплением дюбелями с лесов при толщине утеплителя 100 мм (по кирпичу и бетону)</t>
  </si>
  <si>
    <t>19,1</t>
  </si>
  <si>
    <t>Устройство теплоизоляции фасадов зданий, теплоизоляция плитами из пенополистирола на клее с креплением дюбелями с лесов при толщине утеплителя 100 мм (по кирпичу и бетону) (прим. толщ. 150 мм)</t>
  </si>
  <si>
    <t>20,1</t>
  </si>
  <si>
    <t>Плита теплоизоляционная из ячеистого стекла, плотность - 115 кг/м3, коэффициент теплопроводности не более 0,041 Вт/(м х К), группа горючести НГ, толщина 100 мм, для теплоизоляции плоской кровли, фасадов с различным типом отделки, подземных и ограждающих конструкций стен, полов, потолков.</t>
  </si>
  <si>
    <t>Улучшенная штукатурка цементно-известковым раствором по камню стен,10 мм =10/17=0,59</t>
  </si>
  <si>
    <t>0,59*1,15*1,2</t>
  </si>
  <si>
    <t>0,59*1,25*1,2</t>
  </si>
  <si>
    <t>21,1</t>
  </si>
  <si>
    <t>21,2</t>
  </si>
  <si>
    <t>21,3</t>
  </si>
  <si>
    <t>Облицовка стен наружных керамическими крупноразмерными плитами типа керамогранит на клее из сухих смесей толщиной слоя 4-5 мм с затиркой швов фуговочной смесью</t>
  </si>
  <si>
    <t>22,1</t>
  </si>
  <si>
    <t>Грунтовка акриловая типа "Бетоконтакт", адгезионная для обработки бетонных оснований перед оштукатуриванием</t>
  </si>
  <si>
    <t>22,2</t>
  </si>
  <si>
    <t>Смесь сухая, цементная, фуговочная, для заполнения широких и узких швов между плитками из натурального, искусственного камня и керамогранита, цветная</t>
  </si>
  <si>
    <t>22,3</t>
  </si>
  <si>
    <t>Смесь сухая, цементная, клеевая, высокоадгезионная, для внутренних и наружных работ, для облицовки поверхностей керамогранитом, натуральным и искусственным камнем, керамической плиткой, для кладки блоков из ячеистого бетона/ тех. ч таб.3.1 п 3.1.6</t>
  </si>
  <si>
    <t>22,4</t>
  </si>
  <si>
    <t>Плитка керамогранитная неполированная, универсальная, размер 600х600х10 мм, цвет: светло-бежевый, бежевый, бежево-серый</t>
  </si>
  <si>
    <t>Облицовка стен наружных керамическими крупноразмерными плитами типа керамогранит на клее из сухих смесей толщиной слоя 4-5 мм с затиркой швов фуговочной смесью (вертикальные поверхности пандуса)</t>
  </si>
  <si>
    <t>23,1</t>
  </si>
  <si>
    <t>Грунтовка водно-дисперсионная высококонцентрированная глубокопроникающая универсальная</t>
  </si>
  <si>
    <t>23,2</t>
  </si>
  <si>
    <t>Смесь сухая, цементная, фуговочная, для наружных и внутренних работ, В7,5 (М100), F50, крупность заполнителя 0,63 мм, для заполнения швов между плитками из натурального, искусственного камня и керамогранита, цветная</t>
  </si>
  <si>
    <t>23,3</t>
  </si>
  <si>
    <t>Смесь сухая, цементная, клеевая, высокоадгезионная, для внутренних и наружных работ, для облицовки поверхностей керамогранитом, натуральным и искусственным камнем, керамической плиткой, для кладки блоков из ячеистого бетона</t>
  </si>
  <si>
    <t>23,4</t>
  </si>
  <si>
    <t>Плита гранитная облицовочная термообработанная, бучардованная, цвет черный, толщина 20 мм</t>
  </si>
  <si>
    <t>Устройство полов из плиток керамогранитных на клее из сухих смесей толщиной слоя 5 мм с затиркой швов, площадь одной плитки свыше 0,3 до 0,4 м2</t>
  </si>
  <si>
    <t>24,1</t>
  </si>
  <si>
    <t>Клин пластиковый для системы выравнивания плитки</t>
  </si>
  <si>
    <t>24,2</t>
  </si>
  <si>
    <t>Грунтовка акриловая концентрированная универсальная с высокой клеевой и проникающей способностью</t>
  </si>
  <si>
    <t>24,3</t>
  </si>
  <si>
    <t>24,4</t>
  </si>
  <si>
    <t>24,5</t>
  </si>
  <si>
    <t>Плита гранитная облицовочная термообработанная, бучардованная, цвет черный, толщина 30 мм</t>
  </si>
  <si>
    <t>Добавлять или исключать на каждый 1 мм толщины клеевого слоя к позициям 3.11-36-4; 3.11-36-5; 3.11-36-6; 3.11-36-7</t>
  </si>
  <si>
    <t>25,1</t>
  </si>
  <si>
    <t>Устройство стяжек цементных толщиной 20 мм (толщ. 40 мм)</t>
  </si>
  <si>
    <t>26,1</t>
  </si>
  <si>
    <t>Раствор цементный, марка М150</t>
  </si>
  <si>
    <t>Добавляется или исключается на каждые 5 мм изменения толщины стяжки к позиции 3.11-10-1</t>
  </si>
  <si>
    <t>4*1,15*1,2</t>
  </si>
  <si>
    <t>4*1,25*1,2</t>
  </si>
  <si>
    <t>27,1</t>
  </si>
  <si>
    <t>Армирование подстилающих слоев и набетонок/(сетка 2,75 кг/м2)</t>
  </si>
  <si>
    <t>28,1</t>
  </si>
  <si>
    <t>Каркасы и сетки арматурные плоские, собранные и сваренные (связанные) в арматурные изделия, класс Вр-1, диаметр 5 мм</t>
  </si>
  <si>
    <t>29,1</t>
  </si>
  <si>
    <t>29,2</t>
  </si>
  <si>
    <t>29,3</t>
  </si>
  <si>
    <t>29,4</t>
  </si>
  <si>
    <t>29,5</t>
  </si>
  <si>
    <t>Добавлять или исключать на каждый 1 мм толщины клеевого слоя к позициям 3.11-36-4; 3.11-36-5; 3.11-36-6; 3.11-36-7/до 10 мм</t>
  </si>
  <si>
    <t>1,15*1,2*5</t>
  </si>
  <si>
    <t>1,25*1,2*5</t>
  </si>
  <si>
    <t>30,1</t>
  </si>
  <si>
    <t>Устройство стяжек цементных толщиной 20 мм</t>
  </si>
  <si>
    <t>31,1</t>
  </si>
  <si>
    <t>Добавляется или исключается на каждые 5 мм изменения толщины стяжки к позиции 3.11-10-1/ до 50 мм, к=6</t>
  </si>
  <si>
    <t>6*1,15*1,2</t>
  </si>
  <si>
    <t>6*1,25*1,2</t>
  </si>
  <si>
    <t>32,1</t>
  </si>
  <si>
    <t>33,1</t>
  </si>
  <si>
    <t>Устройство потолков: реечных алюминиевых</t>
  </si>
  <si>
    <t>34,1</t>
  </si>
  <si>
    <t>Потолок реечный подвесной из алюминиевых профилей, ширина рейки 135 мм, без перфорации, окрашенный порошковой краской, цвет хром</t>
  </si>
  <si>
    <t>Установка металлических ограждений без поручня</t>
  </si>
  <si>
    <t>35,1</t>
  </si>
  <si>
    <t>Цемент общестроительный ГОСТ 31108-2020, ГОСТ 30515-2013, портландцемент с минеральными добавками, типа ЦЕМ II/А 32,5 (марка 400)</t>
  </si>
  <si>
    <r>
      <t>Ограждение ОГР-1: Ограждения входных групп из нержавеющей стали высотой 1200 мм, с дополнительными поручнями на выс 500 и 900мм Поручень - 50,8x1,5мм  AISI304 Боковой поручень - 50,8x1,5мм  AISI304 Стойки  50,8x1,5мм  AISI304(шаг- 900мм) заполнение 19x1,5мм AISI304 шаг 100мм нижний ригель - 19x1,5мм AISI304ы.</t>
    </r>
    <r>
      <rPr>
        <i/>
        <sz val="10"/>
        <rFont val="Arial"/>
        <family val="2"/>
        <charset val="204"/>
      </rPr>
      <t xml:space="preserve">
673,78 = [7 800 / 1,2 /  9,84] +  2% Заг.скл</t>
    </r>
  </si>
  <si>
    <t>согл</t>
  </si>
  <si>
    <r>
      <t>Ограждение ОГР-2: Ограждения пандуса из нержавеющей стали высотой 1200 мм, с дополнительными поручнями на выс 700 и 900мм Поручень - 50,8x1,5мм  AISI304 Боковой поручень - 50,8x1,5мм  AISI304 Стойки 50,8x1,5мм  AISI304  (шаг- 900мм) заполнение 19x1,5мм AISI304 шаг 100мм нижний ригель - 19x1,5мм AISI304 отбойник 38,1x1,5мм AISI304"</t>
    </r>
    <r>
      <rPr>
        <i/>
        <sz val="10"/>
        <rFont val="Arial"/>
        <family val="2"/>
        <charset val="204"/>
      </rPr>
      <t xml:space="preserve">
742,89 = [8 600 / 1,2 /  9,84] +  2% Заг.скл</t>
    </r>
  </si>
  <si>
    <r>
      <t>Ограждение ОГР-1.1: Ограждения входных групп из нержавеющей стали высотой 1200 мм Поручень - 50,8x1,5мм  AISI304 Стойки  50,8x1,5мм  AISI304(шаг- 900мм) заполнение 19x1,5мм AISI304 шаг 100мм нижний ригель - 19x1,5мм AISI304</t>
    </r>
    <r>
      <rPr>
        <i/>
        <sz val="10"/>
        <rFont val="Arial"/>
        <family val="2"/>
        <charset val="204"/>
      </rPr>
      <t xml:space="preserve">
310,98 = [3 600 / 1,2 /  9,84] +  2% Заг.скл</t>
    </r>
  </si>
  <si>
    <r>
      <t>Ограждение ОГР-1.2: Ограждения входных групп из нержавеющей стали высотой 1200 мм с поручнем на уровне 900мм Боковой поручень - 50,8x1,5мм  AISI304 Поручень - 50,8x1,5мм  AISI304 Стойки  50,8x1,5мм  AISI304(шаг- 900мм) заполнение 19x1,5мм AISI304 шаг 100мм нижний ригель - 19x1,5мм AISI304</t>
    </r>
    <r>
      <rPr>
        <i/>
        <sz val="10"/>
        <rFont val="Arial"/>
        <family val="2"/>
        <charset val="204"/>
      </rPr>
      <t xml:space="preserve">
587,40 = [6 800 / 1,2 /  9,84] +  2% Заг.скл</t>
    </r>
  </si>
  <si>
    <t>Установка металлических решеток для подвалов и подъездов</t>
  </si>
  <si>
    <t>40,1</t>
  </si>
  <si>
    <r>
      <t>ГР-1  Грязезащитная решетка 1700х800 (Щетка+Резина+Скребок) высота 25мм</t>
    </r>
    <r>
      <rPr>
        <i/>
        <sz val="10"/>
        <rFont val="Arial"/>
        <family val="2"/>
        <charset val="204"/>
      </rPr>
      <t xml:space="preserve">
1 762,79 = [20 747 / 1,22 /  9,84] +  2% Заг.скл</t>
    </r>
  </si>
  <si>
    <t>Разборка покрытий кровли из рулонных материалов в 1-3 слоя</t>
  </si>
  <si>
    <t>Разборка цементных покрытий, толщина 30 мм (толщ. 50 мм)</t>
  </si>
  <si>
    <t>Добавляется или исключается на каждые 5 мм изменения толщины покрытия к позиции 6.57-2-8</t>
  </si>
  <si>
    <t>1,2*4</t>
  </si>
  <si>
    <t>Утепление покрытий керамзитом/демонтаж (30+300)/2=165см</t>
  </si>
  <si>
    <t>Разборка изоляционного покрытия из минераловатной плиты 200мм</t>
  </si>
  <si>
    <t>Устройство пароизоляции оклеечной в один слой/демонтаж</t>
  </si>
  <si>
    <t>Устройство кровли средней сложности с рядовым покрытием из меди, толщиной листа 0,8 мм, с соединением одинарным фальцем/Демонтаж</t>
  </si>
  <si>
    <t>Устройство деревянных настилов, ходов, переходов, мостиков</t>
  </si>
  <si>
    <t>48,1</t>
  </si>
  <si>
    <t>Плита цементно-стружечная, нешлифованная, размер 3600х1200х18 мм</t>
  </si>
  <si>
    <t>Устройство выравнивающих стяжек цементно-песчаных толщиной 15 мм (толщ. 20 мм)</t>
  </si>
  <si>
    <t>49,1</t>
  </si>
  <si>
    <t>Добавлять или исключать на каждый 1 мм изменения толщины к позиции 3.12-21-1</t>
  </si>
  <si>
    <t>50,1</t>
  </si>
  <si>
    <t>Устройство пароизоляции прокладной в один слой</t>
  </si>
  <si>
    <t>51,1</t>
  </si>
  <si>
    <t>Пленка пароизоляционная, трехслойная, на основе армирующей сетки из полиэтиленовых полос с двух сторон ламинированной полиэтиленовой пленкой, с черной идентификационной полосой, паропроницаемость 0,9 г/м2/24 ч, плотность 110 г/м2, для устройства пароизоляции внутренней поверхности теплоизоляции крыш, наружных стен</t>
  </si>
  <si>
    <t>Утепление покрытий теплоизоляционными плитами из минеральной ваты насухо в 1 слой</t>
  </si>
  <si>
    <t>52,1</t>
  </si>
  <si>
    <t>Плита тепло- и звукоизоляционная на основе базальтового волокна, жесткая, гидрофобизированная, плотность 190 кг/м3, коэффициент теплопроводности не более 0,044 Вт/(м х К), группа горючести НГ, для использования в качестве основного теплоизоляционного слоя в многослойных теплоизоляционных системах кровель</t>
  </si>
  <si>
    <t>Добавлять на каждый последующий слой к позиции 3.12-17-6</t>
  </si>
  <si>
    <t>53,1</t>
  </si>
  <si>
    <t>54,1</t>
  </si>
  <si>
    <t>Материал рулонный кровельный, беспокровный, пергамин типа П-350</t>
  </si>
  <si>
    <t>Утепление покрытий керамзитом (уклонообразующий слой толщ. 30-300 мм) (30+300)/2=165</t>
  </si>
  <si>
    <t>Проливка подстилающих слоев раствором</t>
  </si>
  <si>
    <t>56,1</t>
  </si>
  <si>
    <t>Молоко цементное</t>
  </si>
  <si>
    <t>Устройство выравнивающих стяжек цементно-песчаных толщиной 15 мм (толщ. 50 мм)</t>
  </si>
  <si>
    <t>57,1</t>
  </si>
  <si>
    <t>1,15*1,2*35</t>
  </si>
  <si>
    <t>58,1</t>
  </si>
  <si>
    <t>Армирование подстилающих слоев и набетонок (вес сетки Вр1 200х200х5 мм - 1,4 кг/м2)</t>
  </si>
  <si>
    <t>59,1</t>
  </si>
  <si>
    <t>Огрунтовка праймером оснований из бетона или раствора под водоизоляционный кровельный ковер</t>
  </si>
  <si>
    <t>60,1</t>
  </si>
  <si>
    <t>Мастика битумная гидроизоляционная, холодного отверждения, температура размягчения +70°С, прочность сцепления с бетоном не менее 0,3 МПа, условная вязкость не менее 21 с, водопоглощение не более 0,5%, гибкость на брусе до -5°С, для наружной гидроизоляции бетонных, железобетонных и деревянных строительных конструкций, подверженных тепловому воздействию до +70°С, изоляции мест, подверженных увлажнению, гипсокартонных и гипсовых оснований перед облицовкой</t>
  </si>
  <si>
    <t>Устройство рулонного покрытия в три слоя из наплавляемого битумно-полимерного гидроизоляционного материала, из нижних слоев и гравийным защитным слоем, втопленным в разогретый покровный слой</t>
  </si>
  <si>
    <t>Материал рулонный, кровельный, гидроизоляционный, битумно-полимерный, типа ЭПП 4,0, гибкость до -15°С, разрывная сила в продольном/поперечном направлении не менее 600/600 Н, для устройства нижнего слоя гидроизоляции</t>
  </si>
  <si>
    <t>Материал рулонный, кровельный, гидроизоляционный, битумно-полимерный, типа ЭКП 5,0, гибкость до -15°С, разрывная сила в продольном/поперечном направлении не менее 600/600 Н, для устройства верхнего слоя кровельного ковра</t>
  </si>
  <si>
    <t>Утепление покрытий керамзитом (уклонообразующий слой толщ. 30-150 мм)</t>
  </si>
  <si>
    <t>65,1</t>
  </si>
  <si>
    <t>66,1</t>
  </si>
  <si>
    <t>67,1</t>
  </si>
  <si>
    <t>68,1</t>
  </si>
  <si>
    <t>72,1</t>
  </si>
  <si>
    <t>73,1</t>
  </si>
  <si>
    <t>74,1</t>
  </si>
  <si>
    <t>75,1</t>
  </si>
  <si>
    <t>76,1</t>
  </si>
  <si>
    <t>77,1</t>
  </si>
  <si>
    <t>79,1</t>
  </si>
  <si>
    <t>80,1</t>
  </si>
  <si>
    <t>81,1</t>
  </si>
  <si>
    <t>82,1</t>
  </si>
  <si>
    <t>Устройство полов из плиток керамогранитных на клее из сухих смесей толщиной слоя 5 мм с затиркой швов, площадь одной плитки до 0,1 м2</t>
  </si>
  <si>
    <t>83,1</t>
  </si>
  <si>
    <t>83,2</t>
  </si>
  <si>
    <t>83,3</t>
  </si>
  <si>
    <t>83,4</t>
  </si>
  <si>
    <r>
      <t>Тротуарная плитка 40мм</t>
    </r>
    <r>
      <rPr>
        <i/>
        <sz val="10"/>
        <rFont val="Arial"/>
        <family val="2"/>
        <charset val="204"/>
      </rPr>
      <t xml:space="preserve">
189,22 = [2 227 / 1,22 /  9,84] +  2% Заг.скл</t>
    </r>
  </si>
  <si>
    <t>Устройство плоских кровель из ПВХ мембран методом свободной укладки</t>
  </si>
  <si>
    <t>85,1</t>
  </si>
  <si>
    <t>Мембрана полимерная, кровельная и гидроизоляционная, однослойная, на основе ПВХ, армированная полиэстеровой сеткой, толщина 1,2 мм</t>
  </si>
  <si>
    <t>Устройство кровли средней сложности с рядовым покрытием из меди, толщиной листа 0,8 мм, с соединением одинарным фальцем</t>
  </si>
  <si>
    <t>Костыли, крючья стальные оцинкованные</t>
  </si>
  <si>
    <t>Панель кровельная фальцевая из алюминия, с полимерным покрытием, замок высотой до 65 мм, толщина 1 мм</t>
  </si>
  <si>
    <t>Утепление стен минераловатными плитами при устройстве примыканий высотой до 600 мм</t>
  </si>
  <si>
    <t>89,1</t>
  </si>
  <si>
    <t>Дюбель тарельчатый, пластиковый, со стальным оцинкованным гвоздем, для крепления теплоизоляции, диаметр 10 мм, длина 200 мм</t>
  </si>
  <si>
    <t>89,2</t>
  </si>
  <si>
    <t>Устройство примыканий из наплавляемого материала к стенам и парапетам высотой до 600 мм с устройством галтели</t>
  </si>
  <si>
    <t>90,1</t>
  </si>
  <si>
    <t>90,2</t>
  </si>
  <si>
    <t>Материал рулонный, кровельный и гидроизоляционный, битумно-полимерный, СБС-модифицированный, на основе стеклоткани, наплавляемый, с крупнозернистой минеральной посыпкой с верхней стороны, с пленкой с нижней стороны, типа ТКП 5,0, теплостойкость до +100°С, гибкость до -25°С, разрывная сила в продольном/поперечном направлении не менее 900/1000 Н, для верхнего слоя гидроизоляции строительных конструкций</t>
  </si>
  <si>
    <t>Кладка стен наружных простых при высоте этажа до 4 м</t>
  </si>
  <si>
    <t>91,1</t>
  </si>
  <si>
    <t>Кирпич керамический рядовой, полнотелый, размер 250х120х65 мм, марка 125</t>
  </si>
  <si>
    <t>91,2</t>
  </si>
  <si>
    <t>Установка воронок сливных диаметром 100 мм</t>
  </si>
  <si>
    <t>92,1</t>
  </si>
  <si>
    <r>
      <t>ПВХ воронка парапетная 100х100мм длиной 650мм с отводом O100мм и листоуловителем</t>
    </r>
    <r>
      <rPr>
        <i/>
        <sz val="10"/>
        <rFont val="Arial"/>
        <family val="2"/>
        <charset val="204"/>
      </rPr>
      <t xml:space="preserve">
501,30 = [5 900 / 1,22 /  9,84] +  2% Заг.скл</t>
    </r>
  </si>
  <si>
    <t>Устройство мелких покрытий (брандмауэры, парапеты, свесы и т.п.) из листовой оцинкованной стали</t>
  </si>
  <si>
    <t>Парапет из оцинкованной стали с полимерно-порошковым покрытием, толщина листа 0,5 мм</t>
  </si>
  <si>
    <t>Монтаж снегозадержателей на кровле со стоячим фальцем промышленными альпинистами</t>
  </si>
  <si>
    <r>
      <t>Снегозадержатель для фальцевой кровли</t>
    </r>
    <r>
      <rPr>
        <i/>
        <sz val="10"/>
        <rFont val="Arial"/>
        <family val="2"/>
        <charset val="204"/>
      </rPr>
      <t xml:space="preserve">
195,42 = [2 300 / 1,22 /  9,84] +  2% Заг.скл</t>
    </r>
  </si>
  <si>
    <t>Ограждение кровель перилами</t>
  </si>
  <si>
    <t>97,1</t>
  </si>
  <si>
    <t>Ограждения из прокатных и гнутых профилей полосовой и круглой стали</t>
  </si>
  <si>
    <t>Установка дефлекторов диаметром патрубка 280 мм</t>
  </si>
  <si>
    <t>98,1</t>
  </si>
  <si>
    <r>
      <t>Аэратор для кровли 160х460 мм</t>
    </r>
    <r>
      <rPr>
        <i/>
        <sz val="10"/>
        <rFont val="Arial"/>
        <family val="2"/>
        <charset val="204"/>
      </rPr>
      <t xml:space="preserve">
106,21 = [1 250 / 1,22 /  9,84] +  2% Заг.скл</t>
    </r>
  </si>
  <si>
    <t>Устройство наружного водостока при покрытии кровли из металлочерепицы типа "Монтеррей"</t>
  </si>
  <si>
    <t>Деталь устройства кровли и водостока по фасаду здания из оцинкованной кровельной стали для водосточных наружных труб, диаметр от 120 до 250 мм, звенья</t>
  </si>
  <si>
    <t>Деталь устройства кровель и водостока по фасаду здания из оцинкованной кровельной стали для водосточных наружных труб, диаметр от 120 до 250 мм, воронка</t>
  </si>
  <si>
    <t>Деталь устройства кровли и водостока по фасаду здания из оцинкованной кровельной стали для водосточных наружных труб, диаметр от 120 до 250 мм, колено</t>
  </si>
  <si>
    <t>Хомут (ухват) стальной оцинкованный для крепления водосточной трубы, диаметр от 120 до 250 мм</t>
  </si>
  <si>
    <t>Установка в жилых и общественных зданиях оконных блоков из ПВХ-профилей, глухие, площадь проема до 2 м2/демонтаж</t>
  </si>
  <si>
    <t>Установка в жилых и общественных зданиях оконных блоков из алюминиевых профилей глухих с площадью проема более 2 м2/демонтаж</t>
  </si>
  <si>
    <t>Разборка поясков, сандриков, желобов, отливов, свесов и т.п. из листовой стали</t>
  </si>
  <si>
    <t>Установка в жилых и общественных зданиях оконных блоков из ПВХ-профилей, глухие, площадь проема до 2 м2</t>
  </si>
  <si>
    <t>107,1</t>
  </si>
  <si>
    <t>Лента пароизоляционная, герметизирующая, бутилкаучуковая, самоклеящиеся, армированная нетканым полотном, с дополнительной клеевой крепежной полосой для монтажа в скрытые места, прочность сцепления не менее 0,1 МПа, диапазон температур эксплуатации от -60 до +140°, теплостойкость до +180°С, пенетрация при 0,1 мм от 3 до 90, ширина 100 мм, толщина 1,5 мм, для герметизации оконного шва с внутренней стороны по всему периметру</t>
  </si>
  <si>
    <t>107,2</t>
  </si>
  <si>
    <t>Лента гидроизоляционная, паропроницаемая, герметизирующая, бутилкаучуковая, на основе пародиффузионной мембраны, с клеящими неотверждаемыми слоями герметика с двух краев, прочность сцепления не менее 0,1 МПа, диапазон температур эксплуатации от -60 до +80°С, теплостойкость до +180°С, пенетрация при 0,1 мм от 3 до 90, ширина 100 мм, толщина 1,5 мм, для вентиляции и защиты от проникновения влаги в стык различных конструкций, отделки под отлив, наружная герметизация примыканий оконных и дверных блоков к стеновому проему и защиты теплоизоляционного слоя</t>
  </si>
  <si>
    <r>
      <t>ОК-51/2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чп/1,3 м2/шт</t>
    </r>
    <r>
      <rPr>
        <i/>
        <sz val="10"/>
        <rFont val="Arial"/>
        <family val="2"/>
        <charset val="204"/>
      </rPr>
      <t xml:space="preserve">
20 859,44 = [245 503,36 / 1,22 /  9,84] +  2% Заг.скл</t>
    </r>
  </si>
  <si>
    <r>
      <t>ОК-52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чп/1,4 м2/шт</t>
    </r>
    <r>
      <rPr>
        <i/>
        <sz val="10"/>
        <rFont val="Arial"/>
        <family val="2"/>
        <charset val="204"/>
      </rPr>
      <t xml:space="preserve">
22 922,46 = [269 783,91 / 1,22 /  9,84] +  2% Заг.скл</t>
    </r>
  </si>
  <si>
    <r>
      <t>ОП-14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чп/1,5м2/шт</t>
    </r>
    <r>
      <rPr>
        <i/>
        <sz val="10"/>
        <rFont val="Arial"/>
        <family val="2"/>
        <charset val="204"/>
      </rPr>
      <t xml:space="preserve">
24 559,78 = [289 054,19 / 1,22 /  9,84] +  2% Заг.скл</t>
    </r>
  </si>
  <si>
    <r>
      <t>ОК-48/1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чп/1,7 м2/шт</t>
    </r>
    <r>
      <rPr>
        <i/>
        <sz val="10"/>
        <rFont val="Arial"/>
        <family val="2"/>
        <charset val="204"/>
      </rPr>
      <t xml:space="preserve">
27 834,42 = [327 594,75 / 1,22 /  9,84] +  2% Заг.скл</t>
    </r>
  </si>
  <si>
    <r>
      <t>ОК-46.1/3, ОК-46/3, ОП-28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чп/1,8 м2/шт</t>
    </r>
    <r>
      <rPr>
        <i/>
        <sz val="10"/>
        <rFont val="Arial"/>
        <family val="2"/>
        <charset val="204"/>
      </rPr>
      <t xml:space="preserve">
29 471,74 = [346 865,03 / 1,22 /  9,84] +  2% Заг.скл</t>
    </r>
  </si>
  <si>
    <r>
      <t>ОК-46.1/4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чп/1,8 м2/шт</t>
    </r>
    <r>
      <rPr>
        <i/>
        <sz val="10"/>
        <rFont val="Arial"/>
        <family val="2"/>
        <charset val="204"/>
      </rPr>
      <t xml:space="preserve">
31 763,98 = [373 843,42 / 1,22 /  9,84] +  2% Заг.скл</t>
    </r>
  </si>
  <si>
    <r>
      <t>ОК-49/1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чп/1,8 м2/шт</t>
    </r>
    <r>
      <rPr>
        <i/>
        <sz val="10"/>
        <rFont val="Arial"/>
        <family val="2"/>
        <charset val="204"/>
      </rPr>
      <t xml:space="preserve">
29 766,46 = [350 333,68 / 1,22 /  9,84] +  2% Заг.скл</t>
    </r>
  </si>
  <si>
    <r>
      <t>ОК-01/3, ОК-03*/2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чп/1,9 м2/шт</t>
    </r>
    <r>
      <rPr>
        <i/>
        <sz val="10"/>
        <rFont val="Arial"/>
        <family val="2"/>
        <charset val="204"/>
      </rPr>
      <t xml:space="preserve">
31 109,06 = [366 135,31 / 1,22 /  9,84] +  2% Заг.скл</t>
    </r>
  </si>
  <si>
    <r>
      <t>ОК-46/4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чп/1,9м2/шт</t>
    </r>
    <r>
      <rPr>
        <i/>
        <sz val="10"/>
        <rFont val="Arial"/>
        <family val="2"/>
        <charset val="204"/>
      </rPr>
      <t xml:space="preserve">
31 763,98 = [373 843,42 / 1,22 /  9,84] +  2% Заг.скл</t>
    </r>
  </si>
  <si>
    <r>
      <t>ОК10/2, ОП-05, ОК-22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чп/2м2/шт</t>
    </r>
    <r>
      <rPr>
        <i/>
        <sz val="10"/>
        <rFont val="Arial"/>
        <family val="2"/>
        <charset val="204"/>
      </rPr>
      <t xml:space="preserve">
32 746,38 = [385 405,59 / 1,22 /  9,84] +  2% Заг.скл</t>
    </r>
  </si>
  <si>
    <t>Установка в жилых и общественных зданиях оконных блоков из ПВХ-профилей, поворотные (откидные, поворотно-откидные) двух- и трехстворчатые площадь проема более 2 м2</t>
  </si>
  <si>
    <t>118,1</t>
  </si>
  <si>
    <t>118,2</t>
  </si>
  <si>
    <r>
      <t>ОК-04/1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чп/2,1м2/шт</t>
    </r>
    <r>
      <rPr>
        <i/>
        <sz val="10"/>
        <rFont val="Arial"/>
        <family val="2"/>
        <charset val="204"/>
      </rPr>
      <t xml:space="preserve">
34 383,70 = [404 675,87 / 1,22 /  9,84] +  2% Заг.скл</t>
    </r>
  </si>
  <si>
    <r>
      <t>ОК-02/1, ОК-07/1,1, Ок-08.1, Ок-08/1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чп/2,2м2/шт</t>
    </r>
    <r>
      <rPr>
        <i/>
        <sz val="10"/>
        <rFont val="Arial"/>
        <family val="2"/>
        <charset val="204"/>
      </rPr>
      <t xml:space="preserve">
36 021,01 = [423 946,14 / 1,22 /  9,84] +  2% Заг.скл</t>
    </r>
  </si>
  <si>
    <r>
      <t>ОК-07/1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чп/2,3м2/шт</t>
    </r>
    <r>
      <rPr>
        <i/>
        <sz val="10"/>
        <rFont val="Arial"/>
        <family val="2"/>
        <charset val="204"/>
      </rPr>
      <t xml:space="preserve">
37 658,33 = [443 216,42 / 1,22 /  9,84] +  2% Заг.скл</t>
    </r>
  </si>
  <si>
    <r>
      <t>ОК-07/2, ОК-09.1/1, ОК-11/1,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чп/2,4м2/шт</t>
    </r>
    <r>
      <rPr>
        <i/>
        <sz val="10"/>
        <rFont val="Arial"/>
        <family val="2"/>
        <charset val="204"/>
      </rPr>
      <t xml:space="preserve">
39 295,65 = [462 486,7 / 1,22 /  9,84] +  2% Заг.скл</t>
    </r>
  </si>
  <si>
    <r>
      <t>ОК-08*/4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чп/2,4м2/шт</t>
    </r>
    <r>
      <rPr>
        <i/>
        <sz val="10"/>
        <rFont val="Arial"/>
        <family val="2"/>
        <charset val="204"/>
      </rPr>
      <t xml:space="preserve">
38 749,88 = [456 063,28 / 1,22 /  9,84] +  2% Заг.скл</t>
    </r>
  </si>
  <si>
    <r>
      <t>ОК-24.1/2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чп/2,4м2/шт</t>
    </r>
    <r>
      <rPr>
        <i/>
        <sz val="10"/>
        <rFont val="Arial"/>
        <family val="2"/>
        <charset val="204"/>
      </rPr>
      <t xml:space="preserve">
40 114,32 = [472 121,84 / 1,22 /  9,84] +  2% Заг.скл</t>
    </r>
  </si>
  <si>
    <r>
      <t>ОК-08*/5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чп/2,5м2/шт</t>
    </r>
    <r>
      <rPr>
        <i/>
        <sz val="10"/>
        <rFont val="Arial"/>
        <family val="2"/>
        <charset val="204"/>
      </rPr>
      <t xml:space="preserve">
41 478,74 = [488 180,41 / 1,22 /  9,84] +  2% Заг.скл</t>
    </r>
  </si>
  <si>
    <r>
      <t>ОК-09/4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чп/2,5м2/шт</t>
    </r>
    <r>
      <rPr>
        <i/>
        <sz val="10"/>
        <rFont val="Arial"/>
        <family val="2"/>
        <charset val="204"/>
      </rPr>
      <t xml:space="preserve">
41 751,63 = [491 392,12 / 1,22 /  9,84] +  2% Заг.скл</t>
    </r>
  </si>
  <si>
    <r>
      <t>ОК-11/4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чп/2,5м2/шт</t>
    </r>
    <r>
      <rPr>
        <i/>
        <sz val="10"/>
        <rFont val="Arial"/>
        <family val="2"/>
        <charset val="204"/>
      </rPr>
      <t xml:space="preserve">
40 932,97 = [481 756,98 / 1,22 /  9,84] +  2% Заг.скл</t>
    </r>
  </si>
  <si>
    <r>
      <t>ОК-19/4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чп/2,5м2/шт</t>
    </r>
    <r>
      <rPr>
        <i/>
        <sz val="10"/>
        <rFont val="Arial"/>
        <family val="2"/>
        <charset val="204"/>
      </rPr>
      <t xml:space="preserve">
41 546,97 = [488 983,34 / 1,22 /  9,84] +  2% Заг.скл</t>
    </r>
  </si>
  <si>
    <r>
      <t>ОК-23/2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чп/2,5м2/шт</t>
    </r>
    <r>
      <rPr>
        <i/>
        <sz val="10"/>
        <rFont val="Arial"/>
        <family val="2"/>
        <charset val="204"/>
      </rPr>
      <t xml:space="preserve">
33 073,84 = [389 259,64 / 1,22 /  9,84] +  2% Заг.скл</t>
    </r>
  </si>
  <si>
    <r>
      <t>ОК-08*/2 , ОК-8*/3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чп/2,6м2/шт</t>
    </r>
    <r>
      <rPr>
        <i/>
        <sz val="10"/>
        <rFont val="Arial"/>
        <family val="2"/>
        <charset val="204"/>
      </rPr>
      <t xml:space="preserve">
43 116,06 = [507 450,69 / 1,22 /  9,84] +  2% Заг.скл</t>
    </r>
  </si>
  <si>
    <r>
      <t>ОК-08/4, ОК-13/1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чп/2,6м2/шт</t>
    </r>
    <r>
      <rPr>
        <i/>
        <sz val="10"/>
        <rFont val="Arial"/>
        <family val="2"/>
        <charset val="204"/>
      </rPr>
      <t xml:space="preserve">
42 160,96 = [496 209,69 / 1,22 /  9,84] +  2% Заг.скл</t>
    </r>
  </si>
  <si>
    <r>
      <t>ОК-09.2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чп/2,6м2/шт</t>
    </r>
    <r>
      <rPr>
        <i/>
        <sz val="10"/>
        <rFont val="Arial"/>
        <family val="2"/>
        <charset val="204"/>
      </rPr>
      <t xml:space="preserve">
37 658,33 = [443 216,42 / 1,22 /  9,84] +  2% Заг.скл</t>
    </r>
  </si>
  <si>
    <r>
      <t>ОК-09/2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чп/2,6м2/шт</t>
    </r>
    <r>
      <rPr>
        <i/>
        <sz val="10"/>
        <rFont val="Arial"/>
        <family val="2"/>
        <charset val="204"/>
      </rPr>
      <t xml:space="preserve">
43 388,94 = [510 662,4 / 1,22 /  9,84] +  2% Заг.скл</t>
    </r>
  </si>
  <si>
    <r>
      <t>ОК11/5 , ОК-18/1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чп/2,6м2/шт</t>
    </r>
    <r>
      <rPr>
        <i/>
        <sz val="10"/>
        <rFont val="Arial"/>
        <family val="2"/>
        <charset val="204"/>
      </rPr>
      <t xml:space="preserve">
42 570,29 = [501 027,26 / 1,22 /  9,84] +  2% Заг.скл</t>
    </r>
  </si>
  <si>
    <r>
      <t>ОК-19/2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чп/2,6м2/шт</t>
    </r>
    <r>
      <rPr>
        <i/>
        <sz val="10"/>
        <rFont val="Arial"/>
        <family val="2"/>
        <charset val="204"/>
      </rPr>
      <t xml:space="preserve">
49 017,23 = [576 903,99 / 1,22 /  9,84] +  2% Заг.скл</t>
    </r>
  </si>
  <si>
    <r>
      <t>ОК-19/5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чп/2,6м2/шт</t>
    </r>
    <r>
      <rPr>
        <i/>
        <sz val="10"/>
        <rFont val="Arial"/>
        <family val="2"/>
        <charset val="204"/>
      </rPr>
      <t xml:space="preserve">
42 467,96 = [499 822,87 / 1,22 /  9,84] +  2% Заг.скл</t>
    </r>
  </si>
  <si>
    <r>
      <t>ОК-21/1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чп/2,6м2/шт</t>
    </r>
    <r>
      <rPr>
        <i/>
        <sz val="10"/>
        <rFont val="Arial"/>
        <family val="2"/>
        <charset val="204"/>
      </rPr>
      <t xml:space="preserve">
42 570,29 = [501 027,26 / 1,22 /  9,84] +  2% Заг.скл</t>
    </r>
  </si>
  <si>
    <r>
      <t>ОК-09/5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чп/2,7м2/шт</t>
    </r>
    <r>
      <rPr>
        <i/>
        <sz val="10"/>
        <rFont val="Arial"/>
        <family val="2"/>
        <charset val="204"/>
      </rPr>
      <t xml:space="preserve">
44 207,61 = [520 297,54 / 1,22 /  9,84] +  2% Заг.скл</t>
    </r>
  </si>
  <si>
    <r>
      <t>ОК-08/5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чп/2,8м2/шт</t>
    </r>
    <r>
      <rPr>
        <i/>
        <sz val="10"/>
        <rFont val="Arial"/>
        <family val="2"/>
        <charset val="204"/>
      </rPr>
      <t xml:space="preserve">
45 026,27 = [529 932,68 / 1,22 /  9,84] +  2% Заг.скл</t>
    </r>
  </si>
  <si>
    <r>
      <t>ОК-09/3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чп/2,8м2/шт</t>
    </r>
    <r>
      <rPr>
        <i/>
        <sz val="10"/>
        <rFont val="Arial"/>
        <family val="2"/>
        <charset val="204"/>
      </rPr>
      <t xml:space="preserve">
46 663,58 = [549 202,96 / 1,22 /  9,84] +  2% Заг.скл</t>
    </r>
  </si>
  <si>
    <r>
      <t>ОК-11/2, ОК-11/3, ОК-35/1.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чп/2,8м2/шт</t>
    </r>
    <r>
      <rPr>
        <i/>
        <sz val="10"/>
        <rFont val="Arial"/>
        <family val="2"/>
        <charset val="204"/>
      </rPr>
      <t xml:space="preserve">
45 844,93 = [539 567,82 / 1,22 /  9,84] +  2% Заг.скл</t>
    </r>
  </si>
  <si>
    <r>
      <t>ОК-27/1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чп/2,9м2/шт</t>
    </r>
    <r>
      <rPr>
        <i/>
        <sz val="10"/>
        <rFont val="Arial"/>
        <family val="2"/>
        <charset val="204"/>
      </rPr>
      <t xml:space="preserve">
47 482,24 = [558 838,1 / 1,22 /  9,84] +  2% Заг.скл</t>
    </r>
  </si>
  <si>
    <r>
      <t>ОК-19/3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чп/3м2/шт</t>
    </r>
    <r>
      <rPr>
        <i/>
        <sz val="10"/>
        <rFont val="Arial"/>
        <family val="2"/>
        <charset val="204"/>
      </rPr>
      <t xml:space="preserve">
50 347,56 = [592 561,09 / 1,22 /  9,84] +  2% Заг.скл</t>
    </r>
  </si>
  <si>
    <r>
      <t>ОК-08/3 , ОК-30/1, ОК-33/1, ОК-34.1*/1Оконный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чп/3,1м2/шт</t>
    </r>
    <r>
      <rPr>
        <i/>
        <sz val="10"/>
        <rFont val="Arial"/>
        <family val="2"/>
        <charset val="204"/>
      </rPr>
      <t xml:space="preserve">
50 756,88 = [597 378,66 / 1,22 /  9,84] +  2% Заг.скл</t>
    </r>
  </si>
  <si>
    <r>
      <t>ОК-29*/1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чп/3,1м2/шт</t>
    </r>
    <r>
      <rPr>
        <i/>
        <sz val="10"/>
        <rFont val="Arial"/>
        <family val="2"/>
        <charset val="204"/>
      </rPr>
      <t xml:space="preserve">
47 957,06 = [564 426,48 / 1,22 /  9,84] +  2% Заг.скл</t>
    </r>
  </si>
  <si>
    <r>
      <t>ОК-24/2, ОК-25/1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чп/3,3м2/шт</t>
    </r>
    <r>
      <rPr>
        <i/>
        <sz val="10"/>
        <rFont val="Arial"/>
        <family val="2"/>
        <charset val="204"/>
      </rPr>
      <t xml:space="preserve">
40 114,32 = [472 121,84 / 1,22 /  9,84] +  2% Заг.скл</t>
    </r>
  </si>
  <si>
    <r>
      <t>ОК-26/4, ОК-33/4,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чп/3,3м2/шт</t>
    </r>
    <r>
      <rPr>
        <i/>
        <sz val="10"/>
        <rFont val="Arial"/>
        <family val="2"/>
        <charset val="204"/>
      </rPr>
      <t xml:space="preserve">
54 577,29 = [642 342,64 / 1,22 /  9,84] +  2% Заг.скл</t>
    </r>
  </si>
  <si>
    <r>
      <t>ОК-33.1*/4, Ок-37/4 , ОК-38*/4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чп/3,3м2/шт</t>
    </r>
    <r>
      <rPr>
        <i/>
        <sz val="10"/>
        <rFont val="Arial"/>
        <family val="2"/>
        <charset val="204"/>
      </rPr>
      <t xml:space="preserve">
54 031,52 = [635 919,22 / 1,22 /  9,84] +  2% Заг.скл</t>
    </r>
  </si>
  <si>
    <r>
      <t>ОК-26/2, ОК-26/3, ОК-37/5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чп/3,5м2/шт</t>
    </r>
    <r>
      <rPr>
        <i/>
        <sz val="10"/>
        <rFont val="Arial"/>
        <family val="2"/>
        <charset val="204"/>
      </rPr>
      <t xml:space="preserve">
55 123,06 = [648 766,07 / 1,22 /  9,84] +  2% Заг.скл</t>
    </r>
  </si>
  <si>
    <r>
      <t>ОК-26/5, ОК-33/5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чп/3,6м2/шт</t>
    </r>
    <r>
      <rPr>
        <i/>
        <sz val="10"/>
        <rFont val="Arial"/>
        <family val="2"/>
        <charset val="204"/>
      </rPr>
      <t xml:space="preserve">
55 123,06 = [648 766,07 / 1,22 /  9,84] +  2% Заг.скл</t>
    </r>
  </si>
  <si>
    <r>
      <t>ОК-33.1/5, ОК-37/2, ОК-38*/2, ОК-38/4,  ОК-40.1/1, ОК-40/1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чп/3,6м2/шт</t>
    </r>
    <r>
      <rPr>
        <i/>
        <sz val="10"/>
        <rFont val="Arial"/>
        <family val="2"/>
        <charset val="204"/>
      </rPr>
      <t xml:space="preserve">
54 571,84 = [642 278,41 / 1,22 /  9,84] +  2% Заг.скл</t>
    </r>
  </si>
  <si>
    <r>
      <t>ОК-33/2, ОК-33/3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чп/33,6м2/шт</t>
    </r>
    <r>
      <rPr>
        <i/>
        <sz val="10"/>
        <rFont val="Arial"/>
        <family val="2"/>
        <charset val="204"/>
      </rPr>
      <t xml:space="preserve">
51 264,46 = [603 352,44 / 1,22 /  9,84] +  2% Заг.скл</t>
    </r>
  </si>
  <si>
    <r>
      <t>ОК-33.1/2 ОК-33.1*/3, ОК-36/3, ОК-38*/3, ОК-38*/5.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чп/3,7м2/шт</t>
    </r>
    <r>
      <rPr>
        <i/>
        <sz val="10"/>
        <rFont val="Arial"/>
        <family val="2"/>
        <charset val="204"/>
      </rPr>
      <t xml:space="preserve">
60 580,79 = [713 000,23 / 1,22 /  9,84] +  2% Заг.скл</t>
    </r>
  </si>
  <si>
    <r>
      <t>ОК-32/3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чп/3,9м2/шт</t>
    </r>
    <r>
      <rPr>
        <i/>
        <sz val="10"/>
        <rFont val="Arial"/>
        <family val="2"/>
        <charset val="204"/>
      </rPr>
      <t xml:space="preserve">
51 264,46 = [603 352,44 / 1,22 /  9,84] +  2% Заг.скл</t>
    </r>
  </si>
  <si>
    <r>
      <t>ОК-32/4,  ОК-32/5, ОК-38/2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чп/3,9м2/шт</t>
    </r>
    <r>
      <rPr>
        <i/>
        <sz val="10"/>
        <rFont val="Arial"/>
        <family val="2"/>
        <charset val="204"/>
      </rPr>
      <t xml:space="preserve">
63 855,44 = [751 540,89 / 1,22 /  9,84] +  2% Заг.скл</t>
    </r>
  </si>
  <si>
    <r>
      <t>ОК-43/4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чп/3,9м2/шт</t>
    </r>
    <r>
      <rPr>
        <i/>
        <sz val="10"/>
        <rFont val="Arial"/>
        <family val="2"/>
        <charset val="204"/>
      </rPr>
      <t xml:space="preserve">
63 309,67 = [745 117,47 / 1,22 /  9,84] +  2% Заг.скл</t>
    </r>
  </si>
  <si>
    <r>
      <t>ОК-44/3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чп/3,9м2/шт</t>
    </r>
    <r>
      <rPr>
        <i/>
        <sz val="10"/>
        <rFont val="Arial"/>
        <family val="2"/>
        <charset val="204"/>
      </rPr>
      <t xml:space="preserve">
63 036,78 = [741 905,75 / 1,22 /  9,84] +  2% Заг.скл</t>
    </r>
  </si>
  <si>
    <r>
      <t>ОК-38/3,ОК-38/5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чп/4м2/шт</t>
    </r>
    <r>
      <rPr>
        <i/>
        <sz val="10"/>
        <rFont val="Arial"/>
        <family val="2"/>
        <charset val="204"/>
      </rPr>
      <t xml:space="preserve">
61 186,61 = [720 130,34 / 1,22 /  9,84] +  2% Заг.скл</t>
    </r>
  </si>
  <si>
    <r>
      <t>ОК-43/2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чп/4,2м2/шт</t>
    </r>
    <r>
      <rPr>
        <i/>
        <sz val="10"/>
        <rFont val="Arial"/>
        <family val="2"/>
        <charset val="204"/>
      </rPr>
      <t xml:space="preserve">
59 532,91 = [700 667,35 / 1,22 /  9,84] +  2% Заг.скл</t>
    </r>
  </si>
  <si>
    <r>
      <t>ОК-43/3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чп/4,3м2/шт</t>
    </r>
    <r>
      <rPr>
        <i/>
        <sz val="10"/>
        <rFont val="Arial"/>
        <family val="2"/>
        <charset val="204"/>
      </rPr>
      <t xml:space="preserve">
70 732,18 = [832 476,07 / 1,22 /  9,84] +  2% Заг.скл</t>
    </r>
  </si>
  <si>
    <r>
      <t>ОК-39/5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чп/5м2/шт</t>
    </r>
    <r>
      <rPr>
        <i/>
        <sz val="10"/>
        <rFont val="Arial"/>
        <family val="2"/>
        <charset val="204"/>
      </rPr>
      <t xml:space="preserve">
64 493,99 = [759 056,3 / 1,22 /  9,84] +  2% Заг.скл</t>
    </r>
  </si>
  <si>
    <r>
      <t>ОП-31/2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чп/5,6м2/шт</t>
    </r>
    <r>
      <rPr>
        <i/>
        <sz val="10"/>
        <rFont val="Arial"/>
        <family val="2"/>
        <charset val="204"/>
      </rPr>
      <t xml:space="preserve">
23 151,68 = [272 481,75 / 1,22 /  9,84] +  2% Заг.скл</t>
    </r>
  </si>
  <si>
    <r>
      <t>ОК-41.1/2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чп/6,5м2/шт</t>
    </r>
    <r>
      <rPr>
        <i/>
        <sz val="10"/>
        <rFont val="Arial"/>
        <family val="2"/>
        <charset val="204"/>
      </rPr>
      <t xml:space="preserve">
66 147,68 = [778 519,28 / 1,22 /  9,84] +  2% Заг.скл</t>
    </r>
  </si>
  <si>
    <r>
      <t>ОК-42/2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чп/6,7м2/шт</t>
    </r>
    <r>
      <rPr>
        <i/>
        <sz val="10"/>
        <rFont val="Arial"/>
        <family val="2"/>
        <charset val="204"/>
      </rPr>
      <t xml:space="preserve">
82 353,86 = [969 256,51 / 1,22 /  9,84] +  2% Заг.скл</t>
    </r>
  </si>
  <si>
    <r>
      <t>ОК-45/2 Оконный блок из ПВХ профиля армированного (не менее 70мм); Цвет профиля RAL 7016, окрашенный в массе или ламинированный с 2-х сторон; Стеклопакет двухкамерный толщиной 40мм, наружное стекло закаленное; Внутренне стекло класс защиты СМ1; Низкуэмульсинное покрытие внутреннего стекла; Ручка оконная с полимерным покрытием RAL7016; Противовзломные штапики, подставочный профиль; замки безопасности (в нижней части фрамуги на тросике или с "язычком" для возможности проветривания помещения ); приточный клапан; москитная сетка на одну створку; коэффициент сопротивления теплопередаче не менее 0,61 м2С/Вт; коэффициент звукоизоляции 17дБА, предусмотреть ручки открывания на высоте не более 1,7 от чп/10,5м2/шт</t>
    </r>
    <r>
      <rPr>
        <i/>
        <sz val="10"/>
        <rFont val="Arial"/>
        <family val="2"/>
        <charset val="204"/>
      </rPr>
      <t xml:space="preserve">
71 439,49 = [840 800,83 / 1,22 /  9,84] +  2% Заг.скл</t>
    </r>
  </si>
  <si>
    <t>Установка противомоскитных сеток</t>
  </si>
  <si>
    <t>166,1</t>
  </si>
  <si>
    <t>Сетка противомоскитная, ячейки 1,5х1,5 мм, на рамке из алюминиевого профиля сечением 25х10 мм белого цвета, уголки пластиковые</t>
  </si>
  <si>
    <t>166,2</t>
  </si>
  <si>
    <t>Кронштейн Z-образный пластиковый, для крепления сеток к оконным системам, цвет белый</t>
  </si>
  <si>
    <t>Установка замков безопасности</t>
  </si>
  <si>
    <t>167,1</t>
  </si>
  <si>
    <t>Замок-защелка (блокиратор) накладного типа, для оконных и дверных конструкций, с ключом</t>
  </si>
  <si>
    <t>Установка в жилых и общественных зданиях оконных блоков из алюминиевых профилей глухих с площадью проема более 2 м2</t>
  </si>
  <si>
    <t>168,1</t>
  </si>
  <si>
    <t>Лента гидроизоляционная, паропроницаемая, самоклеящаяся, мембранного типа, с бутилкаучуковыми клеящими неотверждаемыми слоями герметика с двух краев защищенных антиадгезионной бумагой, прочность сцепления не менее 0,03 МПа, диапазон температур эксплуатации от -60 до +90°С, ширина 100 мм, для изоляции наружных стыков, защиты от проникновения наружной влаги, выхода водяных паров из монтажного шва, защиты монтажной пены от переувлажнения</t>
  </si>
  <si>
    <t>168,2</t>
  </si>
  <si>
    <t>Монтаж каркаса витражных блоков из алюминиевых профилей для входных групп, массой конструкции до 43 кг/м2</t>
  </si>
  <si>
    <t>169,1</t>
  </si>
  <si>
    <t>Профили стальные с лакокрасочным покрытием, с трапециевидной формой гофра, для настилов, высота 60 мм, монтажная ширина 902 мм, толщина 0,7 мм, типа Н60-902-0,7</t>
  </si>
  <si>
    <t>169,2</t>
  </si>
  <si>
    <t>Сверло с алмазным покрытием, диаметр 20 мм</t>
  </si>
  <si>
    <t>169,3</t>
  </si>
  <si>
    <t>Сверло спиральное HSS, для сверления алюминия, нержавеющей стали, углеродистой стали и чугуна, диаметр 4 мм, длина 75 мм</t>
  </si>
  <si>
    <t>169,4</t>
  </si>
  <si>
    <t>Диск отрезной сегментированный с алмазным покрытием, для резки бетона, кирпича и минеральных материалов, диаметр 125 мм</t>
  </si>
  <si>
    <t>Добавляется к расценке 3.9-84-2. Заполнение каркаса витражных блоков из алюминиевых профилей стеклопакетами, площадью до 2 м2</t>
  </si>
  <si>
    <t>170,1</t>
  </si>
  <si>
    <t>Добавляется к расценке 3.9-84-2. Заполнение каркаса витражных блоков из алюминиевых профилей стеклопакетами, площадью до 3 м2</t>
  </si>
  <si>
    <t>171,1</t>
  </si>
  <si>
    <r>
      <t>ОК-12 Витраж из алюминиевого профиля серии RW 64 или аналог, порошковая окраска профиля RAL7016, заполнение двухкамерным  стеклопакетом, толщиной 42 мм. коэффициент сопротивления теплопередаче не менее 0,64 м2С/Вт  EIW30  2,7 м2</t>
    </r>
    <r>
      <rPr>
        <i/>
        <sz val="10"/>
        <rFont val="Arial"/>
        <family val="2"/>
        <charset val="204"/>
      </rPr>
      <t xml:space="preserve">
44 207,61 = [520 297,54 / 1,22 /  9,84] +  2% Заг.скл</t>
    </r>
  </si>
  <si>
    <r>
      <t>ОК-13.1 Витраж из алюминиевого профиля серии RW 64 или аналог, порошковая окраска профиля RAL7016, заполнение двухкамерным  стеклопакетом, толщиной 42 мм. коэффициент сопротивления теплопередаче не менее 0,64 м2С/Вт  EIW30 2,5 м2</t>
    </r>
    <r>
      <rPr>
        <i/>
        <sz val="10"/>
        <rFont val="Arial"/>
        <family val="2"/>
        <charset val="204"/>
      </rPr>
      <t xml:space="preserve">
41 546,97 = [488 983,34 / 1,22 /  9,84] +  2% Заг.скл</t>
    </r>
  </si>
  <si>
    <r>
      <t>ОК-13.2 Витраж из алюминиевого профиля серии RW 64 или аналог, порошковая окраска профиля RAL7016, заполнение двухкамерным  стеклопакетом, толщиной 42 мм. коэффициент сопротивления теплопередаче не менее 0,64 м2С/Вт  EIW30  2,6 м2</t>
    </r>
    <r>
      <rPr>
        <i/>
        <sz val="10"/>
        <rFont val="Arial"/>
        <family val="2"/>
        <charset val="204"/>
      </rPr>
      <t xml:space="preserve">
42 570,29 = [501 027,26 / 1,22 /  9,84] +  2% Заг.скл</t>
    </r>
  </si>
  <si>
    <r>
      <t>ОК-15.1 Витраж из алюминиевого профиля серии RW 64 или аналог, порошковая окраска профиля RAL7016, заполнение двухкамерным  стеклопакетом, толщиной 42 мм. коэффициент сопротивления теплопередаче не менее 0,64 м2С/Вт  EIW30 2,5 м2</t>
    </r>
    <r>
      <rPr>
        <i/>
        <sz val="10"/>
        <rFont val="Arial"/>
        <family val="2"/>
        <charset val="204"/>
      </rPr>
      <t xml:space="preserve">
41 546,97 = [488 983,34 / 1,22 /  9,84] +  2% Заг.скл</t>
    </r>
  </si>
  <si>
    <r>
      <t>ОК-15.2 Витраж из алюминиевого профиля серии RW 64 или аналог, порошковая окраска профиля RAL7016, заполнение двухкамерным  стеклопакетом, толщиной 42 мм. коэффициент сопротивления теплопередаче не менее 0,64 м2С/Вт  EIW30 2,5 м2</t>
    </r>
    <r>
      <rPr>
        <i/>
        <sz val="10"/>
        <rFont val="Arial"/>
        <family val="2"/>
        <charset val="204"/>
      </rPr>
      <t xml:space="preserve">
41 546,97 = [488 983,34 / 1,22 /  9,84] +  2% Заг.скл</t>
    </r>
  </si>
  <si>
    <r>
      <t>ОК-15.2 Витраж из алюминиевого профиля серии RW 64 или аналог, порошковая окраска профиля RAL7016, заполнение двухкамерным  стеклопакетом, толщиной 42 мм. коэффициент сопротивления теплопередаче не менее 0,64 м2С/Вт  EIW30 2,6 м2</t>
    </r>
    <r>
      <rPr>
        <i/>
        <sz val="10"/>
        <rFont val="Arial"/>
        <family val="2"/>
        <charset val="204"/>
      </rPr>
      <t xml:space="preserve">
42 570,29 = [501 027,26 / 1,22 /  9,84] +  2% Заг.скл</t>
    </r>
  </si>
  <si>
    <r>
      <t>ОК-21.1 Витраж из алюминиевого профиля серии RW 64 или аналог, порошковая окраска профиля RAL7016, заполнение двухкамерным  стеклопакетом, толщиной 42 мм. коэффициент сопротивления теплопередаче не менее 0,64 м2С/Вт  EIW30 2,6 м2</t>
    </r>
    <r>
      <rPr>
        <i/>
        <sz val="10"/>
        <rFont val="Arial"/>
        <family val="2"/>
        <charset val="204"/>
      </rPr>
      <t xml:space="preserve">
39 275,18 = [462 245,82 / 1,22 /  9,84] +  2% Заг.скл</t>
    </r>
  </si>
  <si>
    <r>
      <t>ОК-25.1 Витраж из алюминиевого профиля серии RW 64 или аналог, порошковая окраска профиля RAL7016, заполнение двухкамерным  стеклопакетом, толщиной 42 мм. коэффициент сопротивления теплопередаче не менее 0,64 м2С/Вт  EIW30 3,3 м2</t>
    </r>
    <r>
      <rPr>
        <i/>
        <sz val="10"/>
        <rFont val="Arial"/>
        <family val="2"/>
        <charset val="204"/>
      </rPr>
      <t xml:space="preserve">
40 515,45 = [476 843,06 / 1,22 /  9,84] +  2% Заг.скл</t>
    </r>
  </si>
  <si>
    <r>
      <t>ОК-34 Витраж из алюминиевого профиля серии RW 64 или аналог, порошковая окраска профиля RAL7016, заполнение двухкамерным  стеклопакетом, толщиной 42 мм. коэффициент сопротивления теплопередаче не менее 0,64 м2С/Вт  EIW30 3,1 м2</t>
    </r>
    <r>
      <rPr>
        <i/>
        <sz val="10"/>
        <rFont val="Arial"/>
        <family val="2"/>
        <charset val="204"/>
      </rPr>
      <t xml:space="preserve">
50 756,88 = [597 378,66 / 1,22 /  9,84] +  2% Заг.скл</t>
    </r>
  </si>
  <si>
    <r>
      <t>ОК-34.2 Витраж из алюминиевого профиля серии RW 64 или аналог, порошковая окраска профиля RAL7016, заполнение двухкамерным  стеклопакетом, толщиной 42 мм. коэффициент сопротивления теплопередаче не менее 0,64 м2С/Вт  EIW30 3,1 м2</t>
    </r>
    <r>
      <rPr>
        <i/>
        <sz val="10"/>
        <rFont val="Arial"/>
        <family val="2"/>
        <charset val="204"/>
      </rPr>
      <t xml:space="preserve">
50 756,88 = [597 378,66 / 1,22 /  9,84] +  2% Заг.скл</t>
    </r>
  </si>
  <si>
    <r>
      <t>ОК-38.1 Витраж из алюминиевого профиля серии RW 64 или аналог, порошковая окраска профиля RAL7016, заполнение двухкамерным  стеклопакетом, толщиной 42 мм. коэффициент сопротивления теплопередаче не менее 0,64 м2С/Вт  EIW30 3,2 м2</t>
    </r>
    <r>
      <rPr>
        <i/>
        <sz val="10"/>
        <rFont val="Arial"/>
        <family val="2"/>
        <charset val="204"/>
      </rPr>
      <t xml:space="preserve">
50 756,88 = [597 378,66 / 1,22 /  9,84] +  2% Заг.скл</t>
    </r>
  </si>
  <si>
    <r>
      <t>ОК-38.2 Витраж из алюминиевого профиля серии RW 64 или аналог, порошковая окраска профиля RAL7016, заполнение двухкамерным  стеклопакетом, толщиной 42 мм. коэффициент сопротивления теплопередаче не менее 0,64 м2С/Вт  EIW30 3,9м2</t>
    </r>
    <r>
      <rPr>
        <i/>
        <sz val="10"/>
        <rFont val="Arial"/>
        <family val="2"/>
        <charset val="204"/>
      </rPr>
      <t xml:space="preserve">
61 186,61 = [720 130,34 / 1,22 /  9,84] +  2% Заг.скл</t>
    </r>
  </si>
  <si>
    <r>
      <t>ОК-43.1 Витраж из алюминиевого профиля серии RW 64 или аналог, порошковая окраска профиля RAL7016, заполнение двухкамерным  стеклопакетом, толщиной 42 мм. коэффициент сопротивления теплопередаче не менее 0,64 м2С/Вт  EIW30 3,5 м2</t>
    </r>
    <r>
      <rPr>
        <i/>
        <sz val="10"/>
        <rFont val="Arial"/>
        <family val="2"/>
        <charset val="204"/>
      </rPr>
      <t xml:space="preserve">
56 760,39 = [668 036,35 / 1,22 /  9,84] +  2% Заг.скл</t>
    </r>
  </si>
  <si>
    <r>
      <t>ОК-48.1 Витраж из алюминиевого профиля серии RW 64 или аналог, порошковая окраска профиля RAL7016, заполнение двухкамерным  стеклопакетом, толщиной 42 мм. коэффициент сопротивления теплопередаче не менее 0,64 м2С/Вт EI30 1,7 м2</t>
    </r>
    <r>
      <rPr>
        <i/>
        <sz val="10"/>
        <rFont val="Arial"/>
        <family val="2"/>
        <charset val="204"/>
      </rPr>
      <t xml:space="preserve">
27 998,15 = [329 521,78 / 1,22 /  9,84] +  2% Заг.скл</t>
    </r>
  </si>
  <si>
    <t>Добавляется к расценке 3.9-84-2. Заполнение каркаса витражных блоков из алюминиевых профилей вентрешетками</t>
  </si>
  <si>
    <t>186,1</t>
  </si>
  <si>
    <r>
      <t>ЖР-1 Вентиляционная решетка фасадная, металлическая RAL 7016, окраска в заводских условиях, ламели под углом 35-45С, установить мелкоячеистую сетку от грызунов и птиц/1700*650</t>
    </r>
    <r>
      <rPr>
        <i/>
        <sz val="10"/>
        <rFont val="Arial"/>
        <family val="2"/>
        <charset val="204"/>
      </rPr>
      <t xml:space="preserve">
953,83 = [11 226 / 1,22 /  9,84] +  2% Заг.скл</t>
    </r>
  </si>
  <si>
    <r>
      <t>ЖР-2 Вентиляционная решетка фасадная, металлическая RAL 7016, окраска в заводских условиях, ламели под углом 35-45С,установить мелкоячеистую сетку от грызунов и птиц/ 650*650</t>
    </r>
    <r>
      <rPr>
        <i/>
        <sz val="10"/>
        <rFont val="Arial"/>
        <family val="2"/>
        <charset val="204"/>
      </rPr>
      <t xml:space="preserve">
449,46 = [5 289,96 / 1,22 /  9,84] +  2% Заг.скл</t>
    </r>
  </si>
  <si>
    <r>
      <t>ЖР-3 Вентиляционная решетка фасадная, металлическая RAL 7016, окраска в заводских условиях, ламели под углом 35-45С,установить мелкоячеистую сетку от грызунов и птиц/ 1150*2350</t>
    </r>
    <r>
      <rPr>
        <i/>
        <sz val="10"/>
        <rFont val="Arial"/>
        <family val="2"/>
        <charset val="204"/>
      </rPr>
      <t xml:space="preserve">
2 430,94 = [28 610,69 / 1,22 /  9,84] +  2% Заг.скл</t>
    </r>
  </si>
  <si>
    <r>
      <t>ЖР-4 Вентиляционная решетка фасадная, металлическая RAL 7016, окраска в заводских условиях, ламели под углом 35-45С, установить мелкоячеистую сетку от грызунов и птиц 800*650</t>
    </r>
    <r>
      <rPr>
        <i/>
        <sz val="10"/>
        <rFont val="Arial"/>
        <family val="2"/>
        <charset val="204"/>
      </rPr>
      <t xml:space="preserve">
521,53 = [6 138,03 / 1,22 /  9,84] +  2% Заг.скл</t>
    </r>
  </si>
  <si>
    <t>Установка противопожарных металлических однопольных дверных блоков/демонтаж</t>
  </si>
  <si>
    <t>Установка алюминиевых дверных блоков в наружных и внутренних проемах в каменных стенах, площадь проема до 3 м2</t>
  </si>
  <si>
    <t>192,1</t>
  </si>
  <si>
    <t>192,2</t>
  </si>
  <si>
    <t>Сверло победитовое, диаметр 8 мм, длина 80 мм</t>
  </si>
  <si>
    <t>192,3</t>
  </si>
  <si>
    <t>Лента предварительносжатая, саморасширяющаяся, уплотнительная, типа ПСУЛ 10/4</t>
  </si>
  <si>
    <r>
      <t>ДН-01-Л/П Входная алюминиевая дверь из теплого алюминиевого профиля толщиной 70мм, стеклопакет 32 мм, со стороны улицы мультифункциональное закаленное 6мм, терморамка черного цвета толщиной 18мм, которая заполняется аргоном и безопасный триплекс из 2 стекол толщиной 4ммс 2 пленками внутри по 0,76мм с формулой 6ls-18tчерн ar-4 зак,4зак.2) Порошковая окраска RAL 7016, замок отсутствует, доводчик дверной со скользящей тягой с регулируемым усилием EN 1-4, RAL 7016, порог 14мм, руска вертикальная скоба на всю высоту двери с диамметром трубы 32-35мм AISI 304, петли накладные, RAL 7016, электромагнитная защелка нормально-открытая, косой ригель электромагнитной защелки нажимная ручка снаружи и ручка антипаника внутри, 2,3 м2</t>
    </r>
    <r>
      <rPr>
        <i/>
        <sz val="10"/>
        <rFont val="Arial"/>
        <family val="2"/>
        <charset val="204"/>
      </rPr>
      <t xml:space="preserve">
5 888,14 = [69 300 / 1,22 /  9,84] +  2% Заг.скл</t>
    </r>
  </si>
  <si>
    <r>
      <t>ДН-02-Л/П Входная алюминиевая дверь из теплого алюминиевого профиля толщиной 70мм, стеклопакет 32 мм, со стороны улицы мультифункциональное закаленное 6мм, терморамка черного цвета толщиной 18мм, которая заполняется аргоном и безопасный триплекс из 2 стекол толщиной 4ммс 2 пленками внутри по 0,76мм с формулой 6ls-18tчерн ar-4 зак,4зак.2) Порошковая окраска RAL 7016, замок отсутствует, доводчик дверной со скользящей тягой с регулируемым усилием EN 1-4, RAL 7016, порог 14мм, ручка антипаника изнутри, нажимная ручка снаружи, петли накладные, RAL 7016, электромагнитная защелка нормально-открытая, косой ригель электромагнитной защелки нажимная ручка снаружи и ручка антипаника внутри, 2,5 м2</t>
    </r>
    <r>
      <rPr>
        <i/>
        <sz val="10"/>
        <rFont val="Arial"/>
        <family val="2"/>
        <charset val="204"/>
      </rPr>
      <t xml:space="preserve">
6 448,92 = [75 900 / 1,22 /  9,84] +  2% Заг.скл</t>
    </r>
  </si>
  <si>
    <r>
      <t>ДН-04-Л Входная алюминиевая дверь из теплого алюминиевого профиля толщиной 70мм, стеклопакет 32 мм, со стороны улицы  мультифункциональное закаленное 6мм, терморамка черного цвета толщиной 18мм, которая заполняется аргоном и  безопасный триплекс из 2 стекол толщиной 4ммс 2 пленками внутри по 0,76мм с формулой 6ls-18tчерн ar-4 зак,4зак.2)  Порошковая окраска RAL 7016, замок отсутствует, доводчик дверной со скользящей тягой с регулируемым усилием EN 1-4,  RAL 7016, порог 14мм, ручка антипаника изнутри, нажимная ручка снаружи, петли накладные, RAL 7016, электромагнитная  защелка нормально-открытая, косой ригель электромагнитной защелки,Нажимная ручка с двух сторон, 1,8 м2</t>
    </r>
    <r>
      <rPr>
        <i/>
        <sz val="10"/>
        <rFont val="Arial"/>
        <family val="2"/>
        <charset val="204"/>
      </rPr>
      <t xml:space="preserve">
4 486,20 = [52 800 / 1,22 /  9,84] +  2% Заг.скл</t>
    </r>
  </si>
  <si>
    <r>
      <t>ДН-04.1-Л/П  Входная алюминиевая дверь из теплого алюминиевого профиля толщиной 70мм, стеклопакет 32 мм, со стороны улицы  мультифункциональное закаленное 6мм, терморамка черного цвета толщиной 18мм, которая заполняется аргоном и  безопасный триплекс из 2 стекол толщиной 4ммс 2 пленками внутри по 0,76мм с формулой 6ls-18tчерн ar-4 зак,4зак.2)  Порошковая окраска RAL 7016, замок отсутствует, доводчик дверной со скользящей тягой с регулируемым усилием EN 1-4,  RAL 7016, порог 14мм, ручка антипаника изнутри, нажимная ручка снаружи, петли накладные, RAL 7016, электромагнитная  защелка нормально-открытая, косойригель электромагнитной защелки,Нажимная ручка с двух сторон,1,9 м2</t>
    </r>
    <r>
      <rPr>
        <i/>
        <sz val="10"/>
        <rFont val="Arial"/>
        <family val="2"/>
        <charset val="204"/>
      </rPr>
      <t xml:space="preserve">
4 766,59 = [56 100 / 1,22 /  9,84] +  2% Заг.скл</t>
    </r>
  </si>
  <si>
    <r>
      <t>ДН-06-П Входная алюминиевая дверь из теплого алюминиевого профиля толщиной 70мм, стеклопакет 32 мм, со стороны улицы  мультифункциональное закаленное 6мм, терморамка черного цвета толщиной 18мм, которая заполняется аргоном и  безопасный триплекс из 2 стекол толщиной 4ммс 2 пленками внутри по 0,76мм с формулой 6ls-18tчерн ar-4 зак,4зак.2)  Порошковая окраска RAL 7016, замок отсутствует, доводчик дверной со скользящей тягой с регулируемым усилием EN 1-4,  RAL 7016, порог 14мм, ручка антипаника изнутри, нажимная ручка снаружи, петли накладные, RAL 7016, электромагнитная  защелка нормально-открытая,косой ригель электромагнитной защелки нажимная ручка снаружи и ручка антипаника внутри, 2,6 м2</t>
    </r>
    <r>
      <rPr>
        <i/>
        <sz val="10"/>
        <rFont val="Arial"/>
        <family val="2"/>
        <charset val="204"/>
      </rPr>
      <t xml:space="preserve">
6 624,80 = [77 970 / 1,22 /  9,84] +  2% Заг.скл</t>
    </r>
  </si>
  <si>
    <r>
      <t>ДН-07-П Входная алюминиевая дверь из теплого алюминиевого профиля толщиной 70мм, стеклопакет 32 мм, со стороны улицы  мультифункциональное закаленное 6мм, терморамка черного цвета толщиной 18мм, которая заполняется аргоном и  безопасный триплекс из 2 стекол толщиной 4ммс 2 пленками внутри по 0,76мм с формулой 6ls-18tчерн ar-4 зак,4зак.2)  Порошковая окраска RAL 7016, замок отсутствует, доводчик дверной со скользящей тягой с регулируемым усилием EN 1-4,  RAL 7016, порог 14мм, ручка антипаника изнутри, нажимная ручка снаружи, петли накладные, RAL 7016, электромагнитная  защелка нормально-открытая, соой ригель электромагнитной защелки Нажимная ручка с двух сторон/ 2,8 м2</t>
    </r>
    <r>
      <rPr>
        <i/>
        <sz val="10"/>
        <rFont val="Arial"/>
        <family val="2"/>
        <charset val="204"/>
      </rPr>
      <t xml:space="preserve">
7 035,18 = [82 800 / 1,22 /  9,84] +  2% Заг.скл</t>
    </r>
  </si>
  <si>
    <r>
      <t>ДН-11-П Входная алюминиевая дверь из теплого алюминиевого профиля толщиной 70мм, стеклопакет 32 мм, со стороны улицы  мультифункциональное закаленное 6мм, терморамка черного цвета толщиной 18мм, которая заполняется аргоном и  безопасный триплекс из 2 стекол толщиной 4ммс 2 пленками внутри по 0,76мм с формулой 6ls-18tчерн ar-4 зак,4зак.2)  Порошковая окраска RAL 7016, замок отсутствует, доводчик дверной со скользящей тягой с регулируемым усилием EN 1-4,  RAL 7016, порог 14мм, руска вертикальная скоба на всю высоту двери с диамметром трубы 32-35мм AISI 304, петли  накладные, RAL 7016, электромагнитная защелка нормально-открытая, косой ригель электромагнитной защелки,замки с  цилиндровым механизмом и личинкой "ключ-барашек";  Нажимная ручка с двух сторон, 2,5 м2</t>
    </r>
    <r>
      <rPr>
        <i/>
        <sz val="10"/>
        <rFont val="Arial"/>
        <family val="2"/>
        <charset val="204"/>
      </rPr>
      <t xml:space="preserve">
6 492,25 = [76 410 / 1,22 /  9,84] +  2% Заг.скл</t>
    </r>
  </si>
  <si>
    <t>Установка алюминиевых дверных блоков в наружных и внутренних проемах в каменных стенах, площадь проема более 3 м2</t>
  </si>
  <si>
    <t>200,1</t>
  </si>
  <si>
    <t>200,2</t>
  </si>
  <si>
    <t>200,3</t>
  </si>
  <si>
    <r>
      <t>ДН-03-Л Входная алюминиевая дверь из теплого алюминиевого профиля толщиной 70мм, стеклопакет 32 мм, со стороны улицы  мультифункциональное закаленное 6мм, терморамка черного цвета толщиной 18мм, которая заполняется аргоном и  безопасный триплекс из 2 стекол толщиной 4ммс 2 пленками внутри по 0,76мм с формулой 6ls-18tчерн ar-4 зак,4зак.2)  Порошковая окраска RAL 7016, замок отсутствует, доводчик дверной на обе створки со скользящей тягой с регулируемым  усилием EN 1-4, RAL 7016,скользящая тяга с синхронизацией доводчиков, порог 14мм, ручки антипаника на обе створки,  снаружи нажимная ручка, петли накладные, RAL 7016, электромагнитная защелка нормально-открытая, косой ригель  электромагнитной защелки нажимная ручка снаружи и ручка антипаника внутри, 3,3 м2</t>
    </r>
    <r>
      <rPr>
        <i/>
        <sz val="10"/>
        <rFont val="Arial"/>
        <family val="2"/>
        <charset val="204"/>
      </rPr>
      <t xml:space="preserve">
8 495,75 = [99 990 / 1,22 /  9,84] +  2% Заг.скл</t>
    </r>
  </si>
  <si>
    <t xml:space="preserve">ДН-08-Л Входная алюминиевая дверь из теплого алюминиевого профиля толщиной 70мм, стеклопакет 32 мм, со стороны улицы  мультифункциональное закаленное 6мм, терморамка черного цвета толщиной 18мм, которая заполняется аргоном и  безопасный триплекс из 2 стекол толщиной 4ммс 2 пленками внутри по 0,76мм с формулой 6ls-18tчерн ar-4 зак,4зак.2)  Порошковая окраска RAL 7016, замок отсутствует, доводчик дверной на обе створки со скользящей тягой с регулируемым  усилием EN 1-4, RAL 7016,скользящая тяга с синхронизацией доводчиков, порог 14мм, ручки антипаника на обе створки,  снаружи нажимная ручка, петли накладные, RAL 7016, электромагнитная защелка нормально-открытая, соой ригель  электромагнитной защелки, на доборном полотне электромеханический замок с установкой в верхний профиль полотн, </t>
  </si>
  <si>
    <r>
      <t>нажимная ручка снаружи и ручка антипаника внутри, 4,9 м</t>
    </r>
    <r>
      <rPr>
        <i/>
        <sz val="10"/>
        <rFont val="Arial"/>
        <family val="2"/>
        <charset val="204"/>
      </rPr>
      <t xml:space="preserve">
12 541,49 = [147 606 / 1,22 /  9,84] +  2% Заг.скл</t>
    </r>
  </si>
  <si>
    <t xml:space="preserve">ДН-09-П Входная алюминиевая дверь из теплого алюминиевого профиля толщиной 70мм, стеклопакет 32 мм, со стороны улицы  мультифункциональное закаленное 6мм, терморамка черного цвета толщиной 18мм, которая заполняется аргоном и  безопасный триплекс из 2 стекол толщиной 4ммс 2 пленками внутри по 0,76мм с формулой 6ls-18tчерн ar-4 зак,4зак.2)  Порошковая окраска RAL 7016, замок отсутствует, доводчик дверной на обе створки со скользящей тягой с регулируемым  усилием EN 1-4, RAL 7016,скользящая тяга с синхронизацией доводчиков, порог 14мм, ручки антипаника на обе створки,  снаружи нажимная ручка, петли накладные, RAL 7016, электромагнитная защелка нормально-открытая, соой ригель  электромагнитной защелки, на доборном полотне электромеханический замок с установкой в верхний профиль </t>
  </si>
  <si>
    <r>
      <t>полотна,нажимная ручка снаружи и ручка антипаника внутри, 4,4 м</t>
    </r>
    <r>
      <rPr>
        <i/>
        <sz val="10"/>
        <rFont val="Arial"/>
        <family val="2"/>
        <charset val="204"/>
      </rPr>
      <t xml:space="preserve">
11 121,71 = [130 896 / 1,22 /  9,84] +  2% Заг.скл</t>
    </r>
  </si>
  <si>
    <t>ДН-10-П Входная алюминиевая дверь из теплого алюминиевого профиля толщиной 70мм, стеклопакет 32 мм, со стороны улицы  мультифункциональное закаленное 6мм, терморамка черного цвета толщиной 18мм, которая заполняется аргоном и  безопасный триплекс из 2 стекол толщиной 4ммс 2 пленками внутри по 0,76мм с формулой 6ls-18tчерн ar-4 зак,4зак.2)  Порошковая окраска RAL 7016, замок отсутствует, доводчик дверной на обе створки со скользящей тягой с регулируемым  усилием EN 1-4, RAL 7016,скользящая тяга с синхронизацией доводчиков, порог 14мм, ручка на основную створку  вертикальная скоба на всю высоту двери с диамметром трубы 32-35мм AISI 304, петли накладные, RAL 7016,  электромагнитная защелка нормально-открытая, соой ригель электромагнитной защелки, на доборном полотне  электромеханический замок</t>
  </si>
  <si>
    <r>
      <t>с установкой в верхний профиль полотна,нажимная ручка снаружи и ручка антипаника внутри, 5 м</t>
    </r>
    <r>
      <rPr>
        <i/>
        <sz val="10"/>
        <rFont val="Arial"/>
        <family val="2"/>
        <charset val="204"/>
      </rPr>
      <t xml:space="preserve">
12 666,39 = [149 076 / 1,22 /  9,84] +  2% Заг.скл</t>
    </r>
  </si>
  <si>
    <t>Установка устройства экстренного открывания металлических противопожарных дверей</t>
  </si>
  <si>
    <t>205,1</t>
  </si>
  <si>
    <t>Устройство экстренного открывания дверей накладного типа (Антипаника), в комплекте: устройство для аварийного выхода - 1 шт., штанга - 1 шт., наружное устройство доступа - 1 шт.</t>
  </si>
  <si>
    <t>Установка дверного доводчика или синхронизатора к металлическим дверям</t>
  </si>
  <si>
    <t>206,1</t>
  </si>
  <si>
    <t>Доводчик дверной, гидравлический, масса двери до 150 кг</t>
  </si>
  <si>
    <t>Установка противопожарных металлических однопольных дверных блоков</t>
  </si>
  <si>
    <r>
      <t>ДН-05-Л, ДН-05.1-Л Входная алюминиевая дверь из теплого алюминиевого профиля толщиной 70мм, стеклопакет 32 мм, со стороны улицы  мультифункциональное закаленное 6мм, терморамка черного цвета толщиной 18мм, которая заполняется аргоном и  безопасный триплекс из 2 стекол толщиной 4ммс 2 пленками внутри по 0,76мм с формулой 6ls-18tчерн ar-4 зак,4зак.2)  Порошковая окраска RAL 7016, замок отсутствует, доводчик дверной со скользящей тягой с регулируемым усилием EN 1-4,  RAL 7016, порог 14мм, ручка антипаника изнутри, нажимная ручка снаружи, петли накладные, RAL 7016, электромагнитная  защелка нормально-открытая, соой ригель электромагнитной защелки Нажимная ручка с двух сторон, 4м2</t>
    </r>
    <r>
      <rPr>
        <i/>
        <sz val="10"/>
        <rFont val="Arial"/>
        <family val="2"/>
        <charset val="204"/>
      </rPr>
      <t xml:space="preserve">
6 875,45 = [80 920 / 1,22 /  9,84] +  2% Заг.скл</t>
    </r>
  </si>
  <si>
    <r>
      <t>ДН-12-П Дверной блок утепленный металлический сталь толщиной 1,2мм, полотно и коробка окрашены порошковой краской, RAL7016,  порог плоский 3, 14мм, с притвором 13/24 и 23/41, автоматический; петли каплевидные 2 шт на сворку на подшипниках  регулируемые, доводчикбез фиксатора, выдерживающий 100 000 циклов открываний, цвет замка и цилиндра никель/хром,  устойчива к влажной убоке замки с цилиндровым механизмом и личинкой "ключ-барашек";  Нажимная ручка с двух сторон, 2,1 м2</t>
    </r>
    <r>
      <rPr>
        <i/>
        <sz val="10"/>
        <rFont val="Arial"/>
        <family val="2"/>
        <charset val="204"/>
      </rPr>
      <t xml:space="preserve">
3 551,58 = [41 800 / 1,22 /  9,84] +  2% Заг.скл</t>
    </r>
  </si>
  <si>
    <t>210,1</t>
  </si>
  <si>
    <t>211,1</t>
  </si>
  <si>
    <t>Разборка кладки стен из мелкоблочных камней</t>
  </si>
  <si>
    <t>Разборка кирпичных перегородок</t>
  </si>
  <si>
    <t>Кладка перегородок армированных толщиной в 1/2 кирпича при высоте этажа до 4 м</t>
  </si>
  <si>
    <t>214,1</t>
  </si>
  <si>
    <t>Арматурные заготовки (стержни, хомуты и т.п.), не собранные в каркасы или сетки, углеродистая сталь общего назначения и арматурная сталь гладкая, класс А-I, диаметр от 6 до 7 мм</t>
  </si>
  <si>
    <t>214,2</t>
  </si>
  <si>
    <t>Кирпич керамический рядовой, полнотелый, размер 250х120х65 мм, марка 150</t>
  </si>
  <si>
    <t>214,3</t>
  </si>
  <si>
    <t>Кладка из легкобетонных камней без облицовки стен при высоте этажа до 4 м</t>
  </si>
  <si>
    <t>215,1</t>
  </si>
  <si>
    <t>215,2</t>
  </si>
  <si>
    <t>Блоки из ячеистого бетона стеновые, мелкие</t>
  </si>
  <si>
    <t>Устройство перегородок из гипсокартонных листов (ГКЛ) с одинарным металлическим каркасом и однослойной обшивкой с обеих сторон: глухих /прим. зашивка коммуникаций листами ГКЛВ, металлический каркас с облицовкой ГКЛВ (2 листа) толщ. 12,5 с одной стороны, профиль 50 мм</t>
  </si>
  <si>
    <t>216,1</t>
  </si>
  <si>
    <t>Лента уплотнительная, полимерная, микропористая, самоклеящаяся, ширина 50 мм, толщина 3 мм, для звукоизоляции и плотного сопряжения металлических профилей каркаса облицовок и перегородок с несущими строительными конструкциями в местах примыкания</t>
  </si>
  <si>
    <t>216,2</t>
  </si>
  <si>
    <t>Профиль направляющий П-образный, стальной оцинкованный, для использования в качестве направляющих элементов стоечных профилей и устройства перемычек между ними в каркасах гипсокартонных перегородок и облицовок, типа ПН, сечение 75х40х0,6 мм</t>
  </si>
  <si>
    <t>216,3</t>
  </si>
  <si>
    <t>Профиль стоечный С-образный, стальной оцинкованный, для устройства вертикальных стоек каркасов гипсокартонных перегородок и облицовок, типа ПС, сечение 75х50х0,6 мм</t>
  </si>
  <si>
    <t>216,4</t>
  </si>
  <si>
    <t>Лист гипсокартонный влагостойкий с кромкой типа ПЛУК/УК, размер 2500х1200х12,5 мм</t>
  </si>
  <si>
    <t>Устройство теплоизоляции стен минераловатными плитами на основе стекловолокна с креплением дюбелями с люльки в один слой</t>
  </si>
  <si>
    <t>217,1</t>
  </si>
  <si>
    <t>Дюбель тарельчатый пластиковый, с оцинкованным стальным гвоздем с термоголовкой, для крепления теплоизоляции, диаметр 8 мм, длина 210 мм</t>
  </si>
  <si>
    <t>217,2</t>
  </si>
  <si>
    <t>Сверло победитовое, диаметр 10 мм, длина 400 мм</t>
  </si>
  <si>
    <t>217,3</t>
  </si>
  <si>
    <t>Плиты из минеральной ваты на синтетическом связующем, теплоизоляционные, марка ПЖ-100</t>
  </si>
  <si>
    <t>Теплоизоляция строительных конструкций покрытий и перекрытий снизу плитами из минеральной ваты на клее с механическим креплением тарельчатыми дюбелями</t>
  </si>
  <si>
    <t>218,1</t>
  </si>
  <si>
    <t>Монтаж стальных плинтусов из гнутого профиля</t>
  </si>
  <si>
    <r>
      <t>Порог из Т-образного профиля из нержавеющей стали со скругленными углами типа Лука ЛС 10НСП или аналог,  (ДхВхШ) 2700х9х14мм, цвет матовый хром, устанавливается в конце укладки (на стыках) двух типов  напольных покрытий.</t>
    </r>
    <r>
      <rPr>
        <i/>
        <sz val="10"/>
        <rFont val="Arial"/>
        <family val="2"/>
        <charset val="204"/>
      </rPr>
      <t xml:space="preserve">
66,09 = [777,78 / 1,22 /  9,84] +  2% Заг.скл</t>
    </r>
  </si>
  <si>
    <t>Облицовка поверхностей декоративными отделочными панелями из древесных материалов/демонтаж</t>
  </si>
  <si>
    <t>Облицовка поверхностей декоративными отделочными панелями из древесных материалов в 2 слоя</t>
  </si>
  <si>
    <t>Фанера березовая, общего назначения, склеенная, шлифованная с двух сторон, повышенной водостойкости, для внутреннего и наружного использования, марка ФСФ, сорт I/II, толщина 12 мм</t>
  </si>
  <si>
    <t>Разборка деревянных заполнений проемов дверных, воротных</t>
  </si>
  <si>
    <t>Демонтаж / Установка противопожарных металлических однопольных дверных блоков</t>
  </si>
  <si>
    <t>Установка алюминиевых дверных блоков внутренних проемов в каменных стенах, площадь проема до 3 м2</t>
  </si>
  <si>
    <t>226,1</t>
  </si>
  <si>
    <t>226,2</t>
  </si>
  <si>
    <t>226,3</t>
  </si>
  <si>
    <t>ДВ-1-П  (1030х2200 мм) / Дверной блок алюминиевый остекленный с телескопической алюминиевой дверной коробкой с алюминиевыми доборами,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ручка - с обеих сторон вертикальная штанга во всю высоту полотна ; замки с</t>
  </si>
  <si>
    <r>
      <t>цилиндровым механизмом и личинкой "ключ-барашек"; Видимы профиль не более 70м</t>
    </r>
    <r>
      <rPr>
        <i/>
        <sz val="10"/>
        <rFont val="Arial"/>
        <family val="2"/>
        <charset val="204"/>
      </rPr>
      <t xml:space="preserve">
5 775,98 = [67 980 / 1,22 /  9,84] +  2% Заг.скл</t>
    </r>
  </si>
  <si>
    <t>"ДВ-1*-Л, ДВ-1*-П Дверной блок алюминиевый остекленный с телескопической алюминиевой дверной коробкой с алюминиевыми доборами,площадь остекления двери не менее 70% от площади дверного полотна, размер наличника коробки по петлевой стороне неменее 55х9мм, с обратной стороны 68х9, RAL 7016, толщина профиля дверного полотна 64мм, заполнение дверного полотна -стекло-триплекс с 2-х сторон с закаленными стеклами 4мм, замок механический роликовый замок с цилиндровым механизмом, доводчик дверной сос кользящей тягой с регулируемым усилием EN-1-4, встроенным фиксатором в окрытом положении и встроенным ограничителем угла открывания дверного полотна, RAL 7016,выпадающий порог, петли роликовые регулируемые, класс безопасности СМ4, звукоизоляция 32 дб, оклеить матовой пленкой изнутри (ручка - с обеих</t>
  </si>
  <si>
    <r>
      <t>сторонвертикальная штанга во всю высоту полотна ; замки с цилиндровым механизмом и личинкой ""ключ-ключ""; Оклеить матовой пленкой (изнутри) пленка на внутреннийм слой стекла стеклопакета</t>
    </r>
    <r>
      <rPr>
        <i/>
        <sz val="10"/>
        <rFont val="Arial"/>
        <family val="2"/>
        <charset val="204"/>
      </rPr>
      <t xml:space="preserve">
5 775,98 = [67 980 / 1,22 /  9,84] +  2% Заг.скл</t>
    </r>
  </si>
  <si>
    <t>ДВ-1*-Л Дверной блок алюминиевый остекленный с телескопической алюминиевой дверной коробкой с алюминиевыми доборами,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-стекло-триплекс с 2-х сторон с закаленными стеклами 4мм, замок механический роликовый замок с цилиндровым механизмом, доводчик дверной сос кользящей тягой с регулируемым усилием EN-1-4, встроенным фиксатором в окрытом положении и встроенным ограничителем угла открывания дверного полотна, RAL 7016,выпадающий порог, петли роликовые регулируемые, класс безопасности СМ4, звукоизоляция 32 дб, ручка - с обеих сторон вертикальная штанга во всю высоту</t>
  </si>
  <si>
    <r>
      <t>полотна ;замки с цилиндровым механизмом и личинкой "ключ-ключ"; Оклеить матовой пленкой (изнутри</t>
    </r>
    <r>
      <rPr>
        <i/>
        <sz val="10"/>
        <rFont val="Arial"/>
        <family val="2"/>
        <charset val="204"/>
      </rPr>
      <t xml:space="preserve">
5 775,98 = [67 980 / 1,22 /  9,84] +  2% Заг.скл</t>
    </r>
  </si>
  <si>
    <t>ДВ-1*л-П Дверной блок алюминиевый остекленный с телескопической алюминиевой дверной коробкой с алюминиевыми доборами,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-стекло-триплекс с 2-х сторон с закаленными стеклами 4мм, замок механический роликовый замок с цилиндровым механизмом, доводчик дверной сос кользящей тягой с регулируемым усилием EN-1-4, встроенным фиксатором в окрытом положении и встроенным ограничителем угла открывания дверного полотна, RAL 7016,выпадающий порог, петли роликовые регулируемые, класс безопасности СМ4, звукоизоляция 32 дб, оклеить матовой пленкой изнутри нажимная ручка снаружи и</t>
  </si>
  <si>
    <r>
      <t>ручка антипаника; Оклеить матовой пленкой (изнутри) пленка на внутреннийм слой стекла стеклопакет</t>
    </r>
    <r>
      <rPr>
        <i/>
        <sz val="10"/>
        <rFont val="Arial"/>
        <family val="2"/>
        <charset val="204"/>
      </rPr>
      <t xml:space="preserve">
6 897,55 = [81 180 / 1,22 /  9,84] +  2% Заг.скл</t>
    </r>
  </si>
  <si>
    <t>ДВ-1.2-Л/П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7016,петли роликовые регулируемые, звукоизоляция 32 дб ручка - с обеих сторон вертикальная штанга во всю высоту</t>
  </si>
  <si>
    <r>
      <t>полотна ;замки с цилиндровым механизмом и личинкой "ключ-барашек"EI</t>
    </r>
    <r>
      <rPr>
        <i/>
        <sz val="10"/>
        <rFont val="Arial"/>
        <family val="2"/>
        <charset val="204"/>
      </rPr>
      <t xml:space="preserve">
5 775,98 = [67 980 / 1,22 /  9,84] +  2% Заг.скл</t>
    </r>
  </si>
  <si>
    <t>"ДВ-1.3-Л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класс безопасности СМ4, звукоизоляция 32 дб ручка - с обеих сторон вертикальная штанга во всю высоту</t>
  </si>
  <si>
    <r>
      <t>полотна ; замки с цилиндровым механизмом и личинкой ""ключ-барашек""</t>
    </r>
    <r>
      <rPr>
        <i/>
        <sz val="10"/>
        <rFont val="Arial"/>
        <family val="2"/>
        <charset val="204"/>
      </rPr>
      <t xml:space="preserve">
5 775,98 = [67 980 / 1,22 /  9,84] +  2% Заг.скл</t>
    </r>
  </si>
  <si>
    <t>ДВ-1.3*-Л , ДВ-1.3*-П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7016,петли роликовые регулируемые, звукоизоляция 32 дб ручка - с обеих сторон вертикальная штанга во</t>
  </si>
  <si>
    <r>
      <t>всю высоту полотна ;замки с цилиндровым механизмом и личинкой "ключ-ключ"; Оклеить матовой пленкой (изнутри) пленка на внутреннийм слой стекла стеклопакета  EI</t>
    </r>
    <r>
      <rPr>
        <i/>
        <sz val="10"/>
        <rFont val="Arial"/>
        <family val="2"/>
        <charset val="204"/>
      </rPr>
      <t xml:space="preserve">
5 775,98 = [67 980 / 1,22 /  9,84] +  2% Заг.скл</t>
    </r>
  </si>
  <si>
    <t>ДВ-1л-П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7016,петли роликовые регулируемые, звукоизоляция 32 дб нажимная ручка снаружи и ручка антипаника на обе створки;</t>
  </si>
  <si>
    <r>
      <t>Оборудовать доводчиком без фиксатора EI3</t>
    </r>
    <r>
      <rPr>
        <i/>
        <sz val="10"/>
        <rFont val="Arial"/>
        <family val="2"/>
        <charset val="204"/>
      </rPr>
      <t xml:space="preserve">
5 775,98 = [67 980 / 1,22 /  9,84] +  2% Заг.скл</t>
    </r>
  </si>
  <si>
    <t>"ДВ-3.1-Л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ручка - с обеих сторон вертикальная штанга во всю высоту</t>
  </si>
  <si>
    <r>
      <t>полотна ; замки с цилиндровым механизмом и личинкой ""ключ-барашек"" EI30</t>
    </r>
    <r>
      <rPr>
        <i/>
        <sz val="10"/>
        <rFont val="Arial"/>
        <family val="2"/>
        <charset val="204"/>
      </rPr>
      <t xml:space="preserve">
6 897,55 = [81 180 / 1,22 /  9,84] +  2% Заг.скл</t>
    </r>
  </si>
  <si>
    <t>"ДВ-5.1л-Л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нажимная ручка снаружи и ручка антипаника на обе створки;</t>
  </si>
  <si>
    <r>
      <t>Оборудовать доводчиком без фиксатора EI30</t>
    </r>
    <r>
      <rPr>
        <i/>
        <sz val="10"/>
        <rFont val="Arial"/>
        <family val="2"/>
        <charset val="204"/>
      </rPr>
      <t xml:space="preserve">
5 775,98 = [67 980 / 1,22 /  9,84] +  2% Заг.скл</t>
    </r>
  </si>
  <si>
    <t>"ДВ-5.1л-П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нажимная ручка снаружи и ручка антипаника на обе створки;</t>
  </si>
  <si>
    <r>
      <t>Оборудовать доводчиком без фиксатора  EI30</t>
    </r>
    <r>
      <rPr>
        <i/>
        <sz val="10"/>
        <rFont val="Arial"/>
        <family val="2"/>
        <charset val="204"/>
      </rPr>
      <t xml:space="preserve">
6 897,55 = [81 180 / 1,22 /  9,84] +  2% Заг.скл</t>
    </r>
  </si>
  <si>
    <r>
      <t>ДВ-10л-ЛДверной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нажимная ручка снаружи и ручка антипаника EIW30</t>
    </r>
    <r>
      <rPr>
        <i/>
        <sz val="10"/>
        <rFont val="Arial"/>
        <family val="2"/>
        <charset val="204"/>
      </rPr>
      <t xml:space="preserve">
6 897,55 = [81 180 / 1,22 /  9,84] +  2% Заг.скл</t>
    </r>
  </si>
  <si>
    <t>Установка алюминиевых дверных блоков внутренних проемоа в каменных стенах, площадь проема более 3 м2</t>
  </si>
  <si>
    <t>239,1</t>
  </si>
  <si>
    <t>239,2</t>
  </si>
  <si>
    <t>239,3</t>
  </si>
  <si>
    <t>"ДВ-7.1-П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ручка - с обеих сторон вертикальная штанга во всю высоту</t>
  </si>
  <si>
    <r>
      <t>полотна ; замки с цилиндровым механизмом и личинкой ""ключ-барашек"" EI30</t>
    </r>
    <r>
      <rPr>
        <i/>
        <sz val="10"/>
        <rFont val="Arial"/>
        <family val="2"/>
        <charset val="204"/>
      </rPr>
      <t xml:space="preserve">
8 579,87 = [100 980 / 1,22 /  9,84] +  2% Заг.скл</t>
    </r>
  </si>
  <si>
    <t>"ДВ-7.1з-Л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оборудовать устройством координаторов последовательного</t>
  </si>
  <si>
    <r>
      <t>закрывания; ручка вертикальная штанга во всю высоту полотна снаружи на основную створку и ручка антипаника на обе створки RAL 7016 внутри EI30</t>
    </r>
    <r>
      <rPr>
        <i/>
        <sz val="10"/>
        <rFont val="Arial"/>
        <family val="2"/>
        <charset val="204"/>
      </rPr>
      <t xml:space="preserve">
9 645,34 = [113 520 / 1,22 /  9,84] +  2% Заг.скл</t>
    </r>
  </si>
  <si>
    <t>ДВ-7.1л-П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нажимная ручка снаружи и ручка антипаника на обе створки</t>
  </si>
  <si>
    <r>
      <t>RAL 7016, г оборудовать устройством координаторов последовательного закрывания EI3</t>
    </r>
    <r>
      <rPr>
        <i/>
        <sz val="10"/>
        <rFont val="Arial"/>
        <family val="2"/>
        <charset val="204"/>
      </rPr>
      <t xml:space="preserve">
9 645,34 = [113 520 / 1,22 /  9,84] +  2% Заг.скл</t>
    </r>
  </si>
  <si>
    <t>"ДВ-7.2-Л,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ручка - с обеих сторон вертикальная штанга во всю высоту</t>
  </si>
  <si>
    <r>
      <t>полотна ; замки с цилиндровым механизмом и личинкой ""ключ-барашек"" EIW15</t>
    </r>
    <r>
      <rPr>
        <i/>
        <sz val="10"/>
        <rFont val="Arial"/>
        <family val="2"/>
        <charset val="204"/>
      </rPr>
      <t xml:space="preserve">
9 645,34 = [113 520 / 1,22 /  9,84] +  2% Заг.скл</t>
    </r>
  </si>
  <si>
    <t>"ДВ-7.3л-Л, ДВ-7.3л-П/ЛДверной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(нажимная ручка снаружи и ручка антипаника на</t>
  </si>
  <si>
    <r>
      <t>обе створки; оборудовать устройством координаторов последовательного закрывания EIW30</t>
    </r>
    <r>
      <rPr>
        <i/>
        <sz val="10"/>
        <rFont val="Arial"/>
        <family val="2"/>
        <charset val="204"/>
      </rPr>
      <t xml:space="preserve">
9 645,34 = [113 520 / 1,22 /  9,84] +  2% Заг.скл</t>
    </r>
  </si>
  <si>
    <t>"ДВ-7.4л-ПДверной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(нажимная ручка снаружи и ручка антипаника на обе створки;</t>
  </si>
  <si>
    <r>
      <t>оборудовать устройством координаторов последовательного закрывания EIW15</t>
    </r>
    <r>
      <rPr>
        <i/>
        <sz val="10"/>
        <rFont val="Arial"/>
        <family val="2"/>
        <charset val="204"/>
      </rPr>
      <t xml:space="preserve">
9 645,34 = [113 520 / 1,22 /  9,84] +  2% Заг.скл</t>
    </r>
  </si>
  <si>
    <t>"ДВ-7л-Л/П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(нажимная ручка снаружи и ручка антипаника на обе</t>
  </si>
  <si>
    <r>
      <t>створки; оборудовать устройством координаторов последовательного закрывания EIW30</t>
    </r>
    <r>
      <rPr>
        <i/>
        <sz val="10"/>
        <rFont val="Arial"/>
        <family val="2"/>
        <charset val="204"/>
      </rPr>
      <t xml:space="preserve">
9 645,34 = [113 520 / 1,22 /  9,84] +  2% Заг.скл</t>
    </r>
  </si>
  <si>
    <t>"ДВ-8-Л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ручка - с обеих сторон вертикальная штанга во всю высоту</t>
  </si>
  <si>
    <r>
      <t>полотна ; замки с цилиндровым механизмом и личинкой ""ключ-барашек"" EI30</t>
    </r>
    <r>
      <rPr>
        <i/>
        <sz val="10"/>
        <rFont val="Arial"/>
        <family val="2"/>
        <charset val="204"/>
      </rPr>
      <t xml:space="preserve">
8 411,63 = [99 000 / 1,22 /  9,84] +  2% Заг.скл</t>
    </r>
  </si>
  <si>
    <t>"ДВ-8-П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(нажимная ручка снаружи и ручка антипаника на обе створки;</t>
  </si>
  <si>
    <r>
      <t>оборудовать устройством координаторов последовательного закрывания EI30</t>
    </r>
    <r>
      <rPr>
        <i/>
        <sz val="10"/>
        <rFont val="Arial"/>
        <family val="2"/>
        <charset val="204"/>
      </rPr>
      <t xml:space="preserve">
8 579,87 = [100 980 / 1,22 /  9,84] +  2% Заг.скл</t>
    </r>
  </si>
  <si>
    <t>ДВ-8.1-Л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класс безопасности СМ4, звукоизоляция 32 дбручка - с обеих сторон вертикальная штанга во всю высоту</t>
  </si>
  <si>
    <r>
      <t>полотна ; замки с цилиндровым механизмом и личинкой "ключ-барашек</t>
    </r>
    <r>
      <rPr>
        <i/>
        <sz val="10"/>
        <rFont val="Arial"/>
        <family val="2"/>
        <charset val="204"/>
      </rPr>
      <t xml:space="preserve">
8 411,63 = [99 000 / 1,22 /  9,84] +  2% Заг.скл</t>
    </r>
  </si>
  <si>
    <t>ДВ-8.1-П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класс безопасности СМ4, звукоизоляция 32 дбручка - с обеих сторон вертикальная штанга во всю высоту</t>
  </si>
  <si>
    <r>
      <t>полотна ; замки с цилиндровым механизмом и личинкой "ключ-барашек</t>
    </r>
    <r>
      <rPr>
        <i/>
        <sz val="10"/>
        <rFont val="Arial"/>
        <family val="2"/>
        <charset val="204"/>
      </rPr>
      <t xml:space="preserve">
8 579,87 = [100 980 / 1,22 /  9,84] +  2% Заг.скл</t>
    </r>
  </si>
  <si>
    <t>"ДВ-8.1з-П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класс безопасности СМ4, звукоизоляция 32 дб ручка - с обеих сторон вертикальная штанга во всю высоту</t>
  </si>
  <si>
    <r>
      <t>полотна ; на пассивной створке ручка антипаника со стороны помещения ; оборудовать устройством координаторов последовательного закрывания</t>
    </r>
    <r>
      <rPr>
        <i/>
        <sz val="10"/>
        <rFont val="Arial"/>
        <family val="2"/>
        <charset val="204"/>
      </rPr>
      <t xml:space="preserve">
8 579,87 = [100 980 / 1,22 /  9,84] +  2% Заг.скл</t>
    </r>
  </si>
  <si>
    <t>"ДВ-8.1л-П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класс безопасности СМ4, звукоизоляция 32 дбнажимная ручка снаружи и ручка антипаника на обе створки;</t>
  </si>
  <si>
    <r>
      <t>оборудовать устройством координаторов последовательного закрывания</t>
    </r>
    <r>
      <rPr>
        <i/>
        <sz val="10"/>
        <rFont val="Arial"/>
        <family val="2"/>
        <charset val="204"/>
      </rPr>
      <t xml:space="preserve">
8 579,87 = [100 980 / 1,22 /  9,84] +  2% Заг.скл</t>
    </r>
  </si>
  <si>
    <t>"ДВ-8.2-П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(ручка - с обеих сторон вертикальная штанга во всю высоту</t>
  </si>
  <si>
    <r>
      <t>полотна ; замки с цилиндровым механизмом и личинкой ""ключ-барашек""</t>
    </r>
    <r>
      <rPr>
        <i/>
        <sz val="10"/>
        <rFont val="Arial"/>
        <family val="2"/>
        <charset val="204"/>
      </rPr>
      <t xml:space="preserve">
9 645,34 = [113 520 / 1,22 /  9,84] +  2% Заг.скл</t>
    </r>
  </si>
  <si>
    <t>"ДВ-8.4-П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класс безопасности СМ4, звукоизоляция 32 дб ручка - с обеих сторон вертикальная штанга во всю высоту</t>
  </si>
  <si>
    <t>"ДВ-8.5-П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класс безопасности СМ4, звукоизоляция 32 дб ручка - с обеих сторон вертикальная штанга во всю высоту</t>
  </si>
  <si>
    <t>"ДВ-8з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ручка - с обеих сторон вертикальная штанга во всю высоту</t>
  </si>
  <si>
    <r>
      <t>полотна ; замки с цилиндровым механизмом и личинкой ""ключ-барашек""  EI30</t>
    </r>
    <r>
      <rPr>
        <i/>
        <sz val="10"/>
        <rFont val="Arial"/>
        <family val="2"/>
        <charset val="204"/>
      </rPr>
      <t xml:space="preserve">
8 579,87 = [100 980 / 1,22 /  9,84] +  2% Заг.скл</t>
    </r>
  </si>
  <si>
    <t>"ДВ-9-Л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ручка - с обеих сторон вертикальная штанга во всю высоту</t>
  </si>
  <si>
    <r>
      <t>полотна EI30</t>
    </r>
    <r>
      <rPr>
        <i/>
        <sz val="10"/>
        <rFont val="Arial"/>
        <family val="2"/>
        <charset val="204"/>
      </rPr>
      <t xml:space="preserve">
11 383,75 = [133 980 / 1,22 /  9,84] +  2% Заг.скл</t>
    </r>
  </si>
  <si>
    <t>"ДВ-10-Л Дверной блок алюминиевый остекленный с телескопической алюминиевой дверной коробкой с алюминиевыми доборами, порог выпадающий,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класс безопасности СМ4, замок механический роликовый замок с цилиндровым механизмом, доводчик дверной со скользящей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петли роликовые регулируемые, звукоизоляция 32 дб ручка - с обеих сторон вертикальная штанга во всю высоту</t>
  </si>
  <si>
    <t>259,1</t>
  </si>
  <si>
    <t>Доводчик дверной, гидравлический, масса двери до 120 кг</t>
  </si>
  <si>
    <t>Установка дверей герметических утепленных размером 1250 х 500 мм/ дверь форкамеры</t>
  </si>
  <si>
    <t>260,1</t>
  </si>
  <si>
    <t>Блок дверной металлический для вентиляционной камеры, утепленный, из листовой горячекатаной стали и сортовой стали, типа ДУ, размер 1250х500 мм</t>
  </si>
  <si>
    <t>ДВ-1.4-П Блок дверной стальной, для технических помещений, однопольный, глухой, размер 900х2000 мм/870*220</t>
  </si>
  <si>
    <t>ДВ-5.2-Л/П, ДВ-5.3-П/Л, ДВ-5.4-Л/П, ДВ-5.4.2- Л/П , ДВ-5.5-ЛБлок дверной металлический противопожарный с заполнением минеральной ватой, окрашенный порошковой краской, предел огнестойкости EI 30, однопольный, 1000х2100 мм, масса 105 кг, с замком-защелкой, без доводчика, тех. помещения</t>
  </si>
  <si>
    <t>ДВ-5.4.1- Л Блок дверной металлический противопожарный с заполнением минеральной ватой, окрашенный порошковой краской, предел огнестойкости EI 30, однопольный, 1100х2100 мм, масса 111 кг, с замком-защелкой, без доводчика, тех. помещеничя</t>
  </si>
  <si>
    <t>Установка противопожарных металлических двупольных дверных блоков</t>
  </si>
  <si>
    <t>ДВ-6-П Блок дверной металлический противопожарный с заполнением минеральной ватой, остекленный стеклом толщиной 21 мм (0,24 м2), окрашенный порошковой краской, предел огнестойкости EI 60, двупольный, 1600х2100 мм, масса 204 кг, с замком-защелкой, без доводчика</t>
  </si>
  <si>
    <t>Установка блоков из ПВХ-профилей внутренних дверных проемов в каменных стенах площадью проема до 3 м2</t>
  </si>
  <si>
    <t>267,1</t>
  </si>
  <si>
    <t>267,2</t>
  </si>
  <si>
    <t>267,3</t>
  </si>
  <si>
    <t>Лента предварительносжатая, саморасширяющаяся, уплотнительная, типа ПСУЛ 10/3</t>
  </si>
  <si>
    <r>
      <t>ДВ-2-Л/П Дверь композитная глухая из ПВХ 1,5мм, влагостойкая 100%, коробка, наличник, полотно, толщина полотна 38-42мм, обвязка  полотна лвл-брус, Торец гладкий, без порога, зазор от пола до полотна 20-30мм, коробка телескопическая, наличники ПВХ с  двух сторон, цвет белый, замок с язычком, круглая накладка на цилиндр толщиной не мнее 9-10мм, цвет матовый никель, ручка  нажимная раздельная на квадратной розетке, выдерживающая 100 000 циклов открываний, петли накладные бабочки, цвет  хром, замок с цилиндром ключ/вертушка, доводчик накладной типа DL Smart с функцией задержки в открытом положении HOLD  OPEN с рычажной тягой ФОП для ММГН, выдерживающий 100 000 циклов открываний, литбо аналог; Отбойные пластины на  уровне рук и ног (200мм выс)</t>
    </r>
    <r>
      <rPr>
        <i/>
        <sz val="10"/>
        <rFont val="Arial"/>
        <family val="2"/>
        <charset val="204"/>
      </rPr>
      <t xml:space="preserve">
3 325,06 = [39 133,92 / 1,22 /  9,84] +  2% Заг.скл</t>
    </r>
  </si>
  <si>
    <r>
      <t>ДВ-2.1-П, Дверь композитная глухая из ПВХ 1,5мм, влагостойкая 100%, коробка, наличник, полотно, толщина полотна 38-42мм, обвязка  полотна лвл-брус, Торец гладкий, без порога, зазор от пола до полотна 20-30мм, коробка телескопическая, наличники ПВХ с  двух сторон, цвет белый, замок с язычком, круглая накладка на цилиндр толщиной не мнее 9-10мм, цвет матовый никель, ручка  нажимная раздельная на квадратной розетке, выдерживающая 100 000 циклов открываний, петли накладные бабочки, цвет  хром, замок с цилиндром ключ/вертушка, доводчик накладной типа DL Smart с функцией задержки в открытом положении HOLD  OPEN с рычажной тягой ФОП для ММГН, выдерживающий 100 000 циклов открываний</t>
    </r>
    <r>
      <rPr>
        <i/>
        <sz val="10"/>
        <rFont val="Arial"/>
        <family val="2"/>
        <charset val="204"/>
      </rPr>
      <t xml:space="preserve">
3 031,57 = [35 679,82 / 1,22 /  9,84] +  2% Заг.скл</t>
    </r>
  </si>
  <si>
    <r>
      <t>ДВ-2.2-Л/П Дверь композитная глухая из ПВХ 1,5мм, влагостойкая 100%, коробка, наличник, полотно, толщина полотна 38-42мм, обвязка  полотна лвл-брус, Торец гладкий, без порога, зазор от пола до полотна 20-30мм, коробка телескопическая, наличники ПВХ с  двух сторон, цвет белый, замок с язычком, круглая накладка на цилиндр толщиной не мнее 9-10мм, цвет матовый никель, ручка  нажимная раздельная на квадратной розетке, выдерживающая 100 000 циклов открываний, петли накладные бабочки, цвет  хром, замок с цилиндром ключ/вертушка, доводчик накладной типа DL Smart с функцией задержки в открытом положении HOLD  OPEN с рычажной тягой ФОП для ММГН, выдерживающий 100 000 циклов открываний</t>
    </r>
    <r>
      <rPr>
        <i/>
        <sz val="10"/>
        <rFont val="Arial"/>
        <family val="2"/>
        <charset val="204"/>
      </rPr>
      <t xml:space="preserve">
3 031,57 = [35 679,82 / 1,22 /  9,84] +  2% Заг.скл</t>
    </r>
  </si>
  <si>
    <r>
      <t>ДВ-2.2.1- П, ДВ-2.2.1- Л Дверь композитная глухая из ПВХ 1,5мм, влагостойкая 100%, коробка, наличник, полотно, толщина полотна 38-42мм, обвязка  полотна лвл-брус, Торец гладкий, без порога, зазор от пола до полотна 20-30мм, коробка телескопическая, наличники ПВХ с  двух сторон, цвет белый, замок с язычком, круглая накладка на цилиндр толщиной не мнее 9-10мм, цвет матовый никель, ручка  нажимная раздельная на квадратной розетке, выдерживающая 100 000 циклов открываний, петли накладные бабочки, цвет  хром, замок с цилиндром ключ/вертушка, доводчик накладной типа DL Smart с функцией задержки в открытом положении HOLD  OPEN с рычажной тягой ФОП для ММГН, выдерживающий 100 000 циклов открываний,</t>
    </r>
    <r>
      <rPr>
        <i/>
        <sz val="10"/>
        <rFont val="Arial"/>
        <family val="2"/>
        <charset val="204"/>
      </rPr>
      <t xml:space="preserve">
3 325,05 = [39 133,82 / 1,22 /  9,84] +  2% Заг.скл</t>
    </r>
  </si>
  <si>
    <t>Установка блоков из ПВХ-профилей внутренних дверных проемов в каменных стенах площадью проема более 3 м2</t>
  </si>
  <si>
    <t>272,1</t>
  </si>
  <si>
    <t>272,2</t>
  </si>
  <si>
    <t>272,3</t>
  </si>
  <si>
    <r>
      <t>ДВ-3-Л, ДВ-3-П Дверь композитная глухая из ПВХ 1,5мм, влагостойкая 100%, коробка, наличник, полотно, толщина полотна 38-42мм, обвязка  полотна лвл-брус, Торец гладкий, без порога, зазор от пола до полотна 20-30мм, коробка телескопическая, наличники ПВХ с  двух сторон, цвет белый, замок с язычком, круглая накладка на цилиндр толщиной не мнее 9-10мм, цвет матовый никель, ручка  нажимная раздельная на квадратной розетке, выдерживающая 100 000 циклов открываний, петли накладные бабочки, цвет  хром, замок с цилиндром ключ/вертушка, доводчик накладной типа DL Smart с функцией задержки в открытом положении HOLD  OPEN с рычажной тягой ФОП для ММГН, выдерживающий 100 000 циклов открываний,Отбойные пластины на уровне рук и ног  (выс 200мм)</t>
    </r>
    <r>
      <rPr>
        <i/>
        <sz val="10"/>
        <rFont val="Arial"/>
        <family val="2"/>
        <charset val="204"/>
      </rPr>
      <t xml:space="preserve">
4 355,13 = [51 257,36 / 1,22 /  9,84] +  2% Заг.скл</t>
    </r>
  </si>
  <si>
    <t>Монтаж стальных витражей и оконных блоков с нащельниками из стали в зданиях высотой до 40 м/ демонтаж</t>
  </si>
  <si>
    <t>275,1</t>
  </si>
  <si>
    <t>275,2</t>
  </si>
  <si>
    <t>275,3</t>
  </si>
  <si>
    <t>275,4</t>
  </si>
  <si>
    <t>Круг (диск) алмазный отрезной сегментированный, для резки бетона, диаметр 1600 мм</t>
  </si>
  <si>
    <t>Добавляется к расценке 3.70-55-2. Заполнение каркаса витражных блоков из алюминиевых профилей стеклопакетами, площадью до 2 м2</t>
  </si>
  <si>
    <t>1,2*1,15</t>
  </si>
  <si>
    <t>1,2*1,25</t>
  </si>
  <si>
    <t>Добавляется к расценке 3.70-55-2. Заполнение каркаса витражных блоков из алюминиевых профилей дверными блоками</t>
  </si>
  <si>
    <t>277,1</t>
  </si>
  <si>
    <t>Перегородка светопрозрачная с двойным остеклением, толщина перегородки 75мм, видимая часть нащельника 26мм, RAL  7016(муар) стекло М1, класс защиты СМ4, оклеен защитной пленкой с 2 сторон, для противопожарного исполнения- профиль с  эндотермическим расширением и терморазрывом, в порошковой полиэфирной ераске, стекло многослойное противопожарное  прозрачное серии СПМ дверь в составе -Дверной блок алюминиевый остекленный с телескопической алюминиевой дверной  коробкой с алюминиевыми доборами,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замок</t>
  </si>
  <si>
    <r>
      <t>механический  роликовый замок с цилиндровым механизмом, доводчик дверной сос 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без  дверного порога, вертикальная ручка скоба на всю высоту двери, крепление ручек выполнить из нержавеющей стали толщиной  5мм AISI304 со шлифованной поверхностью. Поручень с диаметром трубы 32-35мм, и толщиной стенки не менее 3мм, петли  роликовые регулируемые, класс безопасности СМ4, звукоизоляция 32 дб  замки с цилиндровым механизмом и личинкой "ключ-барашек"; Оклеить пленкой 600мкм EIW45, 2000*2200, 4,4 м</t>
    </r>
    <r>
      <rPr>
        <i/>
        <sz val="10"/>
        <rFont val="Arial"/>
        <family val="2"/>
        <charset val="204"/>
      </rPr>
      <t xml:space="preserve">
2 192,12 = [25 800 / 1,22 /  9,84] +  2% Заг.скл</t>
    </r>
  </si>
  <si>
    <t>ДВ-19-Л/Монтаж каркаса витражных блоков из алюминиевых профилей для входных групп, массой конструкции до 43 кг/м2</t>
  </si>
  <si>
    <t>279,1</t>
  </si>
  <si>
    <t>Нащельники из алюминиевых сплавов, окрашенные порошковой эмалью, для навесных вентилируемых фасадов, марка Н-1</t>
  </si>
  <si>
    <t>Добавляется к расценке 3.70-55-2. Заполнение каркаса витражных блоков из алюминиевых профилей стеклопакетами, площадью до 3 м2</t>
  </si>
  <si>
    <r>
      <t>механический  роликовый замок с цилиндровым механизмом, доводчик дверной сос 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без  дверного порога, вертикальная ручка скоба на всю высоту двери, крепление ручек выполнить из нержавеющей стали толщиной  5мм AISI304 со шлифованной поверхностью. Поручень с диаметром трубы 32-35мм, и толщиной стенки не менее 3мм, петли  роликовые регулируемые, класс безопасности СМ4, звукоизоляция 32 дб  EIW3</t>
    </r>
    <r>
      <rPr>
        <i/>
        <sz val="10"/>
        <rFont val="Arial"/>
        <family val="2"/>
        <charset val="204"/>
      </rPr>
      <t xml:space="preserve">
2 192,12 = [25 800 / 1,22 /  9,84] +  2% Заг.скл</t>
    </r>
  </si>
  <si>
    <t>ДВ-20-П/Монтаж каркаса витражных блоков из алюминиевых профилей для входных групп, массой конструкции до 43 кг/м2</t>
  </si>
  <si>
    <t>283,1</t>
  </si>
  <si>
    <t>!Перегородка светопрозрачная с двойным остеклением, толщина перегородки 75мм, видимая часть нащельника 26мм, RAL  7016(муар) стекло М1, класс защиты СМ4, оклеен защитной пленкой с 2 сторон, для противопожарного исполнения- профиль с  эндотермическим расширением и терморазрывом, в порошковой полиэфирной ераске, стекло многослойное противопожарное  прозрачное серии СПМ дверь в составе -Дверной блок алюминиевый остекленный с телескопической алюминиевой дверной  коробкой с алюминиевыми доборами, площадь остекления двери не менее 70% от площади дверного полотна, размер  наличника коробки по петлевой стороне не менее 55х9мм, с обратной стороны 68х9, RAL 7016, толщина профиля дверного  полотна 64мм, заполнение дверного полотна - стекло-триплекс с 2-х сторон с закаленными стеклами4мм, замок</t>
  </si>
  <si>
    <t>287,1</t>
  </si>
  <si>
    <t>1,15*1,15*1,15*1,2</t>
  </si>
  <si>
    <t>1,25*1,15*1,25*1,2</t>
  </si>
  <si>
    <t>291,1</t>
  </si>
  <si>
    <t>295,1</t>
  </si>
  <si>
    <t>299,1</t>
  </si>
  <si>
    <t>303,1</t>
  </si>
  <si>
    <t>307,1</t>
  </si>
  <si>
    <t>311,1</t>
  </si>
  <si>
    <t>315,1</t>
  </si>
  <si>
    <r>
      <t>механический  роликовый замок с цилиндровым механизмом, доводчик дверной сос кользящей тягой с регулируемым усилием EN-1-4,  встроенным фиксатором в окрытом положении и встроенным ограничителем угла открывания дверного полотна, RAL 7016, без  дверного порога, вертикальная ручка скоба на всю высоту двери, крепление ручек выполнить из нержавеющей стали толщиной  5мм AISI304 со шлифованной поверхностью. Поручень с диаметром трубы 32-35мм, и толщиной стенки не менее 3мм, петли  роликовые регулируемые, класс безопасности СМ4, звукоизоляция 32 дб  EIW1</t>
    </r>
    <r>
      <rPr>
        <i/>
        <sz val="10"/>
        <rFont val="Arial"/>
        <family val="2"/>
        <charset val="204"/>
      </rPr>
      <t xml:space="preserve">
2 192,12 = [25 800 / 1,22 /  9,84] +  2% Заг.скл</t>
    </r>
  </si>
  <si>
    <t>319,1</t>
  </si>
  <si>
    <t xml:space="preserve">!Перегородка светопрозрачная с двойным остеклением, толщина перегородки 75мм, видимая часть нащельника 26мм, RAL  7016(муар) стекло М1, класс защиты СМ4, для противопожарного исполнения- профиль с эндотермическим расширением и  терморазрывом, в порошковой полиэфирной ераске, стекло многослойное противопожарное прозрачное серии СПМ дверь в  составе -Входная алюминиевая дверь из теплого алюминиевого профиля толщиной 70мм, стеклопакет 32 мм, со стороны  улицы мультифункциональное закаленное 6мм, терморамка черного цвета толщиной 18мм, которая заполняется аргоном и  безопасный триплекс из 2 стекол толщиной 4ммс 2 пленками внутри по 0,76мм с формулой 6ls-18tчерн ar-4 зак,4зак.2)  Порошковая окраска RAL 7016, порог 14мм, замок с сердцевиной ключ-барашек, система антипаника на пассивную створку </t>
  </si>
  <si>
    <r>
      <t>двери, ручка на основную створку вертикальная скоба на всю высоту двери с двух сторон с диамметром трубы 32-35мм AISI  304, петли накладные, RAL 7016, электромагнитная защелка нормально-открытая, косой ригель электромагнитной защелки, на  доборном полотне электромеханический замок с установкой в верхний профиль полотна  ручка - с обеих сторон вертикальная штанга во всю высоту полотна ; оборудовать устройством координаторов  последовательного закрывания; Оклеить пленкой 600мк</t>
    </r>
    <r>
      <rPr>
        <i/>
        <sz val="10"/>
        <rFont val="Arial"/>
        <family val="2"/>
        <charset val="204"/>
      </rPr>
      <t xml:space="preserve">
2 192,12 = [25 800 / 1,22 /  9,84] +  2% Заг.скл</t>
    </r>
  </si>
  <si>
    <t>323,1</t>
  </si>
  <si>
    <t>ДВи-1-Л (967х2200 мм) EI30/ Блок дверной металлический противопожарный с заполнением минеральной ватой, окрашенный порошковой краской, предел огнестойкости EI 30, однопольный, 900х2100 мм, масса 99 кг, с замком-защелкой, без доводчика</t>
  </si>
  <si>
    <t>ДВи-2-Л  (1200х2200 мм) EI30 /  Блок дверной металлический противопожарный с заполнением минеральной ватой, окрашенный порошковой краской, предел огнестойкости EI 60, двупольный, 1200х2100 мм, масса 159 кг, с замком-защелкой, без доводчика</t>
  </si>
  <si>
    <t>ДВи-2-П  (1200х2200 мм) EI30 /  Блок дверной металлический противопожарный с заполнением минеральной ватой, окрашенный порошковой краской, предел огнестойкости EI 60, двупольный, 1200х2100 мм, масса 159 кг, с замком-защелкой, без доводчика</t>
  </si>
  <si>
    <t>ДВи-3 Л/П (967х2200 мм) EI30/ Блок дверной металлический противопожарный с заполнением минеральной ватой, окрашенный порошковой краской, предел огнестойкости EI 30, однопольный, 900х2100 мм, масса 99 кг, с замком-защелкой, без доводчика</t>
  </si>
  <si>
    <t>Установка люков герметических</t>
  </si>
  <si>
    <r>
      <t>Лвк-1Л/П Нажимной люк скрытого монтажа под плитку/ГКЛ  400х400 мм</t>
    </r>
    <r>
      <rPr>
        <i/>
        <sz val="10"/>
        <rFont val="Arial"/>
        <family val="2"/>
        <charset val="204"/>
      </rPr>
      <t xml:space="preserve">
612,60 = [7 210 / 1,22 /  9,84] +  2% Заг.скл</t>
    </r>
  </si>
  <si>
    <t>Установка подоконных досок из ПВХ в каменных стенах толщиной до 0,51 м/демонтаж</t>
  </si>
  <si>
    <t>Укладка подоконных мраморных полированных плит</t>
  </si>
  <si>
    <t>332,1</t>
  </si>
  <si>
    <t>Плитка керамогранитная неполированная, универсальная, размер 600х600х10 мм, цвет: темно-зеленый, красно-розовый, серо-синий</t>
  </si>
  <si>
    <t>Установка подоконных досок из ПВХ в каменных стенах толщиной до 0,51 м</t>
  </si>
  <si>
    <r>
      <t>Подоконник размером 660х3350 мм. Березовая фанера не менее 24 мм. Фасад: МДФ 12 мм, окрашен  матовым лаком с обеих сторон Каркас: фанера не менее 15 мм, окрашен матовым лаком с обеих сторон Материалы с завальцованными краями и отшлифованными  поверхностями Противопожарная обработка: KМ1 (КМ0 для путей эвакуации)</t>
    </r>
    <r>
      <rPr>
        <i/>
        <sz val="10"/>
        <rFont val="Arial"/>
        <family val="2"/>
        <charset val="204"/>
      </rPr>
      <t xml:space="preserve">
1 019,59 = [12 000 / 1,22 /  9,84] +  2% Заг.скл</t>
    </r>
  </si>
  <si>
    <t>Установка декоративного деревянного экрана на регистры отопления</t>
  </si>
  <si>
    <r>
      <t>Экран для радиатора высотой 900 мм   Фасад: МДФ 12 мм, окрашен матовой эмалью с обеих сторон Каркас: фанера не менее 15 мм, окрашен матовым лаком с обеих сторон   Материалы с завальцованными краями и отшлифованными   поверхностями Наличие технических зазоров не менее 15 см от   нижнего до пола и 7 см от верхнего края до подоконника по всей  длине экрана. Противопожарная обработка: KМ1 (КМ0 для путей эвакуации)</t>
    </r>
    <r>
      <rPr>
        <i/>
        <sz val="10"/>
        <rFont val="Arial"/>
        <family val="2"/>
        <charset val="204"/>
      </rPr>
      <t xml:space="preserve">
1 405,82 = [16 545,56 / 1,22 /  9,84] +  2% Заг.скл</t>
    </r>
  </si>
  <si>
    <t>Улучшенное оштукатуривание стен цементно-известковым раствором по камню и бетону внутри зданий</t>
  </si>
  <si>
    <t>337,1</t>
  </si>
  <si>
    <t>337,2</t>
  </si>
  <si>
    <t>Смесь сухая штукатурная гипсовая с минеральными модифицирующими добавками, ручного нанесения, для внутренних работ, толщина наносимого слоя от 5 до 50 мм, водоудерживающей способностью свыше 99%, без содержания SiO2, содержание гипсового вяжущего марки не ниже Г5 более 80%, белизна не менее 80%</t>
  </si>
  <si>
    <t>337,3</t>
  </si>
  <si>
    <t>Простая штукатурка поверхностей стен по камню и бетону известковым раствором</t>
  </si>
  <si>
    <t>338,1</t>
  </si>
  <si>
    <t>338,2</t>
  </si>
  <si>
    <t>338,3</t>
  </si>
  <si>
    <t>338,4</t>
  </si>
  <si>
    <t>Раствор известковый, марка М4</t>
  </si>
  <si>
    <t>Улучшенная окраска водно-дисперсионными составами стен по штукатурке внутри помещений</t>
  </si>
  <si>
    <t>339,1</t>
  </si>
  <si>
    <t>Краска водно-дисперсионная стирол-акриловая, паропроницаемая, атмосферостойкая, грязе- и водоотталкивающая, сухой остаток 53%, плотность 1,42 кг/л, глубокоматовая, механизированного и ручного нанесения, для наружных работ, для окраски бетона, штукатурки, кирпича, каменной кладки</t>
  </si>
  <si>
    <t>339,2</t>
  </si>
  <si>
    <t>339,3</t>
  </si>
  <si>
    <t>Смесь сухая шпатлевочная гипсовая финишная с минеральными модифицирующими добавками, для внутренних работ, толщина наносимого слоя от 0,2 до 3 мм, содержание гипсового вяжущего марки не ниже Г5 более 80%, прочность сцепления не менее 0,3 МПа, белизна не менее 80%</t>
  </si>
  <si>
    <t>340,1</t>
  </si>
  <si>
    <t>Краска на силикатной основе, высоко износостойкая, с длительной защитой от поражения плесенью и грибком, гипоаллергенная, матовая, для внутренних работ по минеральным и органическим поверхностям</t>
  </si>
  <si>
    <t>340,2</t>
  </si>
  <si>
    <t>340,3</t>
  </si>
  <si>
    <t>Гладкая облицовка стен (без карнизных, плинтусных и угловых плиток) на клее из сухих смесей по камню и бетону</t>
  </si>
  <si>
    <t>341,2</t>
  </si>
  <si>
    <t>Смесь сухая, цементно-песчаная, клеевая, для наружных и внутренних работ, В12,5 (М150), F50, крупность заполнителя не более 0,63 мм, для плиточных работ</t>
  </si>
  <si>
    <t>341,3</t>
  </si>
  <si>
    <t>Изделия бетонные декоративно-облицовочные, виброформованные, с рельефной поверхностью "под кирпич", многоцветные, декорированные, однослойные, армированные, гидрофобизированные, В55, F300, W20, размеры 198х65х26 мм, для навесных фасадных систем</t>
  </si>
  <si>
    <t>Облицовка стен внутренних из плиток керамогранитных на клее из сухих смесей толщиной слоя 4 мм с затиркой швов, площадь одной плитки свыше 0,3 до 0,4 м2</t>
  </si>
  <si>
    <t>342,1</t>
  </si>
  <si>
    <t>Зажим пластиковый для выравнивания керамической и керамогранитной плитки толщиной до 12 мм, ширина шва 2 мм</t>
  </si>
  <si>
    <t>342,2</t>
  </si>
  <si>
    <t>342,3</t>
  </si>
  <si>
    <t>342,4</t>
  </si>
  <si>
    <t>342,5</t>
  </si>
  <si>
    <t>Облицовка стен внутренних из плиток керамогранитных на клее из сухих смесей толщиной слоя 4 мм с затиркой швов, площадь одной плитки свыше 0,4 до 0,8 м2</t>
  </si>
  <si>
    <t>343,1</t>
  </si>
  <si>
    <t>343,2</t>
  </si>
  <si>
    <t>343,3</t>
  </si>
  <si>
    <t>343,4</t>
  </si>
  <si>
    <t>343,5</t>
  </si>
  <si>
    <t>Плитка керамогранитная, неполированная, универсальная, размер 600х1200х10 мм, одноцветная</t>
  </si>
  <si>
    <t>344,1</t>
  </si>
  <si>
    <t>344,2</t>
  </si>
  <si>
    <t>344,3</t>
  </si>
  <si>
    <t>Плитка керамическая, для внутренней облицовки стен, глазурованная, гладкая, одноцветная, размер 200х500х8 мм</t>
  </si>
  <si>
    <t>345,1</t>
  </si>
  <si>
    <t>345,2</t>
  </si>
  <si>
    <t>345,3</t>
  </si>
  <si>
    <r>
      <t>Плитка керамическая на стену 200х200х7 мм белая</t>
    </r>
    <r>
      <rPr>
        <i/>
        <sz val="10"/>
        <rFont val="Arial"/>
        <family val="2"/>
        <charset val="204"/>
      </rPr>
      <t xml:space="preserve">
57,35 = [675 / 1,22 /  9,84] +  2% Заг.скл</t>
    </r>
  </si>
  <si>
    <t>346,1</t>
  </si>
  <si>
    <t>346,2</t>
  </si>
  <si>
    <t>346,3</t>
  </si>
  <si>
    <r>
      <t>Плитка керамическая на стену 200х200х7 мм цветная</t>
    </r>
    <r>
      <rPr>
        <i/>
        <sz val="10"/>
        <rFont val="Arial"/>
        <family val="2"/>
        <charset val="204"/>
      </rPr>
      <t xml:space="preserve">
57,35 = [675 / 1,22 /  9,84] +  2% Заг.скл</t>
    </r>
  </si>
  <si>
    <t>Гладкая облицовка стен (без карнизных, плинтусных и угловых плиток) на клее из сухих смесей по камню и бетону, фартук</t>
  </si>
  <si>
    <t>347,1</t>
  </si>
  <si>
    <t>347,2</t>
  </si>
  <si>
    <t>347,3</t>
  </si>
  <si>
    <r>
      <t>Плитка керамическая на стену 200х800х9 мм цветная</t>
    </r>
    <r>
      <rPr>
        <i/>
        <sz val="10"/>
        <rFont val="Arial"/>
        <family val="2"/>
        <charset val="204"/>
      </rPr>
      <t xml:space="preserve">
185,14 = [2 179 / 1,22 /  9,84] +  2% Заг.скл</t>
    </r>
  </si>
  <si>
    <t>347,4</t>
  </si>
  <si>
    <r>
      <t>Плитка керамическая на стену белая 85х285х9мм</t>
    </r>
    <r>
      <rPr>
        <i/>
        <sz val="10"/>
        <rFont val="Arial"/>
        <family val="2"/>
        <charset val="204"/>
      </rPr>
      <t xml:space="preserve">
157,87 = [1 858 / 1,22 /  9,84] +  2% Заг.скл</t>
    </r>
  </si>
  <si>
    <t>348,1</t>
  </si>
  <si>
    <t>348,2</t>
  </si>
  <si>
    <t>348,3</t>
  </si>
  <si>
    <t>348,4</t>
  </si>
  <si>
    <t>348,5</t>
  </si>
  <si>
    <r>
      <t>Керамогранит  400х1200х9 мм</t>
    </r>
    <r>
      <rPr>
        <i/>
        <sz val="10"/>
        <rFont val="Arial"/>
        <family val="2"/>
        <charset val="204"/>
      </rPr>
      <t xml:space="preserve">
296,11 = [3 485 / 1,22 /  9,84] +  2% Заг.скл</t>
    </r>
  </si>
  <si>
    <t>Облицовка стен коврами из мелких мозаичных плиток на клеевом растворе из сухих смесей с затиркой швов</t>
  </si>
  <si>
    <t>349,1</t>
  </si>
  <si>
    <t>349,2</t>
  </si>
  <si>
    <t>Смесь сухая, цементная, клеевая, высокоадгезионная, высокоэластичная, для внутренних и наружных работ, для укладки напольной, настенной и потолочной плитки из керамики, мозаики, натурального камня и керамогранита</t>
  </si>
  <si>
    <t>349,3</t>
  </si>
  <si>
    <r>
      <t>Мозаика  стеклянная глянцевая 23х23</t>
    </r>
    <r>
      <rPr>
        <i/>
        <sz val="10"/>
        <rFont val="Arial"/>
        <family val="2"/>
        <charset val="204"/>
      </rPr>
      <t xml:space="preserve">
256,51 = [3 019 / 1,22 /  9,84] +  2% Заг.скл</t>
    </r>
  </si>
  <si>
    <t>Демонтаж подвесного потолка из плит размером 600 мм х 600 мм и металлической подвесной системы</t>
  </si>
  <si>
    <t>Демонтаж / Устройство потолков: реечных алюминиевых</t>
  </si>
  <si>
    <t>Улучшенное оштукатуривание потолков цементно-известковым раствором по камню и бетону внутри зданий</t>
  </si>
  <si>
    <t>353,1</t>
  </si>
  <si>
    <t>353,2</t>
  </si>
  <si>
    <t>353,3</t>
  </si>
  <si>
    <t>Улучшенная окраска водно-дисперсионными составами потолков по штукатурке внутри помещений</t>
  </si>
  <si>
    <t>354,1</t>
  </si>
  <si>
    <t>Краска водно-дисперсионная акрилатная, паропроницаемая, моющаяся, механизированного и ручного нанесения, для наружных и внутренних работ, для окрашивания штукатурок, бетонных поверхностей, гипсокартонных и цементностружечных плит</t>
  </si>
  <si>
    <t>354,2</t>
  </si>
  <si>
    <t>354,3</t>
  </si>
  <si>
    <t>355,1</t>
  </si>
  <si>
    <t>Краска водно-дисперсионная силикон-акрилатная, паропроницаемая, моющаяся, устойчивая к появлению водорослей и грибков, оседанию пыли, с водоотталкивающим эффектом и способностью к самоочищению, механизированного и ручного нанесения, для наружных и внутренних работ, для окрашивания штукатурок, бетонных поверхностей, гипсокартонных и цементностружечных плит</t>
  </si>
  <si>
    <t>355,2</t>
  </si>
  <si>
    <t>355,3</t>
  </si>
  <si>
    <t>356,1</t>
  </si>
  <si>
    <t>Потолки решетчатые подвесные из алюминиевых профилей, типа Грильято, окрашенные порошковой краской, размер ячейки 100х100 мм, сечение профиля: ширина 15 мм, высота от 30 до 50 мм</t>
  </si>
  <si>
    <t>Устройство подвесных потолков из декоративно-акустических плит по готовому каркасу с установкой направляющих из алюминиевого профиля и деталей крепления</t>
  </si>
  <si>
    <t>357,1</t>
  </si>
  <si>
    <t>Комплектующие к потолкам подвесным из минеральных плит</t>
  </si>
  <si>
    <t>Плита для cтен и подвесных потолков, акустическая, декоративно-отделочная, на основе минеральной плиты, с покрытием из стекловолокнистых материалов, окрашенная краской на водной основе, класс звукопоглощения А, плотность не менее 80 кг/м3, коэффициент звукопоглощения от 0,6 до 1,0, группа горючести Г1, кромка A, толщина 50 мм</t>
  </si>
  <si>
    <t>Монтаж подвесных потолков из перфорированных панелей/кассетный потолок</t>
  </si>
  <si>
    <t>359,1</t>
  </si>
  <si>
    <t>Панель подвесная из алюминиевых профилей, без перфорации, окрашенная порошковой краской, цвет белый</t>
  </si>
  <si>
    <t>Устройство подвесных металлических потолков кассетного типа на скрытой подсистеме усиленного типа, с размерами кассет 600х600 мм</t>
  </si>
  <si>
    <t>360,1</t>
  </si>
  <si>
    <t>Бур с наконечником из твердого сплава, с хвостовиком SDS-plus, диаметр 10 мм, длина 160 мм</t>
  </si>
  <si>
    <t>360,2</t>
  </si>
  <si>
    <r>
      <t>Кассетный акустический  потолок 1200х600 ммм стекловолокно высокой плотности</t>
    </r>
    <r>
      <rPr>
        <i/>
        <sz val="10"/>
        <rFont val="Arial"/>
        <family val="2"/>
        <charset val="204"/>
      </rPr>
      <t xml:space="preserve">
379,62 = [4 468 / 1,22 /  9,84] +  2% Заг.скл</t>
    </r>
  </si>
  <si>
    <t>Разборка покрытий из линолеума и релина</t>
  </si>
  <si>
    <t>Разборка покрытий из керамических плиток (прим. керамогранитная плитка)</t>
  </si>
  <si>
    <t>Разборка дощатых покрытий (прим. ламинат)</t>
  </si>
  <si>
    <t>Разборка цементных покрытий, толщина 30 мм</t>
  </si>
  <si>
    <t>Добавляется или исключается на каждые 5 мм изменения толщины покрытия к позиции 6.70-63-8</t>
  </si>
  <si>
    <t>1,2*6</t>
  </si>
  <si>
    <t>Устройство стяжек цементных толщиной 20 мм (толщ. 60 мм)</t>
  </si>
  <si>
    <t>367,1</t>
  </si>
  <si>
    <t>Добавляется или исключается на каждые 5 мм изменения толщины стяжки к позиции 3.70-159-1</t>
  </si>
  <si>
    <t>1,15*1,2*8</t>
  </si>
  <si>
    <t>1,25*1,2*8</t>
  </si>
  <si>
    <t>368,1</t>
  </si>
  <si>
    <t>Армирование подстилающих слоев и набетонок (2,75 кг/м2)</t>
  </si>
  <si>
    <t>369,1</t>
  </si>
  <si>
    <t>Каркасы и сетки арматурные плоские, собранные и сваренные (связанные) в арматурные изделия, класс Вр-1, диаметр 5 мм 2,75 кг/м2</t>
  </si>
  <si>
    <t>Гидроизоляция поверхностей с применением сухой смеси гидроизоляционной обмазочной цементной</t>
  </si>
  <si>
    <t>370,1</t>
  </si>
  <si>
    <t>Смесь сухая, мелкозернистая, цементная, с минеральными наполнителями и химическими добавками, гидроизоляционная, поверхностная, паропроницаемая, для наружных и внутренних работ, ручного нанесения, прочность на сжатие не менее 8 МПа, прочность на изгиб не менее 2,5 МПа, прочность сцепления с бетоном не менее 0,9 МПа, водонепроницаемость при прямом/обратном давлении не менее 0,7/0,2 МПа, не менее F50, для создания бесшовного гидроизоляционного барьера на фундаментах, подвалах, фасадах, цоколях, террасах, балконах, резервуарах, бассейнах, колодцах, в помещениях с повышенной влажностью, разрешен контакт с питьевой водой</t>
  </si>
  <si>
    <t>Устройство полов из плиток керамогранитных на клее из сухих смесей толщиной слоя 5 мм с затиркой швов, площадь одной плитки свыше 0,4 до 0,8 м2</t>
  </si>
  <si>
    <t>371,1</t>
  </si>
  <si>
    <t>Зажим пластиковый для выравнивания керамической и керамогранитной плитки толщиной до 12 мм, ширина шва 1,5 мм</t>
  </si>
  <si>
    <t>371,2</t>
  </si>
  <si>
    <t>371,3</t>
  </si>
  <si>
    <t>371,4</t>
  </si>
  <si>
    <t>371,5</t>
  </si>
  <si>
    <t>Устройство стяжек цементных толщиной 20 мм (толщ. 40-100 мм)</t>
  </si>
  <si>
    <t>372,1</t>
  </si>
  <si>
    <t>1,15*1,2*10,6</t>
  </si>
  <si>
    <t>1,25*1,2*10,6</t>
  </si>
  <si>
    <t>373,1</t>
  </si>
  <si>
    <t>374,1</t>
  </si>
  <si>
    <t>375,1</t>
  </si>
  <si>
    <t>Устройство прокладочной тепло- и звукоизоляции из рулонных вспененных материалов с проклейкой стыков самоклеящейся лентой</t>
  </si>
  <si>
    <t>376,1</t>
  </si>
  <si>
    <t>Лист звуко-, вибро-, гидроизоляционный, из сшитого вспененного полиэтилена, с индексом улучшения изоляции ударного шума не менее 22 дБ, с малой дымообразующей способностью группа Д1, малоопасный по токсичности горения группа Т1, плотность 25 кг/м3, толщина 4 мм</t>
  </si>
  <si>
    <t>377,1</t>
  </si>
  <si>
    <t>377,2</t>
  </si>
  <si>
    <t>377,3</t>
  </si>
  <si>
    <t>377,4</t>
  </si>
  <si>
    <t>377,5</t>
  </si>
  <si>
    <t>378,1</t>
  </si>
  <si>
    <t>Раствор цементный, марка М200</t>
  </si>
  <si>
    <t>Устройство тепло - и звукоизоляции пола из фанеры (1 слой)</t>
  </si>
  <si>
    <t>379,1</t>
  </si>
  <si>
    <t>Дюбель-гвоздь стальной, диаметр 6 мм, длина 40 мм</t>
  </si>
  <si>
    <t>379,2</t>
  </si>
  <si>
    <t>Мастика клеящая каучуковая, типа КН-2</t>
  </si>
  <si>
    <t>Фанера березовая общего назначения, шлифованная с двух сторон, водостойкая, для внутреннего использования, марка ФК, сорт I/II, толщина 10 мм</t>
  </si>
  <si>
    <t>Устройство тепло - и звукоизоляции пола из фанеры (2 слой)</t>
  </si>
  <si>
    <t>381,1</t>
  </si>
  <si>
    <t>381,2</t>
  </si>
  <si>
    <t>381,3</t>
  </si>
  <si>
    <t>Устройство покрытий из досок паркетных</t>
  </si>
  <si>
    <t>382,1</t>
  </si>
  <si>
    <r>
      <t>Профессиональные каучуковые амортизаторы "СПОРТ"* на основе литой резины - 19мм (17 шт/м2 )</t>
    </r>
    <r>
      <rPr>
        <i/>
        <sz val="10"/>
        <rFont val="Arial"/>
        <family val="2"/>
        <charset val="204"/>
      </rPr>
      <t xml:space="preserve">
5,10 = [60 / 1,22 /  9,84] +  2% Заг.скл</t>
    </r>
  </si>
  <si>
    <t>Паркет наборный из древесины пород: дуб, ясень, клен</t>
  </si>
  <si>
    <t>384,1</t>
  </si>
  <si>
    <t>385,1</t>
  </si>
  <si>
    <t>386,1</t>
  </si>
  <si>
    <t>387,1</t>
  </si>
  <si>
    <t>388,1</t>
  </si>
  <si>
    <t>388,2</t>
  </si>
  <si>
    <t>388,3</t>
  </si>
  <si>
    <t>388,4</t>
  </si>
  <si>
    <t>388,5</t>
  </si>
  <si>
    <t>389,1</t>
  </si>
  <si>
    <t>1,15*1,2*8,6</t>
  </si>
  <si>
    <t>1,25*1,2*8,6</t>
  </si>
  <si>
    <t>390,1</t>
  </si>
  <si>
    <t>391,1</t>
  </si>
  <si>
    <t>392,1</t>
  </si>
  <si>
    <t>Устройство покрытий из рулонного линолеума на теплозвукоизолирующей основе</t>
  </si>
  <si>
    <t>393,1</t>
  </si>
  <si>
    <t>Клей на основе акриловой дисперсии</t>
  </si>
  <si>
    <t>393,2</t>
  </si>
  <si>
    <r>
      <t>Плитка ПВХ 500х500 мм, Forbo Effekta profssional 8061 T Natural Concrete PRO</t>
    </r>
    <r>
      <rPr>
        <i/>
        <sz val="10"/>
        <rFont val="Arial"/>
        <family val="2"/>
        <charset val="204"/>
      </rPr>
      <t xml:space="preserve">
200,78 = [2 363 / 1,22 /  9,84] +  2% Заг.скл</t>
    </r>
  </si>
  <si>
    <t>394,1</t>
  </si>
  <si>
    <t>395,1</t>
  </si>
  <si>
    <t>396,1</t>
  </si>
  <si>
    <t>397,1</t>
  </si>
  <si>
    <t>398,1</t>
  </si>
  <si>
    <t>398,2</t>
  </si>
  <si>
    <t>Линолеум поливинилхлоридный высокой износостойкости, класс 34/43, истираемость 110 (86) мкм (Р), группа горючести Г1, толщина 2 мм</t>
  </si>
  <si>
    <t>399,1</t>
  </si>
  <si>
    <t>400,1</t>
  </si>
  <si>
    <t>401,1</t>
  </si>
  <si>
    <t>402,1</t>
  </si>
  <si>
    <t>403,1</t>
  </si>
  <si>
    <t>403,2</t>
  </si>
  <si>
    <t>403,3</t>
  </si>
  <si>
    <t>403,4</t>
  </si>
  <si>
    <t>403,5</t>
  </si>
  <si>
    <t>Устройство стяжек цементных толщиной 20 мм (толщ. 73 мм)</t>
  </si>
  <si>
    <t>404,1</t>
  </si>
  <si>
    <t>405,1</t>
  </si>
  <si>
    <t>406,1</t>
  </si>
  <si>
    <t>407,1</t>
  </si>
  <si>
    <t>407,2</t>
  </si>
  <si>
    <t>408,1</t>
  </si>
  <si>
    <t>409,1</t>
  </si>
  <si>
    <t>410,1</t>
  </si>
  <si>
    <t>411,1</t>
  </si>
  <si>
    <t>411,2</t>
  </si>
  <si>
    <r>
      <t>Плитка ПВХ 500х500 мм, Forbo Effekta profssional 8061 T Naturak Concrete PRO</t>
    </r>
    <r>
      <rPr>
        <i/>
        <sz val="10"/>
        <rFont val="Arial"/>
        <family val="2"/>
        <charset val="204"/>
      </rPr>
      <t xml:space="preserve">
200,78 = [2 363 / 1,22 /  9,84] +  2% Заг.скл</t>
    </r>
  </si>
  <si>
    <t>412,1</t>
  </si>
  <si>
    <t>413,1</t>
  </si>
  <si>
    <t>414,1</t>
  </si>
  <si>
    <t>415,1</t>
  </si>
  <si>
    <t>416,1</t>
  </si>
  <si>
    <t>416,2</t>
  </si>
  <si>
    <t>416,3</t>
  </si>
  <si>
    <t>416,4</t>
  </si>
  <si>
    <t>416,5</t>
  </si>
  <si>
    <t>417,1</t>
  </si>
  <si>
    <t>418,1</t>
  </si>
  <si>
    <t>418,2</t>
  </si>
  <si>
    <t>420,1</t>
  </si>
  <si>
    <t>420,2</t>
  </si>
  <si>
    <t>420,3</t>
  </si>
  <si>
    <t>421,1</t>
  </si>
  <si>
    <t>Устройство стяжек цементных толщиной 20 мм (толщ. 73мм)</t>
  </si>
  <si>
    <t>423,1</t>
  </si>
  <si>
    <t>424,1</t>
  </si>
  <si>
    <t>425,1</t>
  </si>
  <si>
    <t>426,1</t>
  </si>
  <si>
    <t>426,2</t>
  </si>
  <si>
    <t>427,1</t>
  </si>
  <si>
    <t>1,15*1,2*4</t>
  </si>
  <si>
    <t>1,25*1,2*4</t>
  </si>
  <si>
    <t>428,1</t>
  </si>
  <si>
    <t>429,1</t>
  </si>
  <si>
    <t>430,1</t>
  </si>
  <si>
    <t>431,1</t>
  </si>
  <si>
    <t>431,2</t>
  </si>
  <si>
    <t>431,3</t>
  </si>
  <si>
    <t>431,4</t>
  </si>
  <si>
    <t>431,5</t>
  </si>
  <si>
    <t>Устройство стяжек цементных толщиной 20 мм (толщ.60 мм)</t>
  </si>
  <si>
    <t>432,1</t>
  </si>
  <si>
    <t>433,1</t>
  </si>
  <si>
    <t>434,1</t>
  </si>
  <si>
    <t>435,1</t>
  </si>
  <si>
    <t>435,2</t>
  </si>
  <si>
    <t>436,1</t>
  </si>
  <si>
    <t>437,1</t>
  </si>
  <si>
    <t>438,1</t>
  </si>
  <si>
    <t>439,1</t>
  </si>
  <si>
    <t>440,1</t>
  </si>
  <si>
    <t>440,2</t>
  </si>
  <si>
    <t>440,3</t>
  </si>
  <si>
    <t>440,4</t>
  </si>
  <si>
    <t>440,5</t>
  </si>
  <si>
    <t>441,1</t>
  </si>
  <si>
    <t>441,2</t>
  </si>
  <si>
    <t>441,3</t>
  </si>
  <si>
    <t>441,4</t>
  </si>
  <si>
    <t>441,5</t>
  </si>
  <si>
    <t>442,1</t>
  </si>
  <si>
    <t>442,2</t>
  </si>
  <si>
    <t>442,3</t>
  </si>
  <si>
    <t>442,4</t>
  </si>
  <si>
    <t>442,5</t>
  </si>
  <si>
    <t>443,1</t>
  </si>
  <si>
    <t>443,2</t>
  </si>
  <si>
    <t>443,3</t>
  </si>
  <si>
    <t>443,4</t>
  </si>
  <si>
    <t>443,5</t>
  </si>
  <si>
    <t>444,1</t>
  </si>
  <si>
    <t>444,2</t>
  </si>
  <si>
    <t>444,3</t>
  </si>
  <si>
    <t>444,4</t>
  </si>
  <si>
    <t>444,5</t>
  </si>
  <si>
    <t>445,1</t>
  </si>
  <si>
    <t>445,2</t>
  </si>
  <si>
    <t>446,1</t>
  </si>
  <si>
    <t>446,2</t>
  </si>
  <si>
    <t>447,1</t>
  </si>
  <si>
    <t>Разборка деревянных плинтусов/прим. плинтуса ПВХ</t>
  </si>
  <si>
    <t>Разборка деревянных плинтусов</t>
  </si>
  <si>
    <t>Устройство плинтусов из плиток керамогранитных, площадь одной плитки до 0,1 м2</t>
  </si>
  <si>
    <t>451,1</t>
  </si>
  <si>
    <t>451,2</t>
  </si>
  <si>
    <t>451,3</t>
  </si>
  <si>
    <t>451,4</t>
  </si>
  <si>
    <t>451,5</t>
  </si>
  <si>
    <t>Устройство плинтусов поливинилхлоридных на клее КН-2</t>
  </si>
  <si>
    <t>452,1</t>
  </si>
  <si>
    <t>452,2</t>
  </si>
  <si>
    <r>
      <t>Плинтуса для завода покрытий(конелюрного) на стену 25х25мм ТК 25 ПП3*</t>
    </r>
    <r>
      <rPr>
        <i/>
        <sz val="10"/>
        <rFont val="Arial"/>
        <family val="2"/>
        <charset val="204"/>
      </rPr>
      <t xml:space="preserve">
9,34 = [110 / 1,22 /  9,84] +  2% Заг.скл</t>
    </r>
  </si>
  <si>
    <t>452,3</t>
  </si>
  <si>
    <r>
      <t>Плинтуса полимерного на основе ПВХ высота 100мм Первый профильный завод PL100SD*</t>
    </r>
    <r>
      <rPr>
        <i/>
        <sz val="10"/>
        <rFont val="Arial"/>
        <family val="2"/>
        <charset val="204"/>
      </rPr>
      <t xml:space="preserve">
19,54 = [230 / 1,22 /  9,84] +  2% Заг.скл</t>
    </r>
  </si>
  <si>
    <t>Устройство плинтусов деревянных</t>
  </si>
  <si>
    <t>453,1</t>
  </si>
  <si>
    <r>
      <t>Плинтус вентилируемый из массива сосны срощенный</t>
    </r>
    <r>
      <rPr>
        <i/>
        <sz val="10"/>
        <rFont val="Arial"/>
        <family val="2"/>
        <charset val="204"/>
      </rPr>
      <t xml:space="preserve">
22,51 = [265 / 1,22 /  9,84] +  2% Заг.скл</t>
    </r>
  </si>
  <si>
    <r>
      <t>Плинтус Dollken TLE55 ПК, Первый профильный завод ПК 50 RAL9004</t>
    </r>
    <r>
      <rPr>
        <i/>
        <sz val="10"/>
        <rFont val="Arial"/>
        <family val="2"/>
        <charset val="204"/>
      </rPr>
      <t xml:space="preserve">
21,25 = [250 / 1,22 /  9,84] +  2% Заг.скл</t>
    </r>
  </si>
  <si>
    <t>Разборка металлических лестничных решеток, массой 1 м решетки до 60 кг</t>
  </si>
  <si>
    <t>Монтаж перегородок из алюминиевых сплавов сборно-разборных с остеклением/прим. трансформируемые перегородки</t>
  </si>
  <si>
    <t>456,1</t>
  </si>
  <si>
    <r>
      <t>Трансформируемой перегородки Т-2  ширина 1 панели - 745мм высота 3500мм  кол-во панелей - 13 толщина панели 105мм с магнитно-маркерным покрытием с ответной планокй</t>
    </r>
    <r>
      <rPr>
        <i/>
        <sz val="10"/>
        <rFont val="Arial"/>
        <family val="2"/>
        <charset val="204"/>
      </rPr>
      <t xml:space="preserve">
2 039,18 = [24 000 / 1,22 /  9,84] +  2% Заг.скл</t>
    </r>
  </si>
  <si>
    <r>
      <t>Трансформируемой перегородки Т-1   ширина 1 панели - 740мм  высота 3430мм кол-во панелей - 10 толщина панели 105мм с магнитно-маркерным покрытием с ответной планкой</t>
    </r>
    <r>
      <rPr>
        <i/>
        <sz val="10"/>
        <rFont val="Arial"/>
        <family val="2"/>
        <charset val="204"/>
      </rPr>
      <t xml:space="preserve">
2 039,18 = [24 000 / 1,22 /  9,84] +  2% Заг.скл</t>
    </r>
  </si>
  <si>
    <t>458,1</t>
  </si>
  <si>
    <r>
      <t>Сантехнические перегородки из HPL</t>
    </r>
    <r>
      <rPr>
        <i/>
        <sz val="10"/>
        <rFont val="Arial"/>
        <family val="2"/>
        <charset val="204"/>
      </rPr>
      <t xml:space="preserve">
1 019,59 = [12 000 / 1,22 /  9,84] +  2% Заг.скл</t>
    </r>
  </si>
  <si>
    <t>Демонтаж / Установка металлических ограждений без поручня</t>
  </si>
  <si>
    <t>460,1</t>
  </si>
  <si>
    <r>
      <t>ОГР-1 Ограждения внутреннего ОГР-1 из нержавеющей стали высотой 1200 мм, с дополнительными поручнями на выс 500 и 900мм  Поручень - 50,8x1,5мм AISI304  Боковой поручень - 50,8x1,5мм AISI304  Стойки 50,8x1,5мм AISI304(шаг- 900мм)  заполнение 19x1,5мм AISI304 шаг 100мм  нижний ригель - 19x1,5мм AISI304</t>
    </r>
    <r>
      <rPr>
        <i/>
        <sz val="10"/>
        <rFont val="Arial"/>
        <family val="2"/>
        <charset val="204"/>
      </rPr>
      <t xml:space="preserve">
742,89 = [8 600 / 1,2 /  9,84] +  2% Заг.скл</t>
    </r>
  </si>
  <si>
    <r>
      <t>ОГР-6  завершаюших площадок выс 3м  Поручень - 50,8x1,5мм AISI304  Стойки 50,8x1,5мм AISI304(шаг- 900мм)  заполнение 19x1,5мм AISI304 шаг 100мм  нижний ригель - 19x1,5мм AISI304</t>
    </r>
    <r>
      <rPr>
        <i/>
        <sz val="10"/>
        <rFont val="Arial"/>
        <family val="2"/>
        <charset val="204"/>
      </rPr>
      <t xml:space="preserve">
1 719,01 = [19 900 / 1,2 /  9,84] +  2% Заг.скл</t>
    </r>
  </si>
  <si>
    <r>
      <t>ОГР-5  из нержавеющей стали на выс 500 и 900мм  Поручень - 50,8x1,5мм AISI304, боковой поручень</t>
    </r>
    <r>
      <rPr>
        <i/>
        <sz val="10"/>
        <rFont val="Arial"/>
        <family val="2"/>
        <charset val="204"/>
      </rPr>
      <t xml:space="preserve">
310,98 = [3 600 / 1,2 /  9,84] +  2% Заг.скл</t>
    </r>
  </si>
  <si>
    <r>
      <t>ОГР-3   из нержавеющей стали на выс 900мм  Поручень - 50,8x1,5мм AISI304 боковой поручень</t>
    </r>
    <r>
      <rPr>
        <i/>
        <sz val="10"/>
        <rFont val="Arial"/>
        <family val="2"/>
        <charset val="204"/>
      </rPr>
      <t xml:space="preserve">
155,49 = [1 800 / 1,2 /  9,84] +  2% Заг.скл</t>
    </r>
  </si>
  <si>
    <r>
      <t>ОГР-4 высотой 900мм из нержавеющей стали  Поручень - 50,8x1,5мм AISI304  Стойки 50,8x1,5мм AISI304(шаг- 900мм)</t>
    </r>
    <r>
      <rPr>
        <i/>
        <sz val="10"/>
        <rFont val="Arial"/>
        <family val="2"/>
        <charset val="204"/>
      </rPr>
      <t xml:space="preserve">
336,89 = [3 900 / 1,2 /  9,84] +  2% Заг.скл</t>
    </r>
  </si>
  <si>
    <r>
      <t>ОГР 1.3из нержавеющей стали высотой 1200 мм, с дополнительными поручнями на выс 500 и 900мм с-х сторон  Поручень - 50,8x1,5мм AISI304  Боковой поручень - 50,8x1,5мм AISI304  Стойки 50,8x1,5мм AISI304(шаг- 900мм)  заполнение 19x1,5мм AISI304 шаг 100мм  нижний ригель - 19x1,5мм AISI304, внутреннее</t>
    </r>
    <r>
      <rPr>
        <i/>
        <sz val="10"/>
        <rFont val="Arial"/>
        <family val="2"/>
        <charset val="204"/>
      </rPr>
      <t xml:space="preserve">
742,89 = [8 600 / 1,2 /  9,84] +  2% Заг.скл</t>
    </r>
  </si>
  <si>
    <t>Монтаж перегородок стальных консольных, сетчатых</t>
  </si>
  <si>
    <r>
      <t>Декоративная перегородка К-1 из Рейки алюминевой 80х80х3 под дерево выс 4000мм</t>
    </r>
    <r>
      <rPr>
        <i/>
        <sz val="10"/>
        <rFont val="Arial"/>
        <family val="2"/>
        <charset val="204"/>
      </rPr>
      <t xml:space="preserve">
107,40 = [1 243,22 / 1,2 /  9,84] +  2% Заг.скл</t>
    </r>
  </si>
  <si>
    <t xml:space="preserve">Составил   </t>
  </si>
  <si>
    <t>(должность, подпись, инициалы, фамилия)</t>
  </si>
  <si>
    <t xml:space="preserve">Проверил   </t>
  </si>
  <si>
    <t>Необходимо указать габаритные размеры изделий, предоставить чертежи изделия. Представить 3 КП ( с указанием характеристик ), в КП Промокна стоимость отсутсвует.</t>
  </si>
  <si>
    <t>Необходимо указать габаритные размеры изделий, предоставить чертежи изделия. Представить 3 КП ( с указанием характеристик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</si>
</sst>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Red]\-\ #,##0.00"/>
  </numFmts>
  <fonts count="11" x14ac:knownFonts="1">
    <font>
      <sz val="10"/>
      <name val="Arial"/>
      <charset val="204"/>
    </font>
    <font>
      <b/>
      <sz val="10"/>
      <name val="Arial"/>
      <family val="2"/>
      <charset val="204"/>
    </font>
    <font>
      <sz val="10"/>
      <name val="Arial"/>
      <family val="2"/>
      <charset val="204"/>
    </font>
    <font>
      <sz val="9"/>
      <name val="Arial"/>
      <family val="2"/>
      <charset val="204"/>
    </font>
    <font>
      <sz val="11"/>
      <name val="Arial"/>
      <family val="2"/>
      <charset val="204"/>
    </font>
    <font>
      <b/>
      <sz val="12"/>
      <name val="Arial"/>
      <family val="2"/>
      <charset val="204"/>
    </font>
    <font>
      <sz val="12"/>
      <name val="Arial"/>
      <family val="2"/>
      <charset val="204"/>
    </font>
    <font>
      <b/>
      <sz val="13"/>
      <name val="Arial"/>
      <family val="2"/>
      <charset val="204"/>
    </font>
    <font>
      <b/>
      <sz val="11"/>
      <name val="Arial"/>
      <family val="2"/>
      <charset val="204"/>
    </font>
    <font>
      <i/>
      <sz val="11"/>
      <name val="Arial"/>
      <family val="2"/>
      <charset val="204"/>
    </font>
    <font>
      <i/>
      <sz val="10"/>
      <name val="Arial"/>
      <family val="2"/>
      <charset val="204"/>
    </font>
  </fonts>
  <fills count="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s>
  <borders count="5">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65">
    <xf numFmtId="0" fontId="0" fillId="0" borderId="0" xfId="0"/>
    <xf numFmtId="0" fontId="1" fillId="0" borderId="0" xfId="0" applyFont="1"/>
    <xf numFmtId="0" fontId="2" fillId="2" borderId="0" xfId="0" applyFont="1" applyFill="1" applyAlignment="1">
      <alignment horizontal="center" wrapText="1"/>
    </xf>
    <xf numFmtId="0" fontId="3" fillId="0" borderId="0" xfId="0" applyFont="1"/>
    <xf numFmtId="0" fontId="0" fillId="2" borderId="0" xfId="0" applyFill="1" applyAlignment="1">
      <alignment horizontal="center" wrapText="1"/>
    </xf>
    <xf numFmtId="0" fontId="4" fillId="0" borderId="0" xfId="0" applyFont="1"/>
    <xf numFmtId="0" fontId="4"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wrapText="1"/>
    </xf>
    <xf numFmtId="0" fontId="3" fillId="0" borderId="2" xfId="0" applyFont="1" applyBorder="1" applyAlignment="1">
      <alignment horizontal="center"/>
    </xf>
    <xf numFmtId="0" fontId="6" fillId="0" borderId="1" xfId="0" applyFont="1" applyBorder="1" applyAlignment="1">
      <alignment horizontal="center" wrapText="1"/>
    </xf>
    <xf numFmtId="0" fontId="7" fillId="0" borderId="0" xfId="0" applyFont="1" applyAlignment="1">
      <alignment horizontal="center" vertical="top" wrapText="1"/>
    </xf>
    <xf numFmtId="0" fontId="3" fillId="0" borderId="0" xfId="0" applyFont="1" applyAlignment="1">
      <alignment horizontal="center" wrapText="1"/>
    </xf>
    <xf numFmtId="0" fontId="0" fillId="0" borderId="0" xfId="0"/>
    <xf numFmtId="0" fontId="4" fillId="0" borderId="1" xfId="0" applyFont="1" applyBorder="1" applyAlignment="1">
      <alignment horizontal="left" wrapText="1"/>
    </xf>
    <xf numFmtId="0" fontId="4" fillId="0" borderId="0" xfId="0" applyFont="1" applyAlignment="1">
      <alignment horizontal="left" wrapText="1"/>
    </xf>
    <xf numFmtId="0" fontId="4" fillId="0" borderId="0" xfId="0" applyFont="1" applyAlignment="1">
      <alignment horizontal="center" vertical="center" wrapText="1"/>
    </xf>
    <xf numFmtId="0" fontId="8" fillId="0" borderId="0" xfId="0" applyFont="1" applyAlignment="1">
      <alignment horizontal="left"/>
    </xf>
    <xf numFmtId="164" fontId="8" fillId="0" borderId="0" xfId="0" applyNumberFormat="1" applyFont="1"/>
    <xf numFmtId="0" fontId="8" fillId="0" borderId="0" xfId="0" applyFont="1"/>
    <xf numFmtId="0" fontId="4" fillId="0" borderId="0" xfId="0" applyFont="1" applyAlignment="1">
      <alignment horizontal="left"/>
    </xf>
    <xf numFmtId="164" fontId="4" fillId="0" borderId="0" xfId="0" applyNumberFormat="1" applyFont="1"/>
    <xf numFmtId="0" fontId="4" fillId="0" borderId="0" xfId="1" applyFont="1" applyAlignment="1">
      <alignment horizontal="left"/>
    </xf>
    <xf numFmtId="0" fontId="4" fillId="0" borderId="0" xfId="0" applyFont="1" applyAlignment="1">
      <alignment horizontal="left"/>
    </xf>
    <xf numFmtId="0" fontId="4" fillId="0" borderId="1" xfId="0" applyFont="1" applyBorder="1" applyAlignment="1">
      <alignment horizontal="left"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left" vertical="top" wrapText="1"/>
    </xf>
    <xf numFmtId="0" fontId="9" fillId="0" borderId="0" xfId="0" applyFont="1" applyAlignment="1">
      <alignment horizontal="right" vertical="top" wrapText="1"/>
    </xf>
    <xf numFmtId="0" fontId="4" fillId="0" borderId="0" xfId="0" applyFont="1" applyAlignment="1">
      <alignment horizontal="right" vertical="top"/>
    </xf>
    <xf numFmtId="164" fontId="4" fillId="0" borderId="0" xfId="0" applyNumberFormat="1" applyFont="1" applyAlignment="1">
      <alignment horizontal="right" vertical="top"/>
    </xf>
    <xf numFmtId="0" fontId="4" fillId="0" borderId="0" xfId="0" applyFont="1" applyAlignment="1">
      <alignment horizontal="right" vertical="top" wrapText="1"/>
    </xf>
    <xf numFmtId="0" fontId="2" fillId="0" borderId="0" xfId="0" applyFont="1" applyAlignment="1">
      <alignment vertical="top" wrapText="1"/>
    </xf>
    <xf numFmtId="164" fontId="9" fillId="0" borderId="0" xfId="0" applyNumberFormat="1" applyFont="1" applyAlignment="1">
      <alignment horizontal="right" vertical="top"/>
    </xf>
    <xf numFmtId="0" fontId="4" fillId="0" borderId="1" xfId="0" applyFont="1" applyBorder="1" applyAlignment="1">
      <alignment horizontal="left" vertical="top" wrapText="1"/>
    </xf>
    <xf numFmtId="0" fontId="9" fillId="0" borderId="1" xfId="0" applyFont="1" applyBorder="1" applyAlignment="1">
      <alignment horizontal="right" vertical="top" wrapText="1"/>
    </xf>
    <xf numFmtId="0" fontId="4" fillId="0" borderId="1" xfId="0" applyFont="1" applyBorder="1" applyAlignment="1">
      <alignment horizontal="right" vertical="top"/>
    </xf>
    <xf numFmtId="164" fontId="4" fillId="0" borderId="1" xfId="0" applyNumberFormat="1" applyFont="1" applyBorder="1" applyAlignment="1">
      <alignment horizontal="right" vertical="top"/>
    </xf>
    <xf numFmtId="0" fontId="4" fillId="0" borderId="1" xfId="0" applyFont="1" applyBorder="1" applyAlignment="1">
      <alignment horizontal="right" vertical="top" wrapText="1"/>
    </xf>
    <xf numFmtId="0" fontId="8" fillId="0" borderId="0" xfId="0" applyFont="1" applyAlignment="1">
      <alignment vertical="top"/>
    </xf>
    <xf numFmtId="164" fontId="8" fillId="0" borderId="2" xfId="0" applyNumberFormat="1" applyFont="1" applyBorder="1" applyAlignment="1">
      <alignment horizontal="right" vertical="top"/>
    </xf>
    <xf numFmtId="164" fontId="8" fillId="0" borderId="0" xfId="0" applyNumberFormat="1" applyFont="1" applyAlignment="1">
      <alignment horizontal="right" vertical="top"/>
    </xf>
    <xf numFmtId="164" fontId="0" fillId="0" borderId="0" xfId="0" applyNumberFormat="1"/>
    <xf numFmtId="0" fontId="4" fillId="0" borderId="0" xfId="0" quotePrefix="1" applyFont="1" applyAlignment="1">
      <alignment horizontal="right" vertical="top" wrapText="1"/>
    </xf>
    <xf numFmtId="0" fontId="8" fillId="0" borderId="0" xfId="0" applyFont="1" applyAlignment="1">
      <alignment horizontal="left" wrapText="1"/>
    </xf>
    <xf numFmtId="0" fontId="8" fillId="0" borderId="0" xfId="0" applyFont="1" applyAlignment="1">
      <alignment horizontal="right" vertical="top"/>
    </xf>
    <xf numFmtId="0" fontId="4" fillId="3" borderId="1" xfId="0" applyFont="1" applyFill="1" applyBorder="1" applyAlignment="1">
      <alignment horizontal="left" vertical="top" wrapText="1"/>
    </xf>
    <xf numFmtId="0" fontId="9" fillId="3" borderId="1" xfId="0" applyFont="1" applyFill="1" applyBorder="1" applyAlignment="1">
      <alignment horizontal="right" vertical="top" wrapText="1"/>
    </xf>
    <xf numFmtId="0" fontId="4" fillId="3" borderId="1" xfId="0" applyFont="1" applyFill="1" applyBorder="1" applyAlignment="1">
      <alignment horizontal="right" vertical="top"/>
    </xf>
    <xf numFmtId="164" fontId="4" fillId="3" borderId="1" xfId="0" applyNumberFormat="1" applyFont="1" applyFill="1" applyBorder="1" applyAlignment="1">
      <alignment horizontal="right" vertical="top"/>
    </xf>
    <xf numFmtId="4" fontId="0" fillId="0" borderId="0" xfId="0" applyNumberFormat="1"/>
    <xf numFmtId="4" fontId="0" fillId="3" borderId="0" xfId="0" applyNumberFormat="1" applyFill="1" applyAlignment="1">
      <alignment horizontal="right"/>
    </xf>
    <xf numFmtId="0" fontId="8" fillId="0" borderId="0" xfId="0" applyFont="1" applyAlignment="1">
      <alignment horizontal="left" wrapText="1"/>
    </xf>
    <xf numFmtId="0" fontId="4" fillId="3" borderId="0" xfId="0" applyFont="1" applyFill="1" applyAlignment="1">
      <alignment horizontal="left" vertical="top" wrapText="1"/>
    </xf>
    <xf numFmtId="0" fontId="9" fillId="3" borderId="0" xfId="0" applyFont="1" applyFill="1" applyAlignment="1">
      <alignment horizontal="right" vertical="top" wrapText="1"/>
    </xf>
    <xf numFmtId="0" fontId="4" fillId="3" borderId="0" xfId="0" applyFont="1" applyFill="1" applyAlignment="1">
      <alignment horizontal="right" vertical="top"/>
    </xf>
    <xf numFmtId="164" fontId="4" fillId="3" borderId="0" xfId="0" applyNumberFormat="1" applyFont="1" applyFill="1" applyAlignment="1">
      <alignment horizontal="right" vertical="top"/>
    </xf>
    <xf numFmtId="0" fontId="0" fillId="0" borderId="1" xfId="0" applyBorder="1"/>
    <xf numFmtId="0" fontId="2" fillId="0" borderId="1" xfId="0" applyFont="1" applyBorder="1" applyAlignment="1">
      <alignment vertical="top" wrapText="1"/>
    </xf>
    <xf numFmtId="0" fontId="2" fillId="3" borderId="0" xfId="0" applyFont="1" applyFill="1"/>
    <xf numFmtId="0" fontId="4" fillId="3" borderId="1" xfId="0" applyFont="1" applyFill="1" applyBorder="1" applyAlignment="1">
      <alignment horizontal="right" vertical="top" wrapText="1"/>
    </xf>
    <xf numFmtId="0" fontId="4" fillId="3" borderId="0" xfId="0" applyFont="1" applyFill="1" applyAlignment="1">
      <alignment horizontal="right" vertical="top" wrapText="1"/>
    </xf>
    <xf numFmtId="0" fontId="4" fillId="0" borderId="0" xfId="0" applyFont="1" applyAlignment="1">
      <alignment horizontal="right" vertical="center"/>
    </xf>
    <xf numFmtId="0" fontId="4" fillId="0" borderId="1" xfId="0" applyFont="1" applyBorder="1"/>
    <xf numFmtId="4" fontId="0" fillId="0" borderId="0" xfId="0" applyNumberFormat="1" applyFill="1" applyAlignment="1">
      <alignment horizontal="right" vertical="center" wrapText="1"/>
    </xf>
  </cellXfs>
  <cellStyles count="2">
    <cellStyle name="Обычный" xfId="0" builtinId="0"/>
    <cellStyle name="Обычный 4" xfId="1"/>
  </cellStyles>
  <dxfs count="1">
    <dxf>
      <fill>
        <patternFill patternType="solid">
          <fgColor rgb="FFE2EFDA"/>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83;&#1089;/02-01-01%20&#1040;&#1088;&#1093;&#1080;&#1090;&#1077;&#1082;&#1090;&#1091;&#1088;&#1085;&#1099;&#1077;%20%20&#1088;&#1077;&#1096;&#1077;&#1085;&#1080;&#1103;,%20&#1084;&#1072;&#1090;&#1077;&#1088;&#1080;&#1072;&#1083;&#109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мета по ТСН-2001(с доп.67"/>
      <sheetName val="Source"/>
      <sheetName val="SourceObSm"/>
      <sheetName val="SmtRes"/>
      <sheetName val="EtalonRes"/>
      <sheetName val="SrcPoprs"/>
      <sheetName val="SrcKA"/>
    </sheetNames>
    <sheetDataSet>
      <sheetData sheetId="0"/>
      <sheetData sheetId="1">
        <row r="1">
          <cell r="B1" t="str">
            <v>Smeta.RU  (495) 974-1589</v>
          </cell>
        </row>
        <row r="12">
          <cell r="J12" t="str">
            <v>2024-00377-01-0-АР, 2024-00377-01-0-ПОС-ТЧ</v>
          </cell>
          <cell r="AB12" t="str">
            <v/>
          </cell>
          <cell r="AC12" t="str">
            <v/>
          </cell>
          <cell r="AD12" t="str">
            <v/>
          </cell>
          <cell r="AE12" t="str">
            <v/>
          </cell>
        </row>
        <row r="24">
          <cell r="G24" t="str">
            <v>Леса (2024-00377-01-0-ПОС-ТЧ лист 26)</v>
          </cell>
        </row>
        <row r="28">
          <cell r="F28" t="str">
            <v>3.8-27-1</v>
          </cell>
          <cell r="H28" t="str">
            <v>100 м2</v>
          </cell>
          <cell r="I28">
            <v>48.84</v>
          </cell>
          <cell r="P28">
            <v>667.15</v>
          </cell>
          <cell r="Q28">
            <v>510.08</v>
          </cell>
          <cell r="R28">
            <v>77.47</v>
          </cell>
          <cell r="S28">
            <v>36665.89</v>
          </cell>
          <cell r="U28">
            <v>3239.0235741599995</v>
          </cell>
          <cell r="X28">
            <v>36375.93</v>
          </cell>
          <cell r="Y28">
            <v>21678.58</v>
          </cell>
          <cell r="AL28">
            <v>13.66</v>
          </cell>
          <cell r="AM28">
            <v>6.65</v>
          </cell>
          <cell r="AN28">
            <v>1.01</v>
          </cell>
          <cell r="AO28">
            <v>519.59</v>
          </cell>
          <cell r="AQ28">
            <v>45.9</v>
          </cell>
        </row>
        <row r="29">
          <cell r="P29">
            <v>3922.84</v>
          </cell>
          <cell r="Q29">
            <v>8701.9599999999991</v>
          </cell>
          <cell r="R29">
            <v>4365.43</v>
          </cell>
          <cell r="S29">
            <v>2066122.9</v>
          </cell>
          <cell r="X29">
            <v>2049783.45</v>
          </cell>
          <cell r="Y29">
            <v>1221588.1100000001</v>
          </cell>
          <cell r="AT29">
            <v>99</v>
          </cell>
          <cell r="AU29">
            <v>59</v>
          </cell>
          <cell r="AV29">
            <v>1.0469999999999999</v>
          </cell>
          <cell r="AW29">
            <v>1</v>
          </cell>
          <cell r="BA29">
            <v>56.35</v>
          </cell>
          <cell r="BB29">
            <v>17.059999999999999</v>
          </cell>
          <cell r="BC29">
            <v>5.88</v>
          </cell>
          <cell r="BS29">
            <v>56.35</v>
          </cell>
          <cell r="BZ29">
            <v>99</v>
          </cell>
          <cell r="CA29">
            <v>59</v>
          </cell>
        </row>
        <row r="30">
          <cell r="F30" t="str">
            <v>2.1-31-3</v>
          </cell>
          <cell r="H30" t="str">
            <v>ЧАС</v>
          </cell>
          <cell r="I30">
            <v>992</v>
          </cell>
          <cell r="Q30">
            <v>763.84</v>
          </cell>
          <cell r="R30">
            <v>0</v>
          </cell>
          <cell r="X30">
            <v>0</v>
          </cell>
          <cell r="Y30">
            <v>0</v>
          </cell>
          <cell r="AM30">
            <v>0.77</v>
          </cell>
        </row>
        <row r="31">
          <cell r="Q31">
            <v>8440.43</v>
          </cell>
          <cell r="R31">
            <v>0</v>
          </cell>
          <cell r="X31">
            <v>0</v>
          </cell>
          <cell r="Y31">
            <v>0</v>
          </cell>
          <cell r="AV31">
            <v>1</v>
          </cell>
          <cell r="BB31">
            <v>11.05</v>
          </cell>
        </row>
        <row r="32">
          <cell r="F32" t="str">
            <v>3.8-40-1</v>
          </cell>
          <cell r="H32" t="str">
            <v>100 м2</v>
          </cell>
          <cell r="I32">
            <v>48.84</v>
          </cell>
          <cell r="P32">
            <v>4003.59</v>
          </cell>
          <cell r="Q32">
            <v>549.96</v>
          </cell>
          <cell r="R32">
            <v>52.16</v>
          </cell>
          <cell r="S32">
            <v>9325.42</v>
          </cell>
          <cell r="U32">
            <v>783.29328263999992</v>
          </cell>
          <cell r="X32">
            <v>9283.7999999999993</v>
          </cell>
          <cell r="Y32">
            <v>5532.77</v>
          </cell>
          <cell r="AL32">
            <v>81.81</v>
          </cell>
          <cell r="AM32">
            <v>7.17</v>
          </cell>
          <cell r="AN32">
            <v>0.68</v>
          </cell>
          <cell r="AO32">
            <v>132.15</v>
          </cell>
          <cell r="AQ32">
            <v>11.1</v>
          </cell>
        </row>
        <row r="33">
          <cell r="P33">
            <v>31708.43</v>
          </cell>
          <cell r="Q33">
            <v>7930.42</v>
          </cell>
          <cell r="R33">
            <v>2939.22</v>
          </cell>
          <cell r="S33">
            <v>525487.42000000004</v>
          </cell>
          <cell r="X33">
            <v>523142.37</v>
          </cell>
          <cell r="Y33">
            <v>311771.71999999997</v>
          </cell>
          <cell r="AT33">
            <v>99</v>
          </cell>
          <cell r="AU33">
            <v>59</v>
          </cell>
          <cell r="AV33">
            <v>1.0469999999999999</v>
          </cell>
          <cell r="AW33">
            <v>1.002</v>
          </cell>
          <cell r="BA33">
            <v>56.35</v>
          </cell>
          <cell r="BB33">
            <v>14.42</v>
          </cell>
          <cell r="BC33">
            <v>7.92</v>
          </cell>
          <cell r="BS33">
            <v>56.35</v>
          </cell>
          <cell r="BZ33">
            <v>99</v>
          </cell>
          <cell r="CA33">
            <v>59</v>
          </cell>
        </row>
        <row r="34">
          <cell r="F34" t="str">
            <v>1.1-1-2391</v>
          </cell>
          <cell r="H34" t="str">
            <v>м2</v>
          </cell>
          <cell r="I34">
            <v>1660.0715999999998</v>
          </cell>
          <cell r="O34">
            <v>26594.35</v>
          </cell>
          <cell r="R34">
            <v>0</v>
          </cell>
          <cell r="X34">
            <v>0</v>
          </cell>
          <cell r="Y34">
            <v>0</v>
          </cell>
          <cell r="AK34">
            <v>16.02</v>
          </cell>
        </row>
        <row r="35">
          <cell r="O35">
            <v>24998.69</v>
          </cell>
          <cell r="R35">
            <v>0</v>
          </cell>
          <cell r="X35">
            <v>0</v>
          </cell>
          <cell r="Y35">
            <v>0</v>
          </cell>
          <cell r="AW35">
            <v>1</v>
          </cell>
          <cell r="BC35">
            <v>0.94</v>
          </cell>
        </row>
        <row r="37">
          <cell r="G37" t="str">
            <v>Леса (2024-00377-01-0-ПОС-ТЧ лист 26)</v>
          </cell>
        </row>
        <row r="67">
          <cell r="G67" t="str">
            <v>Фасад</v>
          </cell>
        </row>
        <row r="71">
          <cell r="G71" t="str">
            <v>Демонтажные работы</v>
          </cell>
        </row>
        <row r="75">
          <cell r="F75" t="str">
            <v>6.62-28-1</v>
          </cell>
          <cell r="H75" t="str">
            <v>100 м2</v>
          </cell>
          <cell r="I75">
            <v>96.932000000000002</v>
          </cell>
          <cell r="R75">
            <v>0</v>
          </cell>
          <cell r="S75">
            <v>22155.19</v>
          </cell>
          <cell r="U75">
            <v>2167.7794934399999</v>
          </cell>
          <cell r="X75">
            <v>19939.669999999998</v>
          </cell>
          <cell r="Y75">
            <v>10191.39</v>
          </cell>
          <cell r="AO75">
            <v>181.92</v>
          </cell>
          <cell r="AQ75">
            <v>17.8</v>
          </cell>
        </row>
        <row r="76">
          <cell r="R76">
            <v>0</v>
          </cell>
          <cell r="S76">
            <v>1248444.96</v>
          </cell>
          <cell r="X76">
            <v>1123600.46</v>
          </cell>
          <cell r="Y76">
            <v>574284.68000000005</v>
          </cell>
          <cell r="AT76">
            <v>90</v>
          </cell>
          <cell r="AU76">
            <v>46</v>
          </cell>
          <cell r="AV76">
            <v>1.0469999999999999</v>
          </cell>
          <cell r="BA76">
            <v>56.35</v>
          </cell>
          <cell r="BZ76">
            <v>90</v>
          </cell>
          <cell r="CA76">
            <v>46</v>
          </cell>
        </row>
        <row r="77">
          <cell r="F77" t="str">
            <v>3.9-65-3</v>
          </cell>
          <cell r="H77" t="str">
            <v>1  ШТ.</v>
          </cell>
          <cell r="I77">
            <v>1</v>
          </cell>
          <cell r="R77">
            <v>0</v>
          </cell>
          <cell r="S77">
            <v>11.37</v>
          </cell>
          <cell r="U77">
            <v>0.99134399999999989</v>
          </cell>
          <cell r="X77">
            <v>9.5500000000000007</v>
          </cell>
          <cell r="Y77">
            <v>6.03</v>
          </cell>
          <cell r="AO77">
            <v>10.9</v>
          </cell>
          <cell r="AQ77">
            <v>0.95</v>
          </cell>
        </row>
        <row r="78">
          <cell r="R78">
            <v>0</v>
          </cell>
          <cell r="S78">
            <v>640.70000000000005</v>
          </cell>
          <cell r="X78">
            <v>538.19000000000005</v>
          </cell>
          <cell r="Y78">
            <v>339.57</v>
          </cell>
          <cell r="AT78">
            <v>84</v>
          </cell>
          <cell r="AU78">
            <v>53</v>
          </cell>
          <cell r="AV78">
            <v>1.087</v>
          </cell>
          <cell r="BA78">
            <v>56.35</v>
          </cell>
          <cell r="BZ78">
            <v>84</v>
          </cell>
          <cell r="CA78">
            <v>53</v>
          </cell>
        </row>
        <row r="79">
          <cell r="F79" t="str">
            <v>3.9-65-3</v>
          </cell>
          <cell r="H79" t="str">
            <v>1  ШТ.</v>
          </cell>
          <cell r="I79">
            <v>1</v>
          </cell>
          <cell r="R79">
            <v>0</v>
          </cell>
          <cell r="S79">
            <v>11.37</v>
          </cell>
          <cell r="U79">
            <v>0.99134399999999989</v>
          </cell>
          <cell r="X79">
            <v>9.5500000000000007</v>
          </cell>
          <cell r="Y79">
            <v>6.03</v>
          </cell>
          <cell r="AO79">
            <v>10.9</v>
          </cell>
          <cell r="AQ79">
            <v>0.95</v>
          </cell>
        </row>
        <row r="80">
          <cell r="R80">
            <v>0</v>
          </cell>
          <cell r="S80">
            <v>640.70000000000005</v>
          </cell>
          <cell r="X80">
            <v>538.19000000000005</v>
          </cell>
          <cell r="Y80">
            <v>339.57</v>
          </cell>
          <cell r="AT80">
            <v>84</v>
          </cell>
          <cell r="AU80">
            <v>53</v>
          </cell>
          <cell r="AV80">
            <v>1.087</v>
          </cell>
          <cell r="BA80">
            <v>56.35</v>
          </cell>
          <cell r="BZ80">
            <v>84</v>
          </cell>
          <cell r="CA80">
            <v>53</v>
          </cell>
        </row>
        <row r="81">
          <cell r="F81" t="str">
            <v>3.9-66-1</v>
          </cell>
          <cell r="H81" t="str">
            <v>1 флагодержатель</v>
          </cell>
          <cell r="I81">
            <v>1</v>
          </cell>
          <cell r="P81">
            <v>0.19</v>
          </cell>
          <cell r="R81">
            <v>0</v>
          </cell>
          <cell r="S81">
            <v>4.7300000000000004</v>
          </cell>
          <cell r="U81">
            <v>0.40697280000000002</v>
          </cell>
          <cell r="X81">
            <v>3.97</v>
          </cell>
          <cell r="Y81">
            <v>2.5099999999999998</v>
          </cell>
          <cell r="AL81">
            <v>0.31</v>
          </cell>
          <cell r="AO81">
            <v>6.04</v>
          </cell>
          <cell r="AQ81">
            <v>0.52</v>
          </cell>
        </row>
        <row r="82">
          <cell r="P82">
            <v>2.16</v>
          </cell>
          <cell r="R82">
            <v>0</v>
          </cell>
          <cell r="S82">
            <v>266.54000000000002</v>
          </cell>
          <cell r="X82">
            <v>223.89</v>
          </cell>
          <cell r="Y82">
            <v>141.27000000000001</v>
          </cell>
          <cell r="AT82">
            <v>84</v>
          </cell>
          <cell r="AU82">
            <v>53</v>
          </cell>
          <cell r="AV82">
            <v>1.087</v>
          </cell>
          <cell r="AW82">
            <v>1</v>
          </cell>
          <cell r="BA82">
            <v>56.35</v>
          </cell>
          <cell r="BC82">
            <v>11.39</v>
          </cell>
          <cell r="BZ82">
            <v>84</v>
          </cell>
          <cell r="CA82">
            <v>53</v>
          </cell>
        </row>
        <row r="84">
          <cell r="G84" t="str">
            <v>Демонтажные работы</v>
          </cell>
        </row>
        <row r="114">
          <cell r="G114" t="str">
            <v>Монтажные работы</v>
          </cell>
        </row>
        <row r="118">
          <cell r="G118" t="str">
            <v>Монтажные работы</v>
          </cell>
        </row>
        <row r="148">
          <cell r="G148" t="str">
            <v>Фасад</v>
          </cell>
        </row>
        <row r="152">
          <cell r="F152" t="str">
            <v>6.62-40-2</v>
          </cell>
          <cell r="H152" t="str">
            <v>100 м2</v>
          </cell>
          <cell r="I152">
            <v>48.466000000000001</v>
          </cell>
          <cell r="P152">
            <v>3.39</v>
          </cell>
          <cell r="Q152">
            <v>197.92</v>
          </cell>
          <cell r="R152">
            <v>29.81</v>
          </cell>
          <cell r="S152">
            <v>10381.64</v>
          </cell>
          <cell r="U152">
            <v>829.21933379999984</v>
          </cell>
          <cell r="X152">
            <v>9370.31</v>
          </cell>
          <cell r="Y152">
            <v>4789.2700000000004</v>
          </cell>
          <cell r="AL152">
            <v>7.0000000000000007E-2</v>
          </cell>
          <cell r="AM152">
            <v>3.32</v>
          </cell>
          <cell r="AN152">
            <v>0.5</v>
          </cell>
          <cell r="AO152">
            <v>174.15</v>
          </cell>
          <cell r="AQ152">
            <v>13.91</v>
          </cell>
        </row>
        <row r="153">
          <cell r="P153">
            <v>26.65</v>
          </cell>
          <cell r="Q153">
            <v>3382.45</v>
          </cell>
          <cell r="R153">
            <v>1679.79</v>
          </cell>
          <cell r="S153">
            <v>585005.41</v>
          </cell>
          <cell r="X153">
            <v>528016.68000000005</v>
          </cell>
          <cell r="Y153">
            <v>269875.19</v>
          </cell>
          <cell r="AT153">
            <v>90</v>
          </cell>
          <cell r="AU153">
            <v>46</v>
          </cell>
          <cell r="AV153">
            <v>1.0249999999999999</v>
          </cell>
          <cell r="AW153">
            <v>1</v>
          </cell>
          <cell r="BA153">
            <v>56.35</v>
          </cell>
          <cell r="BB153">
            <v>17.09</v>
          </cell>
          <cell r="BC153">
            <v>7.86</v>
          </cell>
          <cell r="BS153">
            <v>56.35</v>
          </cell>
          <cell r="BZ153">
            <v>90</v>
          </cell>
          <cell r="CA153">
            <v>46</v>
          </cell>
        </row>
        <row r="154">
          <cell r="F154" t="str">
            <v>1.1-1-2849</v>
          </cell>
          <cell r="H154" t="str">
            <v>кг</v>
          </cell>
          <cell r="I154">
            <v>1497.5994000000001</v>
          </cell>
          <cell r="O154">
            <v>61925.74</v>
          </cell>
          <cell r="R154">
            <v>0</v>
          </cell>
          <cell r="X154">
            <v>0</v>
          </cell>
          <cell r="Y154">
            <v>0</v>
          </cell>
          <cell r="AK154">
            <v>41.35</v>
          </cell>
        </row>
        <row r="155">
          <cell r="O155">
            <v>548662.06000000006</v>
          </cell>
          <cell r="R155">
            <v>0</v>
          </cell>
          <cell r="X155">
            <v>0</v>
          </cell>
          <cell r="Y155">
            <v>0</v>
          </cell>
          <cell r="AW155">
            <v>1</v>
          </cell>
          <cell r="BC155">
            <v>8.86</v>
          </cell>
        </row>
        <row r="156">
          <cell r="F156" t="str">
            <v>3.15-41-1</v>
          </cell>
          <cell r="H156" t="str">
            <v>100 м2 оштукатуриваемой поверхности</v>
          </cell>
          <cell r="I156">
            <v>48.466000000000001</v>
          </cell>
          <cell r="Q156">
            <v>7106.3</v>
          </cell>
          <cell r="R156">
            <v>3295.37</v>
          </cell>
          <cell r="S156">
            <v>63715.4</v>
          </cell>
          <cell r="U156">
            <v>5048.7767080264794</v>
          </cell>
          <cell r="X156">
            <v>60309.69</v>
          </cell>
          <cell r="Y156">
            <v>28144.52</v>
          </cell>
          <cell r="AM156">
            <v>79.12</v>
          </cell>
          <cell r="AN156">
            <v>36.69</v>
          </cell>
          <cell r="AO156">
            <v>771.08</v>
          </cell>
          <cell r="AQ156">
            <v>61.1</v>
          </cell>
        </row>
        <row r="157">
          <cell r="Q157">
            <v>243603.96</v>
          </cell>
          <cell r="R157">
            <v>185694.1</v>
          </cell>
          <cell r="S157">
            <v>3590362.79</v>
          </cell>
          <cell r="X157">
            <v>3398451.2000000002</v>
          </cell>
          <cell r="Y157">
            <v>1585943.89</v>
          </cell>
          <cell r="AT157">
            <v>90</v>
          </cell>
          <cell r="AU157">
            <v>42</v>
          </cell>
          <cell r="AV157">
            <v>1.0469999999999999</v>
          </cell>
          <cell r="BA157">
            <v>56.35</v>
          </cell>
          <cell r="BB157">
            <v>34.28</v>
          </cell>
          <cell r="BS157">
            <v>56.35</v>
          </cell>
          <cell r="BZ157">
            <v>90</v>
          </cell>
          <cell r="CA157">
            <v>42</v>
          </cell>
        </row>
        <row r="158">
          <cell r="F158" t="str">
            <v>1.1-1-118</v>
          </cell>
          <cell r="H158" t="str">
            <v>м3</v>
          </cell>
          <cell r="I158">
            <v>6.0529770000000003</v>
          </cell>
          <cell r="O158">
            <v>42.92</v>
          </cell>
          <cell r="R158">
            <v>0</v>
          </cell>
          <cell r="X158">
            <v>0</v>
          </cell>
          <cell r="Y158">
            <v>0</v>
          </cell>
          <cell r="AK158">
            <v>7.07</v>
          </cell>
        </row>
        <row r="159">
          <cell r="O159">
            <v>332.63</v>
          </cell>
          <cell r="R159">
            <v>0</v>
          </cell>
          <cell r="X159">
            <v>0</v>
          </cell>
          <cell r="Y159">
            <v>0</v>
          </cell>
          <cell r="AW159">
            <v>1.0029999999999999</v>
          </cell>
          <cell r="BC159">
            <v>7.75</v>
          </cell>
        </row>
        <row r="160">
          <cell r="F160" t="str">
            <v>1.3-2-24</v>
          </cell>
          <cell r="H160" t="str">
            <v>т</v>
          </cell>
          <cell r="I160">
            <v>34.588439000000001</v>
          </cell>
          <cell r="O160">
            <v>27368.68</v>
          </cell>
          <cell r="R160">
            <v>0</v>
          </cell>
          <cell r="X160">
            <v>0</v>
          </cell>
          <cell r="Y160">
            <v>0</v>
          </cell>
          <cell r="AK160">
            <v>788.9</v>
          </cell>
        </row>
        <row r="161">
          <cell r="O161">
            <v>333897.90000000002</v>
          </cell>
          <cell r="R161">
            <v>0</v>
          </cell>
          <cell r="X161">
            <v>0</v>
          </cell>
          <cell r="Y161">
            <v>0</v>
          </cell>
          <cell r="AW161">
            <v>1.0029999999999999</v>
          </cell>
          <cell r="BC161">
            <v>12.2</v>
          </cell>
        </row>
        <row r="162">
          <cell r="F162" t="str">
            <v>1.3-2-13</v>
          </cell>
          <cell r="H162" t="str">
            <v>м3</v>
          </cell>
          <cell r="I162">
            <v>86.471098999999995</v>
          </cell>
          <cell r="O162">
            <v>40824.050000000003</v>
          </cell>
          <cell r="R162">
            <v>0</v>
          </cell>
          <cell r="X162">
            <v>0</v>
          </cell>
          <cell r="Y162">
            <v>0</v>
          </cell>
          <cell r="AK162">
            <v>470.7</v>
          </cell>
        </row>
        <row r="163">
          <cell r="O163">
            <v>442532.7</v>
          </cell>
          <cell r="R163">
            <v>0</v>
          </cell>
          <cell r="X163">
            <v>0</v>
          </cell>
          <cell r="Y163">
            <v>0</v>
          </cell>
          <cell r="AW163">
            <v>1.0029999999999999</v>
          </cell>
          <cell r="BC163">
            <v>10.84</v>
          </cell>
        </row>
        <row r="196">
          <cell r="F196" t="str">
            <v>3.15-138-1</v>
          </cell>
          <cell r="H196" t="str">
            <v>1 м2</v>
          </cell>
          <cell r="I196">
            <v>2382</v>
          </cell>
          <cell r="P196">
            <v>212215.17</v>
          </cell>
          <cell r="Q196">
            <v>24465.69</v>
          </cell>
          <cell r="R196">
            <v>8379.69</v>
          </cell>
          <cell r="S196">
            <v>331775.69</v>
          </cell>
          <cell r="U196">
            <v>27326.752768800001</v>
          </cell>
          <cell r="X196">
            <v>306139.84000000003</v>
          </cell>
          <cell r="Y196">
            <v>142865.26</v>
          </cell>
          <cell r="AL196">
            <v>87.43</v>
          </cell>
          <cell r="AM196">
            <v>6.54</v>
          </cell>
          <cell r="AN196">
            <v>2.2400000000000002</v>
          </cell>
          <cell r="AO196">
            <v>96.4</v>
          </cell>
          <cell r="AQ196">
            <v>7.94</v>
          </cell>
        </row>
        <row r="197">
          <cell r="P197">
            <v>1859004.89</v>
          </cell>
          <cell r="Q197">
            <v>671827.85</v>
          </cell>
          <cell r="R197">
            <v>472195.53</v>
          </cell>
          <cell r="S197">
            <v>18695560.129999999</v>
          </cell>
          <cell r="X197">
            <v>17250980.09</v>
          </cell>
          <cell r="Y197">
            <v>8050457.3799999999</v>
          </cell>
          <cell r="AT197">
            <v>90</v>
          </cell>
          <cell r="AU197">
            <v>42</v>
          </cell>
          <cell r="AV197">
            <v>1.0469999999999999</v>
          </cell>
          <cell r="AW197">
            <v>1.0189999999999999</v>
          </cell>
          <cell r="BA197">
            <v>56.35</v>
          </cell>
          <cell r="BB197">
            <v>27.46</v>
          </cell>
          <cell r="BC197">
            <v>8.76</v>
          </cell>
          <cell r="BS197">
            <v>56.35</v>
          </cell>
          <cell r="BZ197">
            <v>90</v>
          </cell>
          <cell r="CA197">
            <v>42</v>
          </cell>
        </row>
        <row r="198">
          <cell r="F198" t="str">
            <v>1.1-1-3108</v>
          </cell>
          <cell r="H198" t="str">
            <v>кг</v>
          </cell>
          <cell r="I198">
            <v>10719</v>
          </cell>
          <cell r="O198">
            <v>192784.97</v>
          </cell>
          <cell r="R198">
            <v>0</v>
          </cell>
          <cell r="X198">
            <v>0</v>
          </cell>
          <cell r="Y198">
            <v>0</v>
          </cell>
          <cell r="AK198">
            <v>17.649999999999999</v>
          </cell>
        </row>
        <row r="199">
          <cell r="O199">
            <v>963924.85</v>
          </cell>
          <cell r="R199">
            <v>0</v>
          </cell>
          <cell r="X199">
            <v>0</v>
          </cell>
          <cell r="Y199">
            <v>0</v>
          </cell>
          <cell r="AW199">
            <v>1.0189999999999999</v>
          </cell>
          <cell r="BC199">
            <v>5</v>
          </cell>
        </row>
        <row r="200">
          <cell r="F200" t="str">
            <v>1.1-1-2922</v>
          </cell>
          <cell r="H200" t="str">
            <v>м3</v>
          </cell>
          <cell r="I200">
            <v>314.42399999999992</v>
          </cell>
          <cell r="O200">
            <v>399145.49</v>
          </cell>
          <cell r="R200">
            <v>0</v>
          </cell>
          <cell r="X200">
            <v>0</v>
          </cell>
          <cell r="Y200">
            <v>0</v>
          </cell>
          <cell r="AK200">
            <v>1245.78</v>
          </cell>
        </row>
        <row r="201">
          <cell r="O201">
            <v>2486676.4</v>
          </cell>
          <cell r="R201">
            <v>0</v>
          </cell>
          <cell r="X201">
            <v>0</v>
          </cell>
          <cell r="Y201">
            <v>0</v>
          </cell>
          <cell r="AW201">
            <v>1.0189999999999999</v>
          </cell>
          <cell r="BC201">
            <v>6.23</v>
          </cell>
        </row>
        <row r="202">
          <cell r="F202" t="str">
            <v>1.3-2-151</v>
          </cell>
          <cell r="H202" t="str">
            <v>т</v>
          </cell>
          <cell r="I202">
            <v>1.1910000000000001</v>
          </cell>
          <cell r="O202">
            <v>14269.28</v>
          </cell>
          <cell r="R202">
            <v>0</v>
          </cell>
          <cell r="X202">
            <v>0</v>
          </cell>
          <cell r="Y202">
            <v>0</v>
          </cell>
          <cell r="AK202">
            <v>11757.53</v>
          </cell>
        </row>
        <row r="203">
          <cell r="O203">
            <v>49657.09</v>
          </cell>
          <cell r="R203">
            <v>0</v>
          </cell>
          <cell r="X203">
            <v>0</v>
          </cell>
          <cell r="Y203">
            <v>0</v>
          </cell>
          <cell r="AW203">
            <v>1.0189999999999999</v>
          </cell>
          <cell r="BC203">
            <v>3.48</v>
          </cell>
        </row>
        <row r="204">
          <cell r="F204" t="str">
            <v>1.1-1-2026</v>
          </cell>
          <cell r="H204" t="str">
            <v>м2</v>
          </cell>
          <cell r="I204">
            <v>3763.56</v>
          </cell>
          <cell r="O204">
            <v>442029.9</v>
          </cell>
          <cell r="R204">
            <v>0</v>
          </cell>
          <cell r="X204">
            <v>0</v>
          </cell>
          <cell r="Y204">
            <v>0</v>
          </cell>
          <cell r="AK204">
            <v>115.26</v>
          </cell>
        </row>
        <row r="205">
          <cell r="O205">
            <v>181232.26</v>
          </cell>
          <cell r="R205">
            <v>0</v>
          </cell>
          <cell r="X205">
            <v>0</v>
          </cell>
          <cell r="Y205">
            <v>0</v>
          </cell>
          <cell r="AW205">
            <v>1.0189999999999999</v>
          </cell>
          <cell r="BC205">
            <v>0.41</v>
          </cell>
        </row>
        <row r="206">
          <cell r="F206" t="str">
            <v>1.3-2-153</v>
          </cell>
          <cell r="H206" t="str">
            <v>т</v>
          </cell>
          <cell r="I206">
            <v>38.112000000000002</v>
          </cell>
          <cell r="O206">
            <v>727403.78</v>
          </cell>
          <cell r="R206">
            <v>0</v>
          </cell>
          <cell r="X206">
            <v>0</v>
          </cell>
          <cell r="Y206">
            <v>0</v>
          </cell>
          <cell r="AK206">
            <v>18730.080000000002</v>
          </cell>
        </row>
        <row r="207">
          <cell r="O207">
            <v>2145841.15</v>
          </cell>
          <cell r="R207">
            <v>0</v>
          </cell>
          <cell r="X207">
            <v>0</v>
          </cell>
          <cell r="Y207">
            <v>0</v>
          </cell>
          <cell r="AW207">
            <v>1.0189999999999999</v>
          </cell>
          <cell r="BC207">
            <v>2.95</v>
          </cell>
        </row>
        <row r="208">
          <cell r="F208" t="str">
            <v>3.9-65-3</v>
          </cell>
          <cell r="H208" t="str">
            <v>1ШТ.</v>
          </cell>
          <cell r="I208">
            <v>1</v>
          </cell>
          <cell r="P208">
            <v>1</v>
          </cell>
          <cell r="R208">
            <v>0</v>
          </cell>
          <cell r="S208">
            <v>16.350000000000001</v>
          </cell>
          <cell r="U208">
            <v>1.4250569999999996</v>
          </cell>
          <cell r="X208">
            <v>13.73</v>
          </cell>
          <cell r="Y208">
            <v>8.67</v>
          </cell>
          <cell r="AL208">
            <v>1</v>
          </cell>
          <cell r="AO208">
            <v>10.9</v>
          </cell>
          <cell r="AQ208">
            <v>0.95</v>
          </cell>
        </row>
        <row r="209">
          <cell r="P209">
            <v>16.420000000000002</v>
          </cell>
          <cell r="R209">
            <v>0</v>
          </cell>
          <cell r="S209">
            <v>921.32</v>
          </cell>
          <cell r="X209">
            <v>773.91</v>
          </cell>
          <cell r="Y209">
            <v>488.3</v>
          </cell>
          <cell r="AT209">
            <v>84</v>
          </cell>
          <cell r="AU209">
            <v>53</v>
          </cell>
          <cell r="AV209">
            <v>1.087</v>
          </cell>
          <cell r="AW209">
            <v>1</v>
          </cell>
          <cell r="BA209">
            <v>56.35</v>
          </cell>
          <cell r="BC209">
            <v>16.420000000000002</v>
          </cell>
          <cell r="BZ209">
            <v>84</v>
          </cell>
          <cell r="CA209">
            <v>53</v>
          </cell>
        </row>
        <row r="210">
          <cell r="F210" t="str">
            <v>1.1-1-2638</v>
          </cell>
          <cell r="H210" t="str">
            <v>шт.</v>
          </cell>
          <cell r="I210">
            <v>1</v>
          </cell>
          <cell r="O210">
            <v>156.96</v>
          </cell>
          <cell r="R210">
            <v>0</v>
          </cell>
          <cell r="X210">
            <v>0</v>
          </cell>
          <cell r="Y210">
            <v>0</v>
          </cell>
          <cell r="AK210">
            <v>156.96</v>
          </cell>
        </row>
        <row r="211">
          <cell r="O211">
            <v>136.56</v>
          </cell>
          <cell r="R211">
            <v>0</v>
          </cell>
          <cell r="X211">
            <v>0</v>
          </cell>
          <cell r="Y211">
            <v>0</v>
          </cell>
          <cell r="AW211">
            <v>1</v>
          </cell>
          <cell r="BC211">
            <v>0.87</v>
          </cell>
        </row>
        <row r="212">
          <cell r="F212" t="str">
            <v>4.8-245-10</v>
          </cell>
          <cell r="H212" t="str">
            <v>100 шт.</v>
          </cell>
          <cell r="I212">
            <v>0.01</v>
          </cell>
          <cell r="P212">
            <v>0.81</v>
          </cell>
          <cell r="Q212">
            <v>1.17</v>
          </cell>
          <cell r="R212">
            <v>0.16</v>
          </cell>
          <cell r="S212">
            <v>13.82</v>
          </cell>
          <cell r="U212">
            <v>1.06379388</v>
          </cell>
          <cell r="X212">
            <v>13.56</v>
          </cell>
          <cell r="Y212">
            <v>7.13</v>
          </cell>
          <cell r="AL212">
            <v>81.36</v>
          </cell>
          <cell r="AM212">
            <v>93.32</v>
          </cell>
          <cell r="AN212">
            <v>13</v>
          </cell>
          <cell r="AO212">
            <v>1099.8599999999999</v>
          </cell>
          <cell r="AQ212">
            <v>84.67</v>
          </cell>
        </row>
        <row r="213">
          <cell r="P213">
            <v>8.6300000000000008</v>
          </cell>
          <cell r="Q213">
            <v>19.21</v>
          </cell>
          <cell r="R213">
            <v>9.02</v>
          </cell>
          <cell r="S213">
            <v>778.76</v>
          </cell>
          <cell r="X213">
            <v>764.15</v>
          </cell>
          <cell r="Y213">
            <v>401.77</v>
          </cell>
          <cell r="AT213">
            <v>97</v>
          </cell>
          <cell r="AU213">
            <v>51</v>
          </cell>
          <cell r="AV213">
            <v>1.0469999999999999</v>
          </cell>
          <cell r="AW213">
            <v>1</v>
          </cell>
          <cell r="BA213">
            <v>56.35</v>
          </cell>
          <cell r="BB213">
            <v>16.420000000000002</v>
          </cell>
          <cell r="BC213">
            <v>10.65</v>
          </cell>
          <cell r="BS213">
            <v>56.35</v>
          </cell>
          <cell r="BZ213">
            <v>97</v>
          </cell>
          <cell r="CA213">
            <v>51</v>
          </cell>
        </row>
        <row r="214">
          <cell r="F214" t="str">
            <v>1.22-4-18</v>
          </cell>
          <cell r="H214" t="str">
            <v>шт.</v>
          </cell>
          <cell r="I214">
            <v>1</v>
          </cell>
          <cell r="O214">
            <v>1417.94</v>
          </cell>
          <cell r="R214">
            <v>0</v>
          </cell>
          <cell r="X214">
            <v>0</v>
          </cell>
          <cell r="Y214">
            <v>0</v>
          </cell>
          <cell r="AK214">
            <v>1417.94</v>
          </cell>
        </row>
        <row r="215">
          <cell r="O215">
            <v>17128.72</v>
          </cell>
          <cell r="R215">
            <v>0</v>
          </cell>
          <cell r="X215">
            <v>0</v>
          </cell>
          <cell r="Y215">
            <v>0</v>
          </cell>
          <cell r="AW215">
            <v>1</v>
          </cell>
          <cell r="BC215">
            <v>12.08</v>
          </cell>
        </row>
        <row r="216">
          <cell r="F216" t="str">
            <v>1.22-6-11</v>
          </cell>
          <cell r="H216" t="str">
            <v>10 шт.</v>
          </cell>
          <cell r="I216">
            <v>0.1</v>
          </cell>
          <cell r="O216">
            <v>7.65</v>
          </cell>
          <cell r="R216">
            <v>0</v>
          </cell>
          <cell r="X216">
            <v>0</v>
          </cell>
          <cell r="Y216">
            <v>0</v>
          </cell>
          <cell r="AK216">
            <v>76.48</v>
          </cell>
        </row>
        <row r="217">
          <cell r="O217">
            <v>34.270000000000003</v>
          </cell>
          <cell r="R217">
            <v>0</v>
          </cell>
          <cell r="X217">
            <v>0</v>
          </cell>
          <cell r="Y217">
            <v>0</v>
          </cell>
          <cell r="AW217">
            <v>1</v>
          </cell>
          <cell r="BC217">
            <v>4.4800000000000004</v>
          </cell>
        </row>
        <row r="218">
          <cell r="F218" t="str">
            <v>3.9-66-1</v>
          </cell>
          <cell r="H218" t="str">
            <v>1 флагодержатель</v>
          </cell>
          <cell r="I218">
            <v>1</v>
          </cell>
          <cell r="P218">
            <v>0.31</v>
          </cell>
          <cell r="R218">
            <v>0</v>
          </cell>
          <cell r="S218">
            <v>9.06</v>
          </cell>
          <cell r="U218">
            <v>0.78003119999999992</v>
          </cell>
          <cell r="X218">
            <v>7.61</v>
          </cell>
          <cell r="Y218">
            <v>4.8</v>
          </cell>
          <cell r="AL218">
            <v>0.31</v>
          </cell>
          <cell r="AO218">
            <v>6.04</v>
          </cell>
          <cell r="AQ218">
            <v>0.52</v>
          </cell>
        </row>
        <row r="219">
          <cell r="P219">
            <v>3.53</v>
          </cell>
          <cell r="R219">
            <v>0</v>
          </cell>
          <cell r="S219">
            <v>510.53</v>
          </cell>
          <cell r="X219">
            <v>428.85</v>
          </cell>
          <cell r="Y219">
            <v>270.58</v>
          </cell>
          <cell r="AT219">
            <v>84</v>
          </cell>
          <cell r="AU219">
            <v>53</v>
          </cell>
          <cell r="AV219">
            <v>1.087</v>
          </cell>
          <cell r="AW219">
            <v>1</v>
          </cell>
          <cell r="BA219">
            <v>56.35</v>
          </cell>
          <cell r="BC219">
            <v>11.39</v>
          </cell>
          <cell r="BZ219">
            <v>84</v>
          </cell>
          <cell r="CA219">
            <v>53</v>
          </cell>
        </row>
        <row r="220">
          <cell r="F220" t="str">
            <v>1.7-8-7</v>
          </cell>
          <cell r="H220" t="str">
            <v>шт.</v>
          </cell>
          <cell r="I220">
            <v>1</v>
          </cell>
          <cell r="O220">
            <v>68.180000000000007</v>
          </cell>
          <cell r="R220">
            <v>0</v>
          </cell>
          <cell r="X220">
            <v>0</v>
          </cell>
          <cell r="Y220">
            <v>0</v>
          </cell>
          <cell r="AK220">
            <v>68.180000000000007</v>
          </cell>
        </row>
        <row r="221">
          <cell r="O221">
            <v>709.75</v>
          </cell>
          <cell r="R221">
            <v>0</v>
          </cell>
          <cell r="X221">
            <v>0</v>
          </cell>
          <cell r="Y221">
            <v>0</v>
          </cell>
          <cell r="AW221">
            <v>1</v>
          </cell>
          <cell r="BC221">
            <v>10.41</v>
          </cell>
        </row>
        <row r="223">
          <cell r="G223" t="str">
            <v>Фасад</v>
          </cell>
        </row>
        <row r="253">
          <cell r="G253" t="str">
            <v>Фасад</v>
          </cell>
        </row>
        <row r="283">
          <cell r="G283" t="str">
            <v>Цоколь</v>
          </cell>
        </row>
        <row r="287">
          <cell r="G287" t="str">
            <v>Демонтажные работы</v>
          </cell>
        </row>
        <row r="291">
          <cell r="F291" t="str">
            <v>6.61-26-2</v>
          </cell>
          <cell r="H291" t="str">
            <v>100 м2</v>
          </cell>
          <cell r="I291">
            <v>9.3740000000000006</v>
          </cell>
          <cell r="R291">
            <v>0</v>
          </cell>
          <cell r="S291">
            <v>5909.95</v>
          </cell>
          <cell r="U291">
            <v>578.27493576000006</v>
          </cell>
          <cell r="X291">
            <v>5259.86</v>
          </cell>
          <cell r="Y291">
            <v>2600.38</v>
          </cell>
          <cell r="AO291">
            <v>501.8</v>
          </cell>
          <cell r="AQ291">
            <v>49.1</v>
          </cell>
        </row>
        <row r="292">
          <cell r="R292">
            <v>0</v>
          </cell>
          <cell r="S292">
            <v>333025.68</v>
          </cell>
          <cell r="X292">
            <v>296392.86</v>
          </cell>
          <cell r="Y292">
            <v>146531.29999999999</v>
          </cell>
          <cell r="AT292">
            <v>89</v>
          </cell>
          <cell r="AU292">
            <v>44</v>
          </cell>
          <cell r="AV292">
            <v>1.0469999999999999</v>
          </cell>
          <cell r="BA292">
            <v>56.35</v>
          </cell>
          <cell r="BZ292">
            <v>89</v>
          </cell>
          <cell r="CA292">
            <v>44</v>
          </cell>
        </row>
        <row r="293">
          <cell r="F293" t="str">
            <v>6.57-2-7</v>
          </cell>
          <cell r="H293" t="str">
            <v>100 м2 покрытия</v>
          </cell>
          <cell r="I293">
            <v>0.18</v>
          </cell>
          <cell r="Q293">
            <v>11.39</v>
          </cell>
          <cell r="R293">
            <v>4.1100000000000003</v>
          </cell>
          <cell r="S293">
            <v>176.66</v>
          </cell>
          <cell r="U293">
            <v>15.801240239999998</v>
          </cell>
          <cell r="X293">
            <v>160.88999999999999</v>
          </cell>
          <cell r="Y293">
            <v>88.58</v>
          </cell>
          <cell r="AM293">
            <v>50.37</v>
          </cell>
          <cell r="AN293">
            <v>18.170000000000002</v>
          </cell>
          <cell r="AO293">
            <v>781.15</v>
          </cell>
          <cell r="AQ293">
            <v>69.87</v>
          </cell>
        </row>
        <row r="294">
          <cell r="Q294">
            <v>319.49</v>
          </cell>
          <cell r="R294">
            <v>231.6</v>
          </cell>
          <cell r="S294">
            <v>9954.7900000000009</v>
          </cell>
          <cell r="X294">
            <v>9065.89</v>
          </cell>
          <cell r="Y294">
            <v>4991.33</v>
          </cell>
          <cell r="AT294">
            <v>89</v>
          </cell>
          <cell r="AU294">
            <v>49</v>
          </cell>
          <cell r="AV294">
            <v>1.0469999999999999</v>
          </cell>
          <cell r="BA294">
            <v>56.35</v>
          </cell>
          <cell r="BB294">
            <v>28.05</v>
          </cell>
          <cell r="BS294">
            <v>56.35</v>
          </cell>
          <cell r="BZ294">
            <v>89</v>
          </cell>
          <cell r="CA294">
            <v>49</v>
          </cell>
        </row>
        <row r="295">
          <cell r="F295" t="str">
            <v>3.7-60-4</v>
          </cell>
          <cell r="H295" t="str">
            <v>100 м ограждений</v>
          </cell>
          <cell r="I295">
            <v>1.18</v>
          </cell>
          <cell r="Q295">
            <v>51.83</v>
          </cell>
          <cell r="R295">
            <v>6.04</v>
          </cell>
          <cell r="S295">
            <v>455.16</v>
          </cell>
          <cell r="U295">
            <v>36.915544799999992</v>
          </cell>
          <cell r="X295">
            <v>456.59</v>
          </cell>
          <cell r="Y295">
            <v>285.94</v>
          </cell>
          <cell r="AM295">
            <v>58.27</v>
          </cell>
          <cell r="AN295">
            <v>6.79</v>
          </cell>
          <cell r="AO295">
            <v>511.69</v>
          </cell>
          <cell r="AQ295">
            <v>41.5</v>
          </cell>
        </row>
        <row r="296">
          <cell r="Q296">
            <v>800.77</v>
          </cell>
          <cell r="R296">
            <v>340.35</v>
          </cell>
          <cell r="S296">
            <v>25648.27</v>
          </cell>
          <cell r="X296">
            <v>25728.73</v>
          </cell>
          <cell r="Y296">
            <v>16112.94</v>
          </cell>
          <cell r="AT296">
            <v>99</v>
          </cell>
          <cell r="AU296">
            <v>62</v>
          </cell>
          <cell r="AV296">
            <v>1.0469999999999999</v>
          </cell>
          <cell r="BA296">
            <v>56.35</v>
          </cell>
          <cell r="BB296">
            <v>15.45</v>
          </cell>
          <cell r="BS296">
            <v>56.35</v>
          </cell>
          <cell r="BZ296">
            <v>99</v>
          </cell>
          <cell r="CA296">
            <v>62</v>
          </cell>
        </row>
        <row r="298">
          <cell r="G298" t="str">
            <v>Демонтажные работы</v>
          </cell>
        </row>
        <row r="328">
          <cell r="G328" t="str">
            <v>Монтажные работы</v>
          </cell>
        </row>
        <row r="332">
          <cell r="F332" t="str">
            <v>6.62-40-2</v>
          </cell>
          <cell r="H332" t="str">
            <v>100 м2</v>
          </cell>
          <cell r="I332">
            <v>4.6870000000000003</v>
          </cell>
          <cell r="P332">
            <v>0.33</v>
          </cell>
          <cell r="Q332">
            <v>19.14</v>
          </cell>
          <cell r="R332">
            <v>2.88</v>
          </cell>
          <cell r="S332">
            <v>1003.98</v>
          </cell>
          <cell r="U332">
            <v>80.191289099999992</v>
          </cell>
          <cell r="X332">
            <v>906.17</v>
          </cell>
          <cell r="Y332">
            <v>463.16</v>
          </cell>
          <cell r="AL332">
            <v>7.0000000000000007E-2</v>
          </cell>
          <cell r="AM332">
            <v>3.32</v>
          </cell>
          <cell r="AN332">
            <v>0.5</v>
          </cell>
          <cell r="AO332">
            <v>174.15</v>
          </cell>
          <cell r="AQ332">
            <v>13.91</v>
          </cell>
        </row>
        <row r="333">
          <cell r="P333">
            <v>2.59</v>
          </cell>
          <cell r="Q333">
            <v>327.10000000000002</v>
          </cell>
          <cell r="R333">
            <v>162.29</v>
          </cell>
          <cell r="S333">
            <v>56574.27</v>
          </cell>
          <cell r="X333">
            <v>51062.9</v>
          </cell>
          <cell r="Y333">
            <v>26098.82</v>
          </cell>
          <cell r="AT333">
            <v>90</v>
          </cell>
          <cell r="AU333">
            <v>46</v>
          </cell>
          <cell r="AV333">
            <v>1.0249999999999999</v>
          </cell>
          <cell r="AW333">
            <v>1</v>
          </cell>
          <cell r="BA333">
            <v>56.35</v>
          </cell>
          <cell r="BB333">
            <v>17.09</v>
          </cell>
          <cell r="BC333">
            <v>7.86</v>
          </cell>
          <cell r="BS333">
            <v>56.35</v>
          </cell>
          <cell r="BZ333">
            <v>90</v>
          </cell>
          <cell r="CA333">
            <v>46</v>
          </cell>
        </row>
        <row r="334">
          <cell r="F334" t="str">
            <v>1.1-1-2849</v>
          </cell>
          <cell r="H334" t="str">
            <v>кг</v>
          </cell>
          <cell r="I334">
            <v>144.82830000000001</v>
          </cell>
          <cell r="O334">
            <v>5988.65</v>
          </cell>
          <cell r="R334">
            <v>0</v>
          </cell>
          <cell r="X334">
            <v>0</v>
          </cell>
          <cell r="Y334">
            <v>0</v>
          </cell>
          <cell r="AK334">
            <v>41.35</v>
          </cell>
        </row>
        <row r="335">
          <cell r="O335">
            <v>53059.44</v>
          </cell>
          <cell r="R335">
            <v>0</v>
          </cell>
          <cell r="X335">
            <v>0</v>
          </cell>
          <cell r="Y335">
            <v>0</v>
          </cell>
          <cell r="AW335">
            <v>1</v>
          </cell>
          <cell r="BC335">
            <v>8.86</v>
          </cell>
        </row>
        <row r="336">
          <cell r="F336" t="str">
            <v>3.15-203-2</v>
          </cell>
          <cell r="H336" t="str">
            <v>100 м2 отливов</v>
          </cell>
          <cell r="I336">
            <v>0.65849999999999997</v>
          </cell>
          <cell r="P336">
            <v>7647.73</v>
          </cell>
          <cell r="Q336">
            <v>45.43</v>
          </cell>
          <cell r="R336">
            <v>4.83</v>
          </cell>
          <cell r="S336">
            <v>897.02</v>
          </cell>
          <cell r="U336">
            <v>59.246188103699986</v>
          </cell>
          <cell r="X336">
            <v>811.67</v>
          </cell>
          <cell r="Y336">
            <v>378.78</v>
          </cell>
          <cell r="AL336">
            <v>11579.12</v>
          </cell>
          <cell r="AM336">
            <v>43.93</v>
          </cell>
          <cell r="AN336">
            <v>4.67</v>
          </cell>
          <cell r="AO336">
            <v>942.8</v>
          </cell>
          <cell r="AQ336">
            <v>62.27</v>
          </cell>
        </row>
        <row r="337">
          <cell r="P337">
            <v>56516.72</v>
          </cell>
          <cell r="Q337">
            <v>673.73</v>
          </cell>
          <cell r="R337">
            <v>272.17</v>
          </cell>
          <cell r="S337">
            <v>50547.08</v>
          </cell>
          <cell r="X337">
            <v>45737.33</v>
          </cell>
          <cell r="Y337">
            <v>21344.09</v>
          </cell>
          <cell r="AT337">
            <v>90</v>
          </cell>
          <cell r="AU337">
            <v>42</v>
          </cell>
          <cell r="AV337">
            <v>1.0469999999999999</v>
          </cell>
          <cell r="AW337">
            <v>1.0029999999999999</v>
          </cell>
          <cell r="BA337">
            <v>56.35</v>
          </cell>
          <cell r="BB337">
            <v>14.83</v>
          </cell>
          <cell r="BC337">
            <v>7.39</v>
          </cell>
          <cell r="BS337">
            <v>56.35</v>
          </cell>
          <cell r="BZ337">
            <v>90</v>
          </cell>
          <cell r="CA337">
            <v>42</v>
          </cell>
        </row>
        <row r="338">
          <cell r="F338" t="str">
            <v>1.7-1-16</v>
          </cell>
          <cell r="H338" t="str">
            <v>м2</v>
          </cell>
          <cell r="I338">
            <v>72.435000000000002</v>
          </cell>
          <cell r="O338">
            <v>12844.2</v>
          </cell>
          <cell r="R338">
            <v>0</v>
          </cell>
          <cell r="X338">
            <v>0</v>
          </cell>
          <cell r="Y338">
            <v>0</v>
          </cell>
          <cell r="AK338">
            <v>176.79</v>
          </cell>
        </row>
        <row r="339">
          <cell r="O339">
            <v>89010.31</v>
          </cell>
          <cell r="R339">
            <v>0</v>
          </cell>
          <cell r="X339">
            <v>0</v>
          </cell>
          <cell r="Y339">
            <v>0</v>
          </cell>
          <cell r="AW339">
            <v>1.0029999999999999</v>
          </cell>
          <cell r="BC339">
            <v>6.93</v>
          </cell>
        </row>
        <row r="340">
          <cell r="F340" t="str">
            <v>3.26-56-3</v>
          </cell>
          <cell r="H340" t="str">
            <v>100 м2</v>
          </cell>
          <cell r="I340">
            <v>3.8969999999999998</v>
          </cell>
          <cell r="P340">
            <v>32012.01</v>
          </cell>
          <cell r="Q340">
            <v>836.02</v>
          </cell>
          <cell r="R340">
            <v>77.12</v>
          </cell>
          <cell r="S340">
            <v>5579.61</v>
          </cell>
          <cell r="U340">
            <v>471.56437642499986</v>
          </cell>
          <cell r="X340">
            <v>4921.3599999999997</v>
          </cell>
          <cell r="Y340">
            <v>2658.66</v>
          </cell>
          <cell r="AL340">
            <v>8061.36</v>
          </cell>
          <cell r="AM340">
            <v>136.6</v>
          </cell>
          <cell r="AN340">
            <v>12.6</v>
          </cell>
          <cell r="AO340">
            <v>990.94</v>
          </cell>
          <cell r="AQ340">
            <v>83.75</v>
          </cell>
        </row>
        <row r="341">
          <cell r="P341">
            <v>100837.83</v>
          </cell>
          <cell r="Q341">
            <v>12239.33</v>
          </cell>
          <cell r="R341">
            <v>4345.71</v>
          </cell>
          <cell r="S341">
            <v>314411.02</v>
          </cell>
          <cell r="X341">
            <v>277318.36</v>
          </cell>
          <cell r="Y341">
            <v>149815.66</v>
          </cell>
          <cell r="AT341">
            <v>87</v>
          </cell>
          <cell r="AU341">
            <v>47</v>
          </cell>
          <cell r="AV341">
            <v>1.0469999999999999</v>
          </cell>
          <cell r="AW341">
            <v>1.0189999999999999</v>
          </cell>
          <cell r="BA341">
            <v>56.35</v>
          </cell>
          <cell r="BB341">
            <v>14.64</v>
          </cell>
          <cell r="BC341">
            <v>3.15</v>
          </cell>
          <cell r="BS341">
            <v>56.35</v>
          </cell>
          <cell r="BZ341">
            <v>87</v>
          </cell>
          <cell r="CA341">
            <v>47</v>
          </cell>
        </row>
        <row r="342">
          <cell r="F342" t="str">
            <v>1.1-1-2922</v>
          </cell>
          <cell r="H342" t="str">
            <v>м3</v>
          </cell>
          <cell r="I342">
            <v>65.001959999999997</v>
          </cell>
          <cell r="O342">
            <v>82516.73</v>
          </cell>
          <cell r="R342">
            <v>0</v>
          </cell>
          <cell r="X342">
            <v>0</v>
          </cell>
          <cell r="Y342">
            <v>0</v>
          </cell>
          <cell r="AK342">
            <v>1245.78</v>
          </cell>
        </row>
        <row r="343">
          <cell r="O343">
            <v>514079.23</v>
          </cell>
          <cell r="R343">
            <v>0</v>
          </cell>
          <cell r="X343">
            <v>0</v>
          </cell>
          <cell r="Y343">
            <v>0</v>
          </cell>
          <cell r="AW343">
            <v>1.0189999999999999</v>
          </cell>
          <cell r="BC343">
            <v>6.23</v>
          </cell>
        </row>
        <row r="344">
          <cell r="F344" t="str">
            <v>3.26-56-1</v>
          </cell>
          <cell r="H344" t="str">
            <v>100 м2</v>
          </cell>
          <cell r="I344">
            <v>0.79</v>
          </cell>
          <cell r="P344">
            <v>5678.11</v>
          </cell>
          <cell r="Q344">
            <v>41.61</v>
          </cell>
          <cell r="R344">
            <v>4.4400000000000004</v>
          </cell>
          <cell r="S344">
            <v>849.09</v>
          </cell>
          <cell r="U344">
            <v>70.871972345999993</v>
          </cell>
          <cell r="X344">
            <v>742.57</v>
          </cell>
          <cell r="Y344">
            <v>401.16</v>
          </cell>
          <cell r="AL344">
            <v>7053.47</v>
          </cell>
          <cell r="AM344">
            <v>33.54</v>
          </cell>
          <cell r="AN344">
            <v>3.58</v>
          </cell>
          <cell r="AO344">
            <v>743.88</v>
          </cell>
          <cell r="AQ344">
            <v>62.09</v>
          </cell>
        </row>
        <row r="345">
          <cell r="P345">
            <v>18169.95</v>
          </cell>
          <cell r="Q345">
            <v>621.24</v>
          </cell>
          <cell r="R345">
            <v>250.19</v>
          </cell>
          <cell r="S345">
            <v>47846.22</v>
          </cell>
          <cell r="X345">
            <v>41843.879999999997</v>
          </cell>
          <cell r="Y345">
            <v>22605.31</v>
          </cell>
          <cell r="AT345">
            <v>87</v>
          </cell>
          <cell r="AU345">
            <v>47</v>
          </cell>
          <cell r="AV345">
            <v>1.0469999999999999</v>
          </cell>
          <cell r="AW345">
            <v>1.0189999999999999</v>
          </cell>
          <cell r="BA345">
            <v>56.35</v>
          </cell>
          <cell r="BB345">
            <v>14.93</v>
          </cell>
          <cell r="BC345">
            <v>3.2</v>
          </cell>
          <cell r="BS345">
            <v>56.35</v>
          </cell>
          <cell r="BZ345">
            <v>87</v>
          </cell>
          <cell r="CA345">
            <v>47</v>
          </cell>
        </row>
        <row r="346">
          <cell r="F346" t="str">
            <v>1.1-1-1849</v>
          </cell>
          <cell r="H346" t="str">
            <v>м2</v>
          </cell>
          <cell r="I346">
            <v>79</v>
          </cell>
          <cell r="O346">
            <v>83429.63</v>
          </cell>
          <cell r="R346">
            <v>0</v>
          </cell>
          <cell r="X346">
            <v>0</v>
          </cell>
          <cell r="Y346">
            <v>0</v>
          </cell>
          <cell r="AK346">
            <v>1036.3800000000001</v>
          </cell>
        </row>
        <row r="347">
          <cell r="O347">
            <v>753369.56</v>
          </cell>
          <cell r="R347">
            <v>0</v>
          </cell>
          <cell r="X347">
            <v>0</v>
          </cell>
          <cell r="Y347">
            <v>0</v>
          </cell>
          <cell r="AW347">
            <v>1.0189999999999999</v>
          </cell>
          <cell r="BC347">
            <v>9.0299999999999994</v>
          </cell>
        </row>
        <row r="348">
          <cell r="F348" t="str">
            <v>3.15-41-1</v>
          </cell>
          <cell r="H348" t="str">
            <v>100 м2 оштукатуриваемой поверхности</v>
          </cell>
          <cell r="I348">
            <v>4.6870000000000003</v>
          </cell>
          <cell r="Q348">
            <v>343.61</v>
          </cell>
          <cell r="R348">
            <v>159.34</v>
          </cell>
          <cell r="S348">
            <v>3080.86</v>
          </cell>
          <cell r="U348">
            <v>244.12594840217997</v>
          </cell>
          <cell r="X348">
            <v>2916.18</v>
          </cell>
          <cell r="Y348">
            <v>1360.88</v>
          </cell>
          <cell r="AM348">
            <v>79.12</v>
          </cell>
          <cell r="AN348">
            <v>36.69</v>
          </cell>
          <cell r="AO348">
            <v>771.08</v>
          </cell>
          <cell r="AQ348">
            <v>61.1</v>
          </cell>
        </row>
        <row r="349">
          <cell r="Q349">
            <v>11778.95</v>
          </cell>
          <cell r="R349">
            <v>8978.81</v>
          </cell>
          <cell r="S349">
            <v>173606.46</v>
          </cell>
          <cell r="X349">
            <v>164326.74</v>
          </cell>
          <cell r="Y349">
            <v>76685.81</v>
          </cell>
          <cell r="AT349">
            <v>90</v>
          </cell>
          <cell r="AU349">
            <v>42</v>
          </cell>
          <cell r="AV349">
            <v>1.0469999999999999</v>
          </cell>
          <cell r="BA349">
            <v>56.35</v>
          </cell>
          <cell r="BB349">
            <v>34.28</v>
          </cell>
          <cell r="BS349">
            <v>56.35</v>
          </cell>
          <cell r="BZ349">
            <v>90</v>
          </cell>
          <cell r="CA349">
            <v>42</v>
          </cell>
        </row>
        <row r="350">
          <cell r="F350" t="str">
            <v>1.1-1-118</v>
          </cell>
          <cell r="H350" t="str">
            <v>м3</v>
          </cell>
          <cell r="I350">
            <v>0.29268300000000003</v>
          </cell>
          <cell r="O350">
            <v>2.08</v>
          </cell>
          <cell r="R350">
            <v>0</v>
          </cell>
          <cell r="X350">
            <v>0</v>
          </cell>
          <cell r="Y350">
            <v>0</v>
          </cell>
          <cell r="AK350">
            <v>7.07</v>
          </cell>
        </row>
        <row r="351">
          <cell r="O351">
            <v>16.12</v>
          </cell>
          <cell r="R351">
            <v>0</v>
          </cell>
          <cell r="X351">
            <v>0</v>
          </cell>
          <cell r="Y351">
            <v>0</v>
          </cell>
          <cell r="AW351">
            <v>1.0029999999999999</v>
          </cell>
          <cell r="BC351">
            <v>7.75</v>
          </cell>
        </row>
        <row r="352">
          <cell r="F352" t="str">
            <v>1.3-2-24</v>
          </cell>
          <cell r="H352" t="str">
            <v>т</v>
          </cell>
          <cell r="I352">
            <v>1.672472</v>
          </cell>
          <cell r="O352">
            <v>1323.37</v>
          </cell>
          <cell r="R352">
            <v>0</v>
          </cell>
          <cell r="X352">
            <v>0</v>
          </cell>
          <cell r="Y352">
            <v>0</v>
          </cell>
          <cell r="AK352">
            <v>788.9</v>
          </cell>
        </row>
        <row r="353">
          <cell r="O353">
            <v>16145.11</v>
          </cell>
          <cell r="R353">
            <v>0</v>
          </cell>
          <cell r="X353">
            <v>0</v>
          </cell>
          <cell r="Y353">
            <v>0</v>
          </cell>
          <cell r="AW353">
            <v>1.0029999999999999</v>
          </cell>
          <cell r="BC353">
            <v>12.2</v>
          </cell>
        </row>
        <row r="354">
          <cell r="F354" t="str">
            <v>1.3-2-13</v>
          </cell>
          <cell r="H354" t="str">
            <v>м3</v>
          </cell>
          <cell r="I354">
            <v>4.1811790000000002</v>
          </cell>
          <cell r="O354">
            <v>1973.99</v>
          </cell>
          <cell r="R354">
            <v>0</v>
          </cell>
          <cell r="X354">
            <v>0</v>
          </cell>
          <cell r="Y354">
            <v>0</v>
          </cell>
          <cell r="AK354">
            <v>470.7</v>
          </cell>
        </row>
        <row r="355">
          <cell r="O355">
            <v>21398.05</v>
          </cell>
          <cell r="R355">
            <v>0</v>
          </cell>
          <cell r="X355">
            <v>0</v>
          </cell>
          <cell r="Y355">
            <v>0</v>
          </cell>
          <cell r="AW355">
            <v>1.0029999999999999</v>
          </cell>
          <cell r="BC355">
            <v>10.84</v>
          </cell>
        </row>
        <row r="356">
          <cell r="F356" t="str">
            <v>3.15-170-1</v>
          </cell>
          <cell r="H356" t="str">
            <v>100 м2</v>
          </cell>
          <cell r="I356">
            <v>4.6870000000000003</v>
          </cell>
          <cell r="P356">
            <v>13.77</v>
          </cell>
          <cell r="Q356">
            <v>442.32</v>
          </cell>
          <cell r="R356">
            <v>316.74</v>
          </cell>
          <cell r="S356">
            <v>8045.88</v>
          </cell>
          <cell r="U356">
            <v>686.61904375979987</v>
          </cell>
          <cell r="X356">
            <v>7526.36</v>
          </cell>
          <cell r="Y356">
            <v>3512.3</v>
          </cell>
          <cell r="AL356">
            <v>2.93</v>
          </cell>
          <cell r="AM356">
            <v>60.09</v>
          </cell>
          <cell r="AN356">
            <v>43.03</v>
          </cell>
          <cell r="AO356">
            <v>1188.0999999999999</v>
          </cell>
          <cell r="AQ356">
            <v>101.39</v>
          </cell>
        </row>
        <row r="357">
          <cell r="P357">
            <v>132.74</v>
          </cell>
          <cell r="Q357">
            <v>20784.62</v>
          </cell>
          <cell r="R357">
            <v>17848.3</v>
          </cell>
          <cell r="S357">
            <v>453385.34</v>
          </cell>
          <cell r="X357">
            <v>424110.28</v>
          </cell>
          <cell r="Y357">
            <v>197918.13</v>
          </cell>
          <cell r="AT357">
            <v>90</v>
          </cell>
          <cell r="AU357">
            <v>42</v>
          </cell>
          <cell r="AV357">
            <v>1.0469999999999999</v>
          </cell>
          <cell r="AW357">
            <v>1.0029999999999999</v>
          </cell>
          <cell r="BA357">
            <v>56.35</v>
          </cell>
          <cell r="BB357">
            <v>46.99</v>
          </cell>
          <cell r="BC357">
            <v>9.64</v>
          </cell>
          <cell r="BS357">
            <v>56.35</v>
          </cell>
          <cell r="BZ357">
            <v>90</v>
          </cell>
          <cell r="CA357">
            <v>42</v>
          </cell>
        </row>
        <row r="358">
          <cell r="F358" t="str">
            <v>1.1-1-2854</v>
          </cell>
          <cell r="H358" t="str">
            <v>кг</v>
          </cell>
          <cell r="I358">
            <v>48.2761</v>
          </cell>
          <cell r="O358">
            <v>1402.75</v>
          </cell>
          <cell r="R358">
            <v>0</v>
          </cell>
          <cell r="X358">
            <v>0</v>
          </cell>
          <cell r="Y358">
            <v>0</v>
          </cell>
          <cell r="AK358">
            <v>28.97</v>
          </cell>
        </row>
        <row r="359">
          <cell r="O359">
            <v>5316.42</v>
          </cell>
          <cell r="R359">
            <v>0</v>
          </cell>
          <cell r="X359">
            <v>0</v>
          </cell>
          <cell r="Y359">
            <v>0</v>
          </cell>
          <cell r="AW359">
            <v>1.0029999999999999</v>
          </cell>
          <cell r="BC359">
            <v>3.79</v>
          </cell>
        </row>
        <row r="360">
          <cell r="F360" t="str">
            <v>1.3-2-138</v>
          </cell>
          <cell r="H360" t="str">
            <v>т</v>
          </cell>
          <cell r="I360">
            <v>0.18748000000000001</v>
          </cell>
          <cell r="O360">
            <v>5143.8500000000004</v>
          </cell>
          <cell r="R360">
            <v>0</v>
          </cell>
          <cell r="X360">
            <v>0</v>
          </cell>
          <cell r="Y360">
            <v>0</v>
          </cell>
          <cell r="AK360">
            <v>27354.720000000001</v>
          </cell>
        </row>
        <row r="361">
          <cell r="O361">
            <v>17180.46</v>
          </cell>
          <cell r="R361">
            <v>0</v>
          </cell>
          <cell r="X361">
            <v>0</v>
          </cell>
          <cell r="Y361">
            <v>0</v>
          </cell>
          <cell r="AW361">
            <v>1.0029999999999999</v>
          </cell>
          <cell r="BC361">
            <v>3.34</v>
          </cell>
        </row>
        <row r="362">
          <cell r="F362" t="str">
            <v>1.3-2-167</v>
          </cell>
          <cell r="H362" t="str">
            <v>т</v>
          </cell>
          <cell r="I362">
            <v>3.1988780000000001</v>
          </cell>
          <cell r="O362">
            <v>12717.43</v>
          </cell>
          <cell r="R362">
            <v>0</v>
          </cell>
          <cell r="X362">
            <v>0</v>
          </cell>
          <cell r="Y362">
            <v>0</v>
          </cell>
          <cell r="AK362">
            <v>3963.7</v>
          </cell>
        </row>
        <row r="363">
          <cell r="O363">
            <v>40314.25</v>
          </cell>
          <cell r="R363">
            <v>0</v>
          </cell>
          <cell r="X363">
            <v>0</v>
          </cell>
          <cell r="Y363">
            <v>0</v>
          </cell>
          <cell r="AW363">
            <v>1.0029999999999999</v>
          </cell>
          <cell r="BC363">
            <v>3.17</v>
          </cell>
        </row>
        <row r="364">
          <cell r="F364" t="str">
            <v>1.1-1-3225</v>
          </cell>
          <cell r="H364" t="str">
            <v>м2</v>
          </cell>
          <cell r="I364">
            <v>468.7</v>
          </cell>
          <cell r="O364">
            <v>58561.120000000003</v>
          </cell>
          <cell r="R364">
            <v>0</v>
          </cell>
          <cell r="X364">
            <v>0</v>
          </cell>
          <cell r="Y364">
            <v>0</v>
          </cell>
          <cell r="AK364">
            <v>124.57</v>
          </cell>
        </row>
        <row r="365">
          <cell r="O365">
            <v>388260.23</v>
          </cell>
          <cell r="R365">
            <v>0</v>
          </cell>
          <cell r="X365">
            <v>0</v>
          </cell>
          <cell r="Y365">
            <v>0</v>
          </cell>
          <cell r="AW365">
            <v>1.0029999999999999</v>
          </cell>
          <cell r="BC365">
            <v>6.63</v>
          </cell>
        </row>
        <row r="367">
          <cell r="G367" t="str">
            <v>Монтажные работы</v>
          </cell>
        </row>
        <row r="397">
          <cell r="G397" t="str">
            <v>Цоколь</v>
          </cell>
        </row>
        <row r="427">
          <cell r="G427" t="str">
            <v>Монтажные работы. Входные группы.</v>
          </cell>
        </row>
        <row r="431">
          <cell r="G431" t="str">
            <v>Главный вход</v>
          </cell>
        </row>
        <row r="435">
          <cell r="F435" t="str">
            <v>3.15-170-1</v>
          </cell>
          <cell r="H435" t="str">
            <v>100 м2</v>
          </cell>
          <cell r="I435">
            <v>0.45</v>
          </cell>
          <cell r="P435">
            <v>1.32</v>
          </cell>
          <cell r="Q435">
            <v>42.47</v>
          </cell>
          <cell r="R435">
            <v>30.41</v>
          </cell>
          <cell r="S435">
            <v>772.49</v>
          </cell>
          <cell r="U435">
            <v>65.922459929999988</v>
          </cell>
          <cell r="X435">
            <v>722.61</v>
          </cell>
          <cell r="Y435">
            <v>337.22</v>
          </cell>
          <cell r="AL435">
            <v>2.93</v>
          </cell>
          <cell r="AM435">
            <v>60.09</v>
          </cell>
          <cell r="AN435">
            <v>43.03</v>
          </cell>
          <cell r="AO435">
            <v>1188.0999999999999</v>
          </cell>
          <cell r="AQ435">
            <v>101.39</v>
          </cell>
        </row>
        <row r="436">
          <cell r="P436">
            <v>12.72</v>
          </cell>
          <cell r="Q436">
            <v>1995.67</v>
          </cell>
          <cell r="R436">
            <v>1713.6</v>
          </cell>
          <cell r="S436">
            <v>43529.81</v>
          </cell>
          <cell r="X436">
            <v>40719.07</v>
          </cell>
          <cell r="Y436">
            <v>19002.23</v>
          </cell>
          <cell r="AT436">
            <v>90</v>
          </cell>
          <cell r="AU436">
            <v>42</v>
          </cell>
          <cell r="AV436">
            <v>1.0469999999999999</v>
          </cell>
          <cell r="AW436">
            <v>1.0029999999999999</v>
          </cell>
          <cell r="BA436">
            <v>56.35</v>
          </cell>
          <cell r="BB436">
            <v>46.99</v>
          </cell>
          <cell r="BC436">
            <v>9.64</v>
          </cell>
          <cell r="BS436">
            <v>56.35</v>
          </cell>
          <cell r="BZ436">
            <v>90</v>
          </cell>
          <cell r="CA436">
            <v>42</v>
          </cell>
        </row>
        <row r="437">
          <cell r="F437" t="str">
            <v>1.1-1-3257</v>
          </cell>
          <cell r="H437" t="str">
            <v>кг</v>
          </cell>
          <cell r="I437">
            <v>4.6349999999999998</v>
          </cell>
          <cell r="O437">
            <v>80.430000000000007</v>
          </cell>
          <cell r="R437">
            <v>0</v>
          </cell>
          <cell r="X437">
            <v>0</v>
          </cell>
          <cell r="Y437">
            <v>0</v>
          </cell>
          <cell r="AK437">
            <v>17.3</v>
          </cell>
        </row>
        <row r="438">
          <cell r="O438">
            <v>476.95</v>
          </cell>
          <cell r="R438">
            <v>0</v>
          </cell>
          <cell r="X438">
            <v>0</v>
          </cell>
          <cell r="Y438">
            <v>0</v>
          </cell>
          <cell r="AW438">
            <v>1.0029999999999999</v>
          </cell>
          <cell r="BC438">
            <v>5.93</v>
          </cell>
        </row>
        <row r="439">
          <cell r="F439" t="str">
            <v>1.3-2-50</v>
          </cell>
          <cell r="H439" t="str">
            <v>т</v>
          </cell>
          <cell r="I439">
            <v>1.7999999999999999E-2</v>
          </cell>
          <cell r="O439">
            <v>107.93</v>
          </cell>
          <cell r="R439">
            <v>0</v>
          </cell>
          <cell r="X439">
            <v>0</v>
          </cell>
          <cell r="Y439">
            <v>0</v>
          </cell>
          <cell r="AK439">
            <v>5978.05</v>
          </cell>
        </row>
        <row r="440">
          <cell r="O440">
            <v>1652.41</v>
          </cell>
          <cell r="R440">
            <v>0</v>
          </cell>
          <cell r="X440">
            <v>0</v>
          </cell>
          <cell r="Y440">
            <v>0</v>
          </cell>
          <cell r="AW440">
            <v>1.0029999999999999</v>
          </cell>
          <cell r="BC440">
            <v>15.31</v>
          </cell>
        </row>
        <row r="441">
          <cell r="F441" t="str">
            <v>1.3-2-167</v>
          </cell>
          <cell r="H441" t="str">
            <v>т</v>
          </cell>
          <cell r="I441">
            <v>0.24570000000000003</v>
          </cell>
          <cell r="O441">
            <v>976.8</v>
          </cell>
          <cell r="R441">
            <v>0</v>
          </cell>
          <cell r="X441">
            <v>0</v>
          </cell>
          <cell r="Y441">
            <v>0</v>
          </cell>
          <cell r="AK441">
            <v>3963.7</v>
          </cell>
        </row>
        <row r="442">
          <cell r="O442">
            <v>3096.46</v>
          </cell>
          <cell r="R442">
            <v>0</v>
          </cell>
          <cell r="X442">
            <v>0</v>
          </cell>
          <cell r="Y442">
            <v>0</v>
          </cell>
          <cell r="AW442">
            <v>1.0029999999999999</v>
          </cell>
          <cell r="BC442">
            <v>3.17</v>
          </cell>
        </row>
        <row r="443">
          <cell r="F443" t="str">
            <v>1.11-1-318</v>
          </cell>
          <cell r="H443" t="str">
            <v>м2</v>
          </cell>
          <cell r="I443">
            <v>45</v>
          </cell>
          <cell r="O443">
            <v>77801</v>
          </cell>
          <cell r="R443">
            <v>0</v>
          </cell>
          <cell r="X443">
            <v>0</v>
          </cell>
          <cell r="Y443">
            <v>0</v>
          </cell>
          <cell r="AK443">
            <v>1723.74</v>
          </cell>
        </row>
        <row r="444">
          <cell r="O444">
            <v>346214.45</v>
          </cell>
          <cell r="R444">
            <v>0</v>
          </cell>
          <cell r="X444">
            <v>0</v>
          </cell>
          <cell r="Y444">
            <v>0</v>
          </cell>
          <cell r="AW444">
            <v>1.0029999999999999</v>
          </cell>
          <cell r="BC444">
            <v>4.45</v>
          </cell>
        </row>
        <row r="445">
          <cell r="F445" t="str">
            <v>3.11-36-6</v>
          </cell>
          <cell r="H445" t="str">
            <v>100 м2</v>
          </cell>
          <cell r="I445">
            <v>0.6</v>
          </cell>
          <cell r="P445">
            <v>4.32</v>
          </cell>
          <cell r="Q445">
            <v>73.010000000000005</v>
          </cell>
          <cell r="R445">
            <v>12.84</v>
          </cell>
          <cell r="S445">
            <v>655.4</v>
          </cell>
          <cell r="U445">
            <v>53.40202559999998</v>
          </cell>
          <cell r="X445">
            <v>674.92</v>
          </cell>
          <cell r="Y445">
            <v>367.53</v>
          </cell>
          <cell r="AL445">
            <v>7.2</v>
          </cell>
          <cell r="AM445">
            <v>77.48</v>
          </cell>
          <cell r="AN445">
            <v>13.63</v>
          </cell>
          <cell r="AO445">
            <v>756.01</v>
          </cell>
          <cell r="AQ445">
            <v>61.6</v>
          </cell>
        </row>
        <row r="446">
          <cell r="P446">
            <v>21.9</v>
          </cell>
          <cell r="Q446">
            <v>1380.62</v>
          </cell>
          <cell r="R446">
            <v>723.53</v>
          </cell>
          <cell r="S446">
            <v>36931.79</v>
          </cell>
          <cell r="X446">
            <v>38031.870000000003</v>
          </cell>
          <cell r="Y446">
            <v>20710.43</v>
          </cell>
          <cell r="AT446">
            <v>101</v>
          </cell>
          <cell r="AU446">
            <v>55</v>
          </cell>
          <cell r="AV446">
            <v>1.0469999999999999</v>
          </cell>
          <cell r="AW446">
            <v>1</v>
          </cell>
          <cell r="BA446">
            <v>56.35</v>
          </cell>
          <cell r="BB446">
            <v>18.91</v>
          </cell>
          <cell r="BC446">
            <v>5.07</v>
          </cell>
          <cell r="BS446">
            <v>56.35</v>
          </cell>
          <cell r="BZ446">
            <v>101</v>
          </cell>
          <cell r="CA446">
            <v>55</v>
          </cell>
        </row>
        <row r="447">
          <cell r="F447" t="str">
            <v>1.1-1-8209</v>
          </cell>
          <cell r="H447" t="str">
            <v>100 шт.</v>
          </cell>
          <cell r="I447">
            <v>6.9539999999999997</v>
          </cell>
          <cell r="O447">
            <v>49.86</v>
          </cell>
          <cell r="R447">
            <v>0</v>
          </cell>
          <cell r="X447">
            <v>0</v>
          </cell>
          <cell r="Y447">
            <v>0</v>
          </cell>
          <cell r="AK447">
            <v>7.17</v>
          </cell>
        </row>
        <row r="448">
          <cell r="O448">
            <v>498.1</v>
          </cell>
          <cell r="R448">
            <v>0</v>
          </cell>
          <cell r="X448">
            <v>0</v>
          </cell>
          <cell r="Y448">
            <v>0</v>
          </cell>
          <cell r="AW448">
            <v>1</v>
          </cell>
          <cell r="BC448">
            <v>9.99</v>
          </cell>
        </row>
        <row r="449">
          <cell r="F449" t="str">
            <v>1.1-1-3552</v>
          </cell>
          <cell r="H449" t="str">
            <v>л</v>
          </cell>
          <cell r="I449">
            <v>8.3999999999999995E-3</v>
          </cell>
          <cell r="O449">
            <v>0.34</v>
          </cell>
          <cell r="R449">
            <v>0</v>
          </cell>
          <cell r="X449">
            <v>0</v>
          </cell>
          <cell r="Y449">
            <v>0</v>
          </cell>
          <cell r="AK449">
            <v>40.159999999999997</v>
          </cell>
        </row>
        <row r="450">
          <cell r="O450">
            <v>0.9</v>
          </cell>
          <cell r="R450">
            <v>0</v>
          </cell>
          <cell r="X450">
            <v>0</v>
          </cell>
          <cell r="Y450">
            <v>0</v>
          </cell>
          <cell r="AW450">
            <v>1</v>
          </cell>
          <cell r="BC450">
            <v>2.64</v>
          </cell>
        </row>
        <row r="451">
          <cell r="F451" t="str">
            <v>1.3-2-50</v>
          </cell>
          <cell r="H451" t="str">
            <v>т</v>
          </cell>
          <cell r="I451">
            <v>1.2E-2</v>
          </cell>
          <cell r="O451">
            <v>71.739999999999995</v>
          </cell>
          <cell r="R451">
            <v>0</v>
          </cell>
          <cell r="X451">
            <v>0</v>
          </cell>
          <cell r="Y451">
            <v>0</v>
          </cell>
          <cell r="AK451">
            <v>5978.05</v>
          </cell>
        </row>
        <row r="452">
          <cell r="O452">
            <v>1098.3399999999999</v>
          </cell>
          <cell r="R452">
            <v>0</v>
          </cell>
          <cell r="X452">
            <v>0</v>
          </cell>
          <cell r="Y452">
            <v>0</v>
          </cell>
          <cell r="AW452">
            <v>1</v>
          </cell>
          <cell r="BC452">
            <v>15.31</v>
          </cell>
        </row>
        <row r="453">
          <cell r="F453" t="str">
            <v>1.3-2-167</v>
          </cell>
          <cell r="H453" t="str">
            <v>т</v>
          </cell>
          <cell r="I453">
            <v>0.432444</v>
          </cell>
          <cell r="O453">
            <v>1714.08</v>
          </cell>
          <cell r="R453">
            <v>0</v>
          </cell>
          <cell r="X453">
            <v>0</v>
          </cell>
          <cell r="Y453">
            <v>0</v>
          </cell>
          <cell r="AK453">
            <v>3963.7</v>
          </cell>
        </row>
        <row r="454">
          <cell r="O454">
            <v>5433.63</v>
          </cell>
          <cell r="R454">
            <v>0</v>
          </cell>
          <cell r="X454">
            <v>0</v>
          </cell>
          <cell r="Y454">
            <v>0</v>
          </cell>
          <cell r="AW454">
            <v>1</v>
          </cell>
          <cell r="BC454">
            <v>3.17</v>
          </cell>
        </row>
        <row r="455">
          <cell r="F455" t="str">
            <v>1.11-1-319</v>
          </cell>
          <cell r="H455" t="str">
            <v>м2</v>
          </cell>
          <cell r="I455">
            <v>64.8</v>
          </cell>
          <cell r="O455">
            <v>134520.26</v>
          </cell>
          <cell r="R455">
            <v>0</v>
          </cell>
          <cell r="X455">
            <v>0</v>
          </cell>
          <cell r="Y455">
            <v>0</v>
          </cell>
          <cell r="AK455">
            <v>2075.9299999999998</v>
          </cell>
        </row>
        <row r="456">
          <cell r="O456">
            <v>859584.46</v>
          </cell>
          <cell r="R456">
            <v>0</v>
          </cell>
          <cell r="X456">
            <v>0</v>
          </cell>
          <cell r="Y456">
            <v>0</v>
          </cell>
          <cell r="AW456">
            <v>1</v>
          </cell>
          <cell r="BC456">
            <v>6.39</v>
          </cell>
        </row>
        <row r="457">
          <cell r="F457" t="str">
            <v>3.11-36-8</v>
          </cell>
          <cell r="H457" t="str">
            <v>100 м2</v>
          </cell>
          <cell r="I457">
            <v>0.6</v>
          </cell>
          <cell r="P457">
            <v>0.13</v>
          </cell>
          <cell r="Q457">
            <v>3.38</v>
          </cell>
          <cell r="R457">
            <v>0.59</v>
          </cell>
          <cell r="S457">
            <v>9.02</v>
          </cell>
          <cell r="U457">
            <v>0.78889355999999988</v>
          </cell>
          <cell r="X457">
            <v>9.7100000000000009</v>
          </cell>
          <cell r="Y457">
            <v>5.29</v>
          </cell>
          <cell r="AL457">
            <v>0.21</v>
          </cell>
          <cell r="AM457">
            <v>3.59</v>
          </cell>
          <cell r="AN457">
            <v>0.63</v>
          </cell>
          <cell r="AO457">
            <v>10.4</v>
          </cell>
          <cell r="AQ457">
            <v>0.91</v>
          </cell>
        </row>
        <row r="458">
          <cell r="P458">
            <v>1.02</v>
          </cell>
          <cell r="Q458">
            <v>64.19</v>
          </cell>
          <cell r="R458">
            <v>33.25</v>
          </cell>
          <cell r="S458">
            <v>508.28</v>
          </cell>
          <cell r="X458">
            <v>546.95000000000005</v>
          </cell>
          <cell r="Y458">
            <v>297.83999999999997</v>
          </cell>
          <cell r="AT458">
            <v>101</v>
          </cell>
          <cell r="AU458">
            <v>55</v>
          </cell>
          <cell r="AV458">
            <v>1.0469999999999999</v>
          </cell>
          <cell r="AW458">
            <v>1</v>
          </cell>
          <cell r="BA458">
            <v>56.35</v>
          </cell>
          <cell r="BB458">
            <v>18.989999999999998</v>
          </cell>
          <cell r="BC458">
            <v>7.81</v>
          </cell>
          <cell r="BS458">
            <v>56.35</v>
          </cell>
          <cell r="BZ458">
            <v>101</v>
          </cell>
          <cell r="CA458">
            <v>55</v>
          </cell>
        </row>
        <row r="459">
          <cell r="F459" t="str">
            <v>1.3-2-167</v>
          </cell>
          <cell r="H459" t="str">
            <v>т</v>
          </cell>
          <cell r="I459">
            <v>8.6489999999999997E-2</v>
          </cell>
          <cell r="O459">
            <v>342.82</v>
          </cell>
          <cell r="R459">
            <v>0</v>
          </cell>
          <cell r="X459">
            <v>0</v>
          </cell>
          <cell r="Y459">
            <v>0</v>
          </cell>
          <cell r="AK459">
            <v>3963.7</v>
          </cell>
        </row>
        <row r="460">
          <cell r="O460">
            <v>1086.74</v>
          </cell>
          <cell r="R460">
            <v>0</v>
          </cell>
          <cell r="X460">
            <v>0</v>
          </cell>
          <cell r="Y460">
            <v>0</v>
          </cell>
          <cell r="AW460">
            <v>1</v>
          </cell>
          <cell r="BC460">
            <v>3.17</v>
          </cell>
        </row>
        <row r="461">
          <cell r="F461" t="str">
            <v>3.11-10-1</v>
          </cell>
          <cell r="H461" t="str">
            <v>100 м2 стяжки</v>
          </cell>
          <cell r="I461">
            <v>0.6</v>
          </cell>
          <cell r="P461">
            <v>14.85</v>
          </cell>
          <cell r="Q461">
            <v>1.7</v>
          </cell>
          <cell r="R461">
            <v>0</v>
          </cell>
          <cell r="S461">
            <v>210.55</v>
          </cell>
          <cell r="U461">
            <v>20.225150279999994</v>
          </cell>
          <cell r="X461">
            <v>212.66</v>
          </cell>
          <cell r="Y461">
            <v>115.8</v>
          </cell>
          <cell r="AL461">
            <v>24.75</v>
          </cell>
          <cell r="AM461">
            <v>1.8</v>
          </cell>
          <cell r="AO461">
            <v>242.87</v>
          </cell>
          <cell r="AQ461">
            <v>23.33</v>
          </cell>
        </row>
        <row r="462">
          <cell r="P462">
            <v>115.09</v>
          </cell>
          <cell r="Q462">
            <v>19.87</v>
          </cell>
          <cell r="R462">
            <v>0</v>
          </cell>
          <cell r="S462">
            <v>11864.49</v>
          </cell>
          <cell r="X462">
            <v>11983.13</v>
          </cell>
          <cell r="Y462">
            <v>6525.47</v>
          </cell>
          <cell r="AT462">
            <v>101</v>
          </cell>
          <cell r="AU462">
            <v>55</v>
          </cell>
          <cell r="AV462">
            <v>1.0469999999999999</v>
          </cell>
          <cell r="AW462">
            <v>1</v>
          </cell>
          <cell r="BA462">
            <v>56.35</v>
          </cell>
          <cell r="BB462">
            <v>11.69</v>
          </cell>
          <cell r="BC462">
            <v>7.75</v>
          </cell>
          <cell r="BZ462">
            <v>101</v>
          </cell>
          <cell r="CA462">
            <v>55</v>
          </cell>
        </row>
        <row r="463">
          <cell r="F463" t="str">
            <v>1.3-2-6</v>
          </cell>
          <cell r="H463" t="str">
            <v>м3</v>
          </cell>
          <cell r="I463">
            <v>1.224</v>
          </cell>
          <cell r="O463">
            <v>572</v>
          </cell>
          <cell r="R463">
            <v>0</v>
          </cell>
          <cell r="X463">
            <v>0</v>
          </cell>
          <cell r="Y463">
            <v>0</v>
          </cell>
          <cell r="AK463">
            <v>467.32</v>
          </cell>
        </row>
        <row r="464">
          <cell r="O464">
            <v>6332.04</v>
          </cell>
          <cell r="R464">
            <v>0</v>
          </cell>
          <cell r="X464">
            <v>0</v>
          </cell>
          <cell r="Y464">
            <v>0</v>
          </cell>
          <cell r="AW464">
            <v>1</v>
          </cell>
          <cell r="BC464">
            <v>11.07</v>
          </cell>
        </row>
        <row r="465">
          <cell r="F465" t="str">
            <v>3.11-10-2</v>
          </cell>
          <cell r="H465" t="str">
            <v>100 м2 стяжки</v>
          </cell>
          <cell r="I465">
            <v>0.6</v>
          </cell>
          <cell r="Q465">
            <v>1.73</v>
          </cell>
          <cell r="R465">
            <v>0</v>
          </cell>
          <cell r="S465">
            <v>15.6</v>
          </cell>
          <cell r="U465">
            <v>1.5257721599999998</v>
          </cell>
          <cell r="X465">
            <v>15.76</v>
          </cell>
          <cell r="Y465">
            <v>8.58</v>
          </cell>
          <cell r="AM465">
            <v>0.46</v>
          </cell>
          <cell r="AO465">
            <v>4.5</v>
          </cell>
          <cell r="AQ465">
            <v>0.44</v>
          </cell>
        </row>
        <row r="466">
          <cell r="Q466">
            <v>20.239999999999998</v>
          </cell>
          <cell r="R466">
            <v>0</v>
          </cell>
          <cell r="S466">
            <v>879.06</v>
          </cell>
          <cell r="X466">
            <v>887.85</v>
          </cell>
          <cell r="Y466">
            <v>483.48</v>
          </cell>
          <cell r="AT466">
            <v>101</v>
          </cell>
          <cell r="AU466">
            <v>55</v>
          </cell>
          <cell r="AV466">
            <v>1.0469999999999999</v>
          </cell>
          <cell r="BA466">
            <v>56.35</v>
          </cell>
          <cell r="BB466">
            <v>11.7</v>
          </cell>
          <cell r="BZ466">
            <v>101</v>
          </cell>
          <cell r="CA466">
            <v>55</v>
          </cell>
        </row>
        <row r="467">
          <cell r="F467" t="str">
            <v>1.3-2-6</v>
          </cell>
          <cell r="H467" t="str">
            <v>м3</v>
          </cell>
          <cell r="I467">
            <v>1.224</v>
          </cell>
          <cell r="O467">
            <v>572</v>
          </cell>
          <cell r="R467">
            <v>0</v>
          </cell>
          <cell r="X467">
            <v>0</v>
          </cell>
          <cell r="Y467">
            <v>0</v>
          </cell>
          <cell r="AK467">
            <v>467.32</v>
          </cell>
        </row>
        <row r="468">
          <cell r="O468">
            <v>6332.04</v>
          </cell>
          <cell r="R468">
            <v>0</v>
          </cell>
          <cell r="X468">
            <v>0</v>
          </cell>
          <cell r="Y468">
            <v>0</v>
          </cell>
          <cell r="AW468">
            <v>1</v>
          </cell>
          <cell r="BC468">
            <v>11.07</v>
          </cell>
        </row>
        <row r="469">
          <cell r="F469" t="str">
            <v>3.6-6-10</v>
          </cell>
          <cell r="H469" t="str">
            <v>1 Т</v>
          </cell>
          <cell r="I469">
            <v>0.16500000000000001</v>
          </cell>
          <cell r="P469">
            <v>43.62</v>
          </cell>
          <cell r="Q469">
            <v>11.27</v>
          </cell>
          <cell r="R469">
            <v>1.31</v>
          </cell>
          <cell r="S469">
            <v>32.11</v>
          </cell>
          <cell r="U469">
            <v>2.7654620399999992</v>
          </cell>
          <cell r="X469">
            <v>30.75</v>
          </cell>
          <cell r="Y469">
            <v>16.38</v>
          </cell>
          <cell r="AL469">
            <v>258.67</v>
          </cell>
          <cell r="AM469">
            <v>43.5</v>
          </cell>
          <cell r="AN469">
            <v>5.0599999999999996</v>
          </cell>
          <cell r="AO469">
            <v>134.68</v>
          </cell>
          <cell r="AQ469">
            <v>11.6</v>
          </cell>
        </row>
        <row r="470">
          <cell r="P470">
            <v>327.14999999999998</v>
          </cell>
          <cell r="Q470">
            <v>174.01</v>
          </cell>
          <cell r="R470">
            <v>73.819999999999993</v>
          </cell>
          <cell r="S470">
            <v>1809.4</v>
          </cell>
          <cell r="X470">
            <v>1732.56</v>
          </cell>
          <cell r="Y470">
            <v>922.78</v>
          </cell>
          <cell r="AT470">
            <v>92</v>
          </cell>
          <cell r="AU470">
            <v>49</v>
          </cell>
          <cell r="AV470">
            <v>1.0469999999999999</v>
          </cell>
          <cell r="AW470">
            <v>1.022</v>
          </cell>
          <cell r="BA470">
            <v>56.35</v>
          </cell>
          <cell r="BB470">
            <v>15.44</v>
          </cell>
          <cell r="BC470">
            <v>7.5</v>
          </cell>
          <cell r="BS470">
            <v>56.35</v>
          </cell>
          <cell r="BZ470">
            <v>92</v>
          </cell>
          <cell r="CA470">
            <v>49</v>
          </cell>
        </row>
        <row r="471">
          <cell r="F471" t="str">
            <v>1.3-4-75</v>
          </cell>
          <cell r="H471" t="str">
            <v>т</v>
          </cell>
          <cell r="I471">
            <v>0.16500000000000001</v>
          </cell>
          <cell r="O471">
            <v>1639.87</v>
          </cell>
          <cell r="R471">
            <v>0</v>
          </cell>
          <cell r="X471">
            <v>0</v>
          </cell>
          <cell r="Y471">
            <v>0</v>
          </cell>
          <cell r="AK471">
            <v>9724.69</v>
          </cell>
        </row>
        <row r="472">
          <cell r="O472">
            <v>6362.7</v>
          </cell>
          <cell r="R472">
            <v>0</v>
          </cell>
          <cell r="X472">
            <v>0</v>
          </cell>
          <cell r="Y472">
            <v>0</v>
          </cell>
          <cell r="AW472">
            <v>1.022</v>
          </cell>
          <cell r="BC472">
            <v>3.88</v>
          </cell>
        </row>
        <row r="474">
          <cell r="G474" t="str">
            <v>Главный вход</v>
          </cell>
        </row>
        <row r="504">
          <cell r="G504" t="str">
            <v>Второстепенные группы</v>
          </cell>
        </row>
        <row r="508">
          <cell r="F508" t="str">
            <v>3.11-36-6</v>
          </cell>
          <cell r="H508" t="str">
            <v>100 м2</v>
          </cell>
          <cell r="I508">
            <v>0.55000000000000004</v>
          </cell>
          <cell r="P508">
            <v>3.96</v>
          </cell>
          <cell r="Q508">
            <v>66.930000000000007</v>
          </cell>
          <cell r="R508">
            <v>11.77</v>
          </cell>
          <cell r="S508">
            <v>600.78</v>
          </cell>
          <cell r="U508">
            <v>48.951856799999987</v>
          </cell>
          <cell r="X508">
            <v>618.67999999999995</v>
          </cell>
          <cell r="Y508">
            <v>336.9</v>
          </cell>
          <cell r="AL508">
            <v>7.2</v>
          </cell>
          <cell r="AM508">
            <v>77.48</v>
          </cell>
          <cell r="AN508">
            <v>13.63</v>
          </cell>
          <cell r="AO508">
            <v>756.01</v>
          </cell>
          <cell r="AQ508">
            <v>61.6</v>
          </cell>
        </row>
        <row r="509">
          <cell r="P509">
            <v>20.079999999999998</v>
          </cell>
          <cell r="Q509">
            <v>1265.6500000000001</v>
          </cell>
          <cell r="R509">
            <v>663.24</v>
          </cell>
          <cell r="S509">
            <v>33853.949999999997</v>
          </cell>
          <cell r="X509">
            <v>34862.36</v>
          </cell>
          <cell r="Y509">
            <v>18984.45</v>
          </cell>
          <cell r="AT509">
            <v>101</v>
          </cell>
          <cell r="AU509">
            <v>55</v>
          </cell>
          <cell r="AV509">
            <v>1.0469999999999999</v>
          </cell>
          <cell r="AW509">
            <v>1</v>
          </cell>
          <cell r="BA509">
            <v>56.35</v>
          </cell>
          <cell r="BB509">
            <v>18.91</v>
          </cell>
          <cell r="BC509">
            <v>5.07</v>
          </cell>
          <cell r="BS509">
            <v>56.35</v>
          </cell>
          <cell r="BZ509">
            <v>101</v>
          </cell>
          <cell r="CA509">
            <v>55</v>
          </cell>
        </row>
        <row r="510">
          <cell r="F510" t="str">
            <v>1.1-1-8209</v>
          </cell>
          <cell r="H510" t="str">
            <v>100 шт.</v>
          </cell>
          <cell r="I510">
            <v>6.3745000000000003</v>
          </cell>
          <cell r="O510">
            <v>45.71</v>
          </cell>
          <cell r="R510">
            <v>0</v>
          </cell>
          <cell r="X510">
            <v>0</v>
          </cell>
          <cell r="Y510">
            <v>0</v>
          </cell>
          <cell r="AK510">
            <v>7.17</v>
          </cell>
        </row>
        <row r="511">
          <cell r="O511">
            <v>456.64</v>
          </cell>
          <cell r="R511">
            <v>0</v>
          </cell>
          <cell r="X511">
            <v>0</v>
          </cell>
          <cell r="Y511">
            <v>0</v>
          </cell>
          <cell r="AW511">
            <v>1</v>
          </cell>
          <cell r="BC511">
            <v>9.99</v>
          </cell>
        </row>
        <row r="512">
          <cell r="F512" t="str">
            <v>1.1-1-3552</v>
          </cell>
          <cell r="H512" t="str">
            <v>л</v>
          </cell>
          <cell r="I512">
            <v>7.7000000000000002E-3</v>
          </cell>
          <cell r="O512">
            <v>0.31</v>
          </cell>
          <cell r="R512">
            <v>0</v>
          </cell>
          <cell r="X512">
            <v>0</v>
          </cell>
          <cell r="Y512">
            <v>0</v>
          </cell>
          <cell r="AK512">
            <v>40.159999999999997</v>
          </cell>
        </row>
        <row r="513">
          <cell r="O513">
            <v>0.82</v>
          </cell>
          <cell r="R513">
            <v>0</v>
          </cell>
          <cell r="X513">
            <v>0</v>
          </cell>
          <cell r="Y513">
            <v>0</v>
          </cell>
          <cell r="AW513">
            <v>1</v>
          </cell>
          <cell r="BC513">
            <v>2.64</v>
          </cell>
        </row>
        <row r="514">
          <cell r="F514" t="str">
            <v>1.3-2-50</v>
          </cell>
          <cell r="H514" t="str">
            <v>т</v>
          </cell>
          <cell r="I514">
            <v>1.0999999999999999E-2</v>
          </cell>
          <cell r="O514">
            <v>65.760000000000005</v>
          </cell>
          <cell r="R514">
            <v>0</v>
          </cell>
          <cell r="X514">
            <v>0</v>
          </cell>
          <cell r="Y514">
            <v>0</v>
          </cell>
          <cell r="AK514">
            <v>5978.05</v>
          </cell>
        </row>
        <row r="515">
          <cell r="O515">
            <v>1006.79</v>
          </cell>
          <cell r="R515">
            <v>0</v>
          </cell>
          <cell r="X515">
            <v>0</v>
          </cell>
          <cell r="Y515">
            <v>0</v>
          </cell>
          <cell r="AW515">
            <v>1</v>
          </cell>
          <cell r="BC515">
            <v>15.31</v>
          </cell>
        </row>
        <row r="516">
          <cell r="F516" t="str">
            <v>1.3-2-167</v>
          </cell>
          <cell r="H516" t="str">
            <v>т</v>
          </cell>
          <cell r="I516">
            <v>0.39640700000000001</v>
          </cell>
          <cell r="O516">
            <v>1571.24</v>
          </cell>
          <cell r="R516">
            <v>0</v>
          </cell>
          <cell r="X516">
            <v>0</v>
          </cell>
          <cell r="Y516">
            <v>0</v>
          </cell>
          <cell r="AK516">
            <v>3963.7</v>
          </cell>
        </row>
        <row r="517">
          <cell r="O517">
            <v>4980.83</v>
          </cell>
          <cell r="R517">
            <v>0</v>
          </cell>
          <cell r="X517">
            <v>0</v>
          </cell>
          <cell r="Y517">
            <v>0</v>
          </cell>
          <cell r="AW517">
            <v>1</v>
          </cell>
          <cell r="BC517">
            <v>3.17</v>
          </cell>
        </row>
        <row r="518">
          <cell r="F518" t="str">
            <v>1.1-1-3225</v>
          </cell>
          <cell r="H518" t="str">
            <v>м2</v>
          </cell>
          <cell r="I518">
            <v>59.4</v>
          </cell>
          <cell r="O518">
            <v>7399.46</v>
          </cell>
          <cell r="R518">
            <v>0</v>
          </cell>
          <cell r="X518">
            <v>0</v>
          </cell>
          <cell r="Y518">
            <v>0</v>
          </cell>
          <cell r="AK518">
            <v>124.57</v>
          </cell>
        </row>
        <row r="519">
          <cell r="O519">
            <v>49058.42</v>
          </cell>
          <cell r="R519">
            <v>0</v>
          </cell>
          <cell r="X519">
            <v>0</v>
          </cell>
          <cell r="Y519">
            <v>0</v>
          </cell>
          <cell r="AW519">
            <v>1</v>
          </cell>
          <cell r="BC519">
            <v>6.63</v>
          </cell>
        </row>
        <row r="520">
          <cell r="F520" t="str">
            <v>3.11-36-8</v>
          </cell>
          <cell r="H520" t="str">
            <v>100 м2</v>
          </cell>
          <cell r="I520">
            <v>0.55000000000000004</v>
          </cell>
          <cell r="P520">
            <v>0.12</v>
          </cell>
          <cell r="Q520">
            <v>15.5</v>
          </cell>
          <cell r="R520">
            <v>2.72</v>
          </cell>
          <cell r="S520">
            <v>41.32</v>
          </cell>
          <cell r="U520">
            <v>3.6157621500000001</v>
          </cell>
          <cell r="X520">
            <v>44.48</v>
          </cell>
          <cell r="Y520">
            <v>24.22</v>
          </cell>
          <cell r="AL520">
            <v>0.21</v>
          </cell>
          <cell r="AM520">
            <v>3.59</v>
          </cell>
          <cell r="AN520">
            <v>0.63</v>
          </cell>
          <cell r="AO520">
            <v>10.4</v>
          </cell>
          <cell r="AQ520">
            <v>0.91</v>
          </cell>
        </row>
        <row r="521">
          <cell r="P521">
            <v>0.94</v>
          </cell>
          <cell r="Q521">
            <v>294.35000000000002</v>
          </cell>
          <cell r="R521">
            <v>153.27000000000001</v>
          </cell>
          <cell r="S521">
            <v>2328.38</v>
          </cell>
          <cell r="X521">
            <v>2506.4699999999998</v>
          </cell>
          <cell r="Y521">
            <v>1364.91</v>
          </cell>
          <cell r="AT521">
            <v>101</v>
          </cell>
          <cell r="AU521">
            <v>55</v>
          </cell>
          <cell r="AV521">
            <v>1.0469999999999999</v>
          </cell>
          <cell r="AW521">
            <v>1</v>
          </cell>
          <cell r="BA521">
            <v>56.35</v>
          </cell>
          <cell r="BB521">
            <v>18.989999999999998</v>
          </cell>
          <cell r="BC521">
            <v>7.81</v>
          </cell>
          <cell r="BS521">
            <v>56.35</v>
          </cell>
          <cell r="BZ521">
            <v>101</v>
          </cell>
          <cell r="CA521">
            <v>55</v>
          </cell>
        </row>
        <row r="522">
          <cell r="F522" t="str">
            <v>1.3-2-167</v>
          </cell>
          <cell r="H522" t="str">
            <v>т</v>
          </cell>
          <cell r="I522">
            <v>0.39641300000000002</v>
          </cell>
          <cell r="O522">
            <v>1571.26</v>
          </cell>
          <cell r="R522">
            <v>0</v>
          </cell>
          <cell r="X522">
            <v>0</v>
          </cell>
          <cell r="Y522">
            <v>0</v>
          </cell>
          <cell r="AK522">
            <v>3963.7</v>
          </cell>
        </row>
        <row r="523">
          <cell r="O523">
            <v>4980.8900000000003</v>
          </cell>
          <cell r="R523">
            <v>0</v>
          </cell>
          <cell r="X523">
            <v>0</v>
          </cell>
          <cell r="Y523">
            <v>0</v>
          </cell>
          <cell r="AW523">
            <v>1</v>
          </cell>
          <cell r="BC523">
            <v>3.17</v>
          </cell>
        </row>
        <row r="524">
          <cell r="F524" t="str">
            <v>3.11-10-1</v>
          </cell>
          <cell r="H524" t="str">
            <v>100 м2 стяжки</v>
          </cell>
          <cell r="I524">
            <v>0.25</v>
          </cell>
          <cell r="P524">
            <v>6.19</v>
          </cell>
          <cell r="Q524">
            <v>0.71</v>
          </cell>
          <cell r="R524">
            <v>0</v>
          </cell>
          <cell r="S524">
            <v>87.73</v>
          </cell>
          <cell r="U524">
            <v>8.4271459499999981</v>
          </cell>
          <cell r="X524">
            <v>88.61</v>
          </cell>
          <cell r="Y524">
            <v>48.25</v>
          </cell>
          <cell r="AL524">
            <v>24.75</v>
          </cell>
          <cell r="AM524">
            <v>1.8</v>
          </cell>
          <cell r="AO524">
            <v>242.87</v>
          </cell>
          <cell r="AQ524">
            <v>23.33</v>
          </cell>
        </row>
        <row r="525">
          <cell r="P525">
            <v>47.97</v>
          </cell>
          <cell r="Q525">
            <v>8.3000000000000007</v>
          </cell>
          <cell r="R525">
            <v>0</v>
          </cell>
          <cell r="S525">
            <v>4943.59</v>
          </cell>
          <cell r="X525">
            <v>4993.03</v>
          </cell>
          <cell r="Y525">
            <v>2718.97</v>
          </cell>
          <cell r="AT525">
            <v>101</v>
          </cell>
          <cell r="AU525">
            <v>55</v>
          </cell>
          <cell r="AV525">
            <v>1.0469999999999999</v>
          </cell>
          <cell r="AW525">
            <v>1</v>
          </cell>
          <cell r="BA525">
            <v>56.35</v>
          </cell>
          <cell r="BB525">
            <v>11.69</v>
          </cell>
          <cell r="BC525">
            <v>7.75</v>
          </cell>
          <cell r="BZ525">
            <v>101</v>
          </cell>
          <cell r="CA525">
            <v>55</v>
          </cell>
        </row>
        <row r="526">
          <cell r="F526" t="str">
            <v>1.3-2-6</v>
          </cell>
          <cell r="H526" t="str">
            <v>м3</v>
          </cell>
          <cell r="I526">
            <v>0.51</v>
          </cell>
          <cell r="O526">
            <v>238.33</v>
          </cell>
          <cell r="R526">
            <v>0</v>
          </cell>
          <cell r="X526">
            <v>0</v>
          </cell>
          <cell r="Y526">
            <v>0</v>
          </cell>
          <cell r="AK526">
            <v>467.32</v>
          </cell>
        </row>
        <row r="527">
          <cell r="O527">
            <v>2638.31</v>
          </cell>
          <cell r="R527">
            <v>0</v>
          </cell>
          <cell r="X527">
            <v>0</v>
          </cell>
          <cell r="Y527">
            <v>0</v>
          </cell>
          <cell r="AW527">
            <v>1</v>
          </cell>
          <cell r="BC527">
            <v>11.07</v>
          </cell>
        </row>
        <row r="528">
          <cell r="F528" t="str">
            <v>3.11-10-2</v>
          </cell>
          <cell r="H528" t="str">
            <v>100 м2 стяжки</v>
          </cell>
          <cell r="I528">
            <v>0.25</v>
          </cell>
          <cell r="Q528">
            <v>1.08</v>
          </cell>
          <cell r="R528">
            <v>0</v>
          </cell>
          <cell r="S528">
            <v>9.75</v>
          </cell>
          <cell r="U528">
            <v>0.95360759999999989</v>
          </cell>
          <cell r="X528">
            <v>9.85</v>
          </cell>
          <cell r="Y528">
            <v>5.36</v>
          </cell>
          <cell r="AM528">
            <v>0.46</v>
          </cell>
          <cell r="AO528">
            <v>4.5</v>
          </cell>
          <cell r="AQ528">
            <v>0.44</v>
          </cell>
        </row>
        <row r="529">
          <cell r="Q529">
            <v>12.64</v>
          </cell>
          <cell r="R529">
            <v>0</v>
          </cell>
          <cell r="S529">
            <v>549.41</v>
          </cell>
          <cell r="X529">
            <v>554.9</v>
          </cell>
          <cell r="Y529">
            <v>302.18</v>
          </cell>
          <cell r="AT529">
            <v>101</v>
          </cell>
          <cell r="AU529">
            <v>55</v>
          </cell>
          <cell r="AV529">
            <v>1.0469999999999999</v>
          </cell>
          <cell r="BA529">
            <v>56.35</v>
          </cell>
          <cell r="BB529">
            <v>11.7</v>
          </cell>
          <cell r="BZ529">
            <v>101</v>
          </cell>
          <cell r="CA529">
            <v>55</v>
          </cell>
        </row>
        <row r="530">
          <cell r="F530" t="str">
            <v>1.3-2-6</v>
          </cell>
          <cell r="H530" t="str">
            <v>м3</v>
          </cell>
          <cell r="I530">
            <v>0.76500000000000001</v>
          </cell>
          <cell r="O530">
            <v>357.5</v>
          </cell>
          <cell r="R530">
            <v>0</v>
          </cell>
          <cell r="X530">
            <v>0</v>
          </cell>
          <cell r="Y530">
            <v>0</v>
          </cell>
          <cell r="AK530">
            <v>467.32</v>
          </cell>
        </row>
        <row r="531">
          <cell r="O531">
            <v>3957.53</v>
          </cell>
          <cell r="R531">
            <v>0</v>
          </cell>
          <cell r="X531">
            <v>0</v>
          </cell>
          <cell r="Y531">
            <v>0</v>
          </cell>
          <cell r="AW531">
            <v>1</v>
          </cell>
          <cell r="BC531">
            <v>11.07</v>
          </cell>
        </row>
        <row r="532">
          <cell r="F532" t="str">
            <v>3.6-6-10</v>
          </cell>
          <cell r="H532" t="str">
            <v>1 Т</v>
          </cell>
          <cell r="I532">
            <v>6.88E-2</v>
          </cell>
          <cell r="P532">
            <v>18.190000000000001</v>
          </cell>
          <cell r="Q532">
            <v>4.7</v>
          </cell>
          <cell r="R532">
            <v>0.55000000000000004</v>
          </cell>
          <cell r="S532">
            <v>13.39</v>
          </cell>
          <cell r="U532">
            <v>1.1531138687999996</v>
          </cell>
          <cell r="X532">
            <v>12.82</v>
          </cell>
          <cell r="Y532">
            <v>6.83</v>
          </cell>
          <cell r="AL532">
            <v>258.67</v>
          </cell>
          <cell r="AM532">
            <v>43.5</v>
          </cell>
          <cell r="AN532">
            <v>5.0599999999999996</v>
          </cell>
          <cell r="AO532">
            <v>134.68</v>
          </cell>
          <cell r="AQ532">
            <v>11.6</v>
          </cell>
        </row>
        <row r="533">
          <cell r="P533">
            <v>136.43</v>
          </cell>
          <cell r="Q533">
            <v>72.569999999999993</v>
          </cell>
          <cell r="R533">
            <v>30.99</v>
          </cell>
          <cell r="S533">
            <v>754.53</v>
          </cell>
          <cell r="X533">
            <v>722.68</v>
          </cell>
          <cell r="Y533">
            <v>384.9</v>
          </cell>
          <cell r="AT533">
            <v>92</v>
          </cell>
          <cell r="AU533">
            <v>49</v>
          </cell>
          <cell r="AV533">
            <v>1.0469999999999999</v>
          </cell>
          <cell r="AW533">
            <v>1.022</v>
          </cell>
          <cell r="BA533">
            <v>56.35</v>
          </cell>
          <cell r="BB533">
            <v>15.44</v>
          </cell>
          <cell r="BC533">
            <v>7.5</v>
          </cell>
          <cell r="BS533">
            <v>56.35</v>
          </cell>
          <cell r="BZ533">
            <v>92</v>
          </cell>
          <cell r="CA533">
            <v>49</v>
          </cell>
        </row>
        <row r="534">
          <cell r="F534" t="str">
            <v>1.3-4-75</v>
          </cell>
          <cell r="H534" t="str">
            <v>т</v>
          </cell>
          <cell r="I534">
            <v>6.88E-2</v>
          </cell>
          <cell r="O534">
            <v>683.78</v>
          </cell>
          <cell r="R534">
            <v>0</v>
          </cell>
          <cell r="X534">
            <v>0</v>
          </cell>
          <cell r="Y534">
            <v>0</v>
          </cell>
          <cell r="AK534">
            <v>9724.69</v>
          </cell>
        </row>
        <row r="535">
          <cell r="O535">
            <v>2653.07</v>
          </cell>
          <cell r="R535">
            <v>0</v>
          </cell>
          <cell r="X535">
            <v>0</v>
          </cell>
          <cell r="Y535">
            <v>0</v>
          </cell>
          <cell r="AW535">
            <v>1.022</v>
          </cell>
          <cell r="BC535">
            <v>3.88</v>
          </cell>
        </row>
        <row r="537">
          <cell r="G537" t="str">
            <v>Второстепенные группы</v>
          </cell>
        </row>
        <row r="567">
          <cell r="G567" t="str">
            <v>Козырек</v>
          </cell>
        </row>
        <row r="571">
          <cell r="F571" t="str">
            <v>3.15-199-1</v>
          </cell>
          <cell r="H571" t="str">
            <v>100 м2</v>
          </cell>
          <cell r="I571">
            <v>1.2090000000000001</v>
          </cell>
          <cell r="Q571">
            <v>238.98</v>
          </cell>
          <cell r="R571">
            <v>11.83</v>
          </cell>
          <cell r="S571">
            <v>2417.1799999999998</v>
          </cell>
          <cell r="U571">
            <v>196.51872043439997</v>
          </cell>
          <cell r="X571">
            <v>2186.11</v>
          </cell>
          <cell r="Y571">
            <v>1020.18</v>
          </cell>
          <cell r="AM571">
            <v>121.23</v>
          </cell>
          <cell r="AN571">
            <v>6</v>
          </cell>
          <cell r="AO571">
            <v>1332.83</v>
          </cell>
          <cell r="AQ571">
            <v>108.36</v>
          </cell>
        </row>
        <row r="572">
          <cell r="Q572">
            <v>2980.08</v>
          </cell>
          <cell r="R572">
            <v>666.62</v>
          </cell>
          <cell r="S572">
            <v>136208.09</v>
          </cell>
          <cell r="X572">
            <v>123187.24</v>
          </cell>
          <cell r="Y572">
            <v>57487.38</v>
          </cell>
          <cell r="AT572">
            <v>90</v>
          </cell>
          <cell r="AU572">
            <v>42</v>
          </cell>
          <cell r="AV572">
            <v>1.087</v>
          </cell>
          <cell r="BA572">
            <v>56.35</v>
          </cell>
          <cell r="BB572">
            <v>12.47</v>
          </cell>
          <cell r="BS572">
            <v>56.35</v>
          </cell>
          <cell r="BZ572">
            <v>90</v>
          </cell>
          <cell r="CA572">
            <v>42</v>
          </cell>
        </row>
        <row r="573">
          <cell r="F573" t="str">
            <v>1.6-2-107</v>
          </cell>
          <cell r="H573" t="str">
            <v>м2</v>
          </cell>
          <cell r="I573">
            <v>132.99</v>
          </cell>
          <cell r="O573">
            <v>25528.76</v>
          </cell>
          <cell r="R573">
            <v>0</v>
          </cell>
          <cell r="X573">
            <v>0</v>
          </cell>
          <cell r="Y573">
            <v>0</v>
          </cell>
          <cell r="AK573">
            <v>191.96</v>
          </cell>
        </row>
        <row r="574">
          <cell r="O574">
            <v>423522.13</v>
          </cell>
          <cell r="R574">
            <v>0</v>
          </cell>
          <cell r="X574">
            <v>0</v>
          </cell>
          <cell r="Y574">
            <v>0</v>
          </cell>
          <cell r="AW574">
            <v>1</v>
          </cell>
          <cell r="BC574">
            <v>16.59</v>
          </cell>
        </row>
        <row r="576">
          <cell r="G576" t="str">
            <v>Козырек</v>
          </cell>
        </row>
        <row r="606">
          <cell r="G606" t="str">
            <v>Ограждения входных групп из нержавеющей стали</v>
          </cell>
        </row>
        <row r="610">
          <cell r="F610" t="str">
            <v>3.7-60-4</v>
          </cell>
          <cell r="H610" t="str">
            <v>100 м ограждений</v>
          </cell>
          <cell r="I610">
            <v>1.18</v>
          </cell>
          <cell r="Q610">
            <v>107.99</v>
          </cell>
          <cell r="R610">
            <v>12.58</v>
          </cell>
          <cell r="S610">
            <v>872.4</v>
          </cell>
          <cell r="U610">
            <v>70.754794199999978</v>
          </cell>
          <cell r="X610">
            <v>876.13</v>
          </cell>
          <cell r="Y610">
            <v>548.69000000000005</v>
          </cell>
          <cell r="AM610">
            <v>58.27</v>
          </cell>
          <cell r="AN610">
            <v>6.79</v>
          </cell>
          <cell r="AO610">
            <v>511.69</v>
          </cell>
          <cell r="AQ610">
            <v>41.5</v>
          </cell>
        </row>
        <row r="611">
          <cell r="Q611">
            <v>1668.45</v>
          </cell>
          <cell r="R611">
            <v>708.88</v>
          </cell>
          <cell r="S611">
            <v>49159.74</v>
          </cell>
          <cell r="X611">
            <v>49369.93</v>
          </cell>
          <cell r="Y611">
            <v>30918.54</v>
          </cell>
          <cell r="AT611">
            <v>99</v>
          </cell>
          <cell r="AU611">
            <v>62</v>
          </cell>
          <cell r="AV611">
            <v>1.0469999999999999</v>
          </cell>
          <cell r="BA611">
            <v>56.35</v>
          </cell>
          <cell r="BB611">
            <v>15.45</v>
          </cell>
          <cell r="BS611">
            <v>56.35</v>
          </cell>
          <cell r="BZ611">
            <v>99</v>
          </cell>
          <cell r="CA611">
            <v>62</v>
          </cell>
        </row>
        <row r="612">
          <cell r="F612" t="str">
            <v>1.1-1-1328</v>
          </cell>
          <cell r="H612" t="str">
            <v>т</v>
          </cell>
          <cell r="I612">
            <v>0.17699999999999999</v>
          </cell>
          <cell r="O612">
            <v>55.49</v>
          </cell>
          <cell r="R612">
            <v>0</v>
          </cell>
          <cell r="X612">
            <v>0</v>
          </cell>
          <cell r="Y612">
            <v>0</v>
          </cell>
          <cell r="AK612">
            <v>313.5</v>
          </cell>
        </row>
        <row r="613">
          <cell r="O613">
            <v>1291.81</v>
          </cell>
          <cell r="R613">
            <v>0</v>
          </cell>
          <cell r="X613">
            <v>0</v>
          </cell>
          <cell r="Y613">
            <v>0</v>
          </cell>
          <cell r="AW613">
            <v>1</v>
          </cell>
          <cell r="BC613">
            <v>23.28</v>
          </cell>
        </row>
        <row r="614">
          <cell r="F614" t="str">
            <v>КА. 1</v>
          </cell>
          <cell r="H614" t="str">
            <v>ПОГ.М</v>
          </cell>
          <cell r="I614">
            <v>23</v>
          </cell>
          <cell r="P614">
            <v>15465.43</v>
          </cell>
          <cell r="R614">
            <v>0</v>
          </cell>
          <cell r="X614">
            <v>0</v>
          </cell>
          <cell r="Y614">
            <v>0</v>
          </cell>
          <cell r="AL614">
            <v>672.41</v>
          </cell>
        </row>
        <row r="615">
          <cell r="P615">
            <v>152489.89000000001</v>
          </cell>
          <cell r="R615">
            <v>0</v>
          </cell>
          <cell r="X615">
            <v>0</v>
          </cell>
          <cell r="Y615">
            <v>0</v>
          </cell>
          <cell r="AW615">
            <v>1</v>
          </cell>
          <cell r="BC615">
            <v>9.84</v>
          </cell>
        </row>
        <row r="616">
          <cell r="F616" t="str">
            <v>КА. 2</v>
          </cell>
          <cell r="H616" t="str">
            <v>ПОГ.М</v>
          </cell>
          <cell r="I616">
            <v>65</v>
          </cell>
          <cell r="P616">
            <v>48287.85</v>
          </cell>
          <cell r="R616">
            <v>0</v>
          </cell>
          <cell r="X616">
            <v>0</v>
          </cell>
          <cell r="Y616">
            <v>0</v>
          </cell>
          <cell r="AL616">
            <v>742.8900000000001</v>
          </cell>
        </row>
        <row r="617">
          <cell r="P617">
            <v>475152.44</v>
          </cell>
          <cell r="R617">
            <v>0</v>
          </cell>
          <cell r="X617">
            <v>0</v>
          </cell>
          <cell r="Y617">
            <v>0</v>
          </cell>
          <cell r="AW617">
            <v>1</v>
          </cell>
          <cell r="BC617">
            <v>9.84</v>
          </cell>
        </row>
        <row r="618">
          <cell r="F618" t="str">
            <v>КА. 3</v>
          </cell>
          <cell r="H618" t="str">
            <v>ПОГ.М</v>
          </cell>
          <cell r="I618">
            <v>15</v>
          </cell>
          <cell r="P618">
            <v>4664.7</v>
          </cell>
          <cell r="R618">
            <v>0</v>
          </cell>
          <cell r="X618">
            <v>0</v>
          </cell>
          <cell r="Y618">
            <v>0</v>
          </cell>
          <cell r="AL618">
            <v>310.98</v>
          </cell>
        </row>
        <row r="619">
          <cell r="P619">
            <v>45900.65</v>
          </cell>
          <cell r="R619">
            <v>0</v>
          </cell>
          <cell r="X619">
            <v>0</v>
          </cell>
          <cell r="Y619">
            <v>0</v>
          </cell>
          <cell r="AW619">
            <v>1</v>
          </cell>
          <cell r="BC619">
            <v>9.84</v>
          </cell>
        </row>
        <row r="620">
          <cell r="F620" t="str">
            <v>КА. 4</v>
          </cell>
          <cell r="H620" t="str">
            <v>ПОГ.М</v>
          </cell>
          <cell r="I620">
            <v>15</v>
          </cell>
          <cell r="P620">
            <v>8811</v>
          </cell>
          <cell r="R620">
            <v>0</v>
          </cell>
          <cell r="X620">
            <v>0</v>
          </cell>
          <cell r="Y620">
            <v>0</v>
          </cell>
          <cell r="AL620">
            <v>587.4</v>
          </cell>
        </row>
        <row r="621">
          <cell r="P621">
            <v>86700.24</v>
          </cell>
          <cell r="R621">
            <v>0</v>
          </cell>
          <cell r="X621">
            <v>0</v>
          </cell>
          <cell r="Y621">
            <v>0</v>
          </cell>
          <cell r="AW621">
            <v>1</v>
          </cell>
          <cell r="BC621">
            <v>9.84</v>
          </cell>
        </row>
        <row r="623">
          <cell r="G623" t="str">
            <v>Ограждения входных групп из нержавеющей стали</v>
          </cell>
        </row>
        <row r="653">
          <cell r="G653" t="str">
            <v>Монтажные работы. Входные группы.</v>
          </cell>
        </row>
        <row r="683">
          <cell r="G683" t="str">
            <v>Грязезащитные решетки. 2 шт</v>
          </cell>
        </row>
        <row r="687">
          <cell r="F687" t="str">
            <v>6.56-36-4</v>
          </cell>
          <cell r="H687" t="str">
            <v>1 м2</v>
          </cell>
          <cell r="I687">
            <v>1.7</v>
          </cell>
          <cell r="P687">
            <v>12.36</v>
          </cell>
          <cell r="Q687">
            <v>8.0299999999999994</v>
          </cell>
          <cell r="R687">
            <v>0.47</v>
          </cell>
          <cell r="S687">
            <v>27.25</v>
          </cell>
          <cell r="U687">
            <v>2.1066059999999998</v>
          </cell>
          <cell r="X687">
            <v>24.95</v>
          </cell>
          <cell r="Y687">
            <v>13.03</v>
          </cell>
          <cell r="AL687">
            <v>7.27</v>
          </cell>
          <cell r="AM687">
            <v>3.62</v>
          </cell>
          <cell r="AN687">
            <v>0.21</v>
          </cell>
          <cell r="AO687">
            <v>12.29</v>
          </cell>
          <cell r="AQ687">
            <v>0.95</v>
          </cell>
        </row>
        <row r="688">
          <cell r="P688">
            <v>97.77</v>
          </cell>
          <cell r="Q688">
            <v>84.88</v>
          </cell>
          <cell r="R688">
            <v>26.48</v>
          </cell>
          <cell r="S688">
            <v>1535.54</v>
          </cell>
          <cell r="X688">
            <v>1405.82</v>
          </cell>
          <cell r="Y688">
            <v>734.15</v>
          </cell>
          <cell r="AT688">
            <v>90</v>
          </cell>
          <cell r="AU688">
            <v>47</v>
          </cell>
          <cell r="AV688">
            <v>1.087</v>
          </cell>
          <cell r="AW688">
            <v>1</v>
          </cell>
          <cell r="BA688">
            <v>56.35</v>
          </cell>
          <cell r="BB688">
            <v>10.57</v>
          </cell>
          <cell r="BC688">
            <v>7.91</v>
          </cell>
          <cell r="BS688">
            <v>56.35</v>
          </cell>
          <cell r="BZ688">
            <v>90</v>
          </cell>
          <cell r="CA688">
            <v>47</v>
          </cell>
        </row>
        <row r="689">
          <cell r="F689" t="str">
            <v>КА 5</v>
          </cell>
          <cell r="H689" t="str">
            <v>м2</v>
          </cell>
          <cell r="I689">
            <v>1.7</v>
          </cell>
          <cell r="O689">
            <v>2996.74</v>
          </cell>
          <cell r="R689">
            <v>0</v>
          </cell>
          <cell r="X689">
            <v>0</v>
          </cell>
          <cell r="Y689">
            <v>0</v>
          </cell>
          <cell r="AK689">
            <v>1762.79</v>
          </cell>
        </row>
        <row r="690">
          <cell r="O690">
            <v>29487.919999999998</v>
          </cell>
          <cell r="R690">
            <v>0</v>
          </cell>
          <cell r="X690">
            <v>0</v>
          </cell>
          <cell r="Y690">
            <v>0</v>
          </cell>
          <cell r="AW690">
            <v>1</v>
          </cell>
          <cell r="BC690">
            <v>9.84</v>
          </cell>
        </row>
        <row r="692">
          <cell r="G692" t="str">
            <v>Грязезащитные решетки. 2 шт</v>
          </cell>
        </row>
        <row r="722">
          <cell r="G722" t="str">
            <v>Кровля.</v>
          </cell>
        </row>
        <row r="726">
          <cell r="G726" t="str">
            <v>Демонтажные работы.</v>
          </cell>
        </row>
        <row r="730">
          <cell r="F730" t="str">
            <v>6.58-2-1</v>
          </cell>
          <cell r="H730" t="str">
            <v>100 м2</v>
          </cell>
          <cell r="I730">
            <v>16.39</v>
          </cell>
          <cell r="R730">
            <v>0</v>
          </cell>
          <cell r="S730">
            <v>3940.15</v>
          </cell>
          <cell r="U730">
            <v>358.51361436000002</v>
          </cell>
          <cell r="X730">
            <v>3546.14</v>
          </cell>
          <cell r="Y730">
            <v>1812.47</v>
          </cell>
          <cell r="AO730">
            <v>191.34</v>
          </cell>
          <cell r="AQ730">
            <v>17.41</v>
          </cell>
        </row>
        <row r="731">
          <cell r="R731">
            <v>0</v>
          </cell>
          <cell r="S731">
            <v>222027.45</v>
          </cell>
          <cell r="X731">
            <v>199824.71</v>
          </cell>
          <cell r="Y731">
            <v>102132.63</v>
          </cell>
          <cell r="AT731">
            <v>90</v>
          </cell>
          <cell r="AU731">
            <v>46</v>
          </cell>
          <cell r="AV731">
            <v>1.0469999999999999</v>
          </cell>
          <cell r="BA731">
            <v>56.35</v>
          </cell>
          <cell r="BZ731">
            <v>90</v>
          </cell>
          <cell r="CA731">
            <v>46</v>
          </cell>
        </row>
        <row r="732">
          <cell r="F732" t="str">
            <v>6.57-2-8</v>
          </cell>
          <cell r="H732" t="str">
            <v>100 м2 покрытия</v>
          </cell>
          <cell r="I732">
            <v>5.47</v>
          </cell>
          <cell r="Q732">
            <v>2500.15</v>
          </cell>
          <cell r="R732">
            <v>902.02</v>
          </cell>
          <cell r="S732">
            <v>1890.15</v>
          </cell>
          <cell r="U732">
            <v>169.06369679999997</v>
          </cell>
          <cell r="X732">
            <v>2485.0300000000002</v>
          </cell>
          <cell r="Y732">
            <v>1368.16</v>
          </cell>
          <cell r="AM732">
            <v>363.79</v>
          </cell>
          <cell r="AN732">
            <v>131.25</v>
          </cell>
          <cell r="AO732">
            <v>275.02999999999997</v>
          </cell>
          <cell r="AQ732">
            <v>24.6</v>
          </cell>
        </row>
        <row r="733">
          <cell r="Q733">
            <v>70129.210000000006</v>
          </cell>
          <cell r="R733">
            <v>50828.83</v>
          </cell>
          <cell r="S733">
            <v>106509.95</v>
          </cell>
          <cell r="X733">
            <v>140031.51</v>
          </cell>
          <cell r="Y733">
            <v>77096</v>
          </cell>
          <cell r="AT733">
            <v>89</v>
          </cell>
          <cell r="AU733">
            <v>49</v>
          </cell>
          <cell r="AV733">
            <v>1.0469999999999999</v>
          </cell>
          <cell r="BA733">
            <v>56.35</v>
          </cell>
          <cell r="BB733">
            <v>28.05</v>
          </cell>
          <cell r="BS733">
            <v>56.35</v>
          </cell>
          <cell r="BZ733">
            <v>89</v>
          </cell>
          <cell r="CA733">
            <v>49</v>
          </cell>
        </row>
        <row r="734">
          <cell r="F734" t="str">
            <v>6.57-2-16</v>
          </cell>
          <cell r="H734" t="str">
            <v>100 м2 покрытия</v>
          </cell>
          <cell r="I734">
            <v>5.47</v>
          </cell>
          <cell r="R734">
            <v>0</v>
          </cell>
          <cell r="S734">
            <v>922.02</v>
          </cell>
          <cell r="U734">
            <v>82.470095999999984</v>
          </cell>
          <cell r="X734">
            <v>820.6</v>
          </cell>
          <cell r="Y734">
            <v>451.79</v>
          </cell>
          <cell r="AO734">
            <v>33.54</v>
          </cell>
          <cell r="AQ734">
            <v>3</v>
          </cell>
        </row>
        <row r="735">
          <cell r="R735">
            <v>0</v>
          </cell>
          <cell r="S735">
            <v>51955.83</v>
          </cell>
          <cell r="X735">
            <v>46240.69</v>
          </cell>
          <cell r="Y735">
            <v>25458.36</v>
          </cell>
          <cell r="AT735">
            <v>89</v>
          </cell>
          <cell r="AU735">
            <v>49</v>
          </cell>
          <cell r="AV735">
            <v>1.0469999999999999</v>
          </cell>
          <cell r="BA735">
            <v>56.35</v>
          </cell>
          <cell r="BZ735">
            <v>89</v>
          </cell>
          <cell r="CA735">
            <v>49</v>
          </cell>
        </row>
        <row r="736">
          <cell r="F736" t="str">
            <v>3.12-18-1</v>
          </cell>
          <cell r="H736" t="str">
            <v>1 м3 утеплителя</v>
          </cell>
          <cell r="I736">
            <v>90.254999999999995</v>
          </cell>
          <cell r="Q736">
            <v>3417.9</v>
          </cell>
          <cell r="R736">
            <v>301.39</v>
          </cell>
          <cell r="S736">
            <v>2565.54</v>
          </cell>
          <cell r="U736">
            <v>255.23565249599997</v>
          </cell>
          <cell r="X736">
            <v>2809.59</v>
          </cell>
          <cell r="Y736">
            <v>1376.13</v>
          </cell>
          <cell r="AM736">
            <v>36.29</v>
          </cell>
          <cell r="AN736">
            <v>3.2</v>
          </cell>
          <cell r="AO736">
            <v>27.24</v>
          </cell>
          <cell r="AQ736">
            <v>2.71</v>
          </cell>
        </row>
        <row r="737">
          <cell r="Q737">
            <v>51063.43</v>
          </cell>
          <cell r="R737">
            <v>16983.330000000002</v>
          </cell>
          <cell r="S737">
            <v>144568.18</v>
          </cell>
          <cell r="X737">
            <v>158320.48000000001</v>
          </cell>
          <cell r="Y737">
            <v>77544.72</v>
          </cell>
          <cell r="AT737">
            <v>98</v>
          </cell>
          <cell r="AU737">
            <v>48</v>
          </cell>
          <cell r="AV737">
            <v>1.087</v>
          </cell>
          <cell r="BA737">
            <v>56.35</v>
          </cell>
          <cell r="BB737">
            <v>14.94</v>
          </cell>
          <cell r="BS737">
            <v>56.35</v>
          </cell>
          <cell r="BZ737">
            <v>98</v>
          </cell>
          <cell r="CA737">
            <v>48</v>
          </cell>
        </row>
        <row r="738">
          <cell r="F738" t="str">
            <v>6.69-45-1</v>
          </cell>
          <cell r="H738" t="str">
            <v>100 м3</v>
          </cell>
          <cell r="I738">
            <v>0.93600000000000005</v>
          </cell>
          <cell r="R738">
            <v>0</v>
          </cell>
          <cell r="S738">
            <v>4064.36</v>
          </cell>
          <cell r="U738">
            <v>390.42881279999995</v>
          </cell>
          <cell r="X738">
            <v>3739.21</v>
          </cell>
          <cell r="Y738">
            <v>1788.32</v>
          </cell>
          <cell r="AO738">
            <v>3456.12</v>
          </cell>
          <cell r="AQ738">
            <v>332</v>
          </cell>
        </row>
        <row r="739">
          <cell r="R739">
            <v>0</v>
          </cell>
          <cell r="S739">
            <v>229026.69</v>
          </cell>
          <cell r="X739">
            <v>210704.55</v>
          </cell>
          <cell r="Y739">
            <v>100771.74</v>
          </cell>
          <cell r="AT739">
            <v>92</v>
          </cell>
          <cell r="AU739">
            <v>44</v>
          </cell>
          <cell r="AV739">
            <v>1.0469999999999999</v>
          </cell>
          <cell r="BA739">
            <v>56.35</v>
          </cell>
          <cell r="BZ739">
            <v>92</v>
          </cell>
          <cell r="CA739">
            <v>44</v>
          </cell>
        </row>
        <row r="740">
          <cell r="F740" t="str">
            <v>3.12-19-1</v>
          </cell>
          <cell r="H740" t="str">
            <v>100 м2 изолируемой поверхности</v>
          </cell>
          <cell r="I740">
            <v>4.68</v>
          </cell>
          <cell r="Q740">
            <v>176.98</v>
          </cell>
          <cell r="R740">
            <v>7.81</v>
          </cell>
          <cell r="S740">
            <v>890.2</v>
          </cell>
          <cell r="U740">
            <v>75.696940799999993</v>
          </cell>
          <cell r="X740">
            <v>880.05</v>
          </cell>
          <cell r="Y740">
            <v>431.04</v>
          </cell>
          <cell r="AM740">
            <v>36.24</v>
          </cell>
          <cell r="AN740">
            <v>1.6</v>
          </cell>
          <cell r="AO740">
            <v>182.28</v>
          </cell>
          <cell r="AQ740">
            <v>15.5</v>
          </cell>
        </row>
        <row r="741">
          <cell r="Q741">
            <v>2461.79</v>
          </cell>
          <cell r="R741">
            <v>440.09</v>
          </cell>
          <cell r="S741">
            <v>50162.77</v>
          </cell>
          <cell r="X741">
            <v>49590.8</v>
          </cell>
          <cell r="Y741">
            <v>24289.37</v>
          </cell>
          <cell r="AT741">
            <v>98</v>
          </cell>
          <cell r="AU741">
            <v>48</v>
          </cell>
          <cell r="AV741">
            <v>1.087</v>
          </cell>
          <cell r="BA741">
            <v>56.35</v>
          </cell>
          <cell r="BB741">
            <v>13.91</v>
          </cell>
          <cell r="BS741">
            <v>56.35</v>
          </cell>
          <cell r="BZ741">
            <v>98</v>
          </cell>
          <cell r="CA741">
            <v>48</v>
          </cell>
        </row>
        <row r="742">
          <cell r="F742" t="str">
            <v>3.12-7-1</v>
          </cell>
          <cell r="H742" t="str">
            <v>100 м2 покрытия</v>
          </cell>
          <cell r="I742">
            <v>10.92</v>
          </cell>
          <cell r="P742">
            <v>164347.21</v>
          </cell>
          <cell r="Q742">
            <v>8363.8799999999992</v>
          </cell>
          <cell r="R742">
            <v>857.55</v>
          </cell>
          <cell r="S742">
            <v>36373.17</v>
          </cell>
          <cell r="U742">
            <v>2179.339344</v>
          </cell>
          <cell r="X742">
            <v>36486.11</v>
          </cell>
          <cell r="Y742">
            <v>17870.75</v>
          </cell>
          <cell r="AL742">
            <v>25058.46</v>
          </cell>
          <cell r="AM742">
            <v>978.64</v>
          </cell>
          <cell r="AN742">
            <v>100.34</v>
          </cell>
          <cell r="AO742">
            <v>4255.95</v>
          </cell>
          <cell r="AQ742">
            <v>255</v>
          </cell>
        </row>
        <row r="743">
          <cell r="P743">
            <v>1600741.83</v>
          </cell>
          <cell r="Q743">
            <v>262793.11</v>
          </cell>
          <cell r="R743">
            <v>48322.94</v>
          </cell>
          <cell r="S743">
            <v>2049628.13</v>
          </cell>
          <cell r="X743">
            <v>2055992.05</v>
          </cell>
          <cell r="Y743">
            <v>1007016.51</v>
          </cell>
          <cell r="AT743">
            <v>98</v>
          </cell>
          <cell r="AU743">
            <v>48</v>
          </cell>
          <cell r="AV743">
            <v>1.087</v>
          </cell>
          <cell r="AW743">
            <v>1.0009999999999999</v>
          </cell>
          <cell r="BA743">
            <v>56.35</v>
          </cell>
          <cell r="BB743">
            <v>31.42</v>
          </cell>
          <cell r="BC743">
            <v>9.74</v>
          </cell>
          <cell r="BS743">
            <v>56.35</v>
          </cell>
          <cell r="BZ743">
            <v>98</v>
          </cell>
          <cell r="CA743">
            <v>48</v>
          </cell>
        </row>
        <row r="745">
          <cell r="G745" t="str">
            <v>Демонтажные работы.</v>
          </cell>
        </row>
        <row r="775">
          <cell r="G775" t="str">
            <v>Монтажные работы. Ходовой настил</v>
          </cell>
        </row>
        <row r="779">
          <cell r="F779" t="str">
            <v>6.69-14-1</v>
          </cell>
          <cell r="H779" t="str">
            <v>100 м2 настила</v>
          </cell>
          <cell r="I779">
            <v>0.41</v>
          </cell>
          <cell r="P779">
            <v>30.29</v>
          </cell>
          <cell r="R779">
            <v>0</v>
          </cell>
          <cell r="S779">
            <v>96.55</v>
          </cell>
          <cell r="U779">
            <v>9.6070625999999972</v>
          </cell>
          <cell r="X779">
            <v>88.83</v>
          </cell>
          <cell r="Y779">
            <v>42.48</v>
          </cell>
          <cell r="AL779">
            <v>73.72</v>
          </cell>
          <cell r="AO779">
            <v>187.43</v>
          </cell>
          <cell r="AQ779">
            <v>18.649999999999999</v>
          </cell>
        </row>
        <row r="780">
          <cell r="P780">
            <v>378.63</v>
          </cell>
          <cell r="R780">
            <v>0</v>
          </cell>
          <cell r="S780">
            <v>5440.59</v>
          </cell>
          <cell r="X780">
            <v>5005.34</v>
          </cell>
          <cell r="Y780">
            <v>2393.86</v>
          </cell>
          <cell r="AT780">
            <v>92</v>
          </cell>
          <cell r="AU780">
            <v>44</v>
          </cell>
          <cell r="AV780">
            <v>1.0469999999999999</v>
          </cell>
          <cell r="AW780">
            <v>1.002</v>
          </cell>
          <cell r="BA780">
            <v>56.35</v>
          </cell>
          <cell r="BC780">
            <v>12.5</v>
          </cell>
          <cell r="BZ780">
            <v>92</v>
          </cell>
          <cell r="CA780">
            <v>44</v>
          </cell>
        </row>
        <row r="781">
          <cell r="F781" t="str">
            <v>1.9-14-4</v>
          </cell>
          <cell r="H781" t="str">
            <v>м2</v>
          </cell>
          <cell r="I781">
            <v>41</v>
          </cell>
          <cell r="O781">
            <v>1849.51</v>
          </cell>
          <cell r="R781">
            <v>0</v>
          </cell>
          <cell r="X781">
            <v>0</v>
          </cell>
          <cell r="Y781">
            <v>0</v>
          </cell>
          <cell r="AK781">
            <v>45.02</v>
          </cell>
        </row>
        <row r="782">
          <cell r="O782">
            <v>16645.59</v>
          </cell>
          <cell r="R782">
            <v>0</v>
          </cell>
          <cell r="X782">
            <v>0</v>
          </cell>
          <cell r="Y782">
            <v>0</v>
          </cell>
          <cell r="AW782">
            <v>1.002</v>
          </cell>
          <cell r="BC782">
            <v>9</v>
          </cell>
        </row>
        <row r="784">
          <cell r="G784" t="str">
            <v>Монтажные работы. Ходовой настил</v>
          </cell>
        </row>
        <row r="814">
          <cell r="G814" t="str">
            <v>Монтажные работы. Тип1</v>
          </cell>
        </row>
        <row r="818">
          <cell r="F818" t="str">
            <v>3.12-21-1</v>
          </cell>
          <cell r="H818" t="str">
            <v>100 м2 стяжек</v>
          </cell>
          <cell r="I818">
            <v>3.12</v>
          </cell>
          <cell r="P818">
            <v>85.01</v>
          </cell>
          <cell r="Q818">
            <v>115.78</v>
          </cell>
          <cell r="R818">
            <v>0</v>
          </cell>
          <cell r="S818">
            <v>1183.9000000000001</v>
          </cell>
          <cell r="U818">
            <v>113.72854895999998</v>
          </cell>
          <cell r="X818">
            <v>1160.22</v>
          </cell>
          <cell r="Y818">
            <v>568.27</v>
          </cell>
          <cell r="AL818">
            <v>27.22</v>
          </cell>
          <cell r="AM818">
            <v>22.76</v>
          </cell>
          <cell r="AO818">
            <v>252.96</v>
          </cell>
          <cell r="AQ818">
            <v>24.3</v>
          </cell>
        </row>
        <row r="819">
          <cell r="P819">
            <v>658.83</v>
          </cell>
          <cell r="Q819">
            <v>1441.46</v>
          </cell>
          <cell r="R819">
            <v>0</v>
          </cell>
          <cell r="S819">
            <v>66712.77</v>
          </cell>
          <cell r="X819">
            <v>65378.51</v>
          </cell>
          <cell r="Y819">
            <v>32022.13</v>
          </cell>
          <cell r="AT819">
            <v>98</v>
          </cell>
          <cell r="AU819">
            <v>48</v>
          </cell>
          <cell r="AV819">
            <v>1.087</v>
          </cell>
          <cell r="AW819">
            <v>1.0009999999999999</v>
          </cell>
          <cell r="BA819">
            <v>56.35</v>
          </cell>
          <cell r="BB819">
            <v>12.45</v>
          </cell>
          <cell r="BC819">
            <v>7.75</v>
          </cell>
          <cell r="BZ819">
            <v>98</v>
          </cell>
          <cell r="CA819">
            <v>48</v>
          </cell>
        </row>
        <row r="820">
          <cell r="F820" t="str">
            <v>1.3-2-6</v>
          </cell>
          <cell r="H820" t="str">
            <v>м3</v>
          </cell>
          <cell r="I820">
            <v>4.7736000000000001</v>
          </cell>
          <cell r="O820">
            <v>2233.0300000000002</v>
          </cell>
          <cell r="R820">
            <v>0</v>
          </cell>
          <cell r="X820">
            <v>0</v>
          </cell>
          <cell r="Y820">
            <v>0</v>
          </cell>
          <cell r="AK820">
            <v>467.32</v>
          </cell>
        </row>
        <row r="821">
          <cell r="O821">
            <v>24719.64</v>
          </cell>
          <cell r="R821">
            <v>0</v>
          </cell>
          <cell r="X821">
            <v>0</v>
          </cell>
          <cell r="Y821">
            <v>0</v>
          </cell>
          <cell r="AW821">
            <v>1.0009999999999999</v>
          </cell>
          <cell r="BC821">
            <v>11.07</v>
          </cell>
        </row>
        <row r="822">
          <cell r="F822" t="str">
            <v>3.12-21-2</v>
          </cell>
          <cell r="H822" t="str">
            <v>100 м2 стяжек</v>
          </cell>
          <cell r="I822">
            <v>3.12</v>
          </cell>
          <cell r="R822">
            <v>0</v>
          </cell>
          <cell r="S822">
            <v>21.53</v>
          </cell>
          <cell r="U822">
            <v>2.1060842399999999</v>
          </cell>
          <cell r="X822">
            <v>21.1</v>
          </cell>
          <cell r="Y822">
            <v>10.33</v>
          </cell>
          <cell r="AO822">
            <v>0.92</v>
          </cell>
          <cell r="AQ822">
            <v>0.09</v>
          </cell>
        </row>
        <row r="823">
          <cell r="R823">
            <v>0</v>
          </cell>
          <cell r="S823">
            <v>1213.22</v>
          </cell>
          <cell r="X823">
            <v>1188.96</v>
          </cell>
          <cell r="Y823">
            <v>582.35</v>
          </cell>
          <cell r="AT823">
            <v>98</v>
          </cell>
          <cell r="AU823">
            <v>48</v>
          </cell>
          <cell r="AV823">
            <v>1.087</v>
          </cell>
          <cell r="BA823">
            <v>56.35</v>
          </cell>
          <cell r="BZ823">
            <v>98</v>
          </cell>
          <cell r="CA823">
            <v>48</v>
          </cell>
        </row>
        <row r="824">
          <cell r="F824" t="str">
            <v>1.3-2-6</v>
          </cell>
          <cell r="H824" t="str">
            <v>м3</v>
          </cell>
          <cell r="I824">
            <v>1.5912000000000002</v>
          </cell>
          <cell r="O824">
            <v>744.34</v>
          </cell>
          <cell r="R824">
            <v>0</v>
          </cell>
          <cell r="X824">
            <v>0</v>
          </cell>
          <cell r="Y824">
            <v>0</v>
          </cell>
          <cell r="AK824">
            <v>467.32</v>
          </cell>
        </row>
        <row r="825">
          <cell r="O825">
            <v>8239.84</v>
          </cell>
          <cell r="R825">
            <v>0</v>
          </cell>
          <cell r="X825">
            <v>0</v>
          </cell>
          <cell r="Y825">
            <v>0</v>
          </cell>
          <cell r="AW825">
            <v>1.0009999999999999</v>
          </cell>
          <cell r="BC825">
            <v>11.07</v>
          </cell>
        </row>
        <row r="826">
          <cell r="F826" t="str">
            <v>3.12-19-3</v>
          </cell>
          <cell r="H826" t="str">
            <v>100 м2 изолируемой поверхности</v>
          </cell>
          <cell r="I826">
            <v>3.12</v>
          </cell>
          <cell r="P826">
            <v>612.19000000000005</v>
          </cell>
          <cell r="Q826">
            <v>65.73</v>
          </cell>
          <cell r="R826">
            <v>4.53</v>
          </cell>
          <cell r="S826">
            <v>381.95</v>
          </cell>
          <cell r="U826">
            <v>32.480499168000001</v>
          </cell>
          <cell r="X826">
            <v>378.75</v>
          </cell>
          <cell r="Y826">
            <v>185.51</v>
          </cell>
          <cell r="AL826">
            <v>196.02</v>
          </cell>
          <cell r="AM826">
            <v>12.92</v>
          </cell>
          <cell r="AN826">
            <v>0.89</v>
          </cell>
          <cell r="AO826">
            <v>81.61</v>
          </cell>
          <cell r="AQ826">
            <v>6.94</v>
          </cell>
        </row>
        <row r="827">
          <cell r="P827">
            <v>9060.41</v>
          </cell>
          <cell r="Q827">
            <v>945.2</v>
          </cell>
          <cell r="R827">
            <v>255.27</v>
          </cell>
          <cell r="S827">
            <v>21522.880000000001</v>
          </cell>
          <cell r="X827">
            <v>21342.59</v>
          </cell>
          <cell r="Y827">
            <v>10453.51</v>
          </cell>
          <cell r="AT827">
            <v>98</v>
          </cell>
          <cell r="AU827">
            <v>48</v>
          </cell>
          <cell r="AV827">
            <v>1.087</v>
          </cell>
          <cell r="AW827">
            <v>1.0009999999999999</v>
          </cell>
          <cell r="BA827">
            <v>56.35</v>
          </cell>
          <cell r="BB827">
            <v>14.38</v>
          </cell>
          <cell r="BC827">
            <v>14.8</v>
          </cell>
          <cell r="BS827">
            <v>56.35</v>
          </cell>
          <cell r="BZ827">
            <v>98</v>
          </cell>
          <cell r="CA827">
            <v>48</v>
          </cell>
        </row>
        <row r="828">
          <cell r="F828" t="str">
            <v>1.1-1-2688</v>
          </cell>
          <cell r="H828" t="str">
            <v>м2</v>
          </cell>
          <cell r="I828">
            <v>343.2</v>
          </cell>
          <cell r="O828">
            <v>1439.45</v>
          </cell>
          <cell r="R828">
            <v>0</v>
          </cell>
          <cell r="X828">
            <v>0</v>
          </cell>
          <cell r="Y828">
            <v>0</v>
          </cell>
          <cell r="AK828">
            <v>4.1900000000000004</v>
          </cell>
        </row>
        <row r="829">
          <cell r="O829">
            <v>10853.45</v>
          </cell>
          <cell r="R829">
            <v>0</v>
          </cell>
          <cell r="X829">
            <v>0</v>
          </cell>
          <cell r="Y829">
            <v>0</v>
          </cell>
          <cell r="AW829">
            <v>1.0009999999999999</v>
          </cell>
          <cell r="BC829">
            <v>7.54</v>
          </cell>
        </row>
        <row r="830">
          <cell r="F830" t="str">
            <v>3.12-17-6</v>
          </cell>
          <cell r="H830" t="str">
            <v>100 м2 утепляемого покрытия</v>
          </cell>
          <cell r="I830">
            <v>3.12</v>
          </cell>
          <cell r="Q830">
            <v>621.24</v>
          </cell>
          <cell r="R830">
            <v>67.66</v>
          </cell>
          <cell r="S830">
            <v>1440.94</v>
          </cell>
          <cell r="U830">
            <v>122.43369715199998</v>
          </cell>
          <cell r="X830">
            <v>1478.43</v>
          </cell>
          <cell r="Y830">
            <v>724.13</v>
          </cell>
          <cell r="AM830">
            <v>122.12</v>
          </cell>
          <cell r="AN830">
            <v>13.3</v>
          </cell>
          <cell r="AO830">
            <v>307.88</v>
          </cell>
          <cell r="AQ830">
            <v>26.16</v>
          </cell>
        </row>
        <row r="831">
          <cell r="Q831">
            <v>9380.7199999999993</v>
          </cell>
          <cell r="R831">
            <v>3812.64</v>
          </cell>
          <cell r="S831">
            <v>81196.97</v>
          </cell>
          <cell r="X831">
            <v>83309.42</v>
          </cell>
          <cell r="Y831">
            <v>40804.61</v>
          </cell>
          <cell r="AT831">
            <v>98</v>
          </cell>
          <cell r="AU831">
            <v>48</v>
          </cell>
          <cell r="AV831">
            <v>1.087</v>
          </cell>
          <cell r="BA831">
            <v>56.35</v>
          </cell>
          <cell r="BB831">
            <v>15.1</v>
          </cell>
          <cell r="BS831">
            <v>56.35</v>
          </cell>
          <cell r="BZ831">
            <v>98</v>
          </cell>
          <cell r="CA831">
            <v>48</v>
          </cell>
        </row>
        <row r="832">
          <cell r="F832" t="str">
            <v>1.1-1-2921</v>
          </cell>
          <cell r="H832" t="str">
            <v>м3</v>
          </cell>
          <cell r="I832">
            <v>31.200000000000003</v>
          </cell>
          <cell r="O832">
            <v>68732.38</v>
          </cell>
          <cell r="R832">
            <v>0</v>
          </cell>
          <cell r="X832">
            <v>0</v>
          </cell>
          <cell r="Y832">
            <v>0</v>
          </cell>
          <cell r="AK832">
            <v>2200.7600000000002</v>
          </cell>
        </row>
        <row r="833">
          <cell r="O833">
            <v>500371.73</v>
          </cell>
          <cell r="R833">
            <v>0</v>
          </cell>
          <cell r="X833">
            <v>0</v>
          </cell>
          <cell r="Y833">
            <v>0</v>
          </cell>
          <cell r="AW833">
            <v>1.0009999999999999</v>
          </cell>
          <cell r="BC833">
            <v>7.28</v>
          </cell>
        </row>
        <row r="834">
          <cell r="F834" t="str">
            <v>3.12-17-7</v>
          </cell>
          <cell r="H834" t="str">
            <v>100 м2 утепляемого покрытия</v>
          </cell>
          <cell r="I834">
            <v>3.12</v>
          </cell>
          <cell r="Q834">
            <v>254.82</v>
          </cell>
          <cell r="R834">
            <v>27.73</v>
          </cell>
          <cell r="S834">
            <v>822.82</v>
          </cell>
          <cell r="U834">
            <v>68.798751839999994</v>
          </cell>
          <cell r="X834">
            <v>833.54</v>
          </cell>
          <cell r="Y834">
            <v>408.26</v>
          </cell>
          <cell r="AM834">
            <v>50.09</v>
          </cell>
          <cell r="AN834">
            <v>5.45</v>
          </cell>
          <cell r="AO834">
            <v>175.81</v>
          </cell>
          <cell r="AQ834">
            <v>14.7</v>
          </cell>
        </row>
        <row r="835">
          <cell r="Q835">
            <v>3845.23</v>
          </cell>
          <cell r="R835">
            <v>1562.59</v>
          </cell>
          <cell r="S835">
            <v>46365.91</v>
          </cell>
          <cell r="X835">
            <v>46969.93</v>
          </cell>
          <cell r="Y835">
            <v>23005.68</v>
          </cell>
          <cell r="AT835">
            <v>98</v>
          </cell>
          <cell r="AU835">
            <v>48</v>
          </cell>
          <cell r="AV835">
            <v>1.087</v>
          </cell>
          <cell r="BA835">
            <v>56.35</v>
          </cell>
          <cell r="BB835">
            <v>15.09</v>
          </cell>
          <cell r="BS835">
            <v>56.35</v>
          </cell>
          <cell r="BZ835">
            <v>98</v>
          </cell>
          <cell r="CA835">
            <v>48</v>
          </cell>
        </row>
        <row r="836">
          <cell r="F836" t="str">
            <v>1.1-1-2922</v>
          </cell>
          <cell r="H836" t="str">
            <v>м3</v>
          </cell>
          <cell r="I836">
            <v>31.200000000000003</v>
          </cell>
          <cell r="O836">
            <v>38907.199999999997</v>
          </cell>
          <cell r="R836">
            <v>0</v>
          </cell>
          <cell r="X836">
            <v>0</v>
          </cell>
          <cell r="Y836">
            <v>0</v>
          </cell>
          <cell r="AK836">
            <v>1245.78</v>
          </cell>
        </row>
        <row r="837">
          <cell r="O837">
            <v>242391.86</v>
          </cell>
          <cell r="R837">
            <v>0</v>
          </cell>
          <cell r="X837">
            <v>0</v>
          </cell>
          <cell r="Y837">
            <v>0</v>
          </cell>
          <cell r="AW837">
            <v>1.0009999999999999</v>
          </cell>
          <cell r="BC837">
            <v>6.23</v>
          </cell>
        </row>
        <row r="838">
          <cell r="F838" t="str">
            <v>3.12-19-3</v>
          </cell>
          <cell r="H838" t="str">
            <v>100 м2 изолируемой поверхности</v>
          </cell>
          <cell r="I838">
            <v>3.12</v>
          </cell>
          <cell r="P838">
            <v>612.19000000000005</v>
          </cell>
          <cell r="Q838">
            <v>65.73</v>
          </cell>
          <cell r="R838">
            <v>4.53</v>
          </cell>
          <cell r="S838">
            <v>381.95</v>
          </cell>
          <cell r="U838">
            <v>32.480499168000001</v>
          </cell>
          <cell r="X838">
            <v>378.75</v>
          </cell>
          <cell r="Y838">
            <v>185.51</v>
          </cell>
          <cell r="AL838">
            <v>196.02</v>
          </cell>
          <cell r="AM838">
            <v>12.92</v>
          </cell>
          <cell r="AN838">
            <v>0.89</v>
          </cell>
          <cell r="AO838">
            <v>81.61</v>
          </cell>
          <cell r="AQ838">
            <v>6.94</v>
          </cell>
        </row>
        <row r="839">
          <cell r="P839">
            <v>9060.41</v>
          </cell>
          <cell r="Q839">
            <v>945.2</v>
          </cell>
          <cell r="R839">
            <v>255.27</v>
          </cell>
          <cell r="S839">
            <v>21522.880000000001</v>
          </cell>
          <cell r="X839">
            <v>21342.59</v>
          </cell>
          <cell r="Y839">
            <v>10453.51</v>
          </cell>
          <cell r="AT839">
            <v>98</v>
          </cell>
          <cell r="AU839">
            <v>48</v>
          </cell>
          <cell r="AV839">
            <v>1.087</v>
          </cell>
          <cell r="AW839">
            <v>1.0009999999999999</v>
          </cell>
          <cell r="BA839">
            <v>56.35</v>
          </cell>
          <cell r="BB839">
            <v>14.38</v>
          </cell>
          <cell r="BC839">
            <v>14.8</v>
          </cell>
          <cell r="BS839">
            <v>56.35</v>
          </cell>
          <cell r="BZ839">
            <v>98</v>
          </cell>
          <cell r="CA839">
            <v>48</v>
          </cell>
        </row>
        <row r="840">
          <cell r="F840" t="str">
            <v>1.1-1-764</v>
          </cell>
          <cell r="H840" t="str">
            <v>м2</v>
          </cell>
          <cell r="I840">
            <v>343.2</v>
          </cell>
          <cell r="O840">
            <v>1889.49</v>
          </cell>
          <cell r="R840">
            <v>0</v>
          </cell>
          <cell r="X840">
            <v>0</v>
          </cell>
          <cell r="Y840">
            <v>0</v>
          </cell>
          <cell r="AK840">
            <v>5.5</v>
          </cell>
        </row>
        <row r="841">
          <cell r="O841">
            <v>6121.95</v>
          </cell>
          <cell r="R841">
            <v>0</v>
          </cell>
          <cell r="X841">
            <v>0</v>
          </cell>
          <cell r="Y841">
            <v>0</v>
          </cell>
          <cell r="AW841">
            <v>1.0009999999999999</v>
          </cell>
          <cell r="BC841">
            <v>3.24</v>
          </cell>
        </row>
        <row r="842">
          <cell r="F842" t="str">
            <v>3.12-18-1</v>
          </cell>
          <cell r="H842" t="str">
            <v>1 м3 утеплителя</v>
          </cell>
          <cell r="I842">
            <v>215.16</v>
          </cell>
          <cell r="P842">
            <v>78342.710000000006</v>
          </cell>
          <cell r="Q842">
            <v>12731.2</v>
          </cell>
          <cell r="R842">
            <v>1122.6199999999999</v>
          </cell>
          <cell r="S842">
            <v>8791.7900000000009</v>
          </cell>
          <cell r="U842">
            <v>874.66038501599996</v>
          </cell>
          <cell r="X842">
            <v>9716.1200000000008</v>
          </cell>
          <cell r="Y842">
            <v>4758.92</v>
          </cell>
          <cell r="AL842">
            <v>363.75</v>
          </cell>
          <cell r="AM842">
            <v>36.29</v>
          </cell>
          <cell r="AN842">
            <v>3.2</v>
          </cell>
          <cell r="AO842">
            <v>27.24</v>
          </cell>
          <cell r="AQ842">
            <v>2.71</v>
          </cell>
        </row>
        <row r="843">
          <cell r="P843">
            <v>445770.02</v>
          </cell>
          <cell r="Q843">
            <v>190204.13</v>
          </cell>
          <cell r="R843">
            <v>63259.64</v>
          </cell>
          <cell r="S843">
            <v>495417.37</v>
          </cell>
          <cell r="X843">
            <v>547503.47</v>
          </cell>
          <cell r="Y843">
            <v>268164.96000000002</v>
          </cell>
          <cell r="AT843">
            <v>98</v>
          </cell>
          <cell r="AU843">
            <v>48</v>
          </cell>
          <cell r="AV843">
            <v>1.087</v>
          </cell>
          <cell r="AW843">
            <v>1.0009999999999999</v>
          </cell>
          <cell r="BA843">
            <v>56.35</v>
          </cell>
          <cell r="BB843">
            <v>14.94</v>
          </cell>
          <cell r="BC843">
            <v>5.69</v>
          </cell>
          <cell r="BS843">
            <v>56.35</v>
          </cell>
          <cell r="BZ843">
            <v>98</v>
          </cell>
          <cell r="CA843">
            <v>48</v>
          </cell>
        </row>
        <row r="844">
          <cell r="F844" t="str">
            <v>3.11-40-1</v>
          </cell>
          <cell r="H844" t="str">
            <v>1 м3</v>
          </cell>
          <cell r="I844">
            <v>215.16</v>
          </cell>
          <cell r="Q844">
            <v>723.12</v>
          </cell>
          <cell r="R844">
            <v>489.97</v>
          </cell>
          <cell r="S844">
            <v>7125.28</v>
          </cell>
          <cell r="U844">
            <v>637.29595907999976</v>
          </cell>
          <cell r="X844">
            <v>7691.4</v>
          </cell>
          <cell r="Y844">
            <v>4188.3900000000003</v>
          </cell>
          <cell r="AM844">
            <v>2.14</v>
          </cell>
          <cell r="AN844">
            <v>1.45</v>
          </cell>
          <cell r="AO844">
            <v>22.92</v>
          </cell>
          <cell r="AQ844">
            <v>2.0499999999999998</v>
          </cell>
        </row>
        <row r="845">
          <cell r="Q845">
            <v>33386.449999999997</v>
          </cell>
          <cell r="R845">
            <v>27609.81</v>
          </cell>
          <cell r="S845">
            <v>401509.53</v>
          </cell>
          <cell r="X845">
            <v>433410.53</v>
          </cell>
          <cell r="Y845">
            <v>236015.64</v>
          </cell>
          <cell r="AT845">
            <v>101</v>
          </cell>
          <cell r="AU845">
            <v>55</v>
          </cell>
          <cell r="AV845">
            <v>1.0469999999999999</v>
          </cell>
          <cell r="BA845">
            <v>56.35</v>
          </cell>
          <cell r="BB845">
            <v>46.17</v>
          </cell>
          <cell r="BS845">
            <v>56.35</v>
          </cell>
          <cell r="BZ845">
            <v>101</v>
          </cell>
          <cell r="CA845">
            <v>55</v>
          </cell>
        </row>
        <row r="846">
          <cell r="F846" t="str">
            <v>1.3-2-181</v>
          </cell>
          <cell r="H846" t="str">
            <v>м3</v>
          </cell>
          <cell r="I846">
            <v>96.822000000000003</v>
          </cell>
          <cell r="O846">
            <v>160092.26999999999</v>
          </cell>
          <cell r="R846">
            <v>0</v>
          </cell>
          <cell r="X846">
            <v>0</v>
          </cell>
          <cell r="Y846">
            <v>0</v>
          </cell>
          <cell r="AK846">
            <v>1653.47</v>
          </cell>
        </row>
        <row r="847">
          <cell r="O847">
            <v>649974.62</v>
          </cell>
          <cell r="R847">
            <v>0</v>
          </cell>
          <cell r="X847">
            <v>0</v>
          </cell>
          <cell r="Y847">
            <v>0</v>
          </cell>
          <cell r="AW847">
            <v>1</v>
          </cell>
          <cell r="BC847">
            <v>4.0599999999999996</v>
          </cell>
        </row>
        <row r="848">
          <cell r="F848" t="str">
            <v>3.12-21-1</v>
          </cell>
          <cell r="H848" t="str">
            <v>100 м2 стяжек</v>
          </cell>
          <cell r="I848">
            <v>3.12</v>
          </cell>
          <cell r="P848">
            <v>85.01</v>
          </cell>
          <cell r="Q848">
            <v>115.78</v>
          </cell>
          <cell r="R848">
            <v>0</v>
          </cell>
          <cell r="S848">
            <v>1183.9000000000001</v>
          </cell>
          <cell r="U848">
            <v>113.72854895999998</v>
          </cell>
          <cell r="X848">
            <v>1160.22</v>
          </cell>
          <cell r="Y848">
            <v>568.27</v>
          </cell>
          <cell r="AL848">
            <v>27.22</v>
          </cell>
          <cell r="AM848">
            <v>22.76</v>
          </cell>
          <cell r="AO848">
            <v>252.96</v>
          </cell>
          <cell r="AQ848">
            <v>24.3</v>
          </cell>
        </row>
        <row r="849">
          <cell r="P849">
            <v>658.83</v>
          </cell>
          <cell r="Q849">
            <v>1441.46</v>
          </cell>
          <cell r="R849">
            <v>0</v>
          </cell>
          <cell r="S849">
            <v>66712.77</v>
          </cell>
          <cell r="X849">
            <v>65378.51</v>
          </cell>
          <cell r="Y849">
            <v>32022.13</v>
          </cell>
          <cell r="AT849">
            <v>98</v>
          </cell>
          <cell r="AU849">
            <v>48</v>
          </cell>
          <cell r="AV849">
            <v>1.087</v>
          </cell>
          <cell r="AW849">
            <v>1.0009999999999999</v>
          </cell>
          <cell r="BA849">
            <v>56.35</v>
          </cell>
          <cell r="BB849">
            <v>12.45</v>
          </cell>
          <cell r="BC849">
            <v>7.75</v>
          </cell>
          <cell r="BZ849">
            <v>98</v>
          </cell>
          <cell r="CA849">
            <v>48</v>
          </cell>
        </row>
        <row r="850">
          <cell r="F850" t="str">
            <v>1.3-2-6</v>
          </cell>
          <cell r="H850" t="str">
            <v>м3</v>
          </cell>
          <cell r="I850">
            <v>4.7736000000000001</v>
          </cell>
          <cell r="O850">
            <v>2233.0300000000002</v>
          </cell>
          <cell r="R850">
            <v>0</v>
          </cell>
          <cell r="X850">
            <v>0</v>
          </cell>
          <cell r="Y850">
            <v>0</v>
          </cell>
          <cell r="AK850">
            <v>467.32</v>
          </cell>
        </row>
        <row r="851">
          <cell r="O851">
            <v>24719.64</v>
          </cell>
          <cell r="R851">
            <v>0</v>
          </cell>
          <cell r="X851">
            <v>0</v>
          </cell>
          <cell r="Y851">
            <v>0</v>
          </cell>
          <cell r="AW851">
            <v>1.0009999999999999</v>
          </cell>
          <cell r="BC851">
            <v>11.07</v>
          </cell>
        </row>
        <row r="852">
          <cell r="F852" t="str">
            <v>3.12-21-2</v>
          </cell>
          <cell r="H852" t="str">
            <v>100 м2 стяжек</v>
          </cell>
          <cell r="I852">
            <v>3.12</v>
          </cell>
          <cell r="R852">
            <v>0</v>
          </cell>
          <cell r="S852">
            <v>150.69999999999999</v>
          </cell>
          <cell r="U852">
            <v>14.742589679999998</v>
          </cell>
          <cell r="X852">
            <v>147.69</v>
          </cell>
          <cell r="Y852">
            <v>72.34</v>
          </cell>
          <cell r="AO852">
            <v>0.92</v>
          </cell>
          <cell r="AQ852">
            <v>0.09</v>
          </cell>
        </row>
        <row r="853">
          <cell r="R853">
            <v>0</v>
          </cell>
          <cell r="S853">
            <v>8491.9500000000007</v>
          </cell>
          <cell r="X853">
            <v>8322.11</v>
          </cell>
          <cell r="Y853">
            <v>4076.14</v>
          </cell>
          <cell r="AT853">
            <v>98</v>
          </cell>
          <cell r="AU853">
            <v>48</v>
          </cell>
          <cell r="AV853">
            <v>1.087</v>
          </cell>
          <cell r="BA853">
            <v>56.35</v>
          </cell>
          <cell r="BZ853">
            <v>98</v>
          </cell>
          <cell r="CA853">
            <v>48</v>
          </cell>
        </row>
        <row r="854">
          <cell r="F854" t="str">
            <v>1.3-2-6</v>
          </cell>
          <cell r="H854" t="str">
            <v>м3</v>
          </cell>
          <cell r="I854">
            <v>11.138400000000001</v>
          </cell>
          <cell r="O854">
            <v>5210.3999999999996</v>
          </cell>
          <cell r="R854">
            <v>0</v>
          </cell>
          <cell r="X854">
            <v>0</v>
          </cell>
          <cell r="Y854">
            <v>0</v>
          </cell>
          <cell r="AK854">
            <v>467.32</v>
          </cell>
        </row>
        <row r="855">
          <cell r="O855">
            <v>57679.13</v>
          </cell>
          <cell r="R855">
            <v>0</v>
          </cell>
          <cell r="X855">
            <v>0</v>
          </cell>
          <cell r="Y855">
            <v>0</v>
          </cell>
          <cell r="AW855">
            <v>1.0009999999999999</v>
          </cell>
          <cell r="BC855">
            <v>11.07</v>
          </cell>
        </row>
        <row r="856">
          <cell r="F856" t="str">
            <v>3.6-6-10</v>
          </cell>
          <cell r="H856" t="str">
            <v>1 Т</v>
          </cell>
          <cell r="I856">
            <v>0.43680000000000002</v>
          </cell>
          <cell r="P856">
            <v>115.47</v>
          </cell>
          <cell r="Q856">
            <v>29.84</v>
          </cell>
          <cell r="R856">
            <v>3.47</v>
          </cell>
          <cell r="S856">
            <v>85</v>
          </cell>
          <cell r="U856">
            <v>7.3209322367999974</v>
          </cell>
          <cell r="X856">
            <v>81.39</v>
          </cell>
          <cell r="Y856">
            <v>43.35</v>
          </cell>
          <cell r="AL856">
            <v>258.67</v>
          </cell>
          <cell r="AM856">
            <v>43.5</v>
          </cell>
          <cell r="AN856">
            <v>5.0599999999999996</v>
          </cell>
          <cell r="AO856">
            <v>134.68</v>
          </cell>
          <cell r="AQ856">
            <v>11.6</v>
          </cell>
        </row>
        <row r="857">
          <cell r="P857">
            <v>866.03</v>
          </cell>
          <cell r="Q857">
            <v>460.73</v>
          </cell>
          <cell r="R857">
            <v>195.53</v>
          </cell>
          <cell r="S857">
            <v>4789.75</v>
          </cell>
          <cell r="X857">
            <v>4586.46</v>
          </cell>
          <cell r="Y857">
            <v>2442.79</v>
          </cell>
          <cell r="AT857">
            <v>92</v>
          </cell>
          <cell r="AU857">
            <v>49</v>
          </cell>
          <cell r="AV857">
            <v>1.0469999999999999</v>
          </cell>
          <cell r="AW857">
            <v>1.022</v>
          </cell>
          <cell r="BA857">
            <v>56.35</v>
          </cell>
          <cell r="BB857">
            <v>15.44</v>
          </cell>
          <cell r="BC857">
            <v>7.5</v>
          </cell>
          <cell r="BS857">
            <v>56.35</v>
          </cell>
          <cell r="BZ857">
            <v>92</v>
          </cell>
          <cell r="CA857">
            <v>49</v>
          </cell>
        </row>
        <row r="858">
          <cell r="F858" t="str">
            <v>1.3-4-75</v>
          </cell>
          <cell r="H858" t="str">
            <v>т</v>
          </cell>
          <cell r="I858">
            <v>0.43680000000000002</v>
          </cell>
          <cell r="O858">
            <v>4341.1899999999996</v>
          </cell>
          <cell r="R858">
            <v>0</v>
          </cell>
          <cell r="X858">
            <v>0</v>
          </cell>
          <cell r="Y858">
            <v>0</v>
          </cell>
          <cell r="AK858">
            <v>9724.69</v>
          </cell>
        </row>
        <row r="859">
          <cell r="O859">
            <v>16843.82</v>
          </cell>
          <cell r="R859">
            <v>0</v>
          </cell>
          <cell r="X859">
            <v>0</v>
          </cell>
          <cell r="Y859">
            <v>0</v>
          </cell>
          <cell r="AW859">
            <v>1.022</v>
          </cell>
          <cell r="BC859">
            <v>3.88</v>
          </cell>
        </row>
        <row r="860">
          <cell r="F860" t="str">
            <v>3.12-20-1</v>
          </cell>
          <cell r="H860" t="str">
            <v>100 м2 кровли</v>
          </cell>
          <cell r="I860">
            <v>3.12</v>
          </cell>
          <cell r="R860">
            <v>0</v>
          </cell>
          <cell r="S860">
            <v>239.44</v>
          </cell>
          <cell r="U860">
            <v>20.873634911999996</v>
          </cell>
          <cell r="X860">
            <v>234.65</v>
          </cell>
          <cell r="Y860">
            <v>114.93</v>
          </cell>
          <cell r="AO860">
            <v>51.16</v>
          </cell>
          <cell r="AQ860">
            <v>4.46</v>
          </cell>
        </row>
        <row r="861">
          <cell r="R861">
            <v>0</v>
          </cell>
          <cell r="S861">
            <v>13492.44</v>
          </cell>
          <cell r="X861">
            <v>13222.59</v>
          </cell>
          <cell r="Y861">
            <v>6476.37</v>
          </cell>
          <cell r="AT861">
            <v>98</v>
          </cell>
          <cell r="AU861">
            <v>48</v>
          </cell>
          <cell r="AV861">
            <v>1.087</v>
          </cell>
          <cell r="BA861">
            <v>56.35</v>
          </cell>
          <cell r="BZ861">
            <v>98</v>
          </cell>
          <cell r="CA861">
            <v>48</v>
          </cell>
        </row>
        <row r="862">
          <cell r="F862" t="str">
            <v>1.1-1-609</v>
          </cell>
          <cell r="H862" t="str">
            <v>т</v>
          </cell>
          <cell r="I862">
            <v>0.10920000000000002</v>
          </cell>
          <cell r="O862">
            <v>1407.58</v>
          </cell>
          <cell r="R862">
            <v>0</v>
          </cell>
          <cell r="X862">
            <v>0</v>
          </cell>
          <cell r="Y862">
            <v>0</v>
          </cell>
          <cell r="AK862">
            <v>12877.09</v>
          </cell>
        </row>
        <row r="863">
          <cell r="O863">
            <v>8924.06</v>
          </cell>
          <cell r="R863">
            <v>0</v>
          </cell>
          <cell r="X863">
            <v>0</v>
          </cell>
          <cell r="Y863">
            <v>0</v>
          </cell>
          <cell r="AW863">
            <v>1.0009999999999999</v>
          </cell>
          <cell r="BC863">
            <v>6.34</v>
          </cell>
        </row>
        <row r="864">
          <cell r="F864" t="str">
            <v>3.12-3-1</v>
          </cell>
          <cell r="H864" t="str">
            <v>100 м2</v>
          </cell>
          <cell r="I864">
            <v>3.12</v>
          </cell>
          <cell r="P864">
            <v>2742.13</v>
          </cell>
          <cell r="Q864">
            <v>1408.53</v>
          </cell>
          <cell r="R864">
            <v>365.67</v>
          </cell>
          <cell r="S864">
            <v>4784.18</v>
          </cell>
          <cell r="U864">
            <v>379.09516319999994</v>
          </cell>
          <cell r="X864">
            <v>5046.8500000000004</v>
          </cell>
          <cell r="Y864">
            <v>2471.9299999999998</v>
          </cell>
          <cell r="AL864">
            <v>878.01</v>
          </cell>
          <cell r="AM864">
            <v>276.88</v>
          </cell>
          <cell r="AN864">
            <v>71.88</v>
          </cell>
          <cell r="AO864">
            <v>1022.22</v>
          </cell>
          <cell r="AQ864">
            <v>81</v>
          </cell>
        </row>
        <row r="865">
          <cell r="P865">
            <v>20785.349999999999</v>
          </cell>
          <cell r="Q865">
            <v>20212.41</v>
          </cell>
          <cell r="R865">
            <v>20605.5</v>
          </cell>
          <cell r="S865">
            <v>269588.53999999998</v>
          </cell>
          <cell r="X865">
            <v>284390.15999999997</v>
          </cell>
          <cell r="Y865">
            <v>139293.14000000001</v>
          </cell>
          <cell r="AT865">
            <v>98</v>
          </cell>
          <cell r="AU865">
            <v>48</v>
          </cell>
          <cell r="AV865">
            <v>1.087</v>
          </cell>
          <cell r="AW865">
            <v>1.0009999999999999</v>
          </cell>
          <cell r="BA865">
            <v>56.35</v>
          </cell>
          <cell r="BB865">
            <v>14.35</v>
          </cell>
          <cell r="BC865">
            <v>7.58</v>
          </cell>
          <cell r="BS865">
            <v>56.35</v>
          </cell>
          <cell r="BZ865">
            <v>98</v>
          </cell>
          <cell r="CA865">
            <v>48</v>
          </cell>
        </row>
        <row r="866">
          <cell r="F866" t="str">
            <v>1.1-1-295</v>
          </cell>
          <cell r="H866" t="str">
            <v>м2</v>
          </cell>
          <cell r="I866">
            <v>831.16800000000001</v>
          </cell>
          <cell r="P866">
            <v>39688.269999999997</v>
          </cell>
          <cell r="R866">
            <v>0</v>
          </cell>
          <cell r="X866">
            <v>0</v>
          </cell>
          <cell r="Y866">
            <v>0</v>
          </cell>
          <cell r="AL866">
            <v>47.75</v>
          </cell>
        </row>
        <row r="867">
          <cell r="P867">
            <v>287739.96000000002</v>
          </cell>
          <cell r="R867">
            <v>0</v>
          </cell>
          <cell r="X867">
            <v>0</v>
          </cell>
          <cell r="Y867">
            <v>0</v>
          </cell>
          <cell r="AW867">
            <v>1</v>
          </cell>
          <cell r="BC867">
            <v>7.25</v>
          </cell>
        </row>
        <row r="868">
          <cell r="F868" t="str">
            <v>1.1-1-294</v>
          </cell>
          <cell r="H868" t="str">
            <v>м2</v>
          </cell>
          <cell r="I868">
            <v>415.584</v>
          </cell>
          <cell r="P868">
            <v>23505.43</v>
          </cell>
          <cell r="R868">
            <v>0</v>
          </cell>
          <cell r="X868">
            <v>0</v>
          </cell>
          <cell r="Y868">
            <v>0</v>
          </cell>
          <cell r="AL868">
            <v>56.56</v>
          </cell>
        </row>
        <row r="869">
          <cell r="P869">
            <v>157016.26999999999</v>
          </cell>
          <cell r="R869">
            <v>0</v>
          </cell>
          <cell r="X869">
            <v>0</v>
          </cell>
          <cell r="Y869">
            <v>0</v>
          </cell>
          <cell r="AW869">
            <v>1</v>
          </cell>
          <cell r="BC869">
            <v>6.68</v>
          </cell>
        </row>
        <row r="871">
          <cell r="G871" t="str">
            <v>Монтажные работы. Тип1</v>
          </cell>
        </row>
        <row r="901">
          <cell r="G901" t="str">
            <v>Монтажные работы. Тип2</v>
          </cell>
        </row>
        <row r="905">
          <cell r="F905" t="str">
            <v>3.12-18-1</v>
          </cell>
          <cell r="H905" t="str">
            <v>1 м3 утеплителя</v>
          </cell>
          <cell r="I905">
            <v>7.11</v>
          </cell>
          <cell r="P905">
            <v>2588.85</v>
          </cell>
          <cell r="Q905">
            <v>420.7</v>
          </cell>
          <cell r="R905">
            <v>37.1</v>
          </cell>
          <cell r="S905">
            <v>290.52999999999997</v>
          </cell>
          <cell r="U905">
            <v>28.903306086000001</v>
          </cell>
          <cell r="X905">
            <v>321.08</v>
          </cell>
          <cell r="Y905">
            <v>157.26</v>
          </cell>
          <cell r="AL905">
            <v>363.75</v>
          </cell>
          <cell r="AM905">
            <v>36.29</v>
          </cell>
          <cell r="AN905">
            <v>3.2</v>
          </cell>
          <cell r="AO905">
            <v>27.24</v>
          </cell>
          <cell r="AQ905">
            <v>2.71</v>
          </cell>
        </row>
        <row r="906">
          <cell r="P906">
            <v>14730.56</v>
          </cell>
          <cell r="Q906">
            <v>6285.26</v>
          </cell>
          <cell r="R906">
            <v>2090.59</v>
          </cell>
          <cell r="S906">
            <v>16371.37</v>
          </cell>
          <cell r="X906">
            <v>18092.72</v>
          </cell>
          <cell r="Y906">
            <v>8861.74</v>
          </cell>
          <cell r="AT906">
            <v>98</v>
          </cell>
          <cell r="AU906">
            <v>48</v>
          </cell>
          <cell r="AV906">
            <v>1.087</v>
          </cell>
          <cell r="AW906">
            <v>1.0009999999999999</v>
          </cell>
          <cell r="BA906">
            <v>56.35</v>
          </cell>
          <cell r="BB906">
            <v>14.94</v>
          </cell>
          <cell r="BC906">
            <v>5.69</v>
          </cell>
          <cell r="BS906">
            <v>56.35</v>
          </cell>
          <cell r="BZ906">
            <v>98</v>
          </cell>
          <cell r="CA906">
            <v>48</v>
          </cell>
        </row>
        <row r="907">
          <cell r="F907" t="str">
            <v>3.12-21-1</v>
          </cell>
          <cell r="H907" t="str">
            <v>100 м2 стяжек</v>
          </cell>
          <cell r="I907">
            <v>0.79</v>
          </cell>
          <cell r="P907">
            <v>21.53</v>
          </cell>
          <cell r="Q907">
            <v>29.32</v>
          </cell>
          <cell r="R907">
            <v>0</v>
          </cell>
          <cell r="S907">
            <v>299.77</v>
          </cell>
          <cell r="U907">
            <v>28.796651819999997</v>
          </cell>
          <cell r="X907">
            <v>293.77</v>
          </cell>
          <cell r="Y907">
            <v>143.88999999999999</v>
          </cell>
          <cell r="AL907">
            <v>27.22</v>
          </cell>
          <cell r="AM907">
            <v>22.76</v>
          </cell>
          <cell r="AO907">
            <v>252.96</v>
          </cell>
          <cell r="AQ907">
            <v>24.3</v>
          </cell>
        </row>
        <row r="908">
          <cell r="P908">
            <v>166.86</v>
          </cell>
          <cell r="Q908">
            <v>365.03</v>
          </cell>
          <cell r="R908">
            <v>0</v>
          </cell>
          <cell r="S908">
            <v>16892.04</v>
          </cell>
          <cell r="X908">
            <v>16554.2</v>
          </cell>
          <cell r="Y908">
            <v>8108.18</v>
          </cell>
          <cell r="AT908">
            <v>98</v>
          </cell>
          <cell r="AU908">
            <v>48</v>
          </cell>
          <cell r="AV908">
            <v>1.087</v>
          </cell>
          <cell r="AW908">
            <v>1.0009999999999999</v>
          </cell>
          <cell r="BA908">
            <v>56.35</v>
          </cell>
          <cell r="BB908">
            <v>12.45</v>
          </cell>
          <cell r="BC908">
            <v>7.75</v>
          </cell>
          <cell r="BZ908">
            <v>98</v>
          </cell>
          <cell r="CA908">
            <v>48</v>
          </cell>
        </row>
        <row r="909">
          <cell r="F909" t="str">
            <v>1.3-2-6</v>
          </cell>
          <cell r="H909" t="str">
            <v>м3</v>
          </cell>
          <cell r="I909">
            <v>1.2087000000000001</v>
          </cell>
          <cell r="O909">
            <v>565.41</v>
          </cell>
          <cell r="R909">
            <v>0</v>
          </cell>
          <cell r="X909">
            <v>0</v>
          </cell>
          <cell r="Y909">
            <v>0</v>
          </cell>
          <cell r="AK909">
            <v>467.32</v>
          </cell>
        </row>
        <row r="910">
          <cell r="O910">
            <v>6259.09</v>
          </cell>
          <cell r="R910">
            <v>0</v>
          </cell>
          <cell r="X910">
            <v>0</v>
          </cell>
          <cell r="Y910">
            <v>0</v>
          </cell>
          <cell r="AW910">
            <v>1.0009999999999999</v>
          </cell>
          <cell r="BC910">
            <v>11.07</v>
          </cell>
        </row>
        <row r="911">
          <cell r="F911" t="str">
            <v>3.12-21-2</v>
          </cell>
          <cell r="H911" t="str">
            <v>100 м2 стяжек</v>
          </cell>
          <cell r="I911">
            <v>0.79</v>
          </cell>
          <cell r="R911">
            <v>0</v>
          </cell>
          <cell r="S911">
            <v>38.159999999999997</v>
          </cell>
          <cell r="U911">
            <v>3.7328993099999996</v>
          </cell>
          <cell r="X911">
            <v>37.4</v>
          </cell>
          <cell r="Y911">
            <v>18.32</v>
          </cell>
          <cell r="AO911">
            <v>0.92</v>
          </cell>
          <cell r="AQ911">
            <v>0.09</v>
          </cell>
        </row>
        <row r="912">
          <cell r="R912">
            <v>0</v>
          </cell>
          <cell r="S912">
            <v>2150.3200000000002</v>
          </cell>
          <cell r="X912">
            <v>2107.31</v>
          </cell>
          <cell r="Y912">
            <v>1032.1500000000001</v>
          </cell>
          <cell r="AT912">
            <v>98</v>
          </cell>
          <cell r="AU912">
            <v>48</v>
          </cell>
          <cell r="AV912">
            <v>1.087</v>
          </cell>
          <cell r="BA912">
            <v>56.35</v>
          </cell>
          <cell r="BZ912">
            <v>98</v>
          </cell>
          <cell r="CA912">
            <v>48</v>
          </cell>
        </row>
        <row r="913">
          <cell r="F913" t="str">
            <v>1.3-2-6</v>
          </cell>
          <cell r="H913" t="str">
            <v>м3</v>
          </cell>
          <cell r="I913">
            <v>2.8203</v>
          </cell>
          <cell r="O913">
            <v>1319.3</v>
          </cell>
          <cell r="R913">
            <v>0</v>
          </cell>
          <cell r="X913">
            <v>0</v>
          </cell>
          <cell r="Y913">
            <v>0</v>
          </cell>
          <cell r="AK913">
            <v>467.32</v>
          </cell>
        </row>
        <row r="914">
          <cell r="O914">
            <v>14604.65</v>
          </cell>
          <cell r="R914">
            <v>0</v>
          </cell>
          <cell r="X914">
            <v>0</v>
          </cell>
          <cell r="Y914">
            <v>0</v>
          </cell>
          <cell r="AW914">
            <v>1.0009999999999999</v>
          </cell>
          <cell r="BC914">
            <v>11.07</v>
          </cell>
        </row>
        <row r="915">
          <cell r="F915" t="str">
            <v>3.6-6-10</v>
          </cell>
          <cell r="H915" t="str">
            <v>1 Т</v>
          </cell>
          <cell r="I915">
            <v>0.1106</v>
          </cell>
          <cell r="P915">
            <v>29.24</v>
          </cell>
          <cell r="Q915">
            <v>7.56</v>
          </cell>
          <cell r="R915">
            <v>0.88</v>
          </cell>
          <cell r="S915">
            <v>21.52</v>
          </cell>
          <cell r="U915">
            <v>1.8536975855999993</v>
          </cell>
          <cell r="X915">
            <v>20.61</v>
          </cell>
          <cell r="Y915">
            <v>10.98</v>
          </cell>
          <cell r="AL915">
            <v>258.67</v>
          </cell>
          <cell r="AM915">
            <v>43.5</v>
          </cell>
          <cell r="AN915">
            <v>5.0599999999999996</v>
          </cell>
          <cell r="AO915">
            <v>134.68</v>
          </cell>
          <cell r="AQ915">
            <v>11.6</v>
          </cell>
        </row>
        <row r="916">
          <cell r="P916">
            <v>219.3</v>
          </cell>
          <cell r="Q916">
            <v>116.73</v>
          </cell>
          <cell r="R916">
            <v>49.59</v>
          </cell>
          <cell r="S916">
            <v>1212.6500000000001</v>
          </cell>
          <cell r="X916">
            <v>1161.26</v>
          </cell>
          <cell r="Y916">
            <v>618.5</v>
          </cell>
          <cell r="AT916">
            <v>92</v>
          </cell>
          <cell r="AU916">
            <v>49</v>
          </cell>
          <cell r="AV916">
            <v>1.0469999999999999</v>
          </cell>
          <cell r="AW916">
            <v>1.022</v>
          </cell>
          <cell r="BA916">
            <v>56.35</v>
          </cell>
          <cell r="BB916">
            <v>15.44</v>
          </cell>
          <cell r="BC916">
            <v>7.5</v>
          </cell>
          <cell r="BS916">
            <v>56.35</v>
          </cell>
          <cell r="BZ916">
            <v>92</v>
          </cell>
          <cell r="CA916">
            <v>49</v>
          </cell>
        </row>
        <row r="917">
          <cell r="F917" t="str">
            <v>1.3-4-75</v>
          </cell>
          <cell r="H917" t="str">
            <v>т</v>
          </cell>
          <cell r="I917">
            <v>0.1106</v>
          </cell>
          <cell r="O917">
            <v>1099.21</v>
          </cell>
          <cell r="R917">
            <v>0</v>
          </cell>
          <cell r="X917">
            <v>0</v>
          </cell>
          <cell r="Y917">
            <v>0</v>
          </cell>
          <cell r="AK917">
            <v>9724.69</v>
          </cell>
        </row>
        <row r="918">
          <cell r="O918">
            <v>4264.93</v>
          </cell>
          <cell r="R918">
            <v>0</v>
          </cell>
          <cell r="X918">
            <v>0</v>
          </cell>
          <cell r="Y918">
            <v>0</v>
          </cell>
          <cell r="AW918">
            <v>1.022</v>
          </cell>
          <cell r="BC918">
            <v>3.88</v>
          </cell>
        </row>
        <row r="919">
          <cell r="F919" t="str">
            <v>3.12-20-1</v>
          </cell>
          <cell r="H919" t="str">
            <v>100 м2 кровли</v>
          </cell>
          <cell r="I919">
            <v>0.79</v>
          </cell>
          <cell r="R919">
            <v>0</v>
          </cell>
          <cell r="S919">
            <v>60.63</v>
          </cell>
          <cell r="U919">
            <v>5.2853114039999989</v>
          </cell>
          <cell r="X919">
            <v>59.42</v>
          </cell>
          <cell r="Y919">
            <v>29.1</v>
          </cell>
          <cell r="AO919">
            <v>51.16</v>
          </cell>
          <cell r="AQ919">
            <v>4.46</v>
          </cell>
        </row>
        <row r="920">
          <cell r="R920">
            <v>0</v>
          </cell>
          <cell r="S920">
            <v>3416.5</v>
          </cell>
          <cell r="X920">
            <v>3348.17</v>
          </cell>
          <cell r="Y920">
            <v>1639.92</v>
          </cell>
          <cell r="AT920">
            <v>98</v>
          </cell>
          <cell r="AU920">
            <v>48</v>
          </cell>
          <cell r="AV920">
            <v>1.087</v>
          </cell>
          <cell r="BA920">
            <v>56.35</v>
          </cell>
          <cell r="BZ920">
            <v>98</v>
          </cell>
          <cell r="CA920">
            <v>48</v>
          </cell>
        </row>
        <row r="921">
          <cell r="F921" t="str">
            <v>1.1-1-609</v>
          </cell>
          <cell r="H921" t="str">
            <v>т</v>
          </cell>
          <cell r="I921">
            <v>2.7649999999999997E-2</v>
          </cell>
          <cell r="O921">
            <v>356.41</v>
          </cell>
          <cell r="R921">
            <v>0</v>
          </cell>
          <cell r="X921">
            <v>0</v>
          </cell>
          <cell r="Y921">
            <v>0</v>
          </cell>
          <cell r="AK921">
            <v>12877.09</v>
          </cell>
        </row>
        <row r="922">
          <cell r="O922">
            <v>2259.64</v>
          </cell>
          <cell r="R922">
            <v>0</v>
          </cell>
          <cell r="X922">
            <v>0</v>
          </cell>
          <cell r="Y922">
            <v>0</v>
          </cell>
          <cell r="AW922">
            <v>1.0009999999999999</v>
          </cell>
          <cell r="BC922">
            <v>6.34</v>
          </cell>
        </row>
        <row r="923">
          <cell r="F923" t="str">
            <v>3.12-3-1</v>
          </cell>
          <cell r="H923" t="str">
            <v>100 м2</v>
          </cell>
          <cell r="I923">
            <v>0.79</v>
          </cell>
          <cell r="P923">
            <v>694.32</v>
          </cell>
          <cell r="Q923">
            <v>356.65</v>
          </cell>
          <cell r="R923">
            <v>92.59</v>
          </cell>
          <cell r="S923">
            <v>1211.3800000000001</v>
          </cell>
          <cell r="U923">
            <v>95.988839399999989</v>
          </cell>
          <cell r="X923">
            <v>1277.8900000000001</v>
          </cell>
          <cell r="Y923">
            <v>625.91</v>
          </cell>
          <cell r="AL923">
            <v>878.01</v>
          </cell>
          <cell r="AM923">
            <v>276.88</v>
          </cell>
          <cell r="AN923">
            <v>71.88</v>
          </cell>
          <cell r="AO923">
            <v>1022.22</v>
          </cell>
          <cell r="AQ923">
            <v>81</v>
          </cell>
        </row>
        <row r="924">
          <cell r="P924">
            <v>5262.95</v>
          </cell>
          <cell r="Q924">
            <v>5117.93</v>
          </cell>
          <cell r="R924">
            <v>5217.45</v>
          </cell>
          <cell r="S924">
            <v>68261.259999999995</v>
          </cell>
          <cell r="X924">
            <v>72009.14</v>
          </cell>
          <cell r="Y924">
            <v>35269.78</v>
          </cell>
          <cell r="AT924">
            <v>98</v>
          </cell>
          <cell r="AU924">
            <v>48</v>
          </cell>
          <cell r="AV924">
            <v>1.087</v>
          </cell>
          <cell r="AW924">
            <v>1.0009999999999999</v>
          </cell>
          <cell r="BA924">
            <v>56.35</v>
          </cell>
          <cell r="BB924">
            <v>14.35</v>
          </cell>
          <cell r="BC924">
            <v>7.58</v>
          </cell>
          <cell r="BS924">
            <v>56.35</v>
          </cell>
          <cell r="BZ924">
            <v>98</v>
          </cell>
          <cell r="CA924">
            <v>48</v>
          </cell>
        </row>
        <row r="925">
          <cell r="F925" t="str">
            <v>1.1-1-295</v>
          </cell>
          <cell r="H925" t="str">
            <v>м2</v>
          </cell>
          <cell r="I925">
            <v>210.45599999999999</v>
          </cell>
          <cell r="P925">
            <v>10049.27</v>
          </cell>
          <cell r="R925">
            <v>0</v>
          </cell>
          <cell r="X925">
            <v>0</v>
          </cell>
          <cell r="Y925">
            <v>0</v>
          </cell>
          <cell r="AL925">
            <v>47.75</v>
          </cell>
        </row>
        <row r="926">
          <cell r="P926">
            <v>72857.210000000006</v>
          </cell>
          <cell r="R926">
            <v>0</v>
          </cell>
          <cell r="X926">
            <v>0</v>
          </cell>
          <cell r="Y926">
            <v>0</v>
          </cell>
          <cell r="AW926">
            <v>1</v>
          </cell>
          <cell r="BC926">
            <v>7.25</v>
          </cell>
        </row>
        <row r="927">
          <cell r="F927" t="str">
            <v>1.1-1-294</v>
          </cell>
          <cell r="H927" t="str">
            <v>м2</v>
          </cell>
          <cell r="I927">
            <v>105.22799999999999</v>
          </cell>
          <cell r="P927">
            <v>5951.7</v>
          </cell>
          <cell r="R927">
            <v>0</v>
          </cell>
          <cell r="X927">
            <v>0</v>
          </cell>
          <cell r="Y927">
            <v>0</v>
          </cell>
          <cell r="AL927">
            <v>56.56</v>
          </cell>
        </row>
        <row r="928">
          <cell r="P928">
            <v>39757.360000000001</v>
          </cell>
          <cell r="R928">
            <v>0</v>
          </cell>
          <cell r="X928">
            <v>0</v>
          </cell>
          <cell r="Y928">
            <v>0</v>
          </cell>
          <cell r="AW928">
            <v>1</v>
          </cell>
          <cell r="BC928">
            <v>6.68</v>
          </cell>
        </row>
        <row r="930">
          <cell r="G930" t="str">
            <v>Монтажные работы. Тип2</v>
          </cell>
        </row>
        <row r="960">
          <cell r="G960" t="str">
            <v>Монтажные работы. Тип3</v>
          </cell>
        </row>
        <row r="964">
          <cell r="F964" t="str">
            <v>3.12-21-1</v>
          </cell>
          <cell r="H964" t="str">
            <v>100 м2 стяжек</v>
          </cell>
          <cell r="I964">
            <v>1.56</v>
          </cell>
          <cell r="P964">
            <v>42.51</v>
          </cell>
          <cell r="Q964">
            <v>57.89</v>
          </cell>
          <cell r="R964">
            <v>0</v>
          </cell>
          <cell r="S964">
            <v>591.95000000000005</v>
          </cell>
          <cell r="U964">
            <v>56.864274479999992</v>
          </cell>
          <cell r="X964">
            <v>580.11</v>
          </cell>
          <cell r="Y964">
            <v>284.14</v>
          </cell>
          <cell r="AL964">
            <v>27.22</v>
          </cell>
          <cell r="AM964">
            <v>22.76</v>
          </cell>
          <cell r="AO964">
            <v>252.96</v>
          </cell>
          <cell r="AQ964">
            <v>24.3</v>
          </cell>
        </row>
        <row r="965">
          <cell r="P965">
            <v>329.45</v>
          </cell>
          <cell r="Q965">
            <v>720.73</v>
          </cell>
          <cell r="R965">
            <v>0</v>
          </cell>
          <cell r="S965">
            <v>33356.379999999997</v>
          </cell>
          <cell r="X965">
            <v>32689.25</v>
          </cell>
          <cell r="Y965">
            <v>16011.06</v>
          </cell>
          <cell r="AT965">
            <v>98</v>
          </cell>
          <cell r="AU965">
            <v>48</v>
          </cell>
          <cell r="AV965">
            <v>1.087</v>
          </cell>
          <cell r="AW965">
            <v>1.0009999999999999</v>
          </cell>
          <cell r="BA965">
            <v>56.35</v>
          </cell>
          <cell r="BB965">
            <v>12.45</v>
          </cell>
          <cell r="BC965">
            <v>7.75</v>
          </cell>
          <cell r="BZ965">
            <v>98</v>
          </cell>
          <cell r="CA965">
            <v>48</v>
          </cell>
        </row>
        <row r="966">
          <cell r="F966" t="str">
            <v>1.3-2-6</v>
          </cell>
          <cell r="H966" t="str">
            <v>м3</v>
          </cell>
          <cell r="I966">
            <v>2.3868</v>
          </cell>
          <cell r="O966">
            <v>1116.51</v>
          </cell>
          <cell r="R966">
            <v>0</v>
          </cell>
          <cell r="X966">
            <v>0</v>
          </cell>
          <cell r="Y966">
            <v>0</v>
          </cell>
          <cell r="AK966">
            <v>467.32</v>
          </cell>
        </row>
        <row r="967">
          <cell r="O967">
            <v>12359.77</v>
          </cell>
          <cell r="R967">
            <v>0</v>
          </cell>
          <cell r="X967">
            <v>0</v>
          </cell>
          <cell r="Y967">
            <v>0</v>
          </cell>
          <cell r="AW967">
            <v>1.0009999999999999</v>
          </cell>
          <cell r="BC967">
            <v>11.07</v>
          </cell>
        </row>
        <row r="968">
          <cell r="F968" t="str">
            <v>3.12-21-2</v>
          </cell>
          <cell r="H968" t="str">
            <v>100 м2 стяжек</v>
          </cell>
          <cell r="I968">
            <v>1.56</v>
          </cell>
          <cell r="R968">
            <v>0</v>
          </cell>
          <cell r="S968">
            <v>10.76</v>
          </cell>
          <cell r="U968">
            <v>1.05304212</v>
          </cell>
          <cell r="X968">
            <v>10.54</v>
          </cell>
          <cell r="Y968">
            <v>5.16</v>
          </cell>
          <cell r="AO968">
            <v>0.92</v>
          </cell>
          <cell r="AQ968">
            <v>0.09</v>
          </cell>
        </row>
        <row r="969">
          <cell r="R969">
            <v>0</v>
          </cell>
          <cell r="S969">
            <v>606.33000000000004</v>
          </cell>
          <cell r="X969">
            <v>594.20000000000005</v>
          </cell>
          <cell r="Y969">
            <v>291.04000000000002</v>
          </cell>
          <cell r="AT969">
            <v>98</v>
          </cell>
          <cell r="AU969">
            <v>48</v>
          </cell>
          <cell r="AV969">
            <v>1.087</v>
          </cell>
          <cell r="BA969">
            <v>56.35</v>
          </cell>
          <cell r="BZ969">
            <v>98</v>
          </cell>
          <cell r="CA969">
            <v>48</v>
          </cell>
        </row>
        <row r="970">
          <cell r="F970" t="str">
            <v>1.3-2-6</v>
          </cell>
          <cell r="H970" t="str">
            <v>м3</v>
          </cell>
          <cell r="I970">
            <v>0.79560000000000008</v>
          </cell>
          <cell r="O970">
            <v>372.17</v>
          </cell>
          <cell r="R970">
            <v>0</v>
          </cell>
          <cell r="X970">
            <v>0</v>
          </cell>
          <cell r="Y970">
            <v>0</v>
          </cell>
          <cell r="AK970">
            <v>467.32</v>
          </cell>
        </row>
        <row r="971">
          <cell r="O971">
            <v>4119.92</v>
          </cell>
          <cell r="R971">
            <v>0</v>
          </cell>
          <cell r="X971">
            <v>0</v>
          </cell>
          <cell r="Y971">
            <v>0</v>
          </cell>
          <cell r="AW971">
            <v>1.0009999999999999</v>
          </cell>
          <cell r="BC971">
            <v>11.07</v>
          </cell>
        </row>
        <row r="972">
          <cell r="F972" t="str">
            <v>3.12-19-3</v>
          </cell>
          <cell r="H972" t="str">
            <v>100 м2 изолируемой поверхности</v>
          </cell>
          <cell r="I972">
            <v>1.56</v>
          </cell>
          <cell r="P972">
            <v>306.10000000000002</v>
          </cell>
          <cell r="Q972">
            <v>32.86</v>
          </cell>
          <cell r="R972">
            <v>2.2599999999999998</v>
          </cell>
          <cell r="S972">
            <v>190.98</v>
          </cell>
          <cell r="U972">
            <v>16.240249584000001</v>
          </cell>
          <cell r="X972">
            <v>189.38</v>
          </cell>
          <cell r="Y972">
            <v>92.76</v>
          </cell>
          <cell r="AL972">
            <v>196.02</v>
          </cell>
          <cell r="AM972">
            <v>12.92</v>
          </cell>
          <cell r="AN972">
            <v>0.89</v>
          </cell>
          <cell r="AO972">
            <v>81.61</v>
          </cell>
          <cell r="AQ972">
            <v>6.94</v>
          </cell>
        </row>
        <row r="973">
          <cell r="P973">
            <v>4530.28</v>
          </cell>
          <cell r="Q973">
            <v>472.53</v>
          </cell>
          <cell r="R973">
            <v>127.35</v>
          </cell>
          <cell r="S973">
            <v>10761.72</v>
          </cell>
          <cell r="X973">
            <v>10671.29</v>
          </cell>
          <cell r="Y973">
            <v>5226.75</v>
          </cell>
          <cell r="AT973">
            <v>98</v>
          </cell>
          <cell r="AU973">
            <v>48</v>
          </cell>
          <cell r="AV973">
            <v>1.087</v>
          </cell>
          <cell r="AW973">
            <v>1.0009999999999999</v>
          </cell>
          <cell r="BA973">
            <v>56.35</v>
          </cell>
          <cell r="BB973">
            <v>14.38</v>
          </cell>
          <cell r="BC973">
            <v>14.8</v>
          </cell>
          <cell r="BS973">
            <v>56.35</v>
          </cell>
          <cell r="BZ973">
            <v>98</v>
          </cell>
          <cell r="CA973">
            <v>48</v>
          </cell>
        </row>
        <row r="974">
          <cell r="F974" t="str">
            <v>1.1-1-2688</v>
          </cell>
          <cell r="H974" t="str">
            <v>м2</v>
          </cell>
          <cell r="I974">
            <v>171.6</v>
          </cell>
          <cell r="O974">
            <v>719.72</v>
          </cell>
          <cell r="R974">
            <v>0</v>
          </cell>
          <cell r="X974">
            <v>0</v>
          </cell>
          <cell r="Y974">
            <v>0</v>
          </cell>
          <cell r="AK974">
            <v>4.1900000000000004</v>
          </cell>
        </row>
        <row r="975">
          <cell r="O975">
            <v>5426.69</v>
          </cell>
          <cell r="R975">
            <v>0</v>
          </cell>
          <cell r="X975">
            <v>0</v>
          </cell>
          <cell r="Y975">
            <v>0</v>
          </cell>
          <cell r="AW975">
            <v>1.0009999999999999</v>
          </cell>
          <cell r="BC975">
            <v>7.54</v>
          </cell>
        </row>
        <row r="976">
          <cell r="F976" t="str">
            <v>3.12-17-6</v>
          </cell>
          <cell r="H976" t="str">
            <v>100 м2 утепляемого покрытия</v>
          </cell>
          <cell r="I976">
            <v>1.56</v>
          </cell>
          <cell r="Q976">
            <v>310.62</v>
          </cell>
          <cell r="R976">
            <v>33.83</v>
          </cell>
          <cell r="S976">
            <v>720.47</v>
          </cell>
          <cell r="U976">
            <v>61.21684857599999</v>
          </cell>
          <cell r="X976">
            <v>739.21</v>
          </cell>
          <cell r="Y976">
            <v>362.06</v>
          </cell>
          <cell r="AM976">
            <v>122.12</v>
          </cell>
          <cell r="AN976">
            <v>13.3</v>
          </cell>
          <cell r="AO976">
            <v>307.88</v>
          </cell>
          <cell r="AQ976">
            <v>26.16</v>
          </cell>
        </row>
        <row r="977">
          <cell r="Q977">
            <v>4690.3599999999997</v>
          </cell>
          <cell r="R977">
            <v>1906.32</v>
          </cell>
          <cell r="S977">
            <v>40598.480000000003</v>
          </cell>
          <cell r="X977">
            <v>41654.699999999997</v>
          </cell>
          <cell r="Y977">
            <v>20402.3</v>
          </cell>
          <cell r="AT977">
            <v>98</v>
          </cell>
          <cell r="AU977">
            <v>48</v>
          </cell>
          <cell r="AV977">
            <v>1.087</v>
          </cell>
          <cell r="BA977">
            <v>56.35</v>
          </cell>
          <cell r="BB977">
            <v>15.1</v>
          </cell>
          <cell r="BS977">
            <v>56.35</v>
          </cell>
          <cell r="BZ977">
            <v>98</v>
          </cell>
          <cell r="CA977">
            <v>48</v>
          </cell>
        </row>
        <row r="978">
          <cell r="F978" t="str">
            <v>1.1-1-2921</v>
          </cell>
          <cell r="H978" t="str">
            <v>м3</v>
          </cell>
          <cell r="I978">
            <v>15.600000000000001</v>
          </cell>
          <cell r="O978">
            <v>34366.19</v>
          </cell>
          <cell r="R978">
            <v>0</v>
          </cell>
          <cell r="X978">
            <v>0</v>
          </cell>
          <cell r="Y978">
            <v>0</v>
          </cell>
          <cell r="AK978">
            <v>2200.7600000000002</v>
          </cell>
        </row>
        <row r="979">
          <cell r="O979">
            <v>250185.86</v>
          </cell>
          <cell r="R979">
            <v>0</v>
          </cell>
          <cell r="X979">
            <v>0</v>
          </cell>
          <cell r="Y979">
            <v>0</v>
          </cell>
          <cell r="AW979">
            <v>1.0009999999999999</v>
          </cell>
          <cell r="BC979">
            <v>7.28</v>
          </cell>
        </row>
        <row r="980">
          <cell r="F980" t="str">
            <v>3.12-17-7</v>
          </cell>
          <cell r="H980" t="str">
            <v>100 м2 утепляемого покрытия</v>
          </cell>
          <cell r="I980">
            <v>1.56</v>
          </cell>
          <cell r="Q980">
            <v>127.41</v>
          </cell>
          <cell r="R980">
            <v>13.86</v>
          </cell>
          <cell r="S980">
            <v>411.41</v>
          </cell>
          <cell r="U980">
            <v>34.399375919999997</v>
          </cell>
          <cell r="X980">
            <v>416.76</v>
          </cell>
          <cell r="Y980">
            <v>204.13</v>
          </cell>
          <cell r="AM980">
            <v>50.09</v>
          </cell>
          <cell r="AN980">
            <v>5.45</v>
          </cell>
          <cell r="AO980">
            <v>175.81</v>
          </cell>
          <cell r="AQ980">
            <v>14.7</v>
          </cell>
        </row>
        <row r="981">
          <cell r="Q981">
            <v>1922.62</v>
          </cell>
          <cell r="R981">
            <v>781.01</v>
          </cell>
          <cell r="S981">
            <v>23182.95</v>
          </cell>
          <cell r="X981">
            <v>23484.68</v>
          </cell>
          <cell r="Y981">
            <v>11502.7</v>
          </cell>
          <cell r="AT981">
            <v>98</v>
          </cell>
          <cell r="AU981">
            <v>48</v>
          </cell>
          <cell r="AV981">
            <v>1.087</v>
          </cell>
          <cell r="BA981">
            <v>56.35</v>
          </cell>
          <cell r="BB981">
            <v>15.09</v>
          </cell>
          <cell r="BS981">
            <v>56.35</v>
          </cell>
          <cell r="BZ981">
            <v>98</v>
          </cell>
          <cell r="CA981">
            <v>48</v>
          </cell>
        </row>
        <row r="982">
          <cell r="F982" t="str">
            <v>1.1-1-2922</v>
          </cell>
          <cell r="H982" t="str">
            <v>м3</v>
          </cell>
          <cell r="I982">
            <v>15.600000000000001</v>
          </cell>
          <cell r="O982">
            <v>19453.599999999999</v>
          </cell>
          <cell r="R982">
            <v>0</v>
          </cell>
          <cell r="X982">
            <v>0</v>
          </cell>
          <cell r="Y982">
            <v>0</v>
          </cell>
          <cell r="AK982">
            <v>1245.78</v>
          </cell>
        </row>
        <row r="983">
          <cell r="O983">
            <v>121195.93</v>
          </cell>
          <cell r="R983">
            <v>0</v>
          </cell>
          <cell r="X983">
            <v>0</v>
          </cell>
          <cell r="Y983">
            <v>0</v>
          </cell>
          <cell r="AW983">
            <v>1.0009999999999999</v>
          </cell>
          <cell r="BC983">
            <v>6.23</v>
          </cell>
        </row>
        <row r="984">
          <cell r="F984" t="str">
            <v>3.12-19-3</v>
          </cell>
          <cell r="H984" t="str">
            <v>100 м2 изолируемой поверхности</v>
          </cell>
          <cell r="I984">
            <v>1.56</v>
          </cell>
          <cell r="P984">
            <v>306.10000000000002</v>
          </cell>
          <cell r="Q984">
            <v>32.86</v>
          </cell>
          <cell r="R984">
            <v>2.2599999999999998</v>
          </cell>
          <cell r="S984">
            <v>190.98</v>
          </cell>
          <cell r="U984">
            <v>16.240249584000001</v>
          </cell>
          <cell r="X984">
            <v>189.38</v>
          </cell>
          <cell r="Y984">
            <v>92.76</v>
          </cell>
          <cell r="AL984">
            <v>196.02</v>
          </cell>
          <cell r="AM984">
            <v>12.92</v>
          </cell>
          <cell r="AN984">
            <v>0.89</v>
          </cell>
          <cell r="AO984">
            <v>81.61</v>
          </cell>
          <cell r="AQ984">
            <v>6.94</v>
          </cell>
        </row>
        <row r="985">
          <cell r="P985">
            <v>4530.28</v>
          </cell>
          <cell r="Q985">
            <v>472.53</v>
          </cell>
          <cell r="R985">
            <v>127.35</v>
          </cell>
          <cell r="S985">
            <v>10761.72</v>
          </cell>
          <cell r="X985">
            <v>10671.29</v>
          </cell>
          <cell r="Y985">
            <v>5226.75</v>
          </cell>
          <cell r="AT985">
            <v>98</v>
          </cell>
          <cell r="AU985">
            <v>48</v>
          </cell>
          <cell r="AV985">
            <v>1.087</v>
          </cell>
          <cell r="AW985">
            <v>1.0009999999999999</v>
          </cell>
          <cell r="BA985">
            <v>56.35</v>
          </cell>
          <cell r="BB985">
            <v>14.38</v>
          </cell>
          <cell r="BC985">
            <v>14.8</v>
          </cell>
          <cell r="BS985">
            <v>56.35</v>
          </cell>
          <cell r="BZ985">
            <v>98</v>
          </cell>
          <cell r="CA985">
            <v>48</v>
          </cell>
        </row>
        <row r="986">
          <cell r="F986" t="str">
            <v>1.1-1-764</v>
          </cell>
          <cell r="H986" t="str">
            <v>м2</v>
          </cell>
          <cell r="I986">
            <v>171.6</v>
          </cell>
          <cell r="O986">
            <v>944.74</v>
          </cell>
          <cell r="R986">
            <v>0</v>
          </cell>
          <cell r="X986">
            <v>0</v>
          </cell>
          <cell r="Y986">
            <v>0</v>
          </cell>
          <cell r="AK986">
            <v>5.5</v>
          </cell>
        </row>
        <row r="987">
          <cell r="O987">
            <v>3060.96</v>
          </cell>
          <cell r="R987">
            <v>0</v>
          </cell>
          <cell r="X987">
            <v>0</v>
          </cell>
          <cell r="Y987">
            <v>0</v>
          </cell>
          <cell r="AW987">
            <v>1.0009999999999999</v>
          </cell>
          <cell r="BC987">
            <v>3.24</v>
          </cell>
        </row>
        <row r="988">
          <cell r="F988" t="str">
            <v>3.12-18-1</v>
          </cell>
          <cell r="H988" t="str">
            <v>1 м3 утеплителя</v>
          </cell>
          <cell r="I988">
            <v>25.74</v>
          </cell>
          <cell r="P988">
            <v>9372.2900000000009</v>
          </cell>
          <cell r="Q988">
            <v>1523.06</v>
          </cell>
          <cell r="R988">
            <v>134.30000000000001</v>
          </cell>
          <cell r="S988">
            <v>1051.78</v>
          </cell>
          <cell r="U988">
            <v>104.63728532399999</v>
          </cell>
          <cell r="X988">
            <v>1162.3599999999999</v>
          </cell>
          <cell r="Y988">
            <v>569.32000000000005</v>
          </cell>
          <cell r="AL988">
            <v>363.75</v>
          </cell>
          <cell r="AM988">
            <v>36.29</v>
          </cell>
          <cell r="AN988">
            <v>3.2</v>
          </cell>
          <cell r="AO988">
            <v>27.24</v>
          </cell>
          <cell r="AQ988">
            <v>2.71</v>
          </cell>
        </row>
        <row r="989">
          <cell r="P989">
            <v>53328.33</v>
          </cell>
          <cell r="Q989">
            <v>22754.52</v>
          </cell>
          <cell r="R989">
            <v>7567.81</v>
          </cell>
          <cell r="S989">
            <v>59267.8</v>
          </cell>
          <cell r="X989">
            <v>65498.9</v>
          </cell>
          <cell r="Y989">
            <v>32081.09</v>
          </cell>
          <cell r="AT989">
            <v>98</v>
          </cell>
          <cell r="AU989">
            <v>48</v>
          </cell>
          <cell r="AV989">
            <v>1.087</v>
          </cell>
          <cell r="AW989">
            <v>1.0009999999999999</v>
          </cell>
          <cell r="BA989">
            <v>56.35</v>
          </cell>
          <cell r="BB989">
            <v>14.94</v>
          </cell>
          <cell r="BC989">
            <v>5.69</v>
          </cell>
          <cell r="BS989">
            <v>56.35</v>
          </cell>
          <cell r="BZ989">
            <v>98</v>
          </cell>
          <cell r="CA989">
            <v>48</v>
          </cell>
        </row>
        <row r="990">
          <cell r="F990" t="str">
            <v>3.11-40-1</v>
          </cell>
          <cell r="H990" t="str">
            <v>1 м3</v>
          </cell>
          <cell r="I990">
            <v>25.74</v>
          </cell>
          <cell r="Q990">
            <v>86.51</v>
          </cell>
          <cell r="R990">
            <v>58.62</v>
          </cell>
          <cell r="S990">
            <v>852.41</v>
          </cell>
          <cell r="U990">
            <v>76.240927619999965</v>
          </cell>
          <cell r="X990">
            <v>920.14</v>
          </cell>
          <cell r="Y990">
            <v>501.07</v>
          </cell>
          <cell r="AM990">
            <v>2.14</v>
          </cell>
          <cell r="AN990">
            <v>1.45</v>
          </cell>
          <cell r="AO990">
            <v>22.92</v>
          </cell>
          <cell r="AQ990">
            <v>2.0499999999999998</v>
          </cell>
        </row>
        <row r="991">
          <cell r="Q991">
            <v>3994.17</v>
          </cell>
          <cell r="R991">
            <v>3303.24</v>
          </cell>
          <cell r="S991">
            <v>48033.3</v>
          </cell>
          <cell r="X991">
            <v>51849.91</v>
          </cell>
          <cell r="Y991">
            <v>28235.1</v>
          </cell>
          <cell r="AT991">
            <v>101</v>
          </cell>
          <cell r="AU991">
            <v>55</v>
          </cell>
          <cell r="AV991">
            <v>1.0469999999999999</v>
          </cell>
          <cell r="BA991">
            <v>56.35</v>
          </cell>
          <cell r="BB991">
            <v>46.17</v>
          </cell>
          <cell r="BS991">
            <v>56.35</v>
          </cell>
          <cell r="BZ991">
            <v>101</v>
          </cell>
          <cell r="CA991">
            <v>55</v>
          </cell>
        </row>
        <row r="992">
          <cell r="F992" t="str">
            <v>1.3-2-181</v>
          </cell>
          <cell r="H992" t="str">
            <v>м3</v>
          </cell>
          <cell r="I992">
            <v>11.583</v>
          </cell>
          <cell r="O992">
            <v>19152.14</v>
          </cell>
          <cell r="R992">
            <v>0</v>
          </cell>
          <cell r="X992">
            <v>0</v>
          </cell>
          <cell r="Y992">
            <v>0</v>
          </cell>
          <cell r="AK992">
            <v>1653.47</v>
          </cell>
        </row>
        <row r="993">
          <cell r="O993">
            <v>77757.69</v>
          </cell>
          <cell r="R993">
            <v>0</v>
          </cell>
          <cell r="X993">
            <v>0</v>
          </cell>
          <cell r="Y993">
            <v>0</v>
          </cell>
          <cell r="AW993">
            <v>1</v>
          </cell>
          <cell r="BC993">
            <v>4.0599999999999996</v>
          </cell>
        </row>
        <row r="994">
          <cell r="F994" t="str">
            <v>3.12-21-1</v>
          </cell>
          <cell r="H994" t="str">
            <v>100 м2 стяжек</v>
          </cell>
          <cell r="I994">
            <v>1.56</v>
          </cell>
          <cell r="P994">
            <v>42.51</v>
          </cell>
          <cell r="Q994">
            <v>57.89</v>
          </cell>
          <cell r="R994">
            <v>0</v>
          </cell>
          <cell r="S994">
            <v>591.95000000000005</v>
          </cell>
          <cell r="U994">
            <v>56.864274479999992</v>
          </cell>
          <cell r="X994">
            <v>580.11</v>
          </cell>
          <cell r="Y994">
            <v>284.14</v>
          </cell>
          <cell r="AL994">
            <v>27.22</v>
          </cell>
          <cell r="AM994">
            <v>22.76</v>
          </cell>
          <cell r="AO994">
            <v>252.96</v>
          </cell>
          <cell r="AQ994">
            <v>24.3</v>
          </cell>
        </row>
        <row r="995">
          <cell r="P995">
            <v>329.45</v>
          </cell>
          <cell r="Q995">
            <v>720.73</v>
          </cell>
          <cell r="R995">
            <v>0</v>
          </cell>
          <cell r="S995">
            <v>33356.379999999997</v>
          </cell>
          <cell r="X995">
            <v>32689.25</v>
          </cell>
          <cell r="Y995">
            <v>16011.06</v>
          </cell>
          <cell r="AT995">
            <v>98</v>
          </cell>
          <cell r="AU995">
            <v>48</v>
          </cell>
          <cell r="AV995">
            <v>1.087</v>
          </cell>
          <cell r="AW995">
            <v>1.0009999999999999</v>
          </cell>
          <cell r="BA995">
            <v>56.35</v>
          </cell>
          <cell r="BB995">
            <v>12.45</v>
          </cell>
          <cell r="BC995">
            <v>7.75</v>
          </cell>
          <cell r="BZ995">
            <v>98</v>
          </cell>
          <cell r="CA995">
            <v>48</v>
          </cell>
        </row>
        <row r="996">
          <cell r="F996" t="str">
            <v>1.3-2-6</v>
          </cell>
          <cell r="H996" t="str">
            <v>м3</v>
          </cell>
          <cell r="I996">
            <v>2.3868</v>
          </cell>
          <cell r="O996">
            <v>1116.51</v>
          </cell>
          <cell r="R996">
            <v>0</v>
          </cell>
          <cell r="X996">
            <v>0</v>
          </cell>
          <cell r="Y996">
            <v>0</v>
          </cell>
          <cell r="AK996">
            <v>467.32</v>
          </cell>
        </row>
        <row r="997">
          <cell r="O997">
            <v>12359.77</v>
          </cell>
          <cell r="R997">
            <v>0</v>
          </cell>
          <cell r="X997">
            <v>0</v>
          </cell>
          <cell r="Y997">
            <v>0</v>
          </cell>
          <cell r="AW997">
            <v>1.0009999999999999</v>
          </cell>
          <cell r="BC997">
            <v>11.07</v>
          </cell>
        </row>
        <row r="998">
          <cell r="F998" t="str">
            <v>3.12-21-2</v>
          </cell>
          <cell r="H998" t="str">
            <v>100 м2 стяжек</v>
          </cell>
          <cell r="I998">
            <v>1.56</v>
          </cell>
          <cell r="R998">
            <v>0</v>
          </cell>
          <cell r="S998">
            <v>75.349999999999994</v>
          </cell>
          <cell r="U998">
            <v>7.3712948399999991</v>
          </cell>
          <cell r="X998">
            <v>73.84</v>
          </cell>
          <cell r="Y998">
            <v>36.17</v>
          </cell>
          <cell r="AO998">
            <v>0.92</v>
          </cell>
          <cell r="AQ998">
            <v>0.09</v>
          </cell>
        </row>
        <row r="999">
          <cell r="R999">
            <v>0</v>
          </cell>
          <cell r="S999">
            <v>4245.97</v>
          </cell>
          <cell r="X999">
            <v>4161.05</v>
          </cell>
          <cell r="Y999">
            <v>2038.07</v>
          </cell>
          <cell r="AT999">
            <v>98</v>
          </cell>
          <cell r="AU999">
            <v>48</v>
          </cell>
          <cell r="AV999">
            <v>1.087</v>
          </cell>
          <cell r="BA999">
            <v>56.35</v>
          </cell>
          <cell r="BZ999">
            <v>98</v>
          </cell>
          <cell r="CA999">
            <v>48</v>
          </cell>
        </row>
        <row r="1000">
          <cell r="F1000" t="str">
            <v>1.3-2-6</v>
          </cell>
          <cell r="H1000" t="str">
            <v>м3</v>
          </cell>
          <cell r="I1000">
            <v>5.5692000000000004</v>
          </cell>
          <cell r="O1000">
            <v>2605.1999999999998</v>
          </cell>
          <cell r="R1000">
            <v>0</v>
          </cell>
          <cell r="X1000">
            <v>0</v>
          </cell>
          <cell r="Y1000">
            <v>0</v>
          </cell>
          <cell r="AK1000">
            <v>467.32</v>
          </cell>
        </row>
        <row r="1001">
          <cell r="O1001">
            <v>28839.56</v>
          </cell>
          <cell r="R1001">
            <v>0</v>
          </cell>
          <cell r="X1001">
            <v>0</v>
          </cell>
          <cell r="Y1001">
            <v>0</v>
          </cell>
          <cell r="AW1001">
            <v>1.0009999999999999</v>
          </cell>
          <cell r="BC1001">
            <v>11.07</v>
          </cell>
        </row>
        <row r="1002">
          <cell r="F1002" t="str">
            <v>3.6-6-10</v>
          </cell>
          <cell r="H1002" t="str">
            <v>1 Т</v>
          </cell>
          <cell r="I1002">
            <v>0.21840000000000001</v>
          </cell>
          <cell r="P1002">
            <v>57.74</v>
          </cell>
          <cell r="Q1002">
            <v>14.92</v>
          </cell>
          <cell r="R1002">
            <v>1.74</v>
          </cell>
          <cell r="S1002">
            <v>42.5</v>
          </cell>
          <cell r="U1002">
            <v>3.6604661183999987</v>
          </cell>
          <cell r="X1002">
            <v>40.700000000000003</v>
          </cell>
          <cell r="Y1002">
            <v>21.68</v>
          </cell>
          <cell r="AL1002">
            <v>258.67</v>
          </cell>
          <cell r="AM1002">
            <v>43.5</v>
          </cell>
          <cell r="AN1002">
            <v>5.0599999999999996</v>
          </cell>
          <cell r="AO1002">
            <v>134.68</v>
          </cell>
          <cell r="AQ1002">
            <v>11.6</v>
          </cell>
        </row>
        <row r="1003">
          <cell r="P1003">
            <v>433.05</v>
          </cell>
          <cell r="Q1003">
            <v>230.36</v>
          </cell>
          <cell r="R1003">
            <v>98.05</v>
          </cell>
          <cell r="S1003">
            <v>2394.88</v>
          </cell>
          <cell r="X1003">
            <v>2293.5</v>
          </cell>
          <cell r="Y1003">
            <v>1221.54</v>
          </cell>
          <cell r="AT1003">
            <v>92</v>
          </cell>
          <cell r="AU1003">
            <v>49</v>
          </cell>
          <cell r="AV1003">
            <v>1.0469999999999999</v>
          </cell>
          <cell r="AW1003">
            <v>1.022</v>
          </cell>
          <cell r="BA1003">
            <v>56.35</v>
          </cell>
          <cell r="BB1003">
            <v>15.44</v>
          </cell>
          <cell r="BC1003">
            <v>7.5</v>
          </cell>
          <cell r="BS1003">
            <v>56.35</v>
          </cell>
          <cell r="BZ1003">
            <v>92</v>
          </cell>
          <cell r="CA1003">
            <v>49</v>
          </cell>
        </row>
        <row r="1004">
          <cell r="F1004" t="str">
            <v>1.3-4-75</v>
          </cell>
          <cell r="H1004" t="str">
            <v>т</v>
          </cell>
          <cell r="I1004">
            <v>0.21840000000000001</v>
          </cell>
          <cell r="O1004">
            <v>2170.6</v>
          </cell>
          <cell r="R1004">
            <v>0</v>
          </cell>
          <cell r="X1004">
            <v>0</v>
          </cell>
          <cell r="Y1004">
            <v>0</v>
          </cell>
          <cell r="AK1004">
            <v>9724.69</v>
          </cell>
        </row>
        <row r="1005">
          <cell r="O1005">
            <v>8421.93</v>
          </cell>
          <cell r="R1005">
            <v>0</v>
          </cell>
          <cell r="X1005">
            <v>0</v>
          </cell>
          <cell r="Y1005">
            <v>0</v>
          </cell>
          <cell r="AW1005">
            <v>1.022</v>
          </cell>
          <cell r="BC1005">
            <v>3.88</v>
          </cell>
        </row>
        <row r="1006">
          <cell r="F1006" t="str">
            <v>3.11-36-4</v>
          </cell>
          <cell r="H1006" t="str">
            <v>100 м2</v>
          </cell>
          <cell r="I1006">
            <v>1.56</v>
          </cell>
          <cell r="P1006">
            <v>12.2</v>
          </cell>
          <cell r="Q1006">
            <v>168.12</v>
          </cell>
          <cell r="R1006">
            <v>29.38</v>
          </cell>
          <cell r="S1006">
            <v>1923.98</v>
          </cell>
          <cell r="U1006">
            <v>155.86282763999998</v>
          </cell>
          <cell r="X1006">
            <v>1972.89</v>
          </cell>
          <cell r="Y1006">
            <v>1074.3499999999999</v>
          </cell>
          <cell r="AL1006">
            <v>7.82</v>
          </cell>
          <cell r="AM1006">
            <v>68.62</v>
          </cell>
          <cell r="AN1006">
            <v>11.99</v>
          </cell>
          <cell r="AO1006">
            <v>853.59</v>
          </cell>
          <cell r="AQ1006">
            <v>69.150000000000006</v>
          </cell>
        </row>
        <row r="1007">
          <cell r="P1007">
            <v>59.78</v>
          </cell>
          <cell r="Q1007">
            <v>3165.7</v>
          </cell>
          <cell r="R1007">
            <v>1655.56</v>
          </cell>
          <cell r="S1007">
            <v>108416.27</v>
          </cell>
          <cell r="X1007">
            <v>111172.55</v>
          </cell>
          <cell r="Y1007">
            <v>60539.51</v>
          </cell>
          <cell r="AT1007">
            <v>101</v>
          </cell>
          <cell r="AU1007">
            <v>55</v>
          </cell>
          <cell r="AV1007">
            <v>1.0469999999999999</v>
          </cell>
          <cell r="AW1007">
            <v>1</v>
          </cell>
          <cell r="BA1007">
            <v>56.35</v>
          </cell>
          <cell r="BB1007">
            <v>18.829999999999998</v>
          </cell>
          <cell r="BC1007">
            <v>4.9000000000000004</v>
          </cell>
          <cell r="BS1007">
            <v>56.35</v>
          </cell>
          <cell r="BZ1007">
            <v>101</v>
          </cell>
          <cell r="CA1007">
            <v>55</v>
          </cell>
        </row>
        <row r="1008">
          <cell r="F1008" t="str">
            <v>1.1-1-8209</v>
          </cell>
          <cell r="H1008" t="str">
            <v>100 шт.</v>
          </cell>
          <cell r="I1008">
            <v>69.653999999999996</v>
          </cell>
          <cell r="O1008">
            <v>499.42</v>
          </cell>
          <cell r="R1008">
            <v>0</v>
          </cell>
          <cell r="X1008">
            <v>0</v>
          </cell>
          <cell r="Y1008">
            <v>0</v>
          </cell>
          <cell r="AK1008">
            <v>7.17</v>
          </cell>
        </row>
        <row r="1009">
          <cell r="O1009">
            <v>4989.21</v>
          </cell>
          <cell r="R1009">
            <v>0</v>
          </cell>
          <cell r="X1009">
            <v>0</v>
          </cell>
          <cell r="Y1009">
            <v>0</v>
          </cell>
          <cell r="AW1009">
            <v>1</v>
          </cell>
          <cell r="BC1009">
            <v>9.99</v>
          </cell>
        </row>
        <row r="1010">
          <cell r="F1010" t="str">
            <v>1.1-1-3257</v>
          </cell>
          <cell r="H1010" t="str">
            <v>кг</v>
          </cell>
          <cell r="I1010">
            <v>2.1839999999999998E-2</v>
          </cell>
          <cell r="O1010">
            <v>0.38</v>
          </cell>
          <cell r="R1010">
            <v>0</v>
          </cell>
          <cell r="X1010">
            <v>0</v>
          </cell>
          <cell r="Y1010">
            <v>0</v>
          </cell>
          <cell r="AK1010">
            <v>17.3</v>
          </cell>
        </row>
        <row r="1011">
          <cell r="O1011">
            <v>2.25</v>
          </cell>
          <cell r="R1011">
            <v>0</v>
          </cell>
          <cell r="X1011">
            <v>0</v>
          </cell>
          <cell r="Y1011">
            <v>0</v>
          </cell>
          <cell r="AW1011">
            <v>1</v>
          </cell>
          <cell r="BC1011">
            <v>5.93</v>
          </cell>
        </row>
        <row r="1012">
          <cell r="F1012" t="str">
            <v>1.3-2-50</v>
          </cell>
          <cell r="H1012" t="str">
            <v>т</v>
          </cell>
          <cell r="I1012">
            <v>3.1199999999999995E-2</v>
          </cell>
          <cell r="O1012">
            <v>186.52</v>
          </cell>
          <cell r="R1012">
            <v>0</v>
          </cell>
          <cell r="X1012">
            <v>0</v>
          </cell>
          <cell r="Y1012">
            <v>0</v>
          </cell>
          <cell r="AK1012">
            <v>5978.05</v>
          </cell>
        </row>
        <row r="1013">
          <cell r="O1013">
            <v>2855.62</v>
          </cell>
          <cell r="R1013">
            <v>0</v>
          </cell>
          <cell r="X1013">
            <v>0</v>
          </cell>
          <cell r="Y1013">
            <v>0</v>
          </cell>
          <cell r="AW1013">
            <v>1</v>
          </cell>
          <cell r="BC1013">
            <v>15.31</v>
          </cell>
        </row>
        <row r="1014">
          <cell r="F1014" t="str">
            <v>1.3-2-167</v>
          </cell>
          <cell r="H1014" t="str">
            <v>т</v>
          </cell>
          <cell r="I1014">
            <v>1.1243540000000001</v>
          </cell>
          <cell r="O1014">
            <v>4456.6000000000004</v>
          </cell>
          <cell r="R1014">
            <v>0</v>
          </cell>
          <cell r="X1014">
            <v>0</v>
          </cell>
          <cell r="Y1014">
            <v>0</v>
          </cell>
          <cell r="AK1014">
            <v>3963.7</v>
          </cell>
        </row>
        <row r="1015">
          <cell r="O1015">
            <v>14127.42</v>
          </cell>
          <cell r="R1015">
            <v>0</v>
          </cell>
          <cell r="X1015">
            <v>0</v>
          </cell>
          <cell r="Y1015">
            <v>0</v>
          </cell>
          <cell r="AW1015">
            <v>1</v>
          </cell>
          <cell r="BC1015">
            <v>3.17</v>
          </cell>
        </row>
        <row r="1016">
          <cell r="F1016" t="str">
            <v>КА 6</v>
          </cell>
          <cell r="H1016" t="str">
            <v>м2</v>
          </cell>
          <cell r="I1016">
            <v>165.36</v>
          </cell>
          <cell r="P1016">
            <v>31289.42</v>
          </cell>
          <cell r="R1016">
            <v>0</v>
          </cell>
          <cell r="X1016">
            <v>0</v>
          </cell>
          <cell r="Y1016">
            <v>0</v>
          </cell>
          <cell r="AL1016">
            <v>189.22</v>
          </cell>
        </row>
        <row r="1017">
          <cell r="P1017">
            <v>307887.89</v>
          </cell>
          <cell r="R1017">
            <v>0</v>
          </cell>
          <cell r="X1017">
            <v>0</v>
          </cell>
          <cell r="Y1017">
            <v>0</v>
          </cell>
          <cell r="AW1017">
            <v>1</v>
          </cell>
          <cell r="BC1017">
            <v>9.84</v>
          </cell>
        </row>
        <row r="1019">
          <cell r="G1019" t="str">
            <v>Монтажные работы. Тип3</v>
          </cell>
        </row>
        <row r="1049">
          <cell r="G1049" t="str">
            <v>Монтажные работы. Тип3</v>
          </cell>
        </row>
        <row r="1053">
          <cell r="F1053" t="str">
            <v>3.12-35-3</v>
          </cell>
          <cell r="H1053" t="str">
            <v>100 м2</v>
          </cell>
          <cell r="I1053">
            <v>10.92</v>
          </cell>
          <cell r="Q1053">
            <v>233.96</v>
          </cell>
          <cell r="R1053">
            <v>18.87</v>
          </cell>
          <cell r="S1053">
            <v>366.11</v>
          </cell>
          <cell r="U1053">
            <v>30.304212119999999</v>
          </cell>
          <cell r="X1053">
            <v>377.28</v>
          </cell>
          <cell r="Y1053">
            <v>184.79</v>
          </cell>
          <cell r="AM1053">
            <v>13.14</v>
          </cell>
          <cell r="AN1053">
            <v>1.06</v>
          </cell>
          <cell r="AO1053">
            <v>22.35</v>
          </cell>
          <cell r="AQ1053">
            <v>1.85</v>
          </cell>
        </row>
        <row r="1054">
          <cell r="Q1054">
            <v>3238.01</v>
          </cell>
          <cell r="R1054">
            <v>1063.32</v>
          </cell>
          <cell r="S1054">
            <v>20630.3</v>
          </cell>
          <cell r="X1054">
            <v>21259.75</v>
          </cell>
          <cell r="Y1054">
            <v>10412.94</v>
          </cell>
          <cell r="AT1054">
            <v>98</v>
          </cell>
          <cell r="AU1054">
            <v>48</v>
          </cell>
          <cell r="AV1054">
            <v>1.087</v>
          </cell>
          <cell r="BA1054">
            <v>56.35</v>
          </cell>
          <cell r="BB1054">
            <v>13.84</v>
          </cell>
          <cell r="BS1054">
            <v>56.35</v>
          </cell>
          <cell r="BZ1054">
            <v>98</v>
          </cell>
          <cell r="CA1054">
            <v>48</v>
          </cell>
        </row>
        <row r="1055">
          <cell r="F1055" t="str">
            <v>1.1-1-3677</v>
          </cell>
          <cell r="H1055" t="str">
            <v>м2</v>
          </cell>
          <cell r="I1055">
            <v>1245.8988360000001</v>
          </cell>
          <cell r="O1055">
            <v>96279.57</v>
          </cell>
          <cell r="R1055">
            <v>0</v>
          </cell>
          <cell r="X1055">
            <v>0</v>
          </cell>
          <cell r="Y1055">
            <v>0</v>
          </cell>
          <cell r="AK1055">
            <v>77.2</v>
          </cell>
        </row>
        <row r="1056">
          <cell r="O1056">
            <v>674919.79</v>
          </cell>
          <cell r="R1056">
            <v>0</v>
          </cell>
          <cell r="X1056">
            <v>0</v>
          </cell>
          <cell r="Y1056">
            <v>0</v>
          </cell>
          <cell r="AW1056">
            <v>1.0009999999999999</v>
          </cell>
          <cell r="BC1056">
            <v>7.01</v>
          </cell>
        </row>
        <row r="1057">
          <cell r="F1057" t="str">
            <v>3.12-7-1</v>
          </cell>
          <cell r="H1057" t="str">
            <v>100 м2 покрытия</v>
          </cell>
          <cell r="I1057">
            <v>10.92</v>
          </cell>
          <cell r="P1057">
            <v>273912.02</v>
          </cell>
          <cell r="Q1057">
            <v>17424.740000000002</v>
          </cell>
          <cell r="R1057">
            <v>1786.56</v>
          </cell>
          <cell r="S1057">
            <v>69715.25</v>
          </cell>
          <cell r="U1057">
            <v>4177.0670759999994</v>
          </cell>
          <cell r="X1057">
            <v>70071.77</v>
          </cell>
          <cell r="Y1057">
            <v>34320.870000000003</v>
          </cell>
          <cell r="AL1057">
            <v>25058.46</v>
          </cell>
          <cell r="AM1057">
            <v>978.64</v>
          </cell>
          <cell r="AN1057">
            <v>100.34</v>
          </cell>
          <cell r="AO1057">
            <v>4255.95</v>
          </cell>
          <cell r="AQ1057">
            <v>255</v>
          </cell>
        </row>
        <row r="1058">
          <cell r="P1058">
            <v>2667903.0699999998</v>
          </cell>
          <cell r="Q1058">
            <v>547485.32999999996</v>
          </cell>
          <cell r="R1058">
            <v>100672.66</v>
          </cell>
          <cell r="S1058">
            <v>3928454.34</v>
          </cell>
          <cell r="X1058">
            <v>3948544.46</v>
          </cell>
          <cell r="Y1058">
            <v>1933980.96</v>
          </cell>
          <cell r="AT1058">
            <v>98</v>
          </cell>
          <cell r="AU1058">
            <v>48</v>
          </cell>
          <cell r="AV1058">
            <v>1.087</v>
          </cell>
          <cell r="AW1058">
            <v>1.0009999999999999</v>
          </cell>
          <cell r="BA1058">
            <v>56.35</v>
          </cell>
          <cell r="BB1058">
            <v>31.42</v>
          </cell>
          <cell r="BC1058">
            <v>9.74</v>
          </cell>
          <cell r="BS1058">
            <v>56.35</v>
          </cell>
          <cell r="BZ1058">
            <v>98</v>
          </cell>
          <cell r="CA1058">
            <v>48</v>
          </cell>
        </row>
        <row r="1059">
          <cell r="F1059" t="str">
            <v>1.1-1-437</v>
          </cell>
          <cell r="H1059" t="str">
            <v>т</v>
          </cell>
          <cell r="I1059">
            <v>0.79715999999999998</v>
          </cell>
          <cell r="P1059">
            <v>15318.3</v>
          </cell>
          <cell r="R1059">
            <v>0</v>
          </cell>
          <cell r="X1059">
            <v>0</v>
          </cell>
          <cell r="Y1059">
            <v>0</v>
          </cell>
          <cell r="AL1059">
            <v>19216.09</v>
          </cell>
        </row>
        <row r="1060">
          <cell r="P1060">
            <v>168348.12</v>
          </cell>
          <cell r="R1060">
            <v>0</v>
          </cell>
          <cell r="X1060">
            <v>0</v>
          </cell>
          <cell r="Y1060">
            <v>0</v>
          </cell>
          <cell r="AW1060">
            <v>1</v>
          </cell>
          <cell r="BC1060">
            <v>10.99</v>
          </cell>
        </row>
        <row r="1061">
          <cell r="F1061" t="str">
            <v>1.7-1-283</v>
          </cell>
          <cell r="H1061" t="str">
            <v>м2</v>
          </cell>
          <cell r="I1061">
            <v>1092</v>
          </cell>
          <cell r="P1061">
            <v>615953.52</v>
          </cell>
          <cell r="R1061">
            <v>0</v>
          </cell>
          <cell r="X1061">
            <v>0</v>
          </cell>
          <cell r="Y1061">
            <v>0</v>
          </cell>
          <cell r="AL1061">
            <v>564.05999999999995</v>
          </cell>
        </row>
        <row r="1062">
          <cell r="P1062">
            <v>6042504.0300000003</v>
          </cell>
          <cell r="R1062">
            <v>0</v>
          </cell>
          <cell r="X1062">
            <v>0</v>
          </cell>
          <cell r="Y1062">
            <v>0</v>
          </cell>
          <cell r="AW1062">
            <v>1</v>
          </cell>
          <cell r="BC1062">
            <v>9.81</v>
          </cell>
        </row>
        <row r="1064">
          <cell r="G1064" t="str">
            <v>Монтажные работы. Тип3</v>
          </cell>
        </row>
        <row r="1094">
          <cell r="G1094" t="str">
            <v>Строительные работы на кровле</v>
          </cell>
        </row>
        <row r="1098">
          <cell r="F1098" t="str">
            <v>3.12-55-15</v>
          </cell>
          <cell r="H1098" t="str">
            <v>100 м2</v>
          </cell>
          <cell r="I1098">
            <v>1.1499999999999999</v>
          </cell>
          <cell r="P1098">
            <v>11.63</v>
          </cell>
          <cell r="Q1098">
            <v>147.16999999999999</v>
          </cell>
          <cell r="R1098">
            <v>14.25</v>
          </cell>
          <cell r="S1098">
            <v>557.29999999999995</v>
          </cell>
          <cell r="U1098">
            <v>50.820532739999983</v>
          </cell>
          <cell r="X1098">
            <v>560.12</v>
          </cell>
          <cell r="Y1098">
            <v>274.33999999999997</v>
          </cell>
          <cell r="AL1098">
            <v>10.1</v>
          </cell>
          <cell r="AM1098">
            <v>78.489999999999995</v>
          </cell>
          <cell r="AN1098">
            <v>7.6</v>
          </cell>
          <cell r="AO1098">
            <v>323.06</v>
          </cell>
          <cell r="AQ1098">
            <v>29.46</v>
          </cell>
        </row>
        <row r="1099">
          <cell r="P1099">
            <v>103.51</v>
          </cell>
          <cell r="Q1099">
            <v>2131.02</v>
          </cell>
          <cell r="R1099">
            <v>802.99</v>
          </cell>
          <cell r="S1099">
            <v>31403.86</v>
          </cell>
          <cell r="X1099">
            <v>31562.71</v>
          </cell>
          <cell r="Y1099">
            <v>15459.29</v>
          </cell>
          <cell r="AT1099">
            <v>98</v>
          </cell>
          <cell r="AU1099">
            <v>48</v>
          </cell>
          <cell r="AV1099">
            <v>1.087</v>
          </cell>
          <cell r="AW1099">
            <v>1.0009999999999999</v>
          </cell>
          <cell r="BA1099">
            <v>56.35</v>
          </cell>
          <cell r="BB1099">
            <v>14.48</v>
          </cell>
          <cell r="BC1099">
            <v>8.9</v>
          </cell>
          <cell r="BS1099">
            <v>56.35</v>
          </cell>
          <cell r="BZ1099">
            <v>98</v>
          </cell>
          <cell r="CA1099">
            <v>48</v>
          </cell>
        </row>
        <row r="1100">
          <cell r="F1100" t="str">
            <v>1.1-1-3214</v>
          </cell>
          <cell r="H1100" t="str">
            <v>100 шт.</v>
          </cell>
          <cell r="I1100">
            <v>11.615</v>
          </cell>
          <cell r="O1100">
            <v>1907.69</v>
          </cell>
          <cell r="R1100">
            <v>0</v>
          </cell>
          <cell r="X1100">
            <v>0</v>
          </cell>
          <cell r="Y1100">
            <v>0</v>
          </cell>
          <cell r="AK1100">
            <v>164.08</v>
          </cell>
        </row>
        <row r="1101">
          <cell r="O1101">
            <v>12895.98</v>
          </cell>
          <cell r="R1101">
            <v>0</v>
          </cell>
          <cell r="X1101">
            <v>0</v>
          </cell>
          <cell r="Y1101">
            <v>0</v>
          </cell>
          <cell r="AW1101">
            <v>1.0009999999999999</v>
          </cell>
          <cell r="BC1101">
            <v>6.76</v>
          </cell>
        </row>
        <row r="1102">
          <cell r="F1102" t="str">
            <v>1.1-1-2922</v>
          </cell>
          <cell r="H1102" t="str">
            <v>м3</v>
          </cell>
          <cell r="I1102">
            <v>17.76727</v>
          </cell>
          <cell r="O1102">
            <v>22156.240000000002</v>
          </cell>
          <cell r="R1102">
            <v>0</v>
          </cell>
          <cell r="X1102">
            <v>0</v>
          </cell>
          <cell r="Y1102">
            <v>0</v>
          </cell>
          <cell r="AK1102">
            <v>1245.78</v>
          </cell>
        </row>
        <row r="1103">
          <cell r="O1103">
            <v>138033.38</v>
          </cell>
          <cell r="R1103">
            <v>0</v>
          </cell>
          <cell r="X1103">
            <v>0</v>
          </cell>
          <cell r="Y1103">
            <v>0</v>
          </cell>
          <cell r="AW1103">
            <v>1.0009999999999999</v>
          </cell>
          <cell r="BC1103">
            <v>6.23</v>
          </cell>
        </row>
        <row r="1104">
          <cell r="F1104" t="str">
            <v>3.12-55-18</v>
          </cell>
          <cell r="H1104" t="str">
            <v>100 м примыканий</v>
          </cell>
          <cell r="I1104">
            <v>2.2999999999999998</v>
          </cell>
          <cell r="P1104">
            <v>1941.83</v>
          </cell>
          <cell r="Q1104">
            <v>149.47999999999999</v>
          </cell>
          <cell r="R1104">
            <v>15.19</v>
          </cell>
          <cell r="S1104">
            <v>2510.5300000000002</v>
          </cell>
          <cell r="U1104">
            <v>225.4665182999999</v>
          </cell>
          <cell r="X1104">
            <v>2475.21</v>
          </cell>
          <cell r="Y1104">
            <v>1212.3499999999999</v>
          </cell>
          <cell r="AL1104">
            <v>843.43</v>
          </cell>
          <cell r="AM1104">
            <v>39.86</v>
          </cell>
          <cell r="AN1104">
            <v>4.05</v>
          </cell>
          <cell r="AO1104">
            <v>727.66</v>
          </cell>
          <cell r="AQ1104">
            <v>65.349999999999994</v>
          </cell>
        </row>
        <row r="1105">
          <cell r="P1105">
            <v>19573.650000000001</v>
          </cell>
          <cell r="Q1105">
            <v>2197.36</v>
          </cell>
          <cell r="R1105">
            <v>855.96</v>
          </cell>
          <cell r="S1105">
            <v>141468.37</v>
          </cell>
          <cell r="X1105">
            <v>139477.84</v>
          </cell>
          <cell r="Y1105">
            <v>68315.679999999993</v>
          </cell>
          <cell r="AT1105">
            <v>98</v>
          </cell>
          <cell r="AU1105">
            <v>48</v>
          </cell>
          <cell r="AV1105">
            <v>1.087</v>
          </cell>
          <cell r="AW1105">
            <v>1.0009999999999999</v>
          </cell>
          <cell r="BA1105">
            <v>56.35</v>
          </cell>
          <cell r="BB1105">
            <v>14.7</v>
          </cell>
          <cell r="BC1105">
            <v>10.08</v>
          </cell>
          <cell r="BS1105">
            <v>56.35</v>
          </cell>
          <cell r="BZ1105">
            <v>98</v>
          </cell>
          <cell r="CA1105">
            <v>48</v>
          </cell>
        </row>
        <row r="1106">
          <cell r="F1106" t="str">
            <v>1.1-1-2922</v>
          </cell>
          <cell r="H1106" t="str">
            <v>м3</v>
          </cell>
          <cell r="I1106">
            <v>2.6661600000000005</v>
          </cell>
          <cell r="O1106">
            <v>3324.77</v>
          </cell>
          <cell r="R1106">
            <v>0</v>
          </cell>
          <cell r="X1106">
            <v>0</v>
          </cell>
          <cell r="Y1106">
            <v>0</v>
          </cell>
          <cell r="AK1106">
            <v>1245.78</v>
          </cell>
        </row>
        <row r="1107">
          <cell r="O1107">
            <v>20713.32</v>
          </cell>
          <cell r="R1107">
            <v>0</v>
          </cell>
          <cell r="X1107">
            <v>0</v>
          </cell>
          <cell r="Y1107">
            <v>0</v>
          </cell>
          <cell r="AW1107">
            <v>1.0009999999999999</v>
          </cell>
          <cell r="BC1107">
            <v>6.23</v>
          </cell>
        </row>
        <row r="1108">
          <cell r="F1108" t="str">
            <v>1.1-1-3276</v>
          </cell>
          <cell r="H1108" t="str">
            <v>м2</v>
          </cell>
          <cell r="I1108">
            <v>304.89029999999997</v>
          </cell>
          <cell r="O1108">
            <v>16135.67</v>
          </cell>
          <cell r="R1108">
            <v>0</v>
          </cell>
          <cell r="X1108">
            <v>0</v>
          </cell>
          <cell r="Y1108">
            <v>0</v>
          </cell>
          <cell r="AK1108">
            <v>52.87</v>
          </cell>
        </row>
        <row r="1109">
          <cell r="O1109">
            <v>74708.149999999994</v>
          </cell>
          <cell r="R1109">
            <v>0</v>
          </cell>
          <cell r="X1109">
            <v>0</v>
          </cell>
          <cell r="Y1109">
            <v>0</v>
          </cell>
          <cell r="AW1109">
            <v>1.0009999999999999</v>
          </cell>
          <cell r="BC1109">
            <v>4.63</v>
          </cell>
        </row>
        <row r="1110">
          <cell r="F1110" t="str">
            <v>3.8-3-1</v>
          </cell>
          <cell r="H1110" t="str">
            <v>1 м3 кладки</v>
          </cell>
          <cell r="I1110">
            <v>5</v>
          </cell>
          <cell r="P1110">
            <v>22.24</v>
          </cell>
          <cell r="R1110">
            <v>0</v>
          </cell>
          <cell r="S1110">
            <v>363.99</v>
          </cell>
          <cell r="U1110">
            <v>33.424841999999998</v>
          </cell>
          <cell r="X1110">
            <v>360.35</v>
          </cell>
          <cell r="Y1110">
            <v>214.75</v>
          </cell>
          <cell r="AL1110">
            <v>4.34</v>
          </cell>
          <cell r="AO1110">
            <v>49.44</v>
          </cell>
          <cell r="AQ1110">
            <v>4.54</v>
          </cell>
        </row>
        <row r="1111">
          <cell r="P1111">
            <v>151.01</v>
          </cell>
          <cell r="R1111">
            <v>0</v>
          </cell>
          <cell r="S1111">
            <v>20510.84</v>
          </cell>
          <cell r="X1111">
            <v>20305.73</v>
          </cell>
          <cell r="Y1111">
            <v>12101.4</v>
          </cell>
          <cell r="AT1111">
            <v>99</v>
          </cell>
          <cell r="AU1111">
            <v>59</v>
          </cell>
          <cell r="AV1111">
            <v>1.0669999999999999</v>
          </cell>
          <cell r="AW1111">
            <v>1.0249999999999999</v>
          </cell>
          <cell r="BA1111">
            <v>56.35</v>
          </cell>
          <cell r="BC1111">
            <v>6.79</v>
          </cell>
          <cell r="BZ1111">
            <v>99</v>
          </cell>
          <cell r="CA1111">
            <v>59</v>
          </cell>
        </row>
        <row r="1112">
          <cell r="F1112" t="str">
            <v>1.1-1-352</v>
          </cell>
          <cell r="H1112" t="str">
            <v>1000 шт.</v>
          </cell>
          <cell r="I1112">
            <v>1.9</v>
          </cell>
          <cell r="O1112">
            <v>1988.36</v>
          </cell>
          <cell r="R1112">
            <v>0</v>
          </cell>
          <cell r="X1112">
            <v>0</v>
          </cell>
          <cell r="Y1112">
            <v>0</v>
          </cell>
          <cell r="AK1112">
            <v>1020.98</v>
          </cell>
        </row>
        <row r="1113">
          <cell r="O1113">
            <v>33623.17</v>
          </cell>
          <cell r="R1113">
            <v>0</v>
          </cell>
          <cell r="X1113">
            <v>0</v>
          </cell>
          <cell r="Y1113">
            <v>0</v>
          </cell>
          <cell r="AW1113">
            <v>1.0249999999999999</v>
          </cell>
          <cell r="BC1113">
            <v>16.91</v>
          </cell>
        </row>
        <row r="1114">
          <cell r="F1114" t="str">
            <v>1.3-2-13</v>
          </cell>
          <cell r="H1114" t="str">
            <v>м3</v>
          </cell>
          <cell r="I1114">
            <v>1.2</v>
          </cell>
          <cell r="O1114">
            <v>578.96</v>
          </cell>
          <cell r="R1114">
            <v>0</v>
          </cell>
          <cell r="X1114">
            <v>0</v>
          </cell>
          <cell r="Y1114">
            <v>0</v>
          </cell>
          <cell r="AK1114">
            <v>470.7</v>
          </cell>
        </row>
        <row r="1115">
          <cell r="O1115">
            <v>6275.93</v>
          </cell>
          <cell r="R1115">
            <v>0</v>
          </cell>
          <cell r="X1115">
            <v>0</v>
          </cell>
          <cell r="Y1115">
            <v>0</v>
          </cell>
          <cell r="AW1115">
            <v>1.0249999999999999</v>
          </cell>
          <cell r="BC1115">
            <v>10.84</v>
          </cell>
        </row>
        <row r="1116">
          <cell r="F1116" t="str">
            <v>3.16-21-3</v>
          </cell>
          <cell r="H1116" t="str">
            <v>1 воронка</v>
          </cell>
          <cell r="I1116">
            <v>3</v>
          </cell>
          <cell r="P1116">
            <v>36.659999999999997</v>
          </cell>
          <cell r="Q1116">
            <v>2.4</v>
          </cell>
          <cell r="R1116">
            <v>0.38</v>
          </cell>
          <cell r="S1116">
            <v>42.05</v>
          </cell>
          <cell r="U1116">
            <v>3.6664253999999992</v>
          </cell>
          <cell r="X1116">
            <v>46.25</v>
          </cell>
          <cell r="Y1116">
            <v>25.88</v>
          </cell>
          <cell r="AL1116">
            <v>12.22</v>
          </cell>
          <cell r="AM1116">
            <v>0.5</v>
          </cell>
          <cell r="AN1116">
            <v>0.08</v>
          </cell>
          <cell r="AO1116">
            <v>9.52</v>
          </cell>
          <cell r="AQ1116">
            <v>0.83</v>
          </cell>
        </row>
        <row r="1117">
          <cell r="P1117">
            <v>465.22</v>
          </cell>
          <cell r="Q1117">
            <v>40.85</v>
          </cell>
          <cell r="R1117">
            <v>21.41</v>
          </cell>
          <cell r="S1117">
            <v>2369.52</v>
          </cell>
          <cell r="X1117">
            <v>2606.11</v>
          </cell>
          <cell r="Y1117">
            <v>1458.47</v>
          </cell>
          <cell r="AT1117">
            <v>109</v>
          </cell>
          <cell r="AU1117">
            <v>61</v>
          </cell>
          <cell r="AV1117">
            <v>1.0669999999999999</v>
          </cell>
          <cell r="AW1117">
            <v>1</v>
          </cell>
          <cell r="BA1117">
            <v>56.35</v>
          </cell>
          <cell r="BB1117">
            <v>17.02</v>
          </cell>
          <cell r="BC1117">
            <v>12.69</v>
          </cell>
          <cell r="BS1117">
            <v>56.35</v>
          </cell>
          <cell r="BZ1117">
            <v>109</v>
          </cell>
          <cell r="CA1117">
            <v>61</v>
          </cell>
        </row>
        <row r="1118">
          <cell r="F1118" t="str">
            <v>КА 7</v>
          </cell>
          <cell r="H1118" t="str">
            <v>шт.</v>
          </cell>
          <cell r="I1118">
            <v>3</v>
          </cell>
          <cell r="O1118">
            <v>1503.9</v>
          </cell>
          <cell r="R1118">
            <v>0</v>
          </cell>
          <cell r="X1118">
            <v>0</v>
          </cell>
          <cell r="Y1118">
            <v>0</v>
          </cell>
          <cell r="AK1118">
            <v>501.3</v>
          </cell>
        </row>
        <row r="1119">
          <cell r="O1119">
            <v>14798.38</v>
          </cell>
          <cell r="R1119">
            <v>0</v>
          </cell>
          <cell r="X1119">
            <v>0</v>
          </cell>
          <cell r="Y1119">
            <v>0</v>
          </cell>
          <cell r="AW1119">
            <v>1</v>
          </cell>
          <cell r="BC1119">
            <v>9.84</v>
          </cell>
        </row>
        <row r="1120">
          <cell r="F1120" t="str">
            <v>3.12-14-1</v>
          </cell>
          <cell r="H1120" t="str">
            <v>100 м2 покрытия</v>
          </cell>
          <cell r="I1120">
            <v>2.5724999999999998</v>
          </cell>
          <cell r="P1120">
            <v>331.31</v>
          </cell>
          <cell r="Q1120">
            <v>24.41</v>
          </cell>
          <cell r="R1120">
            <v>3.69</v>
          </cell>
          <cell r="S1120">
            <v>4193.47</v>
          </cell>
          <cell r="U1120">
            <v>375.08550281999993</v>
          </cell>
          <cell r="X1120">
            <v>4113.22</v>
          </cell>
          <cell r="Y1120">
            <v>2014.64</v>
          </cell>
          <cell r="AL1120">
            <v>128.66</v>
          </cell>
          <cell r="AM1120">
            <v>5.82</v>
          </cell>
          <cell r="AN1120">
            <v>0.88</v>
          </cell>
          <cell r="AO1120">
            <v>1086.7</v>
          </cell>
          <cell r="AQ1120">
            <v>97.2</v>
          </cell>
        </row>
        <row r="1121">
          <cell r="P1121">
            <v>3253.46</v>
          </cell>
          <cell r="Q1121">
            <v>416.43</v>
          </cell>
          <cell r="R1121">
            <v>207.93</v>
          </cell>
          <cell r="S1121">
            <v>236302.03</v>
          </cell>
          <cell r="X1121">
            <v>231779.76</v>
          </cell>
          <cell r="Y1121">
            <v>113524.78</v>
          </cell>
          <cell r="AT1121">
            <v>98</v>
          </cell>
          <cell r="AU1121">
            <v>48</v>
          </cell>
          <cell r="AV1121">
            <v>1.087</v>
          </cell>
          <cell r="AW1121">
            <v>1.0009999999999999</v>
          </cell>
          <cell r="BA1121">
            <v>56.35</v>
          </cell>
          <cell r="BB1121">
            <v>17.059999999999999</v>
          </cell>
          <cell r="BC1121">
            <v>9.82</v>
          </cell>
          <cell r="BS1121">
            <v>56.35</v>
          </cell>
          <cell r="BZ1121">
            <v>98</v>
          </cell>
          <cell r="CA1121">
            <v>48</v>
          </cell>
        </row>
        <row r="1122">
          <cell r="F1122" t="str">
            <v>1.7-1-22</v>
          </cell>
          <cell r="H1122" t="str">
            <v>м2</v>
          </cell>
          <cell r="I1122">
            <v>257.25</v>
          </cell>
          <cell r="P1122">
            <v>58148.79</v>
          </cell>
          <cell r="R1122">
            <v>0</v>
          </cell>
          <cell r="X1122">
            <v>0</v>
          </cell>
          <cell r="Y1122">
            <v>0</v>
          </cell>
          <cell r="AL1122">
            <v>226.04</v>
          </cell>
        </row>
        <row r="1123">
          <cell r="P1123">
            <v>184331.66</v>
          </cell>
          <cell r="R1123">
            <v>0</v>
          </cell>
          <cell r="X1123">
            <v>0</v>
          </cell>
          <cell r="Y1123">
            <v>0</v>
          </cell>
          <cell r="AW1123">
            <v>1</v>
          </cell>
          <cell r="BC1123">
            <v>3.17</v>
          </cell>
        </row>
        <row r="1124">
          <cell r="F1124" t="str">
            <v>3.12-54-3</v>
          </cell>
          <cell r="H1124" t="str">
            <v>100 м</v>
          </cell>
          <cell r="I1124">
            <v>1.74</v>
          </cell>
          <cell r="Q1124">
            <v>55.83</v>
          </cell>
          <cell r="R1124">
            <v>3.01</v>
          </cell>
          <cell r="S1124">
            <v>1513.57</v>
          </cell>
          <cell r="U1124">
            <v>93.363434388000002</v>
          </cell>
          <cell r="X1124">
            <v>1486.25</v>
          </cell>
          <cell r="Y1124">
            <v>727.96</v>
          </cell>
          <cell r="AM1124">
            <v>19.68</v>
          </cell>
          <cell r="AN1124">
            <v>1.06</v>
          </cell>
          <cell r="AO1124">
            <v>579.89</v>
          </cell>
          <cell r="AQ1124">
            <v>35.770000000000003</v>
          </cell>
        </row>
        <row r="1125">
          <cell r="Q1125">
            <v>688.94</v>
          </cell>
          <cell r="R1125">
            <v>169.61</v>
          </cell>
          <cell r="S1125">
            <v>85289.67</v>
          </cell>
          <cell r="X1125">
            <v>83750.09</v>
          </cell>
          <cell r="Y1125">
            <v>41020.449999999997</v>
          </cell>
          <cell r="AT1125">
            <v>98</v>
          </cell>
          <cell r="AU1125">
            <v>48</v>
          </cell>
          <cell r="AV1125">
            <v>1.087</v>
          </cell>
          <cell r="BA1125">
            <v>56.35</v>
          </cell>
          <cell r="BB1125">
            <v>12.34</v>
          </cell>
          <cell r="BS1125">
            <v>56.35</v>
          </cell>
          <cell r="BZ1125">
            <v>98</v>
          </cell>
          <cell r="CA1125">
            <v>48</v>
          </cell>
        </row>
        <row r="1126">
          <cell r="F1126" t="str">
            <v>КА 8</v>
          </cell>
          <cell r="H1126" t="str">
            <v>ПМ</v>
          </cell>
          <cell r="I1126">
            <v>174</v>
          </cell>
          <cell r="P1126">
            <v>34003.08</v>
          </cell>
          <cell r="R1126">
            <v>0</v>
          </cell>
          <cell r="X1126">
            <v>0</v>
          </cell>
          <cell r="Y1126">
            <v>0</v>
          </cell>
          <cell r="AL1126">
            <v>195.42000000000002</v>
          </cell>
        </row>
        <row r="1127">
          <cell r="P1127">
            <v>334590.31</v>
          </cell>
          <cell r="R1127">
            <v>0</v>
          </cell>
          <cell r="X1127">
            <v>0</v>
          </cell>
          <cell r="Y1127">
            <v>0</v>
          </cell>
          <cell r="AW1127">
            <v>1</v>
          </cell>
          <cell r="BC1127">
            <v>9.84</v>
          </cell>
        </row>
        <row r="1128">
          <cell r="F1128" t="str">
            <v>3.12-16-1</v>
          </cell>
          <cell r="H1128" t="str">
            <v>100 м ограждения</v>
          </cell>
          <cell r="I1128">
            <v>2.6</v>
          </cell>
          <cell r="P1128">
            <v>40.630000000000003</v>
          </cell>
          <cell r="Q1128">
            <v>169.66</v>
          </cell>
          <cell r="R1128">
            <v>14.12</v>
          </cell>
          <cell r="S1128">
            <v>267.16000000000003</v>
          </cell>
          <cell r="U1128">
            <v>23.0109204</v>
          </cell>
          <cell r="X1128">
            <v>275.64999999999998</v>
          </cell>
          <cell r="Y1128">
            <v>135.01</v>
          </cell>
          <cell r="AL1128">
            <v>15.61</v>
          </cell>
          <cell r="AM1128">
            <v>40.020000000000003</v>
          </cell>
          <cell r="AN1128">
            <v>3.33</v>
          </cell>
          <cell r="AO1128">
            <v>68.5</v>
          </cell>
          <cell r="AQ1128">
            <v>5.9</v>
          </cell>
        </row>
        <row r="1129">
          <cell r="P1129">
            <v>266.52999999999997</v>
          </cell>
          <cell r="Q1129">
            <v>2522.84</v>
          </cell>
          <cell r="R1129">
            <v>795.66</v>
          </cell>
          <cell r="S1129">
            <v>15054.47</v>
          </cell>
          <cell r="X1129">
            <v>15533.13</v>
          </cell>
          <cell r="Y1129">
            <v>7608.06</v>
          </cell>
          <cell r="AT1129">
            <v>98</v>
          </cell>
          <cell r="AU1129">
            <v>48</v>
          </cell>
          <cell r="AV1129">
            <v>1.087</v>
          </cell>
          <cell r="AW1129">
            <v>1.0009999999999999</v>
          </cell>
          <cell r="BA1129">
            <v>56.35</v>
          </cell>
          <cell r="BB1129">
            <v>14.87</v>
          </cell>
          <cell r="BC1129">
            <v>6.56</v>
          </cell>
          <cell r="BS1129">
            <v>56.35</v>
          </cell>
          <cell r="BZ1129">
            <v>98</v>
          </cell>
          <cell r="CA1129">
            <v>48</v>
          </cell>
        </row>
        <row r="1130">
          <cell r="F1130" t="str">
            <v>1.6-1-218</v>
          </cell>
          <cell r="H1130" t="str">
            <v>т</v>
          </cell>
          <cell r="I1130">
            <v>0.78</v>
          </cell>
          <cell r="O1130">
            <v>11612.2</v>
          </cell>
          <cell r="R1130">
            <v>0</v>
          </cell>
          <cell r="X1130">
            <v>0</v>
          </cell>
          <cell r="Y1130">
            <v>0</v>
          </cell>
          <cell r="AK1130">
            <v>14872.56</v>
          </cell>
        </row>
        <row r="1131">
          <cell r="O1131">
            <v>117050.98</v>
          </cell>
          <cell r="R1131">
            <v>0</v>
          </cell>
          <cell r="X1131">
            <v>0</v>
          </cell>
          <cell r="Y1131">
            <v>0</v>
          </cell>
          <cell r="AW1131">
            <v>1.0009999999999999</v>
          </cell>
          <cell r="BC1131">
            <v>10.08</v>
          </cell>
        </row>
        <row r="1132">
          <cell r="F1132" t="str">
            <v>3.20-21-1</v>
          </cell>
          <cell r="H1132" t="str">
            <v>1 дефлектор</v>
          </cell>
          <cell r="I1132">
            <v>10</v>
          </cell>
          <cell r="P1132">
            <v>23.4</v>
          </cell>
          <cell r="Q1132">
            <v>16.649999999999999</v>
          </cell>
          <cell r="R1132">
            <v>2.08</v>
          </cell>
          <cell r="S1132">
            <v>447.63</v>
          </cell>
          <cell r="U1132">
            <v>39.020189999999992</v>
          </cell>
          <cell r="X1132">
            <v>490.18</v>
          </cell>
          <cell r="Y1132">
            <v>274.32</v>
          </cell>
          <cell r="AL1132">
            <v>2.34</v>
          </cell>
          <cell r="AM1132">
            <v>1.04</v>
          </cell>
          <cell r="AN1132">
            <v>0.13</v>
          </cell>
          <cell r="AO1132">
            <v>30.4</v>
          </cell>
          <cell r="AQ1132">
            <v>2.65</v>
          </cell>
        </row>
        <row r="1133">
          <cell r="P1133">
            <v>154.44</v>
          </cell>
          <cell r="Q1133">
            <v>258.24</v>
          </cell>
          <cell r="R1133">
            <v>117.21</v>
          </cell>
          <cell r="S1133">
            <v>25223.95</v>
          </cell>
          <cell r="X1133">
            <v>27621.86</v>
          </cell>
          <cell r="Y1133">
            <v>15458.11</v>
          </cell>
          <cell r="AT1133">
            <v>109</v>
          </cell>
          <cell r="AU1133">
            <v>61</v>
          </cell>
          <cell r="AV1133">
            <v>1.0669999999999999</v>
          </cell>
          <cell r="AW1133">
            <v>1</v>
          </cell>
          <cell r="BA1133">
            <v>56.35</v>
          </cell>
          <cell r="BB1133">
            <v>15.51</v>
          </cell>
          <cell r="BC1133">
            <v>6.6</v>
          </cell>
          <cell r="BS1133">
            <v>56.35</v>
          </cell>
          <cell r="BZ1133">
            <v>109</v>
          </cell>
          <cell r="CA1133">
            <v>61</v>
          </cell>
        </row>
        <row r="1134">
          <cell r="F1134" t="str">
            <v>КА 9</v>
          </cell>
          <cell r="H1134" t="str">
            <v>шт.</v>
          </cell>
          <cell r="I1134">
            <v>10</v>
          </cell>
          <cell r="O1134">
            <v>1062.0999999999999</v>
          </cell>
          <cell r="R1134">
            <v>0</v>
          </cell>
          <cell r="X1134">
            <v>0</v>
          </cell>
          <cell r="Y1134">
            <v>0</v>
          </cell>
          <cell r="AK1134">
            <v>106.21</v>
          </cell>
        </row>
        <row r="1135">
          <cell r="O1135">
            <v>10451.06</v>
          </cell>
          <cell r="R1135">
            <v>0</v>
          </cell>
          <cell r="X1135">
            <v>0</v>
          </cell>
          <cell r="Y1135">
            <v>0</v>
          </cell>
          <cell r="AW1135">
            <v>1</v>
          </cell>
          <cell r="BC1135">
            <v>9.84</v>
          </cell>
        </row>
        <row r="1136">
          <cell r="F1136" t="str">
            <v>3.12-6-3</v>
          </cell>
          <cell r="H1136" t="str">
            <v>100 м водосточных труб</v>
          </cell>
          <cell r="I1136">
            <v>2.88</v>
          </cell>
          <cell r="Q1136">
            <v>506.45</v>
          </cell>
          <cell r="R1136">
            <v>21.46</v>
          </cell>
          <cell r="S1136">
            <v>6324.39</v>
          </cell>
          <cell r="U1136">
            <v>501.14004479999977</v>
          </cell>
          <cell r="X1136">
            <v>6218.93</v>
          </cell>
          <cell r="Y1136">
            <v>3046.01</v>
          </cell>
          <cell r="AM1136">
            <v>107.85</v>
          </cell>
          <cell r="AN1136">
            <v>4.57</v>
          </cell>
          <cell r="AO1136">
            <v>1463.92</v>
          </cell>
          <cell r="AQ1136">
            <v>116</v>
          </cell>
        </row>
        <row r="1137">
          <cell r="Q1137">
            <v>7221.98</v>
          </cell>
          <cell r="R1137">
            <v>1209.27</v>
          </cell>
          <cell r="S1137">
            <v>356379.38</v>
          </cell>
          <cell r="X1137">
            <v>350436.88</v>
          </cell>
          <cell r="Y1137">
            <v>171642.55</v>
          </cell>
          <cell r="AT1137">
            <v>98</v>
          </cell>
          <cell r="AU1137">
            <v>48</v>
          </cell>
          <cell r="AV1137">
            <v>1.087</v>
          </cell>
          <cell r="BA1137">
            <v>56.35</v>
          </cell>
          <cell r="BB1137">
            <v>14.26</v>
          </cell>
          <cell r="BS1137">
            <v>56.35</v>
          </cell>
          <cell r="BZ1137">
            <v>98</v>
          </cell>
          <cell r="CA1137">
            <v>48</v>
          </cell>
        </row>
        <row r="1138">
          <cell r="F1138" t="str">
            <v>1.7-1-2</v>
          </cell>
          <cell r="H1138" t="str">
            <v>м</v>
          </cell>
          <cell r="I1138">
            <v>288</v>
          </cell>
          <cell r="P1138">
            <v>20401.919999999998</v>
          </cell>
          <cell r="R1138">
            <v>0</v>
          </cell>
          <cell r="X1138">
            <v>0</v>
          </cell>
          <cell r="Y1138">
            <v>0</v>
          </cell>
          <cell r="AL1138">
            <v>70.84</v>
          </cell>
        </row>
        <row r="1139">
          <cell r="P1139">
            <v>88136.29</v>
          </cell>
          <cell r="R1139">
            <v>0</v>
          </cell>
          <cell r="X1139">
            <v>0</v>
          </cell>
          <cell r="Y1139">
            <v>0</v>
          </cell>
          <cell r="AW1139">
            <v>1</v>
          </cell>
          <cell r="BC1139">
            <v>4.32</v>
          </cell>
        </row>
        <row r="1140">
          <cell r="F1140" t="str">
            <v>1.7-1-3</v>
          </cell>
          <cell r="H1140" t="str">
            <v>шт.</v>
          </cell>
          <cell r="I1140">
            <v>12</v>
          </cell>
          <cell r="P1140">
            <v>1108.44</v>
          </cell>
          <cell r="R1140">
            <v>0</v>
          </cell>
          <cell r="X1140">
            <v>0</v>
          </cell>
          <cell r="Y1140">
            <v>0</v>
          </cell>
          <cell r="AL1140">
            <v>92.37</v>
          </cell>
        </row>
        <row r="1141">
          <cell r="P1141">
            <v>4976.8999999999996</v>
          </cell>
          <cell r="R1141">
            <v>0</v>
          </cell>
          <cell r="X1141">
            <v>0</v>
          </cell>
          <cell r="Y1141">
            <v>0</v>
          </cell>
          <cell r="AW1141">
            <v>1</v>
          </cell>
          <cell r="BC1141">
            <v>4.49</v>
          </cell>
        </row>
        <row r="1142">
          <cell r="F1142" t="str">
            <v>1.7-1-4</v>
          </cell>
          <cell r="H1142" t="str">
            <v>шт.</v>
          </cell>
          <cell r="I1142">
            <v>12</v>
          </cell>
          <cell r="P1142">
            <v>920.28</v>
          </cell>
          <cell r="R1142">
            <v>0</v>
          </cell>
          <cell r="X1142">
            <v>0</v>
          </cell>
          <cell r="Y1142">
            <v>0</v>
          </cell>
          <cell r="AL1142">
            <v>76.69</v>
          </cell>
        </row>
        <row r="1143">
          <cell r="P1143">
            <v>4242.49</v>
          </cell>
          <cell r="R1143">
            <v>0</v>
          </cell>
          <cell r="X1143">
            <v>0</v>
          </cell>
          <cell r="Y1143">
            <v>0</v>
          </cell>
          <cell r="AW1143">
            <v>1</v>
          </cell>
          <cell r="BC1143">
            <v>4.6100000000000003</v>
          </cell>
        </row>
        <row r="1144">
          <cell r="F1144" t="str">
            <v>1.7-1-13</v>
          </cell>
          <cell r="H1144" t="str">
            <v>шт.</v>
          </cell>
          <cell r="I1144">
            <v>288</v>
          </cell>
          <cell r="P1144">
            <v>4734.72</v>
          </cell>
          <cell r="R1144">
            <v>0</v>
          </cell>
          <cell r="X1144">
            <v>0</v>
          </cell>
          <cell r="Y1144">
            <v>0</v>
          </cell>
          <cell r="AL1144">
            <v>16.440000000000001</v>
          </cell>
        </row>
        <row r="1145">
          <cell r="P1145">
            <v>36694.080000000002</v>
          </cell>
          <cell r="R1145">
            <v>0</v>
          </cell>
          <cell r="X1145">
            <v>0</v>
          </cell>
          <cell r="Y1145">
            <v>0</v>
          </cell>
          <cell r="AW1145">
            <v>1</v>
          </cell>
          <cell r="BC1145">
            <v>7.75</v>
          </cell>
        </row>
        <row r="1147">
          <cell r="G1147" t="str">
            <v>Строительные работы на кровле</v>
          </cell>
        </row>
        <row r="1177">
          <cell r="G1177" t="str">
            <v>Кровля.</v>
          </cell>
        </row>
        <row r="1207">
          <cell r="G1207" t="str">
            <v>Окна</v>
          </cell>
        </row>
        <row r="1211">
          <cell r="G1211" t="str">
            <v>Демонтажные работы</v>
          </cell>
        </row>
        <row r="1217">
          <cell r="F1217" t="str">
            <v>3.10-84-7</v>
          </cell>
          <cell r="H1217" t="str">
            <v>100 м2</v>
          </cell>
          <cell r="I1217">
            <v>7.3831300000000004</v>
          </cell>
          <cell r="Q1217">
            <v>1318.4</v>
          </cell>
          <cell r="R1217">
            <v>218.18</v>
          </cell>
          <cell r="S1217">
            <v>16710.310000000001</v>
          </cell>
          <cell r="U1217">
            <v>1516.764214956384</v>
          </cell>
          <cell r="X1217">
            <v>16420.64</v>
          </cell>
          <cell r="Y1217">
            <v>7956.39</v>
          </cell>
          <cell r="AM1217">
            <v>177.66</v>
          </cell>
          <cell r="AN1217">
            <v>29.4</v>
          </cell>
          <cell r="AO1217">
            <v>2251.7800000000002</v>
          </cell>
          <cell r="AQ1217">
            <v>204.39</v>
          </cell>
        </row>
        <row r="1218">
          <cell r="Q1218">
            <v>24166.27</v>
          </cell>
          <cell r="R1218">
            <v>12294.44</v>
          </cell>
          <cell r="S1218">
            <v>941625.97</v>
          </cell>
          <cell r="X1218">
            <v>925302.8</v>
          </cell>
          <cell r="Y1218">
            <v>448342.59</v>
          </cell>
          <cell r="AT1218">
            <v>97</v>
          </cell>
          <cell r="AU1218">
            <v>47</v>
          </cell>
          <cell r="AV1218">
            <v>1.0469999999999999</v>
          </cell>
          <cell r="BA1218">
            <v>56.35</v>
          </cell>
          <cell r="BB1218">
            <v>18.329999999999998</v>
          </cell>
          <cell r="BS1218">
            <v>56.35</v>
          </cell>
          <cell r="BZ1218">
            <v>97</v>
          </cell>
          <cell r="CA1218">
            <v>47</v>
          </cell>
        </row>
        <row r="1219">
          <cell r="F1219" t="str">
            <v>3.9-83-4</v>
          </cell>
          <cell r="H1219" t="str">
            <v>100 м2</v>
          </cell>
          <cell r="I1219">
            <v>0.62298200000000004</v>
          </cell>
          <cell r="P1219">
            <v>1755.81</v>
          </cell>
          <cell r="Q1219">
            <v>70.17</v>
          </cell>
          <cell r="R1219">
            <v>6</v>
          </cell>
          <cell r="S1219">
            <v>1079.92</v>
          </cell>
          <cell r="U1219">
            <v>87.364531163207999</v>
          </cell>
          <cell r="X1219">
            <v>912.17</v>
          </cell>
          <cell r="Y1219">
            <v>575.54</v>
          </cell>
          <cell r="AL1219">
            <v>2818.39</v>
          </cell>
          <cell r="AM1219">
            <v>86.35</v>
          </cell>
          <cell r="AN1219">
            <v>7.38</v>
          </cell>
          <cell r="AO1219">
            <v>1328.94</v>
          </cell>
          <cell r="AQ1219">
            <v>107.51</v>
          </cell>
        </row>
        <row r="1220">
          <cell r="P1220">
            <v>10569.98</v>
          </cell>
          <cell r="Q1220">
            <v>973.96</v>
          </cell>
          <cell r="R1220">
            <v>338.1</v>
          </cell>
          <cell r="S1220">
            <v>60853.49</v>
          </cell>
          <cell r="X1220">
            <v>51400.94</v>
          </cell>
          <cell r="Y1220">
            <v>32431.54</v>
          </cell>
          <cell r="AT1220">
            <v>84</v>
          </cell>
          <cell r="AU1220">
            <v>53</v>
          </cell>
          <cell r="AV1220">
            <v>1.087</v>
          </cell>
          <cell r="AW1220">
            <v>1</v>
          </cell>
          <cell r="BA1220">
            <v>56.35</v>
          </cell>
          <cell r="BB1220">
            <v>13.88</v>
          </cell>
          <cell r="BC1220">
            <v>6.02</v>
          </cell>
          <cell r="BS1220">
            <v>56.35</v>
          </cell>
          <cell r="BZ1220">
            <v>84</v>
          </cell>
          <cell r="CA1220">
            <v>53</v>
          </cell>
        </row>
        <row r="1221">
          <cell r="F1221" t="str">
            <v>6.58-4-1</v>
          </cell>
          <cell r="H1221" t="str">
            <v>100 м</v>
          </cell>
          <cell r="I1221">
            <v>2.3919999999999999</v>
          </cell>
          <cell r="R1221">
            <v>0</v>
          </cell>
          <cell r="S1221">
            <v>279.49</v>
          </cell>
          <cell r="U1221">
            <v>27.348310079999997</v>
          </cell>
          <cell r="X1221">
            <v>251.54</v>
          </cell>
          <cell r="Y1221">
            <v>128.57</v>
          </cell>
          <cell r="AO1221">
            <v>93</v>
          </cell>
          <cell r="AQ1221">
            <v>9.1</v>
          </cell>
        </row>
        <row r="1222">
          <cell r="R1222">
            <v>0</v>
          </cell>
          <cell r="S1222">
            <v>15749.26</v>
          </cell>
          <cell r="X1222">
            <v>14174.33</v>
          </cell>
          <cell r="Y1222">
            <v>7244.66</v>
          </cell>
          <cell r="AT1222">
            <v>90</v>
          </cell>
          <cell r="AU1222">
            <v>46</v>
          </cell>
          <cell r="AV1222">
            <v>1.0469999999999999</v>
          </cell>
          <cell r="BA1222">
            <v>56.35</v>
          </cell>
          <cell r="BZ1222">
            <v>90</v>
          </cell>
          <cell r="CA1222">
            <v>46</v>
          </cell>
        </row>
        <row r="1224">
          <cell r="G1224" t="str">
            <v>Демонтажные работы</v>
          </cell>
        </row>
        <row r="1254">
          <cell r="G1254" t="str">
            <v>Монтаж наружных оконных блоков ПВХ.</v>
          </cell>
        </row>
        <row r="1258">
          <cell r="F1258" t="str">
            <v>3.10-84-7</v>
          </cell>
          <cell r="H1258" t="str">
            <v>100 м2</v>
          </cell>
          <cell r="I1258">
            <v>0.65</v>
          </cell>
          <cell r="P1258">
            <v>2705.27</v>
          </cell>
          <cell r="Q1258">
            <v>181.36</v>
          </cell>
          <cell r="R1258">
            <v>30.01</v>
          </cell>
          <cell r="S1258">
            <v>2114.7800000000002</v>
          </cell>
          <cell r="U1258">
            <v>191.95470800999996</v>
          </cell>
          <cell r="X1258">
            <v>2080.4499999999998</v>
          </cell>
          <cell r="Y1258">
            <v>1008.05</v>
          </cell>
          <cell r="AL1258">
            <v>4161.96</v>
          </cell>
          <cell r="AM1258">
            <v>177.66</v>
          </cell>
          <cell r="AN1258">
            <v>29.4</v>
          </cell>
          <cell r="AO1258">
            <v>2251.7800000000002</v>
          </cell>
          <cell r="AQ1258">
            <v>204.39</v>
          </cell>
        </row>
        <row r="1259">
          <cell r="P1259">
            <v>27701.96</v>
          </cell>
          <cell r="Q1259">
            <v>3324.33</v>
          </cell>
          <cell r="R1259">
            <v>1691.06</v>
          </cell>
          <cell r="S1259">
            <v>119167.85</v>
          </cell>
          <cell r="X1259">
            <v>117233.14</v>
          </cell>
          <cell r="Y1259">
            <v>56803.69</v>
          </cell>
          <cell r="AT1259">
            <v>97</v>
          </cell>
          <cell r="AU1259">
            <v>47</v>
          </cell>
          <cell r="AV1259">
            <v>1.0469999999999999</v>
          </cell>
          <cell r="AW1259">
            <v>1</v>
          </cell>
          <cell r="BA1259">
            <v>56.35</v>
          </cell>
          <cell r="BB1259">
            <v>18.329999999999998</v>
          </cell>
          <cell r="BC1259">
            <v>10.24</v>
          </cell>
          <cell r="BS1259">
            <v>56.35</v>
          </cell>
          <cell r="BZ1259">
            <v>97</v>
          </cell>
          <cell r="CA1259">
            <v>47</v>
          </cell>
        </row>
        <row r="1260">
          <cell r="F1260" t="str">
            <v>1.1-1-2469</v>
          </cell>
          <cell r="H1260" t="str">
            <v>м</v>
          </cell>
          <cell r="I1260">
            <v>225.55</v>
          </cell>
          <cell r="O1260">
            <v>3378.74</v>
          </cell>
          <cell r="R1260">
            <v>0</v>
          </cell>
          <cell r="X1260">
            <v>0</v>
          </cell>
          <cell r="Y1260">
            <v>0</v>
          </cell>
          <cell r="AK1260">
            <v>14.98</v>
          </cell>
        </row>
        <row r="1261">
          <cell r="O1261">
            <v>4797.8100000000004</v>
          </cell>
          <cell r="R1261">
            <v>0</v>
          </cell>
          <cell r="X1261">
            <v>0</v>
          </cell>
          <cell r="Y1261">
            <v>0</v>
          </cell>
          <cell r="AW1261">
            <v>1</v>
          </cell>
          <cell r="BC1261">
            <v>1.42</v>
          </cell>
        </row>
        <row r="1262">
          <cell r="F1262" t="str">
            <v>1.1-1-2980</v>
          </cell>
          <cell r="H1262" t="str">
            <v>м</v>
          </cell>
          <cell r="I1262">
            <v>225.55</v>
          </cell>
          <cell r="O1262">
            <v>3326.86</v>
          </cell>
          <cell r="R1262">
            <v>0</v>
          </cell>
          <cell r="X1262">
            <v>0</v>
          </cell>
          <cell r="Y1262">
            <v>0</v>
          </cell>
          <cell r="AK1262">
            <v>14.75</v>
          </cell>
        </row>
        <row r="1263">
          <cell r="O1263">
            <v>6354.3</v>
          </cell>
          <cell r="R1263">
            <v>0</v>
          </cell>
          <cell r="X1263">
            <v>0</v>
          </cell>
          <cell r="Y1263">
            <v>0</v>
          </cell>
          <cell r="AW1263">
            <v>1</v>
          </cell>
          <cell r="BC1263">
            <v>1.91</v>
          </cell>
        </row>
        <row r="1264">
          <cell r="F1264" t="str">
            <v>КА 115</v>
          </cell>
          <cell r="H1264" t="str">
            <v>ШТ</v>
          </cell>
          <cell r="I1264">
            <v>2</v>
          </cell>
          <cell r="P1264">
            <v>41718.879999999997</v>
          </cell>
          <cell r="R1264">
            <v>0</v>
          </cell>
          <cell r="X1264">
            <v>0</v>
          </cell>
          <cell r="Y1264">
            <v>0</v>
          </cell>
          <cell r="AL1264">
            <v>20859.439999999999</v>
          </cell>
        </row>
        <row r="1265">
          <cell r="P1265">
            <v>410513.78</v>
          </cell>
          <cell r="R1265">
            <v>0</v>
          </cell>
          <cell r="X1265">
            <v>0</v>
          </cell>
          <cell r="Y1265">
            <v>0</v>
          </cell>
          <cell r="AW1265">
            <v>1</v>
          </cell>
          <cell r="BC1265">
            <v>9.84</v>
          </cell>
        </row>
        <row r="1266">
          <cell r="F1266" t="str">
            <v>КА 116</v>
          </cell>
          <cell r="H1266" t="str">
            <v>ШТ</v>
          </cell>
          <cell r="I1266">
            <v>1</v>
          </cell>
          <cell r="P1266">
            <v>22922.46</v>
          </cell>
          <cell r="R1266">
            <v>0</v>
          </cell>
          <cell r="X1266">
            <v>0</v>
          </cell>
          <cell r="Y1266">
            <v>0</v>
          </cell>
          <cell r="AL1266">
            <v>22922.46</v>
          </cell>
        </row>
        <row r="1267">
          <cell r="P1267">
            <v>225557.01</v>
          </cell>
          <cell r="R1267">
            <v>0</v>
          </cell>
          <cell r="X1267">
            <v>0</v>
          </cell>
          <cell r="Y1267">
            <v>0</v>
          </cell>
          <cell r="AW1267">
            <v>1</v>
          </cell>
          <cell r="BC1267">
            <v>9.84</v>
          </cell>
        </row>
        <row r="1268">
          <cell r="F1268" t="str">
            <v>КА 118</v>
          </cell>
          <cell r="H1268" t="str">
            <v>ШТ</v>
          </cell>
          <cell r="I1268">
            <v>1</v>
          </cell>
          <cell r="P1268">
            <v>24559.78</v>
          </cell>
          <cell r="R1268">
            <v>0</v>
          </cell>
          <cell r="X1268">
            <v>0</v>
          </cell>
          <cell r="Y1268">
            <v>0</v>
          </cell>
          <cell r="AL1268">
            <v>24559.780000000002</v>
          </cell>
        </row>
        <row r="1269">
          <cell r="P1269">
            <v>241668.24</v>
          </cell>
          <cell r="R1269">
            <v>0</v>
          </cell>
          <cell r="X1269">
            <v>0</v>
          </cell>
          <cell r="Y1269">
            <v>0</v>
          </cell>
          <cell r="AW1269">
            <v>1</v>
          </cell>
          <cell r="BC1269">
            <v>9.84</v>
          </cell>
        </row>
        <row r="1270">
          <cell r="F1270" t="str">
            <v>КА 113</v>
          </cell>
          <cell r="H1270" t="str">
            <v>ШТ</v>
          </cell>
          <cell r="I1270">
            <v>1</v>
          </cell>
          <cell r="P1270">
            <v>27834.42</v>
          </cell>
          <cell r="R1270">
            <v>0</v>
          </cell>
          <cell r="X1270">
            <v>0</v>
          </cell>
          <cell r="Y1270">
            <v>0</v>
          </cell>
          <cell r="AL1270">
            <v>27834.420000000002</v>
          </cell>
        </row>
        <row r="1271">
          <cell r="P1271">
            <v>273890.69</v>
          </cell>
          <cell r="R1271">
            <v>0</v>
          </cell>
          <cell r="X1271">
            <v>0</v>
          </cell>
          <cell r="Y1271">
            <v>0</v>
          </cell>
          <cell r="AW1271">
            <v>1</v>
          </cell>
          <cell r="BC1271">
            <v>9.84</v>
          </cell>
        </row>
        <row r="1272">
          <cell r="F1272" t="str">
            <v>КА 108.110.119</v>
          </cell>
          <cell r="H1272" t="str">
            <v>ШТ</v>
          </cell>
          <cell r="I1272">
            <v>12</v>
          </cell>
          <cell r="P1272">
            <v>353660.88</v>
          </cell>
          <cell r="R1272">
            <v>0</v>
          </cell>
          <cell r="X1272">
            <v>0</v>
          </cell>
          <cell r="Y1272">
            <v>0</v>
          </cell>
          <cell r="AL1272">
            <v>29471.74</v>
          </cell>
        </row>
        <row r="1273">
          <cell r="P1273">
            <v>3480023.06</v>
          </cell>
          <cell r="R1273">
            <v>0</v>
          </cell>
          <cell r="X1273">
            <v>0</v>
          </cell>
          <cell r="Y1273">
            <v>0</v>
          </cell>
          <cell r="AW1273">
            <v>1</v>
          </cell>
          <cell r="BC1273">
            <v>9.84</v>
          </cell>
        </row>
        <row r="1274">
          <cell r="F1274" t="str">
            <v>КА 109</v>
          </cell>
          <cell r="H1274" t="str">
            <v>ШТ</v>
          </cell>
          <cell r="I1274">
            <v>5</v>
          </cell>
          <cell r="P1274">
            <v>158819.9</v>
          </cell>
          <cell r="R1274">
            <v>0</v>
          </cell>
          <cell r="X1274">
            <v>0</v>
          </cell>
          <cell r="Y1274">
            <v>0</v>
          </cell>
          <cell r="AL1274">
            <v>31763.98</v>
          </cell>
        </row>
        <row r="1275">
          <cell r="P1275">
            <v>1562787.82</v>
          </cell>
          <cell r="R1275">
            <v>0</v>
          </cell>
          <cell r="X1275">
            <v>0</v>
          </cell>
          <cell r="Y1275">
            <v>0</v>
          </cell>
          <cell r="AW1275">
            <v>1</v>
          </cell>
          <cell r="BC1275">
            <v>9.84</v>
          </cell>
        </row>
        <row r="1276">
          <cell r="F1276" t="str">
            <v>КА 114</v>
          </cell>
          <cell r="H1276" t="str">
            <v>ШТ</v>
          </cell>
          <cell r="I1276">
            <v>2</v>
          </cell>
          <cell r="P1276">
            <v>59532.92</v>
          </cell>
          <cell r="R1276">
            <v>0</v>
          </cell>
          <cell r="X1276">
            <v>0</v>
          </cell>
          <cell r="Y1276">
            <v>0</v>
          </cell>
          <cell r="AL1276">
            <v>29766.46</v>
          </cell>
        </row>
        <row r="1277">
          <cell r="P1277">
            <v>585803.93000000005</v>
          </cell>
          <cell r="R1277">
            <v>0</v>
          </cell>
          <cell r="X1277">
            <v>0</v>
          </cell>
          <cell r="Y1277">
            <v>0</v>
          </cell>
          <cell r="AW1277">
            <v>1</v>
          </cell>
          <cell r="BC1277">
            <v>9.84</v>
          </cell>
        </row>
        <row r="1278">
          <cell r="F1278" t="str">
            <v>КА 10. 12</v>
          </cell>
          <cell r="H1278" t="str">
            <v>ШТ</v>
          </cell>
          <cell r="I1278">
            <v>2</v>
          </cell>
          <cell r="P1278">
            <v>62218.12</v>
          </cell>
          <cell r="R1278">
            <v>0</v>
          </cell>
          <cell r="X1278">
            <v>0</v>
          </cell>
          <cell r="Y1278">
            <v>0</v>
          </cell>
          <cell r="AL1278">
            <v>31109.06</v>
          </cell>
        </row>
        <row r="1279">
          <cell r="P1279">
            <v>612226.30000000005</v>
          </cell>
          <cell r="R1279">
            <v>0</v>
          </cell>
          <cell r="X1279">
            <v>0</v>
          </cell>
          <cell r="Y1279">
            <v>0</v>
          </cell>
          <cell r="AW1279">
            <v>1</v>
          </cell>
          <cell r="BC1279">
            <v>9.84</v>
          </cell>
        </row>
        <row r="1280">
          <cell r="F1280" t="str">
            <v>КА 111</v>
          </cell>
          <cell r="H1280" t="str">
            <v>ШТ</v>
          </cell>
          <cell r="I1280">
            <v>5</v>
          </cell>
          <cell r="P1280">
            <v>158819.9</v>
          </cell>
          <cell r="R1280">
            <v>0</v>
          </cell>
          <cell r="X1280">
            <v>0</v>
          </cell>
          <cell r="Y1280">
            <v>0</v>
          </cell>
          <cell r="AL1280">
            <v>31763.98</v>
          </cell>
        </row>
        <row r="1281">
          <cell r="P1281">
            <v>1562787.82</v>
          </cell>
          <cell r="R1281">
            <v>0</v>
          </cell>
          <cell r="X1281">
            <v>0</v>
          </cell>
          <cell r="Y1281">
            <v>0</v>
          </cell>
          <cell r="AW1281">
            <v>1</v>
          </cell>
          <cell r="BC1281">
            <v>9.84</v>
          </cell>
        </row>
        <row r="1282">
          <cell r="F1282" t="str">
            <v>КА 32. 53. 117</v>
          </cell>
          <cell r="H1282" t="str">
            <v>ШТ</v>
          </cell>
          <cell r="I1282">
            <v>5</v>
          </cell>
          <cell r="P1282">
            <v>163731.9</v>
          </cell>
          <cell r="R1282">
            <v>0</v>
          </cell>
          <cell r="X1282">
            <v>0</v>
          </cell>
          <cell r="Y1282">
            <v>0</v>
          </cell>
          <cell r="AL1282">
            <v>32746.38</v>
          </cell>
        </row>
        <row r="1283">
          <cell r="P1283">
            <v>1611121.9</v>
          </cell>
          <cell r="R1283">
            <v>0</v>
          </cell>
          <cell r="X1283">
            <v>0</v>
          </cell>
          <cell r="Y1283">
            <v>0</v>
          </cell>
          <cell r="AW1283">
            <v>1</v>
          </cell>
          <cell r="BC1283">
            <v>9.84</v>
          </cell>
        </row>
        <row r="1284">
          <cell r="F1284" t="str">
            <v>3.10-84-12</v>
          </cell>
          <cell r="H1284" t="str">
            <v>100 м2</v>
          </cell>
          <cell r="I1284">
            <v>6.9829999999999997</v>
          </cell>
          <cell r="P1284">
            <v>20637.91</v>
          </cell>
          <cell r="Q1284">
            <v>1854.16</v>
          </cell>
          <cell r="R1284">
            <v>308.61</v>
          </cell>
          <cell r="S1284">
            <v>15450.79</v>
          </cell>
          <cell r="U1284">
            <v>1400.8202626391999</v>
          </cell>
          <cell r="X1284">
            <v>15286.62</v>
          </cell>
          <cell r="Y1284">
            <v>7406.92</v>
          </cell>
          <cell r="AL1284">
            <v>2955.45</v>
          </cell>
          <cell r="AM1284">
            <v>169.07</v>
          </cell>
          <cell r="AN1284">
            <v>28.14</v>
          </cell>
          <cell r="AO1284">
            <v>1531.38</v>
          </cell>
          <cell r="AQ1284">
            <v>138.84</v>
          </cell>
        </row>
        <row r="1285">
          <cell r="P1285">
            <v>210919.44</v>
          </cell>
          <cell r="Q1285">
            <v>34098</v>
          </cell>
          <cell r="R1285">
            <v>17390.169999999998</v>
          </cell>
          <cell r="S1285">
            <v>870652.02</v>
          </cell>
          <cell r="X1285">
            <v>861400.92</v>
          </cell>
          <cell r="Y1285">
            <v>417379.83</v>
          </cell>
          <cell r="AT1285">
            <v>97</v>
          </cell>
          <cell r="AU1285">
            <v>47</v>
          </cell>
          <cell r="AV1285">
            <v>1.0469999999999999</v>
          </cell>
          <cell r="AW1285">
            <v>1</v>
          </cell>
          <cell r="BA1285">
            <v>56.35</v>
          </cell>
          <cell r="BB1285">
            <v>18.39</v>
          </cell>
          <cell r="BC1285">
            <v>10.220000000000001</v>
          </cell>
          <cell r="BS1285">
            <v>56.35</v>
          </cell>
          <cell r="BZ1285">
            <v>97</v>
          </cell>
          <cell r="CA1285">
            <v>47</v>
          </cell>
        </row>
        <row r="1286">
          <cell r="F1286" t="str">
            <v>1.1-1-2469</v>
          </cell>
          <cell r="H1286" t="str">
            <v>м</v>
          </cell>
          <cell r="I1286">
            <v>1634.0219999999999</v>
          </cell>
          <cell r="O1286">
            <v>24477.65</v>
          </cell>
          <cell r="R1286">
            <v>0</v>
          </cell>
          <cell r="X1286">
            <v>0</v>
          </cell>
          <cell r="Y1286">
            <v>0</v>
          </cell>
          <cell r="AK1286">
            <v>14.98</v>
          </cell>
        </row>
        <row r="1287">
          <cell r="O1287">
            <v>34758.26</v>
          </cell>
          <cell r="R1287">
            <v>0</v>
          </cell>
          <cell r="X1287">
            <v>0</v>
          </cell>
          <cell r="Y1287">
            <v>0</v>
          </cell>
          <cell r="AW1287">
            <v>1</v>
          </cell>
          <cell r="BC1287">
            <v>1.42</v>
          </cell>
        </row>
        <row r="1288">
          <cell r="F1288" t="str">
            <v>1.1-1-2980</v>
          </cell>
          <cell r="H1288" t="str">
            <v>м</v>
          </cell>
          <cell r="I1288">
            <v>1634.0219999999999</v>
          </cell>
          <cell r="O1288">
            <v>24101.82</v>
          </cell>
          <cell r="R1288">
            <v>0</v>
          </cell>
          <cell r="X1288">
            <v>0</v>
          </cell>
          <cell r="Y1288">
            <v>0</v>
          </cell>
          <cell r="AK1288">
            <v>14.75</v>
          </cell>
        </row>
        <row r="1289">
          <cell r="O1289">
            <v>46034.48</v>
          </cell>
          <cell r="R1289">
            <v>0</v>
          </cell>
          <cell r="X1289">
            <v>0</v>
          </cell>
          <cell r="Y1289">
            <v>0</v>
          </cell>
          <cell r="AW1289">
            <v>1</v>
          </cell>
          <cell r="BC1289">
            <v>1.91</v>
          </cell>
        </row>
        <row r="1290">
          <cell r="F1290" t="str">
            <v>КА 13</v>
          </cell>
          <cell r="H1290" t="str">
            <v>ШТ</v>
          </cell>
          <cell r="I1290">
            <v>1</v>
          </cell>
          <cell r="P1290">
            <v>34383.699999999997</v>
          </cell>
          <cell r="R1290">
            <v>0</v>
          </cell>
          <cell r="X1290">
            <v>0</v>
          </cell>
          <cell r="Y1290">
            <v>0</v>
          </cell>
          <cell r="AL1290">
            <v>34383.700000000004</v>
          </cell>
        </row>
        <row r="1291">
          <cell r="P1291">
            <v>338335.61</v>
          </cell>
          <cell r="R1291">
            <v>0</v>
          </cell>
          <cell r="X1291">
            <v>0</v>
          </cell>
          <cell r="Y1291">
            <v>0</v>
          </cell>
          <cell r="AW1291">
            <v>1</v>
          </cell>
          <cell r="BC1291">
            <v>9.84</v>
          </cell>
        </row>
        <row r="1292">
          <cell r="F1292" t="str">
            <v>КА 11.14.21.22</v>
          </cell>
          <cell r="H1292" t="str">
            <v>ШТ</v>
          </cell>
          <cell r="I1292">
            <v>4</v>
          </cell>
          <cell r="P1292">
            <v>144084.04</v>
          </cell>
          <cell r="R1292">
            <v>0</v>
          </cell>
          <cell r="X1292">
            <v>0</v>
          </cell>
          <cell r="Y1292">
            <v>0</v>
          </cell>
          <cell r="AL1292">
            <v>36021.01</v>
          </cell>
        </row>
        <row r="1293">
          <cell r="P1293">
            <v>1417786.95</v>
          </cell>
          <cell r="R1293">
            <v>0</v>
          </cell>
          <cell r="X1293">
            <v>0</v>
          </cell>
          <cell r="Y1293">
            <v>0</v>
          </cell>
          <cell r="AW1293">
            <v>1</v>
          </cell>
          <cell r="BC1293">
            <v>9.84</v>
          </cell>
        </row>
        <row r="1294">
          <cell r="F1294" t="str">
            <v>КА 14</v>
          </cell>
          <cell r="H1294" t="str">
            <v>ШТ</v>
          </cell>
          <cell r="I1294">
            <v>1</v>
          </cell>
          <cell r="P1294">
            <v>37658.33</v>
          </cell>
          <cell r="R1294">
            <v>0</v>
          </cell>
          <cell r="X1294">
            <v>0</v>
          </cell>
          <cell r="Y1294">
            <v>0</v>
          </cell>
          <cell r="AL1294">
            <v>37658.33</v>
          </cell>
        </row>
        <row r="1295">
          <cell r="P1295">
            <v>370557.97</v>
          </cell>
          <cell r="R1295">
            <v>0</v>
          </cell>
          <cell r="X1295">
            <v>0</v>
          </cell>
          <cell r="Y1295">
            <v>0</v>
          </cell>
          <cell r="AW1295">
            <v>1</v>
          </cell>
          <cell r="BC1295">
            <v>9.84</v>
          </cell>
        </row>
        <row r="1296">
          <cell r="F1296" t="str">
            <v>КА 16. 26.33</v>
          </cell>
          <cell r="H1296" t="str">
            <v>ШТ</v>
          </cell>
          <cell r="I1296">
            <v>3</v>
          </cell>
          <cell r="P1296">
            <v>117886.95</v>
          </cell>
          <cell r="R1296">
            <v>0</v>
          </cell>
          <cell r="X1296">
            <v>0</v>
          </cell>
          <cell r="Y1296">
            <v>0</v>
          </cell>
          <cell r="AL1296">
            <v>39295.65</v>
          </cell>
        </row>
        <row r="1297">
          <cell r="P1297">
            <v>1160007.5900000001</v>
          </cell>
          <cell r="R1297">
            <v>0</v>
          </cell>
          <cell r="X1297">
            <v>0</v>
          </cell>
          <cell r="Y1297">
            <v>0</v>
          </cell>
          <cell r="AW1297">
            <v>1</v>
          </cell>
          <cell r="BC1297">
            <v>9.84</v>
          </cell>
        </row>
        <row r="1298">
          <cell r="F1298" t="str">
            <v>КА19</v>
          </cell>
          <cell r="H1298" t="str">
            <v>ШТ</v>
          </cell>
          <cell r="I1298">
            <v>3</v>
          </cell>
          <cell r="P1298">
            <v>116249.64</v>
          </cell>
          <cell r="R1298">
            <v>0</v>
          </cell>
          <cell r="X1298">
            <v>0</v>
          </cell>
          <cell r="Y1298">
            <v>0</v>
          </cell>
          <cell r="AL1298">
            <v>38749.880000000005</v>
          </cell>
        </row>
        <row r="1299">
          <cell r="P1299">
            <v>1143896.46</v>
          </cell>
          <cell r="R1299">
            <v>0</v>
          </cell>
          <cell r="X1299">
            <v>0</v>
          </cell>
          <cell r="Y1299">
            <v>0</v>
          </cell>
          <cell r="AW1299">
            <v>1</v>
          </cell>
          <cell r="BC1299">
            <v>9.84</v>
          </cell>
        </row>
        <row r="1300">
          <cell r="F1300" t="str">
            <v>КА 55</v>
          </cell>
          <cell r="H1300" t="str">
            <v>ШТ</v>
          </cell>
          <cell r="I1300">
            <v>2</v>
          </cell>
          <cell r="P1300">
            <v>80228.639999999999</v>
          </cell>
          <cell r="R1300">
            <v>0</v>
          </cell>
          <cell r="X1300">
            <v>0</v>
          </cell>
          <cell r="Y1300">
            <v>0</v>
          </cell>
          <cell r="AL1300">
            <v>40114.32</v>
          </cell>
        </row>
        <row r="1301">
          <cell r="P1301">
            <v>789449.82</v>
          </cell>
          <cell r="R1301">
            <v>0</v>
          </cell>
          <cell r="X1301">
            <v>0</v>
          </cell>
          <cell r="Y1301">
            <v>0</v>
          </cell>
          <cell r="AW1301">
            <v>1</v>
          </cell>
          <cell r="BC1301">
            <v>9.84</v>
          </cell>
        </row>
        <row r="1302">
          <cell r="F1302" t="str">
            <v>КА 20</v>
          </cell>
          <cell r="H1302" t="str">
            <v>ШТ</v>
          </cell>
          <cell r="I1302">
            <v>3</v>
          </cell>
          <cell r="P1302">
            <v>124436.22</v>
          </cell>
          <cell r="R1302">
            <v>0</v>
          </cell>
          <cell r="X1302">
            <v>0</v>
          </cell>
          <cell r="Y1302">
            <v>0</v>
          </cell>
          <cell r="AL1302">
            <v>41478.74</v>
          </cell>
        </row>
        <row r="1303">
          <cell r="P1303">
            <v>1224452.3999999999</v>
          </cell>
          <cell r="R1303">
            <v>0</v>
          </cell>
          <cell r="X1303">
            <v>0</v>
          </cell>
          <cell r="Y1303">
            <v>0</v>
          </cell>
          <cell r="AW1303">
            <v>1</v>
          </cell>
          <cell r="BC1303">
            <v>9.84</v>
          </cell>
        </row>
        <row r="1304">
          <cell r="F1304" t="str">
            <v>КА 30</v>
          </cell>
          <cell r="H1304" t="str">
            <v>ШТ</v>
          </cell>
          <cell r="I1304">
            <v>2</v>
          </cell>
          <cell r="P1304">
            <v>83503.259999999995</v>
          </cell>
          <cell r="R1304">
            <v>0</v>
          </cell>
          <cell r="X1304">
            <v>0</v>
          </cell>
          <cell r="Y1304">
            <v>0</v>
          </cell>
          <cell r="AL1304">
            <v>41751.630000000005</v>
          </cell>
        </row>
        <row r="1305">
          <cell r="P1305">
            <v>821672.08</v>
          </cell>
          <cell r="R1305">
            <v>0</v>
          </cell>
          <cell r="X1305">
            <v>0</v>
          </cell>
          <cell r="Y1305">
            <v>0</v>
          </cell>
          <cell r="AW1305">
            <v>1</v>
          </cell>
          <cell r="BC1305">
            <v>9.84</v>
          </cell>
        </row>
        <row r="1306">
          <cell r="F1306" t="str">
            <v>КА 36</v>
          </cell>
          <cell r="H1306" t="str">
            <v>ШТ</v>
          </cell>
          <cell r="I1306">
            <v>1</v>
          </cell>
          <cell r="P1306">
            <v>40932.97</v>
          </cell>
          <cell r="R1306">
            <v>0</v>
          </cell>
          <cell r="X1306">
            <v>0</v>
          </cell>
          <cell r="Y1306">
            <v>0</v>
          </cell>
          <cell r="AL1306">
            <v>40932.97</v>
          </cell>
        </row>
        <row r="1307">
          <cell r="P1307">
            <v>402780.42</v>
          </cell>
          <cell r="R1307">
            <v>0</v>
          </cell>
          <cell r="X1307">
            <v>0</v>
          </cell>
          <cell r="Y1307">
            <v>0</v>
          </cell>
          <cell r="AW1307">
            <v>1</v>
          </cell>
          <cell r="BC1307">
            <v>9.84</v>
          </cell>
        </row>
        <row r="1308">
          <cell r="F1308" t="str">
            <v>КА 49</v>
          </cell>
          <cell r="H1308" t="str">
            <v>ШТ</v>
          </cell>
          <cell r="I1308">
            <v>16</v>
          </cell>
          <cell r="P1308">
            <v>664751.52</v>
          </cell>
          <cell r="R1308">
            <v>0</v>
          </cell>
          <cell r="X1308">
            <v>0</v>
          </cell>
          <cell r="Y1308">
            <v>0</v>
          </cell>
          <cell r="AL1308">
            <v>41546.97</v>
          </cell>
        </row>
        <row r="1309">
          <cell r="P1309">
            <v>6541154.96</v>
          </cell>
          <cell r="R1309">
            <v>0</v>
          </cell>
          <cell r="X1309">
            <v>0</v>
          </cell>
          <cell r="Y1309">
            <v>0</v>
          </cell>
          <cell r="AW1309">
            <v>1</v>
          </cell>
          <cell r="BC1309">
            <v>9.84</v>
          </cell>
        </row>
        <row r="1310">
          <cell r="F1310" t="str">
            <v>КА 54</v>
          </cell>
          <cell r="H1310" t="str">
            <v>ШТ</v>
          </cell>
          <cell r="I1310">
            <v>6</v>
          </cell>
          <cell r="P1310">
            <v>198443.04</v>
          </cell>
          <cell r="R1310">
            <v>0</v>
          </cell>
          <cell r="X1310">
            <v>0</v>
          </cell>
          <cell r="Y1310">
            <v>0</v>
          </cell>
          <cell r="AL1310">
            <v>33073.840000000004</v>
          </cell>
        </row>
        <row r="1311">
          <cell r="P1311">
            <v>1952679.51</v>
          </cell>
          <cell r="R1311">
            <v>0</v>
          </cell>
          <cell r="X1311">
            <v>0</v>
          </cell>
          <cell r="Y1311">
            <v>0</v>
          </cell>
          <cell r="AW1311">
            <v>1</v>
          </cell>
          <cell r="BC1311">
            <v>9.84</v>
          </cell>
        </row>
        <row r="1312">
          <cell r="F1312" t="str">
            <v>КА 17. 18</v>
          </cell>
          <cell r="H1312" t="str">
            <v>ШТ</v>
          </cell>
          <cell r="I1312">
            <v>6</v>
          </cell>
          <cell r="P1312">
            <v>258696.36</v>
          </cell>
          <cell r="R1312">
            <v>0</v>
          </cell>
          <cell r="X1312">
            <v>0</v>
          </cell>
          <cell r="Y1312">
            <v>0</v>
          </cell>
          <cell r="AL1312">
            <v>43116.060000000005</v>
          </cell>
        </row>
        <row r="1313">
          <cell r="P1313">
            <v>2545572.1800000002</v>
          </cell>
          <cell r="R1313">
            <v>0</v>
          </cell>
          <cell r="X1313">
            <v>0</v>
          </cell>
          <cell r="Y1313">
            <v>0</v>
          </cell>
          <cell r="AW1313">
            <v>1</v>
          </cell>
          <cell r="BC1313">
            <v>9.84</v>
          </cell>
        </row>
        <row r="1314">
          <cell r="F1314" t="str">
            <v>КА 24. 41</v>
          </cell>
          <cell r="H1314" t="str">
            <v>ШТ</v>
          </cell>
          <cell r="I1314">
            <v>8</v>
          </cell>
          <cell r="P1314">
            <v>337287.67999999999</v>
          </cell>
          <cell r="R1314">
            <v>0</v>
          </cell>
          <cell r="X1314">
            <v>0</v>
          </cell>
          <cell r="Y1314">
            <v>0</v>
          </cell>
          <cell r="AL1314">
            <v>42160.959999999999</v>
          </cell>
        </row>
        <row r="1315">
          <cell r="P1315">
            <v>3318910.77</v>
          </cell>
          <cell r="R1315">
            <v>0</v>
          </cell>
          <cell r="X1315">
            <v>0</v>
          </cell>
          <cell r="Y1315">
            <v>0</v>
          </cell>
          <cell r="AW1315">
            <v>1</v>
          </cell>
          <cell r="BC1315">
            <v>9.84</v>
          </cell>
        </row>
        <row r="1316">
          <cell r="F1316" t="str">
            <v>КА 27</v>
          </cell>
          <cell r="H1316" t="str">
            <v>ШТ</v>
          </cell>
          <cell r="I1316">
            <v>1</v>
          </cell>
          <cell r="P1316">
            <v>37658.33</v>
          </cell>
          <cell r="R1316">
            <v>0</v>
          </cell>
          <cell r="X1316">
            <v>0</v>
          </cell>
          <cell r="Y1316">
            <v>0</v>
          </cell>
          <cell r="AL1316">
            <v>37658.33</v>
          </cell>
        </row>
        <row r="1317">
          <cell r="P1317">
            <v>370557.97</v>
          </cell>
          <cell r="R1317">
            <v>0</v>
          </cell>
          <cell r="X1317">
            <v>0</v>
          </cell>
          <cell r="Y1317">
            <v>0</v>
          </cell>
          <cell r="AW1317">
            <v>1</v>
          </cell>
          <cell r="BC1317">
            <v>9.84</v>
          </cell>
        </row>
        <row r="1318">
          <cell r="F1318" t="str">
            <v>КА 28</v>
          </cell>
          <cell r="H1318" t="str">
            <v>ШТ</v>
          </cell>
          <cell r="I1318">
            <v>2</v>
          </cell>
          <cell r="P1318">
            <v>86777.88</v>
          </cell>
          <cell r="R1318">
            <v>0</v>
          </cell>
          <cell r="X1318">
            <v>0</v>
          </cell>
          <cell r="Y1318">
            <v>0</v>
          </cell>
          <cell r="AL1318">
            <v>43388.94</v>
          </cell>
        </row>
        <row r="1319">
          <cell r="P1319">
            <v>853894.34</v>
          </cell>
          <cell r="R1319">
            <v>0</v>
          </cell>
          <cell r="X1319">
            <v>0</v>
          </cell>
          <cell r="Y1319">
            <v>0</v>
          </cell>
          <cell r="AW1319">
            <v>1</v>
          </cell>
          <cell r="BC1319">
            <v>9.84</v>
          </cell>
        </row>
        <row r="1320">
          <cell r="F1320" t="str">
            <v>КА 37. 46</v>
          </cell>
          <cell r="H1320" t="str">
            <v>ШТ</v>
          </cell>
          <cell r="I1320">
            <v>4</v>
          </cell>
          <cell r="P1320">
            <v>170281.16</v>
          </cell>
          <cell r="R1320">
            <v>0</v>
          </cell>
          <cell r="X1320">
            <v>0</v>
          </cell>
          <cell r="Y1320">
            <v>0</v>
          </cell>
          <cell r="AL1320">
            <v>42570.29</v>
          </cell>
        </row>
        <row r="1321">
          <cell r="P1321">
            <v>1675566.61</v>
          </cell>
          <cell r="R1321">
            <v>0</v>
          </cell>
          <cell r="X1321">
            <v>0</v>
          </cell>
          <cell r="Y1321">
            <v>0</v>
          </cell>
          <cell r="AW1321">
            <v>1</v>
          </cell>
          <cell r="BC1321">
            <v>9.84</v>
          </cell>
        </row>
        <row r="1322">
          <cell r="F1322" t="str">
            <v>КА 47</v>
          </cell>
          <cell r="H1322" t="str">
            <v>ШТ</v>
          </cell>
          <cell r="I1322">
            <v>16</v>
          </cell>
          <cell r="P1322">
            <v>784275.68</v>
          </cell>
          <cell r="R1322">
            <v>0</v>
          </cell>
          <cell r="X1322">
            <v>0</v>
          </cell>
          <cell r="Y1322">
            <v>0</v>
          </cell>
          <cell r="AL1322">
            <v>49017.23</v>
          </cell>
        </row>
        <row r="1323">
          <cell r="P1323">
            <v>7717272.6900000004</v>
          </cell>
          <cell r="R1323">
            <v>0</v>
          </cell>
          <cell r="X1323">
            <v>0</v>
          </cell>
          <cell r="Y1323">
            <v>0</v>
          </cell>
          <cell r="AW1323">
            <v>1</v>
          </cell>
          <cell r="BC1323">
            <v>9.84</v>
          </cell>
        </row>
        <row r="1324">
          <cell r="F1324" t="str">
            <v>КА 50</v>
          </cell>
          <cell r="H1324" t="str">
            <v>ШТ</v>
          </cell>
          <cell r="I1324">
            <v>16</v>
          </cell>
          <cell r="P1324">
            <v>679487.36</v>
          </cell>
          <cell r="R1324">
            <v>0</v>
          </cell>
          <cell r="X1324">
            <v>0</v>
          </cell>
          <cell r="Y1324">
            <v>0</v>
          </cell>
          <cell r="AL1324">
            <v>42467.96</v>
          </cell>
        </row>
        <row r="1325">
          <cell r="P1325">
            <v>6686155.6200000001</v>
          </cell>
          <cell r="R1325">
            <v>0</v>
          </cell>
          <cell r="X1325">
            <v>0</v>
          </cell>
          <cell r="Y1325">
            <v>0</v>
          </cell>
          <cell r="AW1325">
            <v>1</v>
          </cell>
          <cell r="BC1325">
            <v>9.84</v>
          </cell>
        </row>
        <row r="1326">
          <cell r="F1326" t="str">
            <v>КА 52</v>
          </cell>
          <cell r="H1326" t="str">
            <v>ШТ</v>
          </cell>
          <cell r="I1326">
            <v>1</v>
          </cell>
          <cell r="P1326">
            <v>42570.29</v>
          </cell>
          <cell r="R1326">
            <v>0</v>
          </cell>
          <cell r="X1326">
            <v>0</v>
          </cell>
          <cell r="Y1326">
            <v>0</v>
          </cell>
          <cell r="AL1326">
            <v>42570.29</v>
          </cell>
        </row>
        <row r="1327">
          <cell r="P1327">
            <v>418891.65</v>
          </cell>
          <cell r="R1327">
            <v>0</v>
          </cell>
          <cell r="X1327">
            <v>0</v>
          </cell>
          <cell r="Y1327">
            <v>0</v>
          </cell>
          <cell r="AW1327">
            <v>1</v>
          </cell>
          <cell r="BC1327">
            <v>9.84</v>
          </cell>
        </row>
        <row r="1328">
          <cell r="F1328" t="str">
            <v>КА 31</v>
          </cell>
          <cell r="H1328" t="str">
            <v>ШТ</v>
          </cell>
          <cell r="I1328">
            <v>2</v>
          </cell>
          <cell r="P1328">
            <v>88415.22</v>
          </cell>
          <cell r="R1328">
            <v>0</v>
          </cell>
          <cell r="X1328">
            <v>0</v>
          </cell>
          <cell r="Y1328">
            <v>0</v>
          </cell>
          <cell r="AL1328">
            <v>44207.61</v>
          </cell>
        </row>
        <row r="1329">
          <cell r="P1329">
            <v>870005.76000000001</v>
          </cell>
          <cell r="R1329">
            <v>0</v>
          </cell>
          <cell r="X1329">
            <v>0</v>
          </cell>
          <cell r="Y1329">
            <v>0</v>
          </cell>
          <cell r="AW1329">
            <v>1</v>
          </cell>
          <cell r="BC1329">
            <v>9.84</v>
          </cell>
        </row>
        <row r="1330">
          <cell r="F1330" t="str">
            <v>КА 25</v>
          </cell>
          <cell r="H1330" t="str">
            <v>ШТ</v>
          </cell>
          <cell r="I1330">
            <v>4</v>
          </cell>
          <cell r="P1330">
            <v>180105.08</v>
          </cell>
          <cell r="R1330">
            <v>0</v>
          </cell>
          <cell r="X1330">
            <v>0</v>
          </cell>
          <cell r="Y1330">
            <v>0</v>
          </cell>
          <cell r="AL1330">
            <v>45026.270000000004</v>
          </cell>
        </row>
        <row r="1331">
          <cell r="P1331">
            <v>1772233.99</v>
          </cell>
          <cell r="R1331">
            <v>0</v>
          </cell>
          <cell r="X1331">
            <v>0</v>
          </cell>
          <cell r="Y1331">
            <v>0</v>
          </cell>
          <cell r="AW1331">
            <v>1</v>
          </cell>
          <cell r="BC1331">
            <v>9.84</v>
          </cell>
        </row>
        <row r="1332">
          <cell r="F1332" t="str">
            <v>КА 29</v>
          </cell>
          <cell r="H1332" t="str">
            <v>ШТ</v>
          </cell>
          <cell r="I1332">
            <v>2</v>
          </cell>
          <cell r="P1332">
            <v>93327.16</v>
          </cell>
          <cell r="R1332">
            <v>0</v>
          </cell>
          <cell r="X1332">
            <v>0</v>
          </cell>
          <cell r="Y1332">
            <v>0</v>
          </cell>
          <cell r="AL1332">
            <v>46663.58</v>
          </cell>
        </row>
        <row r="1333">
          <cell r="P1333">
            <v>918339.25</v>
          </cell>
          <cell r="R1333">
            <v>0</v>
          </cell>
          <cell r="X1333">
            <v>0</v>
          </cell>
          <cell r="Y1333">
            <v>0</v>
          </cell>
          <cell r="AW1333">
            <v>1</v>
          </cell>
          <cell r="BC1333">
            <v>9.84</v>
          </cell>
        </row>
        <row r="1334">
          <cell r="F1334" t="str">
            <v>КА 34. 35. 81</v>
          </cell>
          <cell r="H1334" t="str">
            <v>ШТ</v>
          </cell>
          <cell r="I1334">
            <v>3</v>
          </cell>
          <cell r="P1334">
            <v>137534.79</v>
          </cell>
          <cell r="R1334">
            <v>0</v>
          </cell>
          <cell r="X1334">
            <v>0</v>
          </cell>
          <cell r="Y1334">
            <v>0</v>
          </cell>
          <cell r="AL1334">
            <v>45844.93</v>
          </cell>
        </row>
        <row r="1335">
          <cell r="P1335">
            <v>1353342.33</v>
          </cell>
          <cell r="R1335">
            <v>0</v>
          </cell>
          <cell r="X1335">
            <v>0</v>
          </cell>
          <cell r="Y1335">
            <v>0</v>
          </cell>
          <cell r="AW1335">
            <v>1</v>
          </cell>
          <cell r="BC1335">
            <v>9.84</v>
          </cell>
        </row>
        <row r="1336">
          <cell r="F1336" t="str">
            <v>КА 63</v>
          </cell>
          <cell r="H1336" t="str">
            <v>ШТ</v>
          </cell>
          <cell r="I1336">
            <v>1</v>
          </cell>
          <cell r="P1336">
            <v>47482.239999999998</v>
          </cell>
          <cell r="R1336">
            <v>0</v>
          </cell>
          <cell r="X1336">
            <v>0</v>
          </cell>
          <cell r="Y1336">
            <v>0</v>
          </cell>
          <cell r="AL1336">
            <v>47482.239999999998</v>
          </cell>
        </row>
        <row r="1337">
          <cell r="P1337">
            <v>467225.24</v>
          </cell>
          <cell r="R1337">
            <v>0</v>
          </cell>
          <cell r="X1337">
            <v>0</v>
          </cell>
          <cell r="Y1337">
            <v>0</v>
          </cell>
          <cell r="AW1337">
            <v>1</v>
          </cell>
          <cell r="BC1337">
            <v>9.84</v>
          </cell>
        </row>
        <row r="1338">
          <cell r="F1338" t="str">
            <v>КА 48</v>
          </cell>
          <cell r="H1338" t="str">
            <v>ШТ</v>
          </cell>
          <cell r="I1338">
            <v>16</v>
          </cell>
          <cell r="P1338">
            <v>805560.96</v>
          </cell>
          <cell r="R1338">
            <v>0</v>
          </cell>
          <cell r="X1338">
            <v>0</v>
          </cell>
          <cell r="Y1338">
            <v>0</v>
          </cell>
          <cell r="AL1338">
            <v>50347.56</v>
          </cell>
        </row>
        <row r="1339">
          <cell r="P1339">
            <v>7926719.8499999996</v>
          </cell>
          <cell r="R1339">
            <v>0</v>
          </cell>
          <cell r="X1339">
            <v>0</v>
          </cell>
          <cell r="Y1339">
            <v>0</v>
          </cell>
          <cell r="AW1339">
            <v>1</v>
          </cell>
          <cell r="BC1339">
            <v>9.84</v>
          </cell>
        </row>
        <row r="1340">
          <cell r="F1340" t="str">
            <v>КА 23.65. 73.79</v>
          </cell>
          <cell r="H1340" t="str">
            <v>ШТ</v>
          </cell>
          <cell r="I1340">
            <v>9</v>
          </cell>
          <cell r="P1340">
            <v>456811.92</v>
          </cell>
          <cell r="R1340">
            <v>0</v>
          </cell>
          <cell r="X1340">
            <v>0</v>
          </cell>
          <cell r="Y1340">
            <v>0</v>
          </cell>
          <cell r="AL1340">
            <v>50756.880000000005</v>
          </cell>
        </row>
        <row r="1341">
          <cell r="P1341">
            <v>4495029.29</v>
          </cell>
          <cell r="R1341">
            <v>0</v>
          </cell>
          <cell r="X1341">
            <v>0</v>
          </cell>
          <cell r="Y1341">
            <v>0</v>
          </cell>
          <cell r="AW1341">
            <v>1</v>
          </cell>
          <cell r="BC1341">
            <v>9.84</v>
          </cell>
        </row>
        <row r="1342">
          <cell r="F1342" t="str">
            <v>КА 64</v>
          </cell>
          <cell r="H1342" t="str">
            <v>ШТ</v>
          </cell>
          <cell r="I1342">
            <v>2</v>
          </cell>
          <cell r="P1342">
            <v>95914.12</v>
          </cell>
          <cell r="R1342">
            <v>0</v>
          </cell>
          <cell r="X1342">
            <v>0</v>
          </cell>
          <cell r="Y1342">
            <v>0</v>
          </cell>
          <cell r="AL1342">
            <v>47957.060000000005</v>
          </cell>
        </row>
        <row r="1343">
          <cell r="P1343">
            <v>943794.94</v>
          </cell>
          <cell r="R1343">
            <v>0</v>
          </cell>
          <cell r="X1343">
            <v>0</v>
          </cell>
          <cell r="Y1343">
            <v>0</v>
          </cell>
          <cell r="AW1343">
            <v>1</v>
          </cell>
          <cell r="BC1343">
            <v>9.84</v>
          </cell>
        </row>
        <row r="1344">
          <cell r="F1344" t="str">
            <v>КА 56.58</v>
          </cell>
          <cell r="H1344" t="str">
            <v>ШТ</v>
          </cell>
          <cell r="I1344">
            <v>7</v>
          </cell>
          <cell r="P1344">
            <v>280800.24</v>
          </cell>
          <cell r="R1344">
            <v>0</v>
          </cell>
          <cell r="X1344">
            <v>0</v>
          </cell>
          <cell r="Y1344">
            <v>0</v>
          </cell>
          <cell r="AL1344">
            <v>40114.32</v>
          </cell>
        </row>
        <row r="1345">
          <cell r="P1345">
            <v>2763074.36</v>
          </cell>
          <cell r="R1345">
            <v>0</v>
          </cell>
          <cell r="X1345">
            <v>0</v>
          </cell>
          <cell r="Y1345">
            <v>0</v>
          </cell>
          <cell r="AW1345">
            <v>1</v>
          </cell>
          <cell r="BC1345">
            <v>9.84</v>
          </cell>
        </row>
        <row r="1346">
          <cell r="F1346" t="str">
            <v>КА 61.76</v>
          </cell>
          <cell r="H1346" t="str">
            <v>ШТ</v>
          </cell>
          <cell r="I1346">
            <v>6</v>
          </cell>
          <cell r="P1346">
            <v>327463.74</v>
          </cell>
          <cell r="R1346">
            <v>0</v>
          </cell>
          <cell r="X1346">
            <v>0</v>
          </cell>
          <cell r="Y1346">
            <v>0</v>
          </cell>
          <cell r="AL1346">
            <v>54577.29</v>
          </cell>
        </row>
        <row r="1347">
          <cell r="P1347">
            <v>3222243.2</v>
          </cell>
          <cell r="R1347">
            <v>0</v>
          </cell>
          <cell r="X1347">
            <v>0</v>
          </cell>
          <cell r="Y1347">
            <v>0</v>
          </cell>
          <cell r="AW1347">
            <v>1</v>
          </cell>
          <cell r="BC1347">
            <v>9.84</v>
          </cell>
        </row>
        <row r="1348">
          <cell r="F1348" t="str">
            <v>КА  71.84.88</v>
          </cell>
          <cell r="H1348" t="str">
            <v>ШТ</v>
          </cell>
          <cell r="I1348">
            <v>3</v>
          </cell>
          <cell r="P1348">
            <v>162094.56</v>
          </cell>
          <cell r="R1348">
            <v>0</v>
          </cell>
          <cell r="X1348">
            <v>0</v>
          </cell>
          <cell r="Y1348">
            <v>0</v>
          </cell>
          <cell r="AL1348">
            <v>54031.520000000004</v>
          </cell>
        </row>
        <row r="1349">
          <cell r="P1349">
            <v>1595010.47</v>
          </cell>
          <cell r="R1349">
            <v>0</v>
          </cell>
          <cell r="X1349">
            <v>0</v>
          </cell>
          <cell r="Y1349">
            <v>0</v>
          </cell>
          <cell r="AW1349">
            <v>1</v>
          </cell>
          <cell r="BC1349">
            <v>9.84</v>
          </cell>
        </row>
        <row r="1350">
          <cell r="F1350" t="str">
            <v>КА 59. 60.85</v>
          </cell>
          <cell r="H1350" t="str">
            <v>ШТ</v>
          </cell>
          <cell r="I1350">
            <v>10</v>
          </cell>
          <cell r="P1350">
            <v>551230.6</v>
          </cell>
          <cell r="R1350">
            <v>0</v>
          </cell>
          <cell r="X1350">
            <v>0</v>
          </cell>
          <cell r="Y1350">
            <v>0</v>
          </cell>
          <cell r="AL1350">
            <v>55123.06</v>
          </cell>
        </row>
        <row r="1351">
          <cell r="P1351">
            <v>5424109.0999999996</v>
          </cell>
          <cell r="R1351">
            <v>0</v>
          </cell>
          <cell r="X1351">
            <v>0</v>
          </cell>
          <cell r="Y1351">
            <v>0</v>
          </cell>
          <cell r="AW1351">
            <v>1</v>
          </cell>
          <cell r="BC1351">
            <v>9.84</v>
          </cell>
        </row>
        <row r="1352">
          <cell r="F1352" t="str">
            <v>КА 62..77</v>
          </cell>
          <cell r="H1352" t="str">
            <v>ШТ</v>
          </cell>
          <cell r="I1352">
            <v>6</v>
          </cell>
          <cell r="P1352">
            <v>330738.36</v>
          </cell>
          <cell r="R1352">
            <v>0</v>
          </cell>
          <cell r="X1352">
            <v>0</v>
          </cell>
          <cell r="Y1352">
            <v>0</v>
          </cell>
          <cell r="AL1352">
            <v>55123.06</v>
          </cell>
        </row>
        <row r="1353">
          <cell r="P1353">
            <v>3254465.46</v>
          </cell>
          <cell r="R1353">
            <v>0</v>
          </cell>
          <cell r="X1353">
            <v>0</v>
          </cell>
          <cell r="Y1353">
            <v>0</v>
          </cell>
          <cell r="AW1353">
            <v>1</v>
          </cell>
          <cell r="BC1353">
            <v>9.84</v>
          </cell>
        </row>
        <row r="1354">
          <cell r="F1354" t="str">
            <v>КА 72. 83.86. 94.97.98</v>
          </cell>
          <cell r="H1354" t="str">
            <v>ШТ</v>
          </cell>
          <cell r="I1354">
            <v>6</v>
          </cell>
          <cell r="P1354">
            <v>327431.03999999998</v>
          </cell>
          <cell r="R1354">
            <v>0</v>
          </cell>
          <cell r="X1354">
            <v>0</v>
          </cell>
          <cell r="Y1354">
            <v>0</v>
          </cell>
          <cell r="AL1354">
            <v>54571.840000000004</v>
          </cell>
        </row>
        <row r="1355">
          <cell r="P1355">
            <v>3221921.43</v>
          </cell>
          <cell r="R1355">
            <v>0</v>
          </cell>
          <cell r="X1355">
            <v>0</v>
          </cell>
          <cell r="Y1355">
            <v>0</v>
          </cell>
          <cell r="AW1355">
            <v>1</v>
          </cell>
          <cell r="BC1355">
            <v>9.84</v>
          </cell>
        </row>
        <row r="1356">
          <cell r="F1356" t="str">
            <v>КА 74.75</v>
          </cell>
          <cell r="H1356" t="str">
            <v>ШТ</v>
          </cell>
          <cell r="I1356">
            <v>6</v>
          </cell>
          <cell r="P1356">
            <v>307586.76</v>
          </cell>
          <cell r="R1356">
            <v>0</v>
          </cell>
          <cell r="X1356">
            <v>0</v>
          </cell>
          <cell r="Y1356">
            <v>0</v>
          </cell>
          <cell r="AL1356">
            <v>51264.46</v>
          </cell>
        </row>
        <row r="1357">
          <cell r="P1357">
            <v>3026653.72</v>
          </cell>
          <cell r="R1357">
            <v>0</v>
          </cell>
          <cell r="X1357">
            <v>0</v>
          </cell>
          <cell r="Y1357">
            <v>0</v>
          </cell>
          <cell r="AW1357">
            <v>1</v>
          </cell>
          <cell r="BC1357">
            <v>9.84</v>
          </cell>
        </row>
        <row r="1358">
          <cell r="F1358" t="str">
            <v>КА 69. 70.82.87.89</v>
          </cell>
          <cell r="H1358" t="str">
            <v>ШТ</v>
          </cell>
          <cell r="I1358">
            <v>5</v>
          </cell>
          <cell r="P1358">
            <v>302903.95</v>
          </cell>
          <cell r="R1358">
            <v>0</v>
          </cell>
          <cell r="X1358">
            <v>0</v>
          </cell>
          <cell r="Y1358">
            <v>0</v>
          </cell>
          <cell r="AL1358">
            <v>60580.79</v>
          </cell>
        </row>
        <row r="1359">
          <cell r="P1359">
            <v>2980574.87</v>
          </cell>
          <cell r="R1359">
            <v>0</v>
          </cell>
          <cell r="X1359">
            <v>0</v>
          </cell>
          <cell r="Y1359">
            <v>0</v>
          </cell>
          <cell r="AW1359">
            <v>1</v>
          </cell>
          <cell r="BC1359">
            <v>9.84</v>
          </cell>
        </row>
        <row r="1360">
          <cell r="F1360" t="str">
            <v>КА 66</v>
          </cell>
          <cell r="H1360" t="str">
            <v>ШТ</v>
          </cell>
          <cell r="I1360">
            <v>1</v>
          </cell>
          <cell r="P1360">
            <v>51264.46</v>
          </cell>
          <cell r="R1360">
            <v>0</v>
          </cell>
          <cell r="X1360">
            <v>0</v>
          </cell>
          <cell r="Y1360">
            <v>0</v>
          </cell>
          <cell r="AL1360">
            <v>51264.46</v>
          </cell>
        </row>
        <row r="1361">
          <cell r="P1361">
            <v>504442.29</v>
          </cell>
          <cell r="R1361">
            <v>0</v>
          </cell>
          <cell r="X1361">
            <v>0</v>
          </cell>
          <cell r="Y1361">
            <v>0</v>
          </cell>
          <cell r="AW1361">
            <v>1</v>
          </cell>
          <cell r="BC1361">
            <v>9.84</v>
          </cell>
        </row>
        <row r="1362">
          <cell r="F1362" t="str">
            <v>КА 67.68.92</v>
          </cell>
          <cell r="H1362" t="str">
            <v>ШТ</v>
          </cell>
          <cell r="I1362">
            <v>3</v>
          </cell>
          <cell r="P1362">
            <v>191566.32</v>
          </cell>
          <cell r="R1362">
            <v>0</v>
          </cell>
          <cell r="X1362">
            <v>0</v>
          </cell>
          <cell r="Y1362">
            <v>0</v>
          </cell>
          <cell r="AL1362">
            <v>63855.44</v>
          </cell>
        </row>
        <row r="1363">
          <cell r="P1363">
            <v>1885012.59</v>
          </cell>
          <cell r="R1363">
            <v>0</v>
          </cell>
          <cell r="X1363">
            <v>0</v>
          </cell>
          <cell r="Y1363">
            <v>0</v>
          </cell>
          <cell r="AW1363">
            <v>1</v>
          </cell>
          <cell r="BC1363">
            <v>9.84</v>
          </cell>
        </row>
        <row r="1364">
          <cell r="F1364" t="str">
            <v>КА 104</v>
          </cell>
          <cell r="H1364" t="str">
            <v>ШТ</v>
          </cell>
          <cell r="I1364">
            <v>3</v>
          </cell>
          <cell r="P1364">
            <v>189929.01</v>
          </cell>
          <cell r="R1364">
            <v>0</v>
          </cell>
          <cell r="X1364">
            <v>0</v>
          </cell>
          <cell r="Y1364">
            <v>0</v>
          </cell>
          <cell r="AL1364">
            <v>63309.670000000006</v>
          </cell>
        </row>
        <row r="1365">
          <cell r="P1365">
            <v>1868901.46</v>
          </cell>
          <cell r="R1365">
            <v>0</v>
          </cell>
          <cell r="X1365">
            <v>0</v>
          </cell>
          <cell r="Y1365">
            <v>0</v>
          </cell>
          <cell r="AW1365">
            <v>1</v>
          </cell>
          <cell r="BC1365">
            <v>9.84</v>
          </cell>
        </row>
        <row r="1366">
          <cell r="F1366" t="str">
            <v>КА 106</v>
          </cell>
          <cell r="H1366" t="str">
            <v>ШТ</v>
          </cell>
          <cell r="I1366">
            <v>2</v>
          </cell>
          <cell r="P1366">
            <v>126073.56</v>
          </cell>
          <cell r="R1366">
            <v>0</v>
          </cell>
          <cell r="X1366">
            <v>0</v>
          </cell>
          <cell r="Y1366">
            <v>0</v>
          </cell>
          <cell r="AL1366">
            <v>63036.78</v>
          </cell>
        </row>
        <row r="1367">
          <cell r="P1367">
            <v>1240563.83</v>
          </cell>
          <cell r="R1367">
            <v>0</v>
          </cell>
          <cell r="X1367">
            <v>0</v>
          </cell>
          <cell r="Y1367">
            <v>0</v>
          </cell>
          <cell r="AW1367">
            <v>1</v>
          </cell>
          <cell r="BC1367">
            <v>9.84</v>
          </cell>
        </row>
        <row r="1368">
          <cell r="F1368" t="str">
            <v>КА 93.95</v>
          </cell>
          <cell r="H1368" t="str">
            <v>ШТ</v>
          </cell>
          <cell r="I1368">
            <v>2</v>
          </cell>
          <cell r="P1368">
            <v>122373.22</v>
          </cell>
          <cell r="R1368">
            <v>0</v>
          </cell>
          <cell r="X1368">
            <v>0</v>
          </cell>
          <cell r="Y1368">
            <v>0</v>
          </cell>
          <cell r="AL1368">
            <v>61186.61</v>
          </cell>
        </row>
        <row r="1369">
          <cell r="P1369">
            <v>1204152.48</v>
          </cell>
          <cell r="R1369">
            <v>0</v>
          </cell>
          <cell r="X1369">
            <v>0</v>
          </cell>
          <cell r="Y1369">
            <v>0</v>
          </cell>
          <cell r="AW1369">
            <v>1</v>
          </cell>
          <cell r="BC1369">
            <v>9.84</v>
          </cell>
        </row>
        <row r="1370">
          <cell r="F1370" t="str">
            <v>КА 102</v>
          </cell>
          <cell r="H1370" t="str">
            <v>ШТ</v>
          </cell>
          <cell r="I1370">
            <v>3</v>
          </cell>
          <cell r="P1370">
            <v>178598.73</v>
          </cell>
          <cell r="R1370">
            <v>0</v>
          </cell>
          <cell r="X1370">
            <v>0</v>
          </cell>
          <cell r="Y1370">
            <v>0</v>
          </cell>
          <cell r="AL1370">
            <v>59532.909999999996</v>
          </cell>
        </row>
        <row r="1371">
          <cell r="P1371">
            <v>1757411.5</v>
          </cell>
          <cell r="R1371">
            <v>0</v>
          </cell>
          <cell r="X1371">
            <v>0</v>
          </cell>
          <cell r="Y1371">
            <v>0</v>
          </cell>
          <cell r="AW1371">
            <v>1</v>
          </cell>
          <cell r="BC1371">
            <v>9.84</v>
          </cell>
        </row>
        <row r="1372">
          <cell r="F1372" t="str">
            <v>КА 103</v>
          </cell>
          <cell r="H1372" t="str">
            <v>ШТ</v>
          </cell>
          <cell r="I1372">
            <v>3</v>
          </cell>
          <cell r="P1372">
            <v>212196.54</v>
          </cell>
          <cell r="R1372">
            <v>0</v>
          </cell>
          <cell r="X1372">
            <v>0</v>
          </cell>
          <cell r="Y1372">
            <v>0</v>
          </cell>
          <cell r="AL1372">
            <v>70732.180000000008</v>
          </cell>
        </row>
        <row r="1373">
          <cell r="P1373">
            <v>2088013.95</v>
          </cell>
          <cell r="R1373">
            <v>0</v>
          </cell>
          <cell r="X1373">
            <v>0</v>
          </cell>
          <cell r="Y1373">
            <v>0</v>
          </cell>
          <cell r="AW1373">
            <v>1</v>
          </cell>
          <cell r="BC1373">
            <v>9.84</v>
          </cell>
        </row>
        <row r="1374">
          <cell r="F1374" t="str">
            <v>КА 96</v>
          </cell>
          <cell r="H1374" t="str">
            <v>ШТ</v>
          </cell>
          <cell r="I1374">
            <v>5</v>
          </cell>
          <cell r="P1374">
            <v>322469.95</v>
          </cell>
          <cell r="R1374">
            <v>0</v>
          </cell>
          <cell r="X1374">
            <v>0</v>
          </cell>
          <cell r="Y1374">
            <v>0</v>
          </cell>
          <cell r="AL1374">
            <v>64493.99</v>
          </cell>
        </row>
        <row r="1375">
          <cell r="P1375">
            <v>3173104.31</v>
          </cell>
          <cell r="R1375">
            <v>0</v>
          </cell>
          <cell r="X1375">
            <v>0</v>
          </cell>
          <cell r="Y1375">
            <v>0</v>
          </cell>
          <cell r="AW1375">
            <v>1</v>
          </cell>
          <cell r="BC1375">
            <v>9.84</v>
          </cell>
        </row>
        <row r="1376">
          <cell r="F1376" t="str">
            <v>КА 120</v>
          </cell>
          <cell r="H1376" t="str">
            <v>ШТ</v>
          </cell>
          <cell r="I1376">
            <v>4</v>
          </cell>
          <cell r="P1376">
            <v>92606.720000000001</v>
          </cell>
          <cell r="R1376">
            <v>0</v>
          </cell>
          <cell r="X1376">
            <v>0</v>
          </cell>
          <cell r="Y1376">
            <v>0</v>
          </cell>
          <cell r="AL1376">
            <v>23151.68</v>
          </cell>
        </row>
        <row r="1377">
          <cell r="P1377">
            <v>911250.12</v>
          </cell>
          <cell r="R1377">
            <v>0</v>
          </cell>
          <cell r="X1377">
            <v>0</v>
          </cell>
          <cell r="Y1377">
            <v>0</v>
          </cell>
          <cell r="AW1377">
            <v>1</v>
          </cell>
          <cell r="BC1377">
            <v>9.84</v>
          </cell>
        </row>
        <row r="1378">
          <cell r="F1378" t="str">
            <v>КА 99</v>
          </cell>
          <cell r="H1378" t="str">
            <v>ШТ</v>
          </cell>
          <cell r="I1378">
            <v>1</v>
          </cell>
          <cell r="P1378">
            <v>66147.679999999993</v>
          </cell>
          <cell r="R1378">
            <v>0</v>
          </cell>
          <cell r="X1378">
            <v>0</v>
          </cell>
          <cell r="Y1378">
            <v>0</v>
          </cell>
          <cell r="AL1378">
            <v>66147.679999999993</v>
          </cell>
        </row>
        <row r="1379">
          <cell r="P1379">
            <v>650893.17000000004</v>
          </cell>
          <cell r="R1379">
            <v>0</v>
          </cell>
          <cell r="X1379">
            <v>0</v>
          </cell>
          <cell r="Y1379">
            <v>0</v>
          </cell>
          <cell r="AW1379">
            <v>1</v>
          </cell>
          <cell r="BC1379">
            <v>9.84</v>
          </cell>
        </row>
        <row r="1380">
          <cell r="F1380" t="str">
            <v>КА 100</v>
          </cell>
          <cell r="H1380" t="str">
            <v>ШТ</v>
          </cell>
          <cell r="I1380">
            <v>4</v>
          </cell>
          <cell r="P1380">
            <v>329415.44</v>
          </cell>
          <cell r="R1380">
            <v>0</v>
          </cell>
          <cell r="X1380">
            <v>0</v>
          </cell>
          <cell r="Y1380">
            <v>0</v>
          </cell>
          <cell r="AL1380">
            <v>82353.86</v>
          </cell>
        </row>
        <row r="1381">
          <cell r="P1381">
            <v>3241447.93</v>
          </cell>
          <cell r="R1381">
            <v>0</v>
          </cell>
          <cell r="X1381">
            <v>0</v>
          </cell>
          <cell r="Y1381">
            <v>0</v>
          </cell>
          <cell r="AW1381">
            <v>1</v>
          </cell>
          <cell r="BC1381">
            <v>9.84</v>
          </cell>
        </row>
        <row r="1382">
          <cell r="F1382" t="str">
            <v>КА 107</v>
          </cell>
          <cell r="H1382" t="str">
            <v>ШТ</v>
          </cell>
          <cell r="I1382">
            <v>1</v>
          </cell>
          <cell r="P1382">
            <v>71439.490000000005</v>
          </cell>
          <cell r="R1382">
            <v>0</v>
          </cell>
          <cell r="X1382">
            <v>0</v>
          </cell>
          <cell r="Y1382">
            <v>0</v>
          </cell>
          <cell r="AL1382">
            <v>71439.490000000005</v>
          </cell>
        </row>
        <row r="1383">
          <cell r="P1383">
            <v>702964.58</v>
          </cell>
          <cell r="R1383">
            <v>0</v>
          </cell>
          <cell r="X1383">
            <v>0</v>
          </cell>
          <cell r="Y1383">
            <v>0</v>
          </cell>
          <cell r="AW1383">
            <v>1</v>
          </cell>
          <cell r="BC1383">
            <v>9.84</v>
          </cell>
        </row>
        <row r="1384">
          <cell r="F1384" t="str">
            <v>3.10-123-1</v>
          </cell>
          <cell r="H1384" t="str">
            <v>100 шт.</v>
          </cell>
          <cell r="I1384">
            <v>2.5</v>
          </cell>
          <cell r="P1384">
            <v>104.3</v>
          </cell>
          <cell r="Q1384">
            <v>130.12</v>
          </cell>
          <cell r="R1384">
            <v>16.84</v>
          </cell>
          <cell r="S1384">
            <v>510.9</v>
          </cell>
          <cell r="U1384">
            <v>45.910426499999993</v>
          </cell>
          <cell r="X1384">
            <v>511.91</v>
          </cell>
          <cell r="Y1384">
            <v>248.04</v>
          </cell>
          <cell r="AL1384">
            <v>41.72</v>
          </cell>
          <cell r="AM1384">
            <v>33.14</v>
          </cell>
          <cell r="AN1384">
            <v>4.29</v>
          </cell>
          <cell r="AO1384">
            <v>141.44</v>
          </cell>
          <cell r="AQ1384">
            <v>12.71</v>
          </cell>
        </row>
        <row r="1385">
          <cell r="P1385">
            <v>397.38</v>
          </cell>
          <cell r="Q1385">
            <v>2079.3200000000002</v>
          </cell>
          <cell r="R1385">
            <v>948.93</v>
          </cell>
          <cell r="S1385">
            <v>28789.22</v>
          </cell>
          <cell r="X1385">
            <v>28846.01</v>
          </cell>
          <cell r="Y1385">
            <v>13976.93</v>
          </cell>
          <cell r="AT1385">
            <v>97</v>
          </cell>
          <cell r="AU1385">
            <v>47</v>
          </cell>
          <cell r="AV1385">
            <v>1.0469999999999999</v>
          </cell>
          <cell r="AW1385">
            <v>1</v>
          </cell>
          <cell r="BA1385">
            <v>56.35</v>
          </cell>
          <cell r="BB1385">
            <v>15.98</v>
          </cell>
          <cell r="BC1385">
            <v>3.81</v>
          </cell>
          <cell r="BS1385">
            <v>56.35</v>
          </cell>
          <cell r="BZ1385">
            <v>97</v>
          </cell>
          <cell r="CA1385">
            <v>47</v>
          </cell>
        </row>
        <row r="1386">
          <cell r="F1386" t="str">
            <v>1.1-1-4106</v>
          </cell>
          <cell r="H1386" t="str">
            <v>м2</v>
          </cell>
          <cell r="I1386">
            <v>278.60000000000002</v>
          </cell>
          <cell r="O1386">
            <v>23786.87</v>
          </cell>
          <cell r="R1386">
            <v>0</v>
          </cell>
          <cell r="X1386">
            <v>0</v>
          </cell>
          <cell r="Y1386">
            <v>0</v>
          </cell>
          <cell r="AK1386">
            <v>85.38</v>
          </cell>
        </row>
        <row r="1387">
          <cell r="O1387">
            <v>209324.46</v>
          </cell>
          <cell r="R1387">
            <v>0</v>
          </cell>
          <cell r="X1387">
            <v>0</v>
          </cell>
          <cell r="Y1387">
            <v>0</v>
          </cell>
          <cell r="AW1387">
            <v>1</v>
          </cell>
          <cell r="BC1387">
            <v>8.8000000000000007</v>
          </cell>
        </row>
        <row r="1388">
          <cell r="F1388" t="str">
            <v>1.1-1-4107</v>
          </cell>
          <cell r="H1388" t="str">
            <v>100 шт.</v>
          </cell>
          <cell r="I1388">
            <v>10</v>
          </cell>
          <cell r="O1388">
            <v>215.4</v>
          </cell>
          <cell r="R1388">
            <v>0</v>
          </cell>
          <cell r="X1388">
            <v>0</v>
          </cell>
          <cell r="Y1388">
            <v>0</v>
          </cell>
          <cell r="AK1388">
            <v>21.54</v>
          </cell>
        </row>
        <row r="1389">
          <cell r="O1389">
            <v>3687.65</v>
          </cell>
          <cell r="R1389">
            <v>0</v>
          </cell>
          <cell r="X1389">
            <v>0</v>
          </cell>
          <cell r="Y1389">
            <v>0</v>
          </cell>
          <cell r="AW1389">
            <v>1</v>
          </cell>
          <cell r="BC1389">
            <v>17.12</v>
          </cell>
        </row>
        <row r="1390">
          <cell r="F1390" t="str">
            <v>3.10-127-1</v>
          </cell>
          <cell r="H1390" t="str">
            <v>100 шт.</v>
          </cell>
          <cell r="I1390">
            <v>2.5</v>
          </cell>
          <cell r="P1390">
            <v>63.55</v>
          </cell>
          <cell r="Q1390">
            <v>8.44</v>
          </cell>
          <cell r="R1390">
            <v>0.98</v>
          </cell>
          <cell r="S1390">
            <v>93.74</v>
          </cell>
          <cell r="U1390">
            <v>8.4163094999999988</v>
          </cell>
          <cell r="X1390">
            <v>91.88</v>
          </cell>
          <cell r="Y1390">
            <v>44.52</v>
          </cell>
          <cell r="AL1390">
            <v>25.42</v>
          </cell>
          <cell r="AM1390">
            <v>2.15</v>
          </cell>
          <cell r="AN1390">
            <v>0.25</v>
          </cell>
          <cell r="AO1390">
            <v>25.95</v>
          </cell>
          <cell r="AQ1390">
            <v>2.33</v>
          </cell>
        </row>
        <row r="1391">
          <cell r="P1391">
            <v>150.61000000000001</v>
          </cell>
          <cell r="Q1391">
            <v>129.88999999999999</v>
          </cell>
          <cell r="R1391">
            <v>55.22</v>
          </cell>
          <cell r="S1391">
            <v>5282.25</v>
          </cell>
          <cell r="X1391">
            <v>5177.3500000000004</v>
          </cell>
          <cell r="Y1391">
            <v>2508.61</v>
          </cell>
          <cell r="AT1391">
            <v>97</v>
          </cell>
          <cell r="AU1391">
            <v>47</v>
          </cell>
          <cell r="AV1391">
            <v>1.0469999999999999</v>
          </cell>
          <cell r="AW1391">
            <v>1</v>
          </cell>
          <cell r="BA1391">
            <v>56.35</v>
          </cell>
          <cell r="BB1391">
            <v>15.39</v>
          </cell>
          <cell r="BC1391">
            <v>2.37</v>
          </cell>
          <cell r="BS1391">
            <v>56.35</v>
          </cell>
          <cell r="BZ1391">
            <v>97</v>
          </cell>
          <cell r="CA1391">
            <v>47</v>
          </cell>
        </row>
        <row r="1392">
          <cell r="F1392" t="str">
            <v>1.8-3-24</v>
          </cell>
          <cell r="H1392" t="str">
            <v>КОМПЛЕКТ</v>
          </cell>
          <cell r="I1392">
            <v>250</v>
          </cell>
          <cell r="O1392">
            <v>6640</v>
          </cell>
          <cell r="R1392">
            <v>0</v>
          </cell>
          <cell r="X1392">
            <v>0</v>
          </cell>
          <cell r="Y1392">
            <v>0</v>
          </cell>
          <cell r="AK1392">
            <v>26.56</v>
          </cell>
        </row>
        <row r="1393">
          <cell r="O1393">
            <v>65470.400000000001</v>
          </cell>
          <cell r="R1393">
            <v>0</v>
          </cell>
          <cell r="X1393">
            <v>0</v>
          </cell>
          <cell r="Y1393">
            <v>0</v>
          </cell>
          <cell r="AW1393">
            <v>1</v>
          </cell>
          <cell r="BC1393">
            <v>9.86</v>
          </cell>
        </row>
        <row r="1395">
          <cell r="G1395" t="str">
            <v>Монтаж наружных оконных блоков ПВХ.</v>
          </cell>
        </row>
        <row r="1425">
          <cell r="G1425" t="str">
            <v>Монтаж наружных витражей из алюминиевого профиля</v>
          </cell>
        </row>
        <row r="1429">
          <cell r="F1429" t="str">
            <v>3.9-83-4</v>
          </cell>
          <cell r="H1429" t="str">
            <v>100 м2</v>
          </cell>
          <cell r="I1429">
            <v>0.56000000000000005</v>
          </cell>
          <cell r="P1429">
            <v>1578.3</v>
          </cell>
          <cell r="Q1429">
            <v>78.84</v>
          </cell>
          <cell r="R1429">
            <v>6.74</v>
          </cell>
          <cell r="S1429">
            <v>1116.3499999999999</v>
          </cell>
          <cell r="U1429">
            <v>90.312012335999995</v>
          </cell>
          <cell r="X1429">
            <v>943.4</v>
          </cell>
          <cell r="Y1429">
            <v>595.24</v>
          </cell>
          <cell r="AL1429">
            <v>2818.39</v>
          </cell>
          <cell r="AM1429">
            <v>86.35</v>
          </cell>
          <cell r="AN1429">
            <v>7.38</v>
          </cell>
          <cell r="AO1429">
            <v>1328.94</v>
          </cell>
          <cell r="AQ1429">
            <v>107.51</v>
          </cell>
        </row>
        <row r="1430">
          <cell r="P1430">
            <v>9501.3700000000008</v>
          </cell>
          <cell r="Q1430">
            <v>1094.3</v>
          </cell>
          <cell r="R1430">
            <v>379.8</v>
          </cell>
          <cell r="S1430">
            <v>62906.32</v>
          </cell>
          <cell r="X1430">
            <v>53160.34</v>
          </cell>
          <cell r="Y1430">
            <v>33541.64</v>
          </cell>
          <cell r="AT1430">
            <v>84</v>
          </cell>
          <cell r="AU1430">
            <v>53</v>
          </cell>
          <cell r="AV1430">
            <v>1.087</v>
          </cell>
          <cell r="AW1430">
            <v>1</v>
          </cell>
          <cell r="BA1430">
            <v>56.35</v>
          </cell>
          <cell r="BB1430">
            <v>13.88</v>
          </cell>
          <cell r="BC1430">
            <v>6.02</v>
          </cell>
          <cell r="BS1430">
            <v>56.35</v>
          </cell>
          <cell r="BZ1430">
            <v>84</v>
          </cell>
          <cell r="CA1430">
            <v>53</v>
          </cell>
        </row>
        <row r="1431">
          <cell r="F1431" t="str">
            <v>1.1-1-2982</v>
          </cell>
          <cell r="H1431" t="str">
            <v>м</v>
          </cell>
          <cell r="I1431">
            <v>122.304</v>
          </cell>
          <cell r="O1431">
            <v>1704.92</v>
          </cell>
          <cell r="R1431">
            <v>0</v>
          </cell>
          <cell r="X1431">
            <v>0</v>
          </cell>
          <cell r="Y1431">
            <v>0</v>
          </cell>
          <cell r="AK1431">
            <v>13.94</v>
          </cell>
        </row>
        <row r="1432">
          <cell r="O1432">
            <v>1159.3499999999999</v>
          </cell>
          <cell r="R1432">
            <v>0</v>
          </cell>
          <cell r="X1432">
            <v>0</v>
          </cell>
          <cell r="Y1432">
            <v>0</v>
          </cell>
          <cell r="AW1432">
            <v>1</v>
          </cell>
          <cell r="BC1432">
            <v>0.68</v>
          </cell>
        </row>
        <row r="1433">
          <cell r="F1433" t="str">
            <v>1.1-1-2469</v>
          </cell>
          <cell r="H1433" t="str">
            <v>м</v>
          </cell>
          <cell r="I1433">
            <v>122.304</v>
          </cell>
          <cell r="O1433">
            <v>1832.11</v>
          </cell>
          <cell r="R1433">
            <v>0</v>
          </cell>
          <cell r="X1433">
            <v>0</v>
          </cell>
          <cell r="Y1433">
            <v>0</v>
          </cell>
          <cell r="AK1433">
            <v>14.98</v>
          </cell>
        </row>
        <row r="1434">
          <cell r="O1434">
            <v>2601.6</v>
          </cell>
          <cell r="R1434">
            <v>0</v>
          </cell>
          <cell r="X1434">
            <v>0</v>
          </cell>
          <cell r="Y1434">
            <v>0</v>
          </cell>
          <cell r="AW1434">
            <v>1</v>
          </cell>
          <cell r="BC1434">
            <v>1.42</v>
          </cell>
        </row>
        <row r="1435">
          <cell r="F1435" t="str">
            <v>3.9-84-2</v>
          </cell>
          <cell r="H1435" t="str">
            <v>100 м2</v>
          </cell>
          <cell r="I1435">
            <v>0.56000000000000005</v>
          </cell>
          <cell r="P1435">
            <v>883.27</v>
          </cell>
          <cell r="Q1435">
            <v>222.53</v>
          </cell>
          <cell r="R1435">
            <v>25.81</v>
          </cell>
          <cell r="S1435">
            <v>1854.42</v>
          </cell>
          <cell r="U1435">
            <v>154.372974672</v>
          </cell>
          <cell r="X1435">
            <v>1579.39</v>
          </cell>
          <cell r="Y1435">
            <v>996.52</v>
          </cell>
          <cell r="AL1435">
            <v>1577.27</v>
          </cell>
          <cell r="AM1435">
            <v>243.71</v>
          </cell>
          <cell r="AN1435">
            <v>28.27</v>
          </cell>
          <cell r="AO1435">
            <v>2207.56</v>
          </cell>
          <cell r="AQ1435">
            <v>183.77</v>
          </cell>
        </row>
        <row r="1436">
          <cell r="P1436">
            <v>4116.04</v>
          </cell>
          <cell r="Q1436">
            <v>3433.64</v>
          </cell>
          <cell r="R1436">
            <v>1454.39</v>
          </cell>
          <cell r="S1436">
            <v>104496.57</v>
          </cell>
          <cell r="X1436">
            <v>88998.81</v>
          </cell>
          <cell r="Y1436">
            <v>56154.01</v>
          </cell>
          <cell r="AT1436">
            <v>84</v>
          </cell>
          <cell r="AU1436">
            <v>53</v>
          </cell>
          <cell r="AV1436">
            <v>1.087</v>
          </cell>
          <cell r="AW1436">
            <v>1</v>
          </cell>
          <cell r="BA1436">
            <v>56.35</v>
          </cell>
          <cell r="BB1436">
            <v>15.43</v>
          </cell>
          <cell r="BC1436">
            <v>4.66</v>
          </cell>
          <cell r="BS1436">
            <v>56.35</v>
          </cell>
          <cell r="BZ1436">
            <v>84</v>
          </cell>
          <cell r="CA1436">
            <v>53</v>
          </cell>
        </row>
        <row r="1437">
          <cell r="F1437" t="str">
            <v>1.1-1-2121</v>
          </cell>
          <cell r="H1437" t="str">
            <v>м2</v>
          </cell>
          <cell r="I1437">
            <v>2.2623999999999998E-2</v>
          </cell>
          <cell r="O1437">
            <v>3.28</v>
          </cell>
          <cell r="R1437">
            <v>0</v>
          </cell>
          <cell r="X1437">
            <v>0</v>
          </cell>
          <cell r="Y1437">
            <v>0</v>
          </cell>
          <cell r="AK1437">
            <v>145.16999999999999</v>
          </cell>
        </row>
        <row r="1438">
          <cell r="O1438">
            <v>18.66</v>
          </cell>
          <cell r="R1438">
            <v>0</v>
          </cell>
          <cell r="X1438">
            <v>0</v>
          </cell>
          <cell r="Y1438">
            <v>0</v>
          </cell>
          <cell r="AW1438">
            <v>1</v>
          </cell>
          <cell r="BC1438">
            <v>5.69</v>
          </cell>
        </row>
        <row r="1439">
          <cell r="F1439" t="str">
            <v>1.7-3-2</v>
          </cell>
          <cell r="H1439" t="str">
            <v>шт.</v>
          </cell>
          <cell r="I1439">
            <v>10</v>
          </cell>
          <cell r="O1439">
            <v>3782.2</v>
          </cell>
          <cell r="R1439">
            <v>0</v>
          </cell>
          <cell r="X1439">
            <v>0</v>
          </cell>
          <cell r="Y1439">
            <v>0</v>
          </cell>
          <cell r="AK1439">
            <v>378.22</v>
          </cell>
        </row>
        <row r="1440">
          <cell r="O1440">
            <v>6429.74</v>
          </cell>
          <cell r="R1440">
            <v>0</v>
          </cell>
          <cell r="X1440">
            <v>0</v>
          </cell>
          <cell r="Y1440">
            <v>0</v>
          </cell>
          <cell r="AW1440">
            <v>1</v>
          </cell>
          <cell r="BC1440">
            <v>1.7</v>
          </cell>
        </row>
        <row r="1441">
          <cell r="F1441" t="str">
            <v>1.7-3-112</v>
          </cell>
          <cell r="H1441" t="str">
            <v>шт.</v>
          </cell>
          <cell r="I1441">
            <v>10</v>
          </cell>
          <cell r="O1441">
            <v>152.5</v>
          </cell>
          <cell r="R1441">
            <v>0</v>
          </cell>
          <cell r="X1441">
            <v>0</v>
          </cell>
          <cell r="Y1441">
            <v>0</v>
          </cell>
          <cell r="AK1441">
            <v>15.25</v>
          </cell>
        </row>
        <row r="1442">
          <cell r="O1442">
            <v>361.43</v>
          </cell>
          <cell r="R1442">
            <v>0</v>
          </cell>
          <cell r="X1442">
            <v>0</v>
          </cell>
          <cell r="Y1442">
            <v>0</v>
          </cell>
          <cell r="AW1442">
            <v>1</v>
          </cell>
          <cell r="BC1442">
            <v>2.37</v>
          </cell>
        </row>
        <row r="1443">
          <cell r="F1443" t="str">
            <v>1.7-3-65</v>
          </cell>
          <cell r="H1443" t="str">
            <v>шт.</v>
          </cell>
          <cell r="I1443">
            <v>10</v>
          </cell>
          <cell r="O1443">
            <v>13478.2</v>
          </cell>
          <cell r="R1443">
            <v>0</v>
          </cell>
          <cell r="X1443">
            <v>0</v>
          </cell>
          <cell r="Y1443">
            <v>0</v>
          </cell>
          <cell r="AK1443">
            <v>1347.82</v>
          </cell>
        </row>
        <row r="1444">
          <cell r="O1444">
            <v>53912.800000000003</v>
          </cell>
          <cell r="R1444">
            <v>0</v>
          </cell>
          <cell r="X1444">
            <v>0</v>
          </cell>
          <cell r="Y1444">
            <v>0</v>
          </cell>
          <cell r="AW1444">
            <v>1</v>
          </cell>
          <cell r="BC1444">
            <v>4</v>
          </cell>
        </row>
        <row r="1445">
          <cell r="F1445" t="str">
            <v>3.9-84-7</v>
          </cell>
          <cell r="H1445" t="str">
            <v>100 м2</v>
          </cell>
          <cell r="I1445">
            <v>1.7000000000000001E-2</v>
          </cell>
          <cell r="P1445">
            <v>0.28999999999999998</v>
          </cell>
          <cell r="Q1445">
            <v>3.2</v>
          </cell>
          <cell r="R1445">
            <v>0.44</v>
          </cell>
          <cell r="S1445">
            <v>20.38</v>
          </cell>
          <cell r="U1445">
            <v>1.7603354105999998</v>
          </cell>
          <cell r="X1445">
            <v>17.489999999999998</v>
          </cell>
          <cell r="Y1445">
            <v>11.03</v>
          </cell>
          <cell r="AL1445">
            <v>17.079999999999998</v>
          </cell>
          <cell r="AM1445">
            <v>115.28</v>
          </cell>
          <cell r="AN1445">
            <v>15.9</v>
          </cell>
          <cell r="AO1445">
            <v>799.34</v>
          </cell>
          <cell r="AQ1445">
            <v>69.03</v>
          </cell>
        </row>
        <row r="1446">
          <cell r="P1446">
            <v>1.1499999999999999</v>
          </cell>
          <cell r="Q1446">
            <v>52.45</v>
          </cell>
          <cell r="R1446">
            <v>24.79</v>
          </cell>
          <cell r="S1446">
            <v>1148.4100000000001</v>
          </cell>
          <cell r="X1446">
            <v>985.49</v>
          </cell>
          <cell r="Y1446">
            <v>621.79999999999995</v>
          </cell>
          <cell r="AT1446">
            <v>84</v>
          </cell>
          <cell r="AU1446">
            <v>53</v>
          </cell>
          <cell r="AV1446">
            <v>1.087</v>
          </cell>
          <cell r="AW1446">
            <v>1</v>
          </cell>
          <cell r="BA1446">
            <v>56.35</v>
          </cell>
          <cell r="BB1446">
            <v>16.39</v>
          </cell>
          <cell r="BC1446">
            <v>3.95</v>
          </cell>
          <cell r="BS1446">
            <v>56.35</v>
          </cell>
          <cell r="BZ1446">
            <v>84</v>
          </cell>
          <cell r="CA1446">
            <v>53</v>
          </cell>
        </row>
        <row r="1447">
          <cell r="F1447" t="str">
            <v>1.7-3-112</v>
          </cell>
          <cell r="H1447" t="str">
            <v>шт.</v>
          </cell>
          <cell r="I1447">
            <v>0.30357099999999998</v>
          </cell>
          <cell r="O1447">
            <v>4.63</v>
          </cell>
          <cell r="R1447">
            <v>0</v>
          </cell>
          <cell r="X1447">
            <v>0</v>
          </cell>
          <cell r="Y1447">
            <v>0</v>
          </cell>
          <cell r="AK1447">
            <v>15.25</v>
          </cell>
        </row>
        <row r="1448">
          <cell r="O1448">
            <v>10.97</v>
          </cell>
          <cell r="R1448">
            <v>0</v>
          </cell>
          <cell r="X1448">
            <v>0</v>
          </cell>
          <cell r="Y1448">
            <v>0</v>
          </cell>
          <cell r="AW1448">
            <v>1</v>
          </cell>
          <cell r="BC1448">
            <v>2.37</v>
          </cell>
        </row>
        <row r="1449">
          <cell r="F1449" t="str">
            <v>3.9-84-8</v>
          </cell>
          <cell r="H1449" t="str">
            <v>100 м2</v>
          </cell>
          <cell r="I1449">
            <v>0.54300000000000004</v>
          </cell>
          <cell r="P1449">
            <v>6.4</v>
          </cell>
          <cell r="Q1449">
            <v>99.57</v>
          </cell>
          <cell r="R1449">
            <v>14.08</v>
          </cell>
          <cell r="S1449">
            <v>512.59</v>
          </cell>
          <cell r="U1449">
            <v>44.6852573388</v>
          </cell>
          <cell r="X1449">
            <v>442.4</v>
          </cell>
          <cell r="Y1449">
            <v>279.14</v>
          </cell>
          <cell r="AL1449">
            <v>11.79</v>
          </cell>
          <cell r="AM1449">
            <v>112.46</v>
          </cell>
          <cell r="AN1449">
            <v>15.9</v>
          </cell>
          <cell r="AO1449">
            <v>629.30999999999995</v>
          </cell>
          <cell r="AQ1449">
            <v>54.86</v>
          </cell>
        </row>
        <row r="1450">
          <cell r="P1450">
            <v>25.28</v>
          </cell>
          <cell r="Q1450">
            <v>1648.88</v>
          </cell>
          <cell r="R1450">
            <v>793.41</v>
          </cell>
          <cell r="S1450">
            <v>28884.45</v>
          </cell>
          <cell r="X1450">
            <v>24929.4</v>
          </cell>
          <cell r="Y1450">
            <v>15729.27</v>
          </cell>
          <cell r="AT1450">
            <v>84</v>
          </cell>
          <cell r="AU1450">
            <v>53</v>
          </cell>
          <cell r="AV1450">
            <v>1.087</v>
          </cell>
          <cell r="AW1450">
            <v>1</v>
          </cell>
          <cell r="BA1450">
            <v>56.35</v>
          </cell>
          <cell r="BB1450">
            <v>16.559999999999999</v>
          </cell>
          <cell r="BC1450">
            <v>3.95</v>
          </cell>
          <cell r="BS1450">
            <v>56.35</v>
          </cell>
          <cell r="BZ1450">
            <v>84</v>
          </cell>
          <cell r="CA1450">
            <v>53</v>
          </cell>
        </row>
        <row r="1451">
          <cell r="F1451" t="str">
            <v>1.7-3-112</v>
          </cell>
          <cell r="H1451" t="str">
            <v>шт.</v>
          </cell>
          <cell r="I1451">
            <v>10</v>
          </cell>
          <cell r="O1451">
            <v>152.5</v>
          </cell>
          <cell r="R1451">
            <v>0</v>
          </cell>
          <cell r="X1451">
            <v>0</v>
          </cell>
          <cell r="Y1451">
            <v>0</v>
          </cell>
          <cell r="AK1451">
            <v>15.25</v>
          </cell>
        </row>
        <row r="1452">
          <cell r="O1452">
            <v>361.43</v>
          </cell>
          <cell r="R1452">
            <v>0</v>
          </cell>
          <cell r="X1452">
            <v>0</v>
          </cell>
          <cell r="Y1452">
            <v>0</v>
          </cell>
          <cell r="AW1452">
            <v>1</v>
          </cell>
          <cell r="BC1452">
            <v>2.37</v>
          </cell>
        </row>
        <row r="1453">
          <cell r="F1453" t="str">
            <v>КА 38</v>
          </cell>
          <cell r="H1453" t="str">
            <v/>
          </cell>
          <cell r="I1453">
            <v>1</v>
          </cell>
          <cell r="P1453">
            <v>44207.61</v>
          </cell>
          <cell r="R1453">
            <v>0</v>
          </cell>
          <cell r="X1453">
            <v>0</v>
          </cell>
          <cell r="Y1453">
            <v>0</v>
          </cell>
          <cell r="AL1453">
            <v>44207.61</v>
          </cell>
        </row>
        <row r="1454">
          <cell r="P1454">
            <v>435002.88</v>
          </cell>
          <cell r="R1454">
            <v>0</v>
          </cell>
          <cell r="X1454">
            <v>0</v>
          </cell>
          <cell r="Y1454">
            <v>0</v>
          </cell>
          <cell r="AW1454">
            <v>1</v>
          </cell>
          <cell r="BC1454">
            <v>9.84</v>
          </cell>
        </row>
        <row r="1455">
          <cell r="F1455" t="str">
            <v>КА 39</v>
          </cell>
          <cell r="H1455" t="str">
            <v>ШТ</v>
          </cell>
          <cell r="I1455">
            <v>1</v>
          </cell>
          <cell r="P1455">
            <v>41546.97</v>
          </cell>
          <cell r="R1455">
            <v>0</v>
          </cell>
          <cell r="X1455">
            <v>0</v>
          </cell>
          <cell r="Y1455">
            <v>0</v>
          </cell>
          <cell r="AL1455">
            <v>41546.97</v>
          </cell>
        </row>
        <row r="1456">
          <cell r="P1456">
            <v>408822.18</v>
          </cell>
          <cell r="R1456">
            <v>0</v>
          </cell>
          <cell r="X1456">
            <v>0</v>
          </cell>
          <cell r="Y1456">
            <v>0</v>
          </cell>
          <cell r="AW1456">
            <v>1</v>
          </cell>
          <cell r="BC1456">
            <v>9.84</v>
          </cell>
        </row>
        <row r="1457">
          <cell r="F1457" t="str">
            <v>КА 40</v>
          </cell>
          <cell r="H1457" t="str">
            <v>ШТ</v>
          </cell>
          <cell r="I1457">
            <v>2</v>
          </cell>
          <cell r="P1457">
            <v>85140.58</v>
          </cell>
          <cell r="R1457">
            <v>0</v>
          </cell>
          <cell r="X1457">
            <v>0</v>
          </cell>
          <cell r="Y1457">
            <v>0</v>
          </cell>
          <cell r="AL1457">
            <v>42570.29</v>
          </cell>
        </row>
        <row r="1458">
          <cell r="P1458">
            <v>837783.31</v>
          </cell>
          <cell r="R1458">
            <v>0</v>
          </cell>
          <cell r="X1458">
            <v>0</v>
          </cell>
          <cell r="Y1458">
            <v>0</v>
          </cell>
          <cell r="AW1458">
            <v>1</v>
          </cell>
          <cell r="BC1458">
            <v>9.84</v>
          </cell>
        </row>
        <row r="1459">
          <cell r="F1459" t="str">
            <v>КА 42</v>
          </cell>
          <cell r="H1459" t="str">
            <v>ШТ</v>
          </cell>
          <cell r="I1459">
            <v>1</v>
          </cell>
          <cell r="P1459">
            <v>41546.97</v>
          </cell>
          <cell r="R1459">
            <v>0</v>
          </cell>
          <cell r="X1459">
            <v>0</v>
          </cell>
          <cell r="Y1459">
            <v>0</v>
          </cell>
          <cell r="AL1459">
            <v>41546.97</v>
          </cell>
        </row>
        <row r="1460">
          <cell r="P1460">
            <v>408822.18</v>
          </cell>
          <cell r="R1460">
            <v>0</v>
          </cell>
          <cell r="X1460">
            <v>0</v>
          </cell>
          <cell r="Y1460">
            <v>0</v>
          </cell>
          <cell r="AW1460">
            <v>1</v>
          </cell>
          <cell r="BC1460">
            <v>9.84</v>
          </cell>
        </row>
        <row r="1461">
          <cell r="F1461" t="str">
            <v>КА 43</v>
          </cell>
          <cell r="H1461" t="str">
            <v>ШТ</v>
          </cell>
          <cell r="I1461">
            <v>1</v>
          </cell>
          <cell r="P1461">
            <v>41546.97</v>
          </cell>
          <cell r="R1461">
            <v>0</v>
          </cell>
          <cell r="X1461">
            <v>0</v>
          </cell>
          <cell r="Y1461">
            <v>0</v>
          </cell>
          <cell r="AL1461">
            <v>41546.97</v>
          </cell>
        </row>
        <row r="1462">
          <cell r="P1462">
            <v>408822.18</v>
          </cell>
          <cell r="R1462">
            <v>0</v>
          </cell>
          <cell r="X1462">
            <v>0</v>
          </cell>
          <cell r="Y1462">
            <v>0</v>
          </cell>
          <cell r="AW1462">
            <v>1</v>
          </cell>
          <cell r="BC1462">
            <v>9.84</v>
          </cell>
        </row>
        <row r="1463">
          <cell r="F1463" t="str">
            <v>КА 44</v>
          </cell>
          <cell r="H1463" t="str">
            <v>ШТ</v>
          </cell>
          <cell r="I1463">
            <v>1</v>
          </cell>
          <cell r="P1463">
            <v>42570.29</v>
          </cell>
          <cell r="R1463">
            <v>0</v>
          </cell>
          <cell r="X1463">
            <v>0</v>
          </cell>
          <cell r="Y1463">
            <v>0</v>
          </cell>
          <cell r="AL1463">
            <v>42570.29</v>
          </cell>
        </row>
        <row r="1464">
          <cell r="P1464">
            <v>418891.65</v>
          </cell>
          <cell r="R1464">
            <v>0</v>
          </cell>
          <cell r="X1464">
            <v>0</v>
          </cell>
          <cell r="Y1464">
            <v>0</v>
          </cell>
          <cell r="AW1464">
            <v>1</v>
          </cell>
          <cell r="BC1464">
            <v>9.84</v>
          </cell>
        </row>
        <row r="1465">
          <cell r="F1465" t="str">
            <v>КА 51</v>
          </cell>
          <cell r="H1465" t="str">
            <v>ШТ</v>
          </cell>
          <cell r="I1465">
            <v>1</v>
          </cell>
          <cell r="P1465">
            <v>39275.18</v>
          </cell>
          <cell r="R1465">
            <v>0</v>
          </cell>
          <cell r="X1465">
            <v>0</v>
          </cell>
          <cell r="Y1465">
            <v>0</v>
          </cell>
          <cell r="AL1465">
            <v>39275.18</v>
          </cell>
        </row>
        <row r="1466">
          <cell r="P1466">
            <v>386467.77</v>
          </cell>
          <cell r="R1466">
            <v>0</v>
          </cell>
          <cell r="X1466">
            <v>0</v>
          </cell>
          <cell r="Y1466">
            <v>0</v>
          </cell>
          <cell r="AW1466">
            <v>1</v>
          </cell>
          <cell r="BC1466">
            <v>9.84</v>
          </cell>
        </row>
        <row r="1467">
          <cell r="F1467" t="str">
            <v>КА 57</v>
          </cell>
          <cell r="H1467" t="str">
            <v>ШТ</v>
          </cell>
          <cell r="I1467">
            <v>3</v>
          </cell>
          <cell r="P1467">
            <v>121546.35</v>
          </cell>
          <cell r="R1467">
            <v>0</v>
          </cell>
          <cell r="X1467">
            <v>0</v>
          </cell>
          <cell r="Y1467">
            <v>0</v>
          </cell>
          <cell r="AL1467">
            <v>40515.449999999997</v>
          </cell>
        </row>
        <row r="1468">
          <cell r="P1468">
            <v>1196016.08</v>
          </cell>
          <cell r="R1468">
            <v>0</v>
          </cell>
          <cell r="X1468">
            <v>0</v>
          </cell>
          <cell r="Y1468">
            <v>0</v>
          </cell>
          <cell r="AW1468">
            <v>1</v>
          </cell>
          <cell r="BC1468">
            <v>9.84</v>
          </cell>
        </row>
        <row r="1469">
          <cell r="F1469" t="str">
            <v>КА 78</v>
          </cell>
          <cell r="H1469" t="str">
            <v>ШТ</v>
          </cell>
          <cell r="I1469">
            <v>1</v>
          </cell>
          <cell r="P1469">
            <v>50756.88</v>
          </cell>
          <cell r="R1469">
            <v>0</v>
          </cell>
          <cell r="X1469">
            <v>0</v>
          </cell>
          <cell r="Y1469">
            <v>0</v>
          </cell>
          <cell r="AL1469">
            <v>50756.880000000005</v>
          </cell>
        </row>
        <row r="1470">
          <cell r="P1470">
            <v>499447.7</v>
          </cell>
          <cell r="R1470">
            <v>0</v>
          </cell>
          <cell r="X1470">
            <v>0</v>
          </cell>
          <cell r="Y1470">
            <v>0</v>
          </cell>
          <cell r="AW1470">
            <v>1</v>
          </cell>
          <cell r="BC1470">
            <v>9.84</v>
          </cell>
        </row>
        <row r="1471">
          <cell r="F1471" t="str">
            <v>КА 80</v>
          </cell>
          <cell r="H1471" t="str">
            <v>ШТ</v>
          </cell>
          <cell r="I1471">
            <v>1</v>
          </cell>
          <cell r="P1471">
            <v>50756.88</v>
          </cell>
          <cell r="R1471">
            <v>0</v>
          </cell>
          <cell r="X1471">
            <v>0</v>
          </cell>
          <cell r="Y1471">
            <v>0</v>
          </cell>
          <cell r="AL1471">
            <v>50756.880000000005</v>
          </cell>
        </row>
        <row r="1472">
          <cell r="P1472">
            <v>499447.7</v>
          </cell>
          <cell r="R1472">
            <v>0</v>
          </cell>
          <cell r="X1472">
            <v>0</v>
          </cell>
          <cell r="Y1472">
            <v>0</v>
          </cell>
          <cell r="AW1472">
            <v>1</v>
          </cell>
          <cell r="BC1472">
            <v>9.84</v>
          </cell>
        </row>
        <row r="1473">
          <cell r="F1473" t="str">
            <v>КА 90</v>
          </cell>
          <cell r="H1473" t="str">
            <v>ШТ</v>
          </cell>
          <cell r="I1473">
            <v>1</v>
          </cell>
          <cell r="P1473">
            <v>50756.88</v>
          </cell>
          <cell r="R1473">
            <v>0</v>
          </cell>
          <cell r="X1473">
            <v>0</v>
          </cell>
          <cell r="Y1473">
            <v>0</v>
          </cell>
          <cell r="AL1473">
            <v>50756.880000000005</v>
          </cell>
        </row>
        <row r="1474">
          <cell r="P1474">
            <v>499447.7</v>
          </cell>
          <cell r="R1474">
            <v>0</v>
          </cell>
          <cell r="X1474">
            <v>0</v>
          </cell>
          <cell r="Y1474">
            <v>0</v>
          </cell>
          <cell r="AW1474">
            <v>1</v>
          </cell>
          <cell r="BC1474">
            <v>9.84</v>
          </cell>
        </row>
        <row r="1475">
          <cell r="F1475" t="str">
            <v>КА 91</v>
          </cell>
          <cell r="H1475" t="str">
            <v>ШТ</v>
          </cell>
          <cell r="I1475">
            <v>1</v>
          </cell>
          <cell r="P1475">
            <v>61186.61</v>
          </cell>
          <cell r="R1475">
            <v>0</v>
          </cell>
          <cell r="X1475">
            <v>0</v>
          </cell>
          <cell r="Y1475">
            <v>0</v>
          </cell>
          <cell r="AL1475">
            <v>61186.61</v>
          </cell>
        </row>
        <row r="1476">
          <cell r="P1476">
            <v>602076.24</v>
          </cell>
          <cell r="R1476">
            <v>0</v>
          </cell>
          <cell r="X1476">
            <v>0</v>
          </cell>
          <cell r="Y1476">
            <v>0</v>
          </cell>
          <cell r="AW1476">
            <v>1</v>
          </cell>
          <cell r="BC1476">
            <v>9.84</v>
          </cell>
        </row>
        <row r="1477">
          <cell r="F1477" t="str">
            <v>КА101</v>
          </cell>
          <cell r="H1477" t="str">
            <v>ШТ</v>
          </cell>
          <cell r="I1477">
            <v>3</v>
          </cell>
          <cell r="P1477">
            <v>170281.17</v>
          </cell>
          <cell r="R1477">
            <v>0</v>
          </cell>
          <cell r="X1477">
            <v>0</v>
          </cell>
          <cell r="Y1477">
            <v>0</v>
          </cell>
          <cell r="AL1477">
            <v>56760.39</v>
          </cell>
        </row>
        <row r="1478">
          <cell r="P1478">
            <v>1675566.71</v>
          </cell>
          <cell r="R1478">
            <v>0</v>
          </cell>
          <cell r="X1478">
            <v>0</v>
          </cell>
          <cell r="Y1478">
            <v>0</v>
          </cell>
          <cell r="AW1478">
            <v>1</v>
          </cell>
          <cell r="BC1478">
            <v>9.84</v>
          </cell>
        </row>
        <row r="1479">
          <cell r="F1479" t="str">
            <v>КА 112</v>
          </cell>
          <cell r="H1479" t="str">
            <v>ШТ</v>
          </cell>
          <cell r="I1479">
            <v>1</v>
          </cell>
          <cell r="P1479">
            <v>27998.15</v>
          </cell>
          <cell r="R1479">
            <v>0</v>
          </cell>
          <cell r="X1479">
            <v>0</v>
          </cell>
          <cell r="Y1479">
            <v>0</v>
          </cell>
          <cell r="AL1479">
            <v>27998.149999999998</v>
          </cell>
        </row>
        <row r="1480">
          <cell r="P1480">
            <v>275501.8</v>
          </cell>
          <cell r="R1480">
            <v>0</v>
          </cell>
          <cell r="X1480">
            <v>0</v>
          </cell>
          <cell r="Y1480">
            <v>0</v>
          </cell>
          <cell r="AW1480">
            <v>1</v>
          </cell>
          <cell r="BC1480">
            <v>9.84</v>
          </cell>
        </row>
        <row r="1481">
          <cell r="F1481" t="str">
            <v>3.9-84-9</v>
          </cell>
          <cell r="H1481" t="str">
            <v>100 м2</v>
          </cell>
          <cell r="I1481">
            <v>6.7000000000000004E-2</v>
          </cell>
          <cell r="P1481">
            <v>1</v>
          </cell>
          <cell r="Q1481">
            <v>0.41</v>
          </cell>
          <cell r="R1481">
            <v>0</v>
          </cell>
          <cell r="S1481">
            <v>43.03</v>
          </cell>
          <cell r="U1481">
            <v>3.5146255793999996</v>
          </cell>
          <cell r="X1481">
            <v>36.15</v>
          </cell>
          <cell r="Y1481">
            <v>22.81</v>
          </cell>
          <cell r="AL1481">
            <v>14.94</v>
          </cell>
          <cell r="AM1481">
            <v>3.71</v>
          </cell>
          <cell r="AO1481">
            <v>428.11</v>
          </cell>
          <cell r="AQ1481">
            <v>34.97</v>
          </cell>
        </row>
        <row r="1482">
          <cell r="P1482">
            <v>3.95</v>
          </cell>
          <cell r="Q1482">
            <v>3.96</v>
          </cell>
          <cell r="R1482">
            <v>0</v>
          </cell>
          <cell r="S1482">
            <v>2424.7399999999998</v>
          </cell>
          <cell r="X1482">
            <v>2036.78</v>
          </cell>
          <cell r="Y1482">
            <v>1285.1099999999999</v>
          </cell>
          <cell r="AT1482">
            <v>84</v>
          </cell>
          <cell r="AU1482">
            <v>53</v>
          </cell>
          <cell r="AV1482">
            <v>1.087</v>
          </cell>
          <cell r="AW1482">
            <v>1</v>
          </cell>
          <cell r="BA1482">
            <v>56.35</v>
          </cell>
          <cell r="BB1482">
            <v>9.65</v>
          </cell>
          <cell r="BC1482">
            <v>3.95</v>
          </cell>
          <cell r="BZ1482">
            <v>84</v>
          </cell>
          <cell r="CA1482">
            <v>53</v>
          </cell>
        </row>
        <row r="1483">
          <cell r="F1483" t="str">
            <v>1.7-3-112</v>
          </cell>
          <cell r="H1483" t="str">
            <v>шт.</v>
          </cell>
          <cell r="I1483">
            <v>0.67</v>
          </cell>
          <cell r="O1483">
            <v>10.220000000000001</v>
          </cell>
          <cell r="R1483">
            <v>0</v>
          </cell>
          <cell r="X1483">
            <v>0</v>
          </cell>
          <cell r="Y1483">
            <v>0</v>
          </cell>
          <cell r="AK1483">
            <v>15.25</v>
          </cell>
        </row>
        <row r="1484">
          <cell r="O1484">
            <v>24.22</v>
          </cell>
          <cell r="R1484">
            <v>0</v>
          </cell>
          <cell r="X1484">
            <v>0</v>
          </cell>
          <cell r="Y1484">
            <v>0</v>
          </cell>
          <cell r="AW1484">
            <v>1</v>
          </cell>
          <cell r="BC1484">
            <v>2.37</v>
          </cell>
        </row>
        <row r="1485">
          <cell r="F1485" t="str">
            <v>КА 124</v>
          </cell>
          <cell r="H1485" t="str">
            <v>ШТ</v>
          </cell>
          <cell r="I1485">
            <v>2</v>
          </cell>
          <cell r="P1485">
            <v>1907.66</v>
          </cell>
          <cell r="R1485">
            <v>0</v>
          </cell>
          <cell r="X1485">
            <v>0</v>
          </cell>
          <cell r="Y1485">
            <v>0</v>
          </cell>
          <cell r="AL1485">
            <v>953.83</v>
          </cell>
        </row>
        <row r="1486">
          <cell r="P1486">
            <v>18771.37</v>
          </cell>
          <cell r="R1486">
            <v>0</v>
          </cell>
          <cell r="X1486">
            <v>0</v>
          </cell>
          <cell r="Y1486">
            <v>0</v>
          </cell>
          <cell r="AW1486">
            <v>1</v>
          </cell>
          <cell r="BC1486">
            <v>9.84</v>
          </cell>
        </row>
        <row r="1487">
          <cell r="F1487" t="str">
            <v>КА 125</v>
          </cell>
          <cell r="H1487" t="str">
            <v>ШТ</v>
          </cell>
          <cell r="I1487">
            <v>2</v>
          </cell>
          <cell r="P1487">
            <v>898.92</v>
          </cell>
          <cell r="R1487">
            <v>0</v>
          </cell>
          <cell r="X1487">
            <v>0</v>
          </cell>
          <cell r="Y1487">
            <v>0</v>
          </cell>
          <cell r="AL1487">
            <v>449.46</v>
          </cell>
        </row>
        <row r="1488">
          <cell r="P1488">
            <v>8845.3700000000008</v>
          </cell>
          <cell r="R1488">
            <v>0</v>
          </cell>
          <cell r="X1488">
            <v>0</v>
          </cell>
          <cell r="Y1488">
            <v>0</v>
          </cell>
          <cell r="AW1488">
            <v>1</v>
          </cell>
          <cell r="BC1488">
            <v>9.84</v>
          </cell>
        </row>
        <row r="1489">
          <cell r="F1489" t="str">
            <v>КА 126</v>
          </cell>
          <cell r="H1489" t="str">
            <v>ШТ</v>
          </cell>
          <cell r="I1489">
            <v>1</v>
          </cell>
          <cell r="P1489">
            <v>2430.94</v>
          </cell>
          <cell r="R1489">
            <v>0</v>
          </cell>
          <cell r="X1489">
            <v>0</v>
          </cell>
          <cell r="Y1489">
            <v>0</v>
          </cell>
          <cell r="AL1489">
            <v>2430.94</v>
          </cell>
        </row>
        <row r="1490">
          <cell r="P1490">
            <v>23920.45</v>
          </cell>
          <cell r="R1490">
            <v>0</v>
          </cell>
          <cell r="X1490">
            <v>0</v>
          </cell>
          <cell r="Y1490">
            <v>0</v>
          </cell>
          <cell r="AW1490">
            <v>1</v>
          </cell>
          <cell r="BC1490">
            <v>9.84</v>
          </cell>
        </row>
        <row r="1491">
          <cell r="F1491" t="str">
            <v>КА 127</v>
          </cell>
          <cell r="H1491" t="str">
            <v>ШТ</v>
          </cell>
          <cell r="I1491">
            <v>2</v>
          </cell>
          <cell r="P1491">
            <v>1043.06</v>
          </cell>
          <cell r="R1491">
            <v>0</v>
          </cell>
          <cell r="X1491">
            <v>0</v>
          </cell>
          <cell r="Y1491">
            <v>0</v>
          </cell>
          <cell r="AL1491">
            <v>521.53</v>
          </cell>
        </row>
        <row r="1492">
          <cell r="P1492">
            <v>10263.709999999999</v>
          </cell>
          <cell r="R1492">
            <v>0</v>
          </cell>
          <cell r="X1492">
            <v>0</v>
          </cell>
          <cell r="Y1492">
            <v>0</v>
          </cell>
          <cell r="AW1492">
            <v>1</v>
          </cell>
          <cell r="BC1492">
            <v>9.84</v>
          </cell>
        </row>
        <row r="1494">
          <cell r="G1494" t="str">
            <v>Монтаж наружных витражей из алюминиевого профиля</v>
          </cell>
        </row>
        <row r="1524">
          <cell r="G1524" t="str">
            <v>Окна</v>
          </cell>
        </row>
        <row r="1554">
          <cell r="G1554" t="str">
            <v>Наружные двери</v>
          </cell>
        </row>
        <row r="1558">
          <cell r="G1558" t="str">
            <v>Демонтажные работы</v>
          </cell>
        </row>
        <row r="1562">
          <cell r="F1562" t="str">
            <v>3.9-74-1</v>
          </cell>
          <cell r="H1562" t="str">
            <v>10 шт.</v>
          </cell>
          <cell r="I1562">
            <v>2.1</v>
          </cell>
          <cell r="P1562">
            <v>614.73</v>
          </cell>
          <cell r="Q1562">
            <v>186.92</v>
          </cell>
          <cell r="R1562">
            <v>28.2</v>
          </cell>
          <cell r="S1562">
            <v>338.39</v>
          </cell>
          <cell r="U1562">
            <v>30.208338719999993</v>
          </cell>
          <cell r="X1562">
            <v>307.94</v>
          </cell>
          <cell r="Y1562">
            <v>194.29</v>
          </cell>
          <cell r="AL1562">
            <v>487.88</v>
          </cell>
          <cell r="AM1562">
            <v>113.73</v>
          </cell>
          <cell r="AN1562">
            <v>17.16</v>
          </cell>
          <cell r="AO1562">
            <v>205.89</v>
          </cell>
          <cell r="AQ1562">
            <v>18.38</v>
          </cell>
        </row>
        <row r="1563">
          <cell r="P1563">
            <v>3934.27</v>
          </cell>
          <cell r="Q1563">
            <v>3181.38</v>
          </cell>
          <cell r="R1563">
            <v>1589.07</v>
          </cell>
          <cell r="S1563">
            <v>19068.28</v>
          </cell>
          <cell r="X1563">
            <v>17352.169999999998</v>
          </cell>
          <cell r="Y1563">
            <v>10948.4</v>
          </cell>
          <cell r="AT1563">
            <v>84</v>
          </cell>
          <cell r="AU1563">
            <v>53</v>
          </cell>
          <cell r="AV1563">
            <v>1.087</v>
          </cell>
          <cell r="AW1563">
            <v>1</v>
          </cell>
          <cell r="BA1563">
            <v>56.35</v>
          </cell>
          <cell r="BB1563">
            <v>17.02</v>
          </cell>
          <cell r="BC1563">
            <v>6.4</v>
          </cell>
          <cell r="BS1563">
            <v>56.35</v>
          </cell>
          <cell r="BZ1563">
            <v>84</v>
          </cell>
          <cell r="CA1563">
            <v>53</v>
          </cell>
        </row>
        <row r="1565">
          <cell r="G1565" t="str">
            <v>Демонтажные работы</v>
          </cell>
        </row>
        <row r="1595">
          <cell r="G1595" t="str">
            <v>Монтажные работы. Алюминиевые двери</v>
          </cell>
        </row>
        <row r="1599">
          <cell r="F1599" t="str">
            <v>3.9-68-1</v>
          </cell>
          <cell r="H1599" t="str">
            <v>100 м2</v>
          </cell>
          <cell r="I1599">
            <v>0.25700000000000001</v>
          </cell>
          <cell r="P1599">
            <v>749.86</v>
          </cell>
          <cell r="Q1599">
            <v>49.84</v>
          </cell>
          <cell r="R1599">
            <v>5.46</v>
          </cell>
          <cell r="S1599">
            <v>817.36</v>
          </cell>
          <cell r="U1599">
            <v>60.410266313999998</v>
          </cell>
          <cell r="X1599">
            <v>691.17</v>
          </cell>
          <cell r="Y1599">
            <v>436.09</v>
          </cell>
          <cell r="AL1599">
            <v>2917.75</v>
          </cell>
          <cell r="AM1599">
            <v>118.94</v>
          </cell>
          <cell r="AN1599">
            <v>13.03</v>
          </cell>
          <cell r="AO1599">
            <v>2120.17</v>
          </cell>
          <cell r="AQ1599">
            <v>156.69999999999999</v>
          </cell>
        </row>
        <row r="1600">
          <cell r="P1600">
            <v>3561.84</v>
          </cell>
          <cell r="Q1600">
            <v>750.59</v>
          </cell>
          <cell r="R1600">
            <v>307.67</v>
          </cell>
          <cell r="S1600">
            <v>46058.239999999998</v>
          </cell>
          <cell r="X1600">
            <v>38947.360000000001</v>
          </cell>
          <cell r="Y1600">
            <v>24573.93</v>
          </cell>
          <cell r="AT1600">
            <v>84</v>
          </cell>
          <cell r="AU1600">
            <v>53</v>
          </cell>
          <cell r="AV1600">
            <v>1.087</v>
          </cell>
          <cell r="AW1600">
            <v>1</v>
          </cell>
          <cell r="BA1600">
            <v>56.35</v>
          </cell>
          <cell r="BB1600">
            <v>15.06</v>
          </cell>
          <cell r="BC1600">
            <v>4.75</v>
          </cell>
          <cell r="BS1600">
            <v>56.35</v>
          </cell>
          <cell r="BZ1600">
            <v>84</v>
          </cell>
          <cell r="CA1600">
            <v>53</v>
          </cell>
        </row>
        <row r="1601">
          <cell r="F1601" t="str">
            <v>1.1-1-2469</v>
          </cell>
          <cell r="H1601" t="str">
            <v>м</v>
          </cell>
          <cell r="I1601">
            <v>65.184939999999997</v>
          </cell>
          <cell r="O1601">
            <v>976.47</v>
          </cell>
          <cell r="R1601">
            <v>0</v>
          </cell>
          <cell r="X1601">
            <v>0</v>
          </cell>
          <cell r="Y1601">
            <v>0</v>
          </cell>
          <cell r="AK1601">
            <v>14.98</v>
          </cell>
        </row>
        <row r="1602">
          <cell r="O1602">
            <v>1386.59</v>
          </cell>
          <cell r="R1602">
            <v>0</v>
          </cell>
          <cell r="X1602">
            <v>0</v>
          </cell>
          <cell r="Y1602">
            <v>0</v>
          </cell>
          <cell r="AW1602">
            <v>1</v>
          </cell>
          <cell r="BC1602">
            <v>1.42</v>
          </cell>
        </row>
        <row r="1603">
          <cell r="F1603" t="str">
            <v>1.7-3-8</v>
          </cell>
          <cell r="H1603" t="str">
            <v>шт.</v>
          </cell>
          <cell r="I1603">
            <v>2.2253120000000002</v>
          </cell>
          <cell r="O1603">
            <v>26.3</v>
          </cell>
          <cell r="R1603">
            <v>0</v>
          </cell>
          <cell r="X1603">
            <v>0</v>
          </cell>
          <cell r="Y1603">
            <v>0</v>
          </cell>
          <cell r="AK1603">
            <v>11.82</v>
          </cell>
        </row>
        <row r="1604">
          <cell r="O1604">
            <v>164.38</v>
          </cell>
          <cell r="R1604">
            <v>0</v>
          </cell>
          <cell r="X1604">
            <v>0</v>
          </cell>
          <cell r="Y1604">
            <v>0</v>
          </cell>
          <cell r="AW1604">
            <v>1</v>
          </cell>
          <cell r="BC1604">
            <v>6.25</v>
          </cell>
        </row>
        <row r="1605">
          <cell r="F1605" t="str">
            <v>1.1-1-2984</v>
          </cell>
          <cell r="H1605" t="str">
            <v>м</v>
          </cell>
          <cell r="I1605">
            <v>65.184939999999997</v>
          </cell>
          <cell r="O1605">
            <v>422.4</v>
          </cell>
          <cell r="R1605">
            <v>0</v>
          </cell>
          <cell r="X1605">
            <v>0</v>
          </cell>
          <cell r="Y1605">
            <v>0</v>
          </cell>
          <cell r="AK1605">
            <v>6.48</v>
          </cell>
        </row>
        <row r="1606">
          <cell r="O1606">
            <v>392.83</v>
          </cell>
          <cell r="R1606">
            <v>0</v>
          </cell>
          <cell r="X1606">
            <v>0</v>
          </cell>
          <cell r="Y1606">
            <v>0</v>
          </cell>
          <cell r="AW1606">
            <v>1</v>
          </cell>
          <cell r="BC1606">
            <v>0.93</v>
          </cell>
        </row>
        <row r="1607">
          <cell r="F1607" t="str">
            <v>КА128</v>
          </cell>
          <cell r="H1607" t="str">
            <v>ШТ</v>
          </cell>
          <cell r="I1607">
            <v>2</v>
          </cell>
          <cell r="P1607">
            <v>11776.28</v>
          </cell>
          <cell r="R1607">
            <v>0</v>
          </cell>
          <cell r="X1607">
            <v>0</v>
          </cell>
          <cell r="Y1607">
            <v>0</v>
          </cell>
          <cell r="AL1607">
            <v>5888.1399999999994</v>
          </cell>
        </row>
        <row r="1608">
          <cell r="P1608">
            <v>115878.6</v>
          </cell>
          <cell r="R1608">
            <v>0</v>
          </cell>
          <cell r="X1608">
            <v>0</v>
          </cell>
          <cell r="Y1608">
            <v>0</v>
          </cell>
          <cell r="AW1608">
            <v>1</v>
          </cell>
          <cell r="BC1608">
            <v>9.84</v>
          </cell>
        </row>
        <row r="1609">
          <cell r="F1609" t="str">
            <v>КА 129</v>
          </cell>
          <cell r="H1609" t="str">
            <v>ШТ</v>
          </cell>
          <cell r="I1609">
            <v>2</v>
          </cell>
          <cell r="P1609">
            <v>12897.84</v>
          </cell>
          <cell r="R1609">
            <v>0</v>
          </cell>
          <cell r="X1609">
            <v>0</v>
          </cell>
          <cell r="Y1609">
            <v>0</v>
          </cell>
          <cell r="AL1609">
            <v>6448.92</v>
          </cell>
        </row>
        <row r="1610">
          <cell r="P1610">
            <v>126914.75</v>
          </cell>
          <cell r="R1610">
            <v>0</v>
          </cell>
          <cell r="X1610">
            <v>0</v>
          </cell>
          <cell r="Y1610">
            <v>0</v>
          </cell>
          <cell r="AW1610">
            <v>1</v>
          </cell>
          <cell r="BC1610">
            <v>9.84</v>
          </cell>
        </row>
        <row r="1611">
          <cell r="F1611" t="str">
            <v>КА-131</v>
          </cell>
          <cell r="H1611" t="str">
            <v>ШТ</v>
          </cell>
          <cell r="I1611">
            <v>1</v>
          </cell>
          <cell r="P1611">
            <v>4486.2</v>
          </cell>
          <cell r="R1611">
            <v>0</v>
          </cell>
          <cell r="X1611">
            <v>0</v>
          </cell>
          <cell r="Y1611">
            <v>0</v>
          </cell>
          <cell r="AL1611">
            <v>4486.2</v>
          </cell>
        </row>
        <row r="1612">
          <cell r="P1612">
            <v>44144.21</v>
          </cell>
          <cell r="R1612">
            <v>0</v>
          </cell>
          <cell r="X1612">
            <v>0</v>
          </cell>
          <cell r="Y1612">
            <v>0</v>
          </cell>
          <cell r="AW1612">
            <v>1</v>
          </cell>
          <cell r="BC1612">
            <v>9.84</v>
          </cell>
        </row>
        <row r="1613">
          <cell r="F1613" t="str">
            <v>КА-132</v>
          </cell>
          <cell r="H1613" t="str">
            <v>ШТ</v>
          </cell>
          <cell r="I1613">
            <v>2</v>
          </cell>
          <cell r="P1613">
            <v>9533.18</v>
          </cell>
          <cell r="R1613">
            <v>0</v>
          </cell>
          <cell r="X1613">
            <v>0</v>
          </cell>
          <cell r="Y1613">
            <v>0</v>
          </cell>
          <cell r="AL1613">
            <v>4766.59</v>
          </cell>
        </row>
        <row r="1614">
          <cell r="P1614">
            <v>93806.49</v>
          </cell>
          <cell r="R1614">
            <v>0</v>
          </cell>
          <cell r="X1614">
            <v>0</v>
          </cell>
          <cell r="Y1614">
            <v>0</v>
          </cell>
          <cell r="AW1614">
            <v>1</v>
          </cell>
          <cell r="BC1614">
            <v>9.84</v>
          </cell>
        </row>
        <row r="1615">
          <cell r="F1615" t="str">
            <v>КА-134</v>
          </cell>
          <cell r="H1615" t="str">
            <v>ШТ</v>
          </cell>
          <cell r="I1615">
            <v>2</v>
          </cell>
          <cell r="P1615">
            <v>13249.6</v>
          </cell>
          <cell r="R1615">
            <v>0</v>
          </cell>
          <cell r="X1615">
            <v>0</v>
          </cell>
          <cell r="Y1615">
            <v>0</v>
          </cell>
          <cell r="AL1615">
            <v>6624.7999999999993</v>
          </cell>
        </row>
        <row r="1616">
          <cell r="P1616">
            <v>130376.06</v>
          </cell>
          <cell r="R1616">
            <v>0</v>
          </cell>
          <cell r="X1616">
            <v>0</v>
          </cell>
          <cell r="Y1616">
            <v>0</v>
          </cell>
          <cell r="AW1616">
            <v>1</v>
          </cell>
          <cell r="BC1616">
            <v>9.84</v>
          </cell>
        </row>
        <row r="1617">
          <cell r="F1617" t="str">
            <v>КА-135</v>
          </cell>
          <cell r="H1617" t="str">
            <v>ШТ</v>
          </cell>
          <cell r="I1617">
            <v>1</v>
          </cell>
          <cell r="P1617">
            <v>7035.18</v>
          </cell>
          <cell r="R1617">
            <v>0</v>
          </cell>
          <cell r="X1617">
            <v>0</v>
          </cell>
          <cell r="Y1617">
            <v>0</v>
          </cell>
          <cell r="AL1617">
            <v>7035.1799999999994</v>
          </cell>
        </row>
        <row r="1618">
          <cell r="P1618">
            <v>69226.17</v>
          </cell>
          <cell r="R1618">
            <v>0</v>
          </cell>
          <cell r="X1618">
            <v>0</v>
          </cell>
          <cell r="Y1618">
            <v>0</v>
          </cell>
          <cell r="AW1618">
            <v>1</v>
          </cell>
          <cell r="BC1618">
            <v>9.84</v>
          </cell>
        </row>
        <row r="1619">
          <cell r="F1619" t="str">
            <v>КА-139</v>
          </cell>
          <cell r="H1619" t="str">
            <v>ШТ</v>
          </cell>
          <cell r="I1619">
            <v>1</v>
          </cell>
          <cell r="P1619">
            <v>6492.25</v>
          </cell>
          <cell r="R1619">
            <v>0</v>
          </cell>
          <cell r="X1619">
            <v>0</v>
          </cell>
          <cell r="Y1619">
            <v>0</v>
          </cell>
          <cell r="AL1619">
            <v>6492.25</v>
          </cell>
        </row>
        <row r="1620">
          <cell r="P1620">
            <v>63883.74</v>
          </cell>
          <cell r="R1620">
            <v>0</v>
          </cell>
          <cell r="X1620">
            <v>0</v>
          </cell>
          <cell r="Y1620">
            <v>0</v>
          </cell>
          <cell r="AW1620">
            <v>1</v>
          </cell>
          <cell r="BC1620">
            <v>9.84</v>
          </cell>
        </row>
        <row r="1621">
          <cell r="F1621" t="str">
            <v>3.9-68-2</v>
          </cell>
          <cell r="H1621" t="str">
            <v>100 м2</v>
          </cell>
          <cell r="I1621">
            <v>0.26900000000000002</v>
          </cell>
          <cell r="P1621">
            <v>561.1</v>
          </cell>
          <cell r="Q1621">
            <v>48.97</v>
          </cell>
          <cell r="R1621">
            <v>5.58</v>
          </cell>
          <cell r="S1621">
            <v>547.45000000000005</v>
          </cell>
          <cell r="U1621">
            <v>40.864079497799992</v>
          </cell>
          <cell r="X1621">
            <v>464.55</v>
          </cell>
          <cell r="Y1621">
            <v>293.11</v>
          </cell>
          <cell r="AL1621">
            <v>2085.89</v>
          </cell>
          <cell r="AM1621">
            <v>111.65</v>
          </cell>
          <cell r="AN1621">
            <v>12.73</v>
          </cell>
          <cell r="AO1621">
            <v>1356.7</v>
          </cell>
          <cell r="AQ1621">
            <v>101.27</v>
          </cell>
        </row>
        <row r="1622">
          <cell r="P1622">
            <v>2659.61</v>
          </cell>
          <cell r="Q1622">
            <v>748.26</v>
          </cell>
          <cell r="R1622">
            <v>314.43</v>
          </cell>
          <cell r="S1622">
            <v>30848.81</v>
          </cell>
          <cell r="X1622">
            <v>26177.119999999999</v>
          </cell>
          <cell r="Y1622">
            <v>16516.52</v>
          </cell>
          <cell r="AT1622">
            <v>84</v>
          </cell>
          <cell r="AU1622">
            <v>53</v>
          </cell>
          <cell r="AV1622">
            <v>1.087</v>
          </cell>
          <cell r="AW1622">
            <v>1</v>
          </cell>
          <cell r="BA1622">
            <v>56.35</v>
          </cell>
          <cell r="BB1622">
            <v>15.28</v>
          </cell>
          <cell r="BC1622">
            <v>4.74</v>
          </cell>
          <cell r="BS1622">
            <v>56.35</v>
          </cell>
          <cell r="BZ1622">
            <v>84</v>
          </cell>
          <cell r="CA1622">
            <v>53</v>
          </cell>
        </row>
        <row r="1623">
          <cell r="F1623" t="str">
            <v>1.1-1-2982</v>
          </cell>
          <cell r="H1623" t="str">
            <v>м</v>
          </cell>
          <cell r="I1623">
            <v>46.161529999999999</v>
          </cell>
          <cell r="O1623">
            <v>643.49</v>
          </cell>
          <cell r="R1623">
            <v>0</v>
          </cell>
          <cell r="X1623">
            <v>0</v>
          </cell>
          <cell r="Y1623">
            <v>0</v>
          </cell>
          <cell r="AK1623">
            <v>13.94</v>
          </cell>
        </row>
        <row r="1624">
          <cell r="O1624">
            <v>437.57</v>
          </cell>
          <cell r="R1624">
            <v>0</v>
          </cell>
          <cell r="X1624">
            <v>0</v>
          </cell>
          <cell r="Y1624">
            <v>0</v>
          </cell>
          <cell r="AW1624">
            <v>1</v>
          </cell>
          <cell r="BC1624">
            <v>0.68</v>
          </cell>
        </row>
        <row r="1625">
          <cell r="F1625" t="str">
            <v>1.7-3-8</v>
          </cell>
          <cell r="H1625" t="str">
            <v>шт.</v>
          </cell>
          <cell r="I1625">
            <v>1.5988020000000001</v>
          </cell>
          <cell r="O1625">
            <v>18.899999999999999</v>
          </cell>
          <cell r="R1625">
            <v>0</v>
          </cell>
          <cell r="X1625">
            <v>0</v>
          </cell>
          <cell r="Y1625">
            <v>0</v>
          </cell>
          <cell r="AK1625">
            <v>11.82</v>
          </cell>
        </row>
        <row r="1626">
          <cell r="O1626">
            <v>118.13</v>
          </cell>
          <cell r="R1626">
            <v>0</v>
          </cell>
          <cell r="X1626">
            <v>0</v>
          </cell>
          <cell r="Y1626">
            <v>0</v>
          </cell>
          <cell r="AW1626">
            <v>1</v>
          </cell>
          <cell r="BC1626">
            <v>6.25</v>
          </cell>
        </row>
        <row r="1627">
          <cell r="F1627" t="str">
            <v>1.1-1-2984</v>
          </cell>
          <cell r="H1627" t="str">
            <v>м</v>
          </cell>
          <cell r="I1627">
            <v>46.161529999999999</v>
          </cell>
          <cell r="O1627">
            <v>299.13</v>
          </cell>
          <cell r="R1627">
            <v>0</v>
          </cell>
          <cell r="X1627">
            <v>0</v>
          </cell>
          <cell r="Y1627">
            <v>0</v>
          </cell>
          <cell r="AK1627">
            <v>6.48</v>
          </cell>
        </row>
        <row r="1628">
          <cell r="O1628">
            <v>278.19</v>
          </cell>
          <cell r="R1628">
            <v>0</v>
          </cell>
          <cell r="X1628">
            <v>0</v>
          </cell>
          <cell r="Y1628">
            <v>0</v>
          </cell>
          <cell r="AW1628">
            <v>1</v>
          </cell>
          <cell r="BC1628">
            <v>0.93</v>
          </cell>
        </row>
        <row r="1629">
          <cell r="F1629" t="str">
            <v>КА 130</v>
          </cell>
          <cell r="H1629" t="str">
            <v>ШТ</v>
          </cell>
          <cell r="I1629">
            <v>1</v>
          </cell>
          <cell r="P1629">
            <v>8495.75</v>
          </cell>
          <cell r="R1629">
            <v>0</v>
          </cell>
          <cell r="X1629">
            <v>0</v>
          </cell>
          <cell r="Y1629">
            <v>0</v>
          </cell>
          <cell r="AL1629">
            <v>8495.75</v>
          </cell>
        </row>
        <row r="1630">
          <cell r="P1630">
            <v>83598.179999999993</v>
          </cell>
          <cell r="R1630">
            <v>0</v>
          </cell>
          <cell r="X1630">
            <v>0</v>
          </cell>
          <cell r="Y1630">
            <v>0</v>
          </cell>
          <cell r="AW1630">
            <v>1</v>
          </cell>
          <cell r="BC1630">
            <v>9.84</v>
          </cell>
        </row>
        <row r="1631">
          <cell r="F1631" t="str">
            <v>КА 136</v>
          </cell>
          <cell r="H1631" t="str">
            <v>ШТ</v>
          </cell>
          <cell r="I1631">
            <v>2</v>
          </cell>
          <cell r="P1631">
            <v>25082.98</v>
          </cell>
          <cell r="R1631">
            <v>0</v>
          </cell>
          <cell r="X1631">
            <v>0</v>
          </cell>
          <cell r="Y1631">
            <v>0</v>
          </cell>
          <cell r="AL1631">
            <v>12541.49</v>
          </cell>
        </row>
        <row r="1632">
          <cell r="P1632">
            <v>246816.52</v>
          </cell>
          <cell r="R1632">
            <v>0</v>
          </cell>
          <cell r="X1632">
            <v>0</v>
          </cell>
          <cell r="Y1632">
            <v>0</v>
          </cell>
          <cell r="AW1632">
            <v>1</v>
          </cell>
          <cell r="BC1632">
            <v>9.84</v>
          </cell>
        </row>
        <row r="1633">
          <cell r="F1633" t="str">
            <v>КА 137</v>
          </cell>
          <cell r="H1633" t="str">
            <v>ШТ</v>
          </cell>
          <cell r="I1633">
            <v>2</v>
          </cell>
          <cell r="P1633">
            <v>22243.42</v>
          </cell>
          <cell r="R1633">
            <v>0</v>
          </cell>
          <cell r="X1633">
            <v>0</v>
          </cell>
          <cell r="Y1633">
            <v>0</v>
          </cell>
          <cell r="AL1633">
            <v>11121.71</v>
          </cell>
        </row>
        <row r="1634">
          <cell r="P1634">
            <v>218875.25</v>
          </cell>
          <cell r="R1634">
            <v>0</v>
          </cell>
          <cell r="X1634">
            <v>0</v>
          </cell>
          <cell r="Y1634">
            <v>0</v>
          </cell>
          <cell r="AW1634">
            <v>1</v>
          </cell>
          <cell r="BC1634">
            <v>9.84</v>
          </cell>
        </row>
        <row r="1635">
          <cell r="F1635" t="str">
            <v>КА 138</v>
          </cell>
          <cell r="H1635" t="str">
            <v>ШТ</v>
          </cell>
          <cell r="I1635">
            <v>1</v>
          </cell>
          <cell r="P1635">
            <v>12666.39</v>
          </cell>
          <cell r="R1635">
            <v>0</v>
          </cell>
          <cell r="X1635">
            <v>0</v>
          </cell>
          <cell r="Y1635">
            <v>0</v>
          </cell>
          <cell r="AL1635">
            <v>12666.390000000001</v>
          </cell>
        </row>
        <row r="1636">
          <cell r="P1636">
            <v>124637.28</v>
          </cell>
          <cell r="R1636">
            <v>0</v>
          </cell>
          <cell r="X1636">
            <v>0</v>
          </cell>
          <cell r="Y1636">
            <v>0</v>
          </cell>
          <cell r="AW1636">
            <v>1</v>
          </cell>
          <cell r="BC1636">
            <v>9.84</v>
          </cell>
        </row>
        <row r="1637">
          <cell r="F1637" t="str">
            <v>3.10-87-1</v>
          </cell>
          <cell r="H1637" t="str">
            <v>10 комплектов</v>
          </cell>
          <cell r="I1637">
            <v>1.7</v>
          </cell>
          <cell r="Q1637">
            <v>2.7</v>
          </cell>
          <cell r="R1637">
            <v>0</v>
          </cell>
          <cell r="S1637">
            <v>238.82</v>
          </cell>
          <cell r="U1637">
            <v>20.092223159999993</v>
          </cell>
          <cell r="X1637">
            <v>231.66</v>
          </cell>
          <cell r="Y1637">
            <v>112.25</v>
          </cell>
          <cell r="AM1637">
            <v>1.01</v>
          </cell>
          <cell r="AO1637">
            <v>97.23</v>
          </cell>
          <cell r="AQ1637">
            <v>8.18</v>
          </cell>
        </row>
        <row r="1638">
          <cell r="Q1638">
            <v>25.89</v>
          </cell>
          <cell r="R1638">
            <v>0</v>
          </cell>
          <cell r="S1638">
            <v>13457.51</v>
          </cell>
          <cell r="X1638">
            <v>13053.78</v>
          </cell>
          <cell r="Y1638">
            <v>6325.03</v>
          </cell>
          <cell r="AT1638">
            <v>97</v>
          </cell>
          <cell r="AU1638">
            <v>47</v>
          </cell>
          <cell r="AV1638">
            <v>1.0469999999999999</v>
          </cell>
          <cell r="BA1638">
            <v>56.35</v>
          </cell>
          <cell r="BB1638">
            <v>9.59</v>
          </cell>
          <cell r="BZ1638">
            <v>97</v>
          </cell>
          <cell r="CA1638">
            <v>47</v>
          </cell>
        </row>
        <row r="1639">
          <cell r="F1639" t="str">
            <v>1.8-3-19</v>
          </cell>
          <cell r="H1639" t="str">
            <v>КОМПЛЕКТ</v>
          </cell>
          <cell r="I1639">
            <v>17</v>
          </cell>
          <cell r="O1639">
            <v>22043.9</v>
          </cell>
          <cell r="R1639">
            <v>0</v>
          </cell>
          <cell r="X1639">
            <v>0</v>
          </cell>
          <cell r="Y1639">
            <v>0</v>
          </cell>
          <cell r="AK1639">
            <v>1296.7</v>
          </cell>
        </row>
        <row r="1640">
          <cell r="O1640">
            <v>248434.75</v>
          </cell>
          <cell r="R1640">
            <v>0</v>
          </cell>
          <cell r="X1640">
            <v>0</v>
          </cell>
          <cell r="Y1640">
            <v>0</v>
          </cell>
          <cell r="AW1640">
            <v>1</v>
          </cell>
          <cell r="BC1640">
            <v>11.27</v>
          </cell>
        </row>
        <row r="1641">
          <cell r="F1641" t="str">
            <v>3.9-90-1</v>
          </cell>
          <cell r="H1641" t="str">
            <v>100 шт.</v>
          </cell>
          <cell r="I1641">
            <v>0.17</v>
          </cell>
          <cell r="P1641">
            <v>22.5</v>
          </cell>
          <cell r="Q1641">
            <v>5.18</v>
          </cell>
          <cell r="R1641">
            <v>0.63</v>
          </cell>
          <cell r="S1641">
            <v>36.75</v>
          </cell>
          <cell r="U1641">
            <v>2.9504680140000001</v>
          </cell>
          <cell r="X1641">
            <v>31.4</v>
          </cell>
          <cell r="Y1641">
            <v>19.809999999999999</v>
          </cell>
          <cell r="AL1641">
            <v>132.34</v>
          </cell>
          <cell r="AM1641">
            <v>18.690000000000001</v>
          </cell>
          <cell r="AN1641">
            <v>2.27</v>
          </cell>
          <cell r="AO1641">
            <v>144.13</v>
          </cell>
          <cell r="AQ1641">
            <v>11.57</v>
          </cell>
        </row>
        <row r="1642">
          <cell r="P1642">
            <v>77.849999999999994</v>
          </cell>
          <cell r="Q1642">
            <v>80.7</v>
          </cell>
          <cell r="R1642">
            <v>35.5</v>
          </cell>
          <cell r="S1642">
            <v>2070.86</v>
          </cell>
          <cell r="X1642">
            <v>1769.34</v>
          </cell>
          <cell r="Y1642">
            <v>1116.3699999999999</v>
          </cell>
          <cell r="AT1642">
            <v>84</v>
          </cell>
          <cell r="AU1642">
            <v>53</v>
          </cell>
          <cell r="AV1642">
            <v>1.087</v>
          </cell>
          <cell r="AW1642">
            <v>1</v>
          </cell>
          <cell r="BA1642">
            <v>56.35</v>
          </cell>
          <cell r="BB1642">
            <v>15.58</v>
          </cell>
          <cell r="BC1642">
            <v>3.46</v>
          </cell>
          <cell r="BS1642">
            <v>56.35</v>
          </cell>
          <cell r="BZ1642">
            <v>84</v>
          </cell>
          <cell r="CA1642">
            <v>53</v>
          </cell>
        </row>
        <row r="1643">
          <cell r="F1643" t="str">
            <v>1.8-1-75</v>
          </cell>
          <cell r="H1643" t="str">
            <v>шт.</v>
          </cell>
          <cell r="I1643">
            <v>17</v>
          </cell>
          <cell r="O1643">
            <v>4634.71</v>
          </cell>
          <cell r="R1643">
            <v>0</v>
          </cell>
          <cell r="X1643">
            <v>0</v>
          </cell>
          <cell r="Y1643">
            <v>0</v>
          </cell>
          <cell r="AK1643">
            <v>272.63</v>
          </cell>
        </row>
        <row r="1644">
          <cell r="O1644">
            <v>53299.17</v>
          </cell>
          <cell r="R1644">
            <v>0</v>
          </cell>
          <cell r="X1644">
            <v>0</v>
          </cell>
          <cell r="Y1644">
            <v>0</v>
          </cell>
          <cell r="AW1644">
            <v>1</v>
          </cell>
          <cell r="BC1644">
            <v>11.5</v>
          </cell>
        </row>
        <row r="1646">
          <cell r="G1646" t="str">
            <v>Монтажные работы. Алюминиевые двери</v>
          </cell>
        </row>
        <row r="1676">
          <cell r="G1676" t="str">
            <v>Монтажные работы. Металлические двери.</v>
          </cell>
        </row>
        <row r="1680">
          <cell r="F1680" t="str">
            <v>3.9-74-1</v>
          </cell>
          <cell r="H1680" t="str">
            <v>10 шт.</v>
          </cell>
          <cell r="I1680">
            <v>0.4</v>
          </cell>
          <cell r="P1680">
            <v>195.15</v>
          </cell>
          <cell r="Q1680">
            <v>74.17</v>
          </cell>
          <cell r="R1680">
            <v>11.19</v>
          </cell>
          <cell r="S1680">
            <v>123.54</v>
          </cell>
          <cell r="U1680">
            <v>11.028441119999998</v>
          </cell>
          <cell r="X1680">
            <v>113.17</v>
          </cell>
          <cell r="Y1680">
            <v>71.41</v>
          </cell>
          <cell r="AL1680">
            <v>487.88</v>
          </cell>
          <cell r="AM1680">
            <v>113.73</v>
          </cell>
          <cell r="AN1680">
            <v>17.16</v>
          </cell>
          <cell r="AO1680">
            <v>205.89</v>
          </cell>
          <cell r="AQ1680">
            <v>18.38</v>
          </cell>
        </row>
        <row r="1681">
          <cell r="P1681">
            <v>1248.96</v>
          </cell>
          <cell r="Q1681">
            <v>1262.3699999999999</v>
          </cell>
          <cell r="R1681">
            <v>630.55999999999995</v>
          </cell>
          <cell r="S1681">
            <v>6961.48</v>
          </cell>
          <cell r="X1681">
            <v>6377.31</v>
          </cell>
          <cell r="Y1681">
            <v>4023.78</v>
          </cell>
          <cell r="AT1681">
            <v>84</v>
          </cell>
          <cell r="AU1681">
            <v>53</v>
          </cell>
          <cell r="AV1681">
            <v>1.087</v>
          </cell>
          <cell r="AW1681">
            <v>1</v>
          </cell>
          <cell r="BA1681">
            <v>56.35</v>
          </cell>
          <cell r="BB1681">
            <v>17.02</v>
          </cell>
          <cell r="BC1681">
            <v>6.4</v>
          </cell>
          <cell r="BS1681">
            <v>56.35</v>
          </cell>
          <cell r="BZ1681">
            <v>84</v>
          </cell>
          <cell r="CA1681">
            <v>53</v>
          </cell>
        </row>
        <row r="1682">
          <cell r="F1682" t="str">
            <v>КА 133</v>
          </cell>
          <cell r="H1682" t="str">
            <v>ШТ</v>
          </cell>
          <cell r="I1682">
            <v>2</v>
          </cell>
          <cell r="P1682">
            <v>13750.9</v>
          </cell>
          <cell r="R1682">
            <v>0</v>
          </cell>
          <cell r="X1682">
            <v>0</v>
          </cell>
          <cell r="Y1682">
            <v>0</v>
          </cell>
          <cell r="AL1682">
            <v>6875.4500000000007</v>
          </cell>
        </row>
        <row r="1683">
          <cell r="P1683">
            <v>135308.85999999999</v>
          </cell>
          <cell r="R1683">
            <v>0</v>
          </cell>
          <cell r="X1683">
            <v>0</v>
          </cell>
          <cell r="Y1683">
            <v>0</v>
          </cell>
          <cell r="AW1683">
            <v>1</v>
          </cell>
          <cell r="BC1683">
            <v>9.84</v>
          </cell>
        </row>
        <row r="1684">
          <cell r="F1684" t="str">
            <v>КА-140</v>
          </cell>
          <cell r="H1684" t="str">
            <v>ШТ</v>
          </cell>
          <cell r="I1684">
            <v>2</v>
          </cell>
          <cell r="P1684">
            <v>7103.16</v>
          </cell>
          <cell r="R1684">
            <v>0</v>
          </cell>
          <cell r="X1684">
            <v>0</v>
          </cell>
          <cell r="Y1684">
            <v>0</v>
          </cell>
          <cell r="AL1684">
            <v>3551.58</v>
          </cell>
        </row>
        <row r="1685">
          <cell r="P1685">
            <v>69895.09</v>
          </cell>
          <cell r="R1685">
            <v>0</v>
          </cell>
          <cell r="X1685">
            <v>0</v>
          </cell>
          <cell r="Y1685">
            <v>0</v>
          </cell>
          <cell r="AW1685">
            <v>1</v>
          </cell>
          <cell r="BC1685">
            <v>9.84</v>
          </cell>
        </row>
        <row r="1686">
          <cell r="F1686" t="str">
            <v>3.10-87-1</v>
          </cell>
          <cell r="H1686" t="str">
            <v>10 комплектов</v>
          </cell>
          <cell r="I1686">
            <v>0.4</v>
          </cell>
          <cell r="Q1686">
            <v>0.63</v>
          </cell>
          <cell r="R1686">
            <v>0</v>
          </cell>
          <cell r="S1686">
            <v>56.19</v>
          </cell>
          <cell r="U1686">
            <v>4.7275819199999987</v>
          </cell>
          <cell r="X1686">
            <v>54.5</v>
          </cell>
          <cell r="Y1686">
            <v>26.41</v>
          </cell>
          <cell r="AM1686">
            <v>1.01</v>
          </cell>
          <cell r="AO1686">
            <v>97.23</v>
          </cell>
          <cell r="AQ1686">
            <v>8.18</v>
          </cell>
        </row>
        <row r="1687">
          <cell r="Q1687">
            <v>6.04</v>
          </cell>
          <cell r="R1687">
            <v>0</v>
          </cell>
          <cell r="S1687">
            <v>3166.31</v>
          </cell>
          <cell r="X1687">
            <v>3071.32</v>
          </cell>
          <cell r="Y1687">
            <v>1488.17</v>
          </cell>
          <cell r="AT1687">
            <v>97</v>
          </cell>
          <cell r="AU1687">
            <v>47</v>
          </cell>
          <cell r="AV1687">
            <v>1.0469999999999999</v>
          </cell>
          <cell r="BA1687">
            <v>56.35</v>
          </cell>
          <cell r="BB1687">
            <v>9.59</v>
          </cell>
          <cell r="BZ1687">
            <v>97</v>
          </cell>
          <cell r="CA1687">
            <v>47</v>
          </cell>
        </row>
        <row r="1688">
          <cell r="F1688" t="str">
            <v>1.8-3-19</v>
          </cell>
          <cell r="H1688" t="str">
            <v>КОМПЛЕКТ</v>
          </cell>
          <cell r="I1688">
            <v>4</v>
          </cell>
          <cell r="O1688">
            <v>5186.8</v>
          </cell>
          <cell r="R1688">
            <v>0</v>
          </cell>
          <cell r="X1688">
            <v>0</v>
          </cell>
          <cell r="Y1688">
            <v>0</v>
          </cell>
          <cell r="AK1688">
            <v>1296.7</v>
          </cell>
        </row>
        <row r="1689">
          <cell r="O1689">
            <v>58455.24</v>
          </cell>
          <cell r="R1689">
            <v>0</v>
          </cell>
          <cell r="X1689">
            <v>0</v>
          </cell>
          <cell r="Y1689">
            <v>0</v>
          </cell>
          <cell r="AW1689">
            <v>1</v>
          </cell>
          <cell r="BC1689">
            <v>11.27</v>
          </cell>
        </row>
        <row r="1690">
          <cell r="F1690" t="str">
            <v>3.9-90-1</v>
          </cell>
          <cell r="H1690" t="str">
            <v>100 шт.</v>
          </cell>
          <cell r="I1690">
            <v>0.04</v>
          </cell>
          <cell r="P1690">
            <v>5.29</v>
          </cell>
          <cell r="Q1690">
            <v>1.22</v>
          </cell>
          <cell r="R1690">
            <v>0.15</v>
          </cell>
          <cell r="S1690">
            <v>8.65</v>
          </cell>
          <cell r="U1690">
            <v>0.69422776799999997</v>
          </cell>
          <cell r="X1690">
            <v>7.39</v>
          </cell>
          <cell r="Y1690">
            <v>4.66</v>
          </cell>
          <cell r="AL1690">
            <v>132.34</v>
          </cell>
          <cell r="AM1690">
            <v>18.690000000000001</v>
          </cell>
          <cell r="AN1690">
            <v>2.27</v>
          </cell>
          <cell r="AO1690">
            <v>144.13</v>
          </cell>
          <cell r="AQ1690">
            <v>11.57</v>
          </cell>
        </row>
        <row r="1691">
          <cell r="P1691">
            <v>18.3</v>
          </cell>
          <cell r="Q1691">
            <v>19.010000000000002</v>
          </cell>
          <cell r="R1691">
            <v>8.4499999999999993</v>
          </cell>
          <cell r="S1691">
            <v>487.43</v>
          </cell>
          <cell r="X1691">
            <v>416.54</v>
          </cell>
          <cell r="Y1691">
            <v>262.82</v>
          </cell>
          <cell r="AT1691">
            <v>84</v>
          </cell>
          <cell r="AU1691">
            <v>53</v>
          </cell>
          <cell r="AV1691">
            <v>1.087</v>
          </cell>
          <cell r="AW1691">
            <v>1</v>
          </cell>
          <cell r="BA1691">
            <v>56.35</v>
          </cell>
          <cell r="BB1691">
            <v>15.58</v>
          </cell>
          <cell r="BC1691">
            <v>3.46</v>
          </cell>
          <cell r="BS1691">
            <v>56.35</v>
          </cell>
          <cell r="BZ1691">
            <v>84</v>
          </cell>
          <cell r="CA1691">
            <v>53</v>
          </cell>
        </row>
        <row r="1692">
          <cell r="F1692" t="str">
            <v>1.8-1-75</v>
          </cell>
          <cell r="H1692" t="str">
            <v>шт.</v>
          </cell>
          <cell r="I1692">
            <v>4</v>
          </cell>
          <cell r="O1692">
            <v>1090.52</v>
          </cell>
          <cell r="R1692">
            <v>0</v>
          </cell>
          <cell r="X1692">
            <v>0</v>
          </cell>
          <cell r="Y1692">
            <v>0</v>
          </cell>
          <cell r="AK1692">
            <v>272.63</v>
          </cell>
        </row>
        <row r="1693">
          <cell r="O1693">
            <v>12540.98</v>
          </cell>
          <cell r="R1693">
            <v>0</v>
          </cell>
          <cell r="X1693">
            <v>0</v>
          </cell>
          <cell r="Y1693">
            <v>0</v>
          </cell>
          <cell r="AW1693">
            <v>1</v>
          </cell>
          <cell r="BC1693">
            <v>11.5</v>
          </cell>
        </row>
        <row r="1695">
          <cell r="G1695" t="str">
            <v>Монтажные работы. Металлические двери.</v>
          </cell>
        </row>
        <row r="1725">
          <cell r="G1725" t="str">
            <v>Наружные двери</v>
          </cell>
        </row>
        <row r="1755">
          <cell r="G1755" t="str">
            <v>Перегородки</v>
          </cell>
        </row>
        <row r="1759">
          <cell r="G1759" t="str">
            <v>Демонтажные работы</v>
          </cell>
        </row>
        <row r="1763">
          <cell r="F1763" t="str">
            <v>6.70-2-4</v>
          </cell>
          <cell r="H1763" t="str">
            <v>10 м3 кладки</v>
          </cell>
          <cell r="I1763">
            <v>52.9375</v>
          </cell>
          <cell r="Q1763">
            <v>132342.28</v>
          </cell>
          <cell r="R1763">
            <v>39609.769999999997</v>
          </cell>
          <cell r="S1763">
            <v>154496.32000000001</v>
          </cell>
          <cell r="U1763">
            <v>10959.629026499999</v>
          </cell>
          <cell r="X1763">
            <v>178577.6</v>
          </cell>
          <cell r="Y1763">
            <v>100935.17</v>
          </cell>
          <cell r="AM1763">
            <v>1989.79</v>
          </cell>
          <cell r="AN1763">
            <v>595.54</v>
          </cell>
          <cell r="AO1763">
            <v>2322.88</v>
          </cell>
          <cell r="AQ1763">
            <v>164.78</v>
          </cell>
        </row>
        <row r="1764">
          <cell r="Q1764">
            <v>3331055.19</v>
          </cell>
          <cell r="R1764">
            <v>2232010.54</v>
          </cell>
          <cell r="S1764">
            <v>8705867.6300000008</v>
          </cell>
          <cell r="X1764">
            <v>10062847.92</v>
          </cell>
          <cell r="Y1764">
            <v>5687696.6500000004</v>
          </cell>
          <cell r="AT1764">
            <v>92</v>
          </cell>
          <cell r="AU1764">
            <v>52</v>
          </cell>
          <cell r="AV1764">
            <v>1.0469999999999999</v>
          </cell>
          <cell r="BA1764">
            <v>56.35</v>
          </cell>
          <cell r="BB1764">
            <v>25.17</v>
          </cell>
          <cell r="BS1764">
            <v>56.35</v>
          </cell>
          <cell r="BZ1764">
            <v>92</v>
          </cell>
          <cell r="CA1764">
            <v>52</v>
          </cell>
        </row>
        <row r="1765">
          <cell r="F1765" t="str">
            <v>6.70-24-1</v>
          </cell>
          <cell r="H1765" t="str">
            <v>1 м3 кладки</v>
          </cell>
          <cell r="I1765">
            <v>35.880000000000003</v>
          </cell>
          <cell r="R1765">
            <v>0</v>
          </cell>
          <cell r="S1765">
            <v>9801.66</v>
          </cell>
          <cell r="U1765">
            <v>715.86455616000001</v>
          </cell>
          <cell r="X1765">
            <v>9017.5300000000007</v>
          </cell>
          <cell r="Y1765">
            <v>4802.8100000000004</v>
          </cell>
          <cell r="AO1765">
            <v>217.43</v>
          </cell>
          <cell r="AQ1765">
            <v>15.88</v>
          </cell>
        </row>
        <row r="1766">
          <cell r="R1766">
            <v>0</v>
          </cell>
          <cell r="S1766">
            <v>552323.54</v>
          </cell>
          <cell r="X1766">
            <v>508137.66</v>
          </cell>
          <cell r="Y1766">
            <v>270638.53000000003</v>
          </cell>
          <cell r="AT1766">
            <v>92</v>
          </cell>
          <cell r="AU1766">
            <v>49</v>
          </cell>
          <cell r="AV1766">
            <v>1.0469999999999999</v>
          </cell>
          <cell r="BA1766">
            <v>56.35</v>
          </cell>
          <cell r="BZ1766">
            <v>92</v>
          </cell>
          <cell r="CA1766">
            <v>49</v>
          </cell>
        </row>
        <row r="1768">
          <cell r="G1768" t="str">
            <v>Демонтажные работы</v>
          </cell>
        </row>
        <row r="1798">
          <cell r="G1798" t="str">
            <v>Кирпичные перегородки</v>
          </cell>
        </row>
        <row r="1802">
          <cell r="F1802" t="str">
            <v>3.70-9-3</v>
          </cell>
          <cell r="H1802" t="str">
            <v>100 м2 перегородок (за вычетом проемов)</v>
          </cell>
          <cell r="I1802">
            <v>2.99</v>
          </cell>
          <cell r="P1802">
            <v>175.73</v>
          </cell>
          <cell r="Q1802">
            <v>39.770000000000003</v>
          </cell>
          <cell r="R1802">
            <v>6.03</v>
          </cell>
          <cell r="S1802">
            <v>9431.85</v>
          </cell>
          <cell r="U1802">
            <v>629.57972219999999</v>
          </cell>
          <cell r="X1802">
            <v>9343.5</v>
          </cell>
          <cell r="Y1802">
            <v>5568.35</v>
          </cell>
          <cell r="AL1802">
            <v>57.34</v>
          </cell>
          <cell r="AM1802">
            <v>8.31</v>
          </cell>
          <cell r="AN1802">
            <v>1.26</v>
          </cell>
          <cell r="AO1802">
            <v>2142.31</v>
          </cell>
          <cell r="AQ1802">
            <v>143</v>
          </cell>
        </row>
        <row r="1803">
          <cell r="P1803">
            <v>961.24</v>
          </cell>
          <cell r="Q1803">
            <v>678.87</v>
          </cell>
          <cell r="R1803">
            <v>339.79</v>
          </cell>
          <cell r="S1803">
            <v>531484.75</v>
          </cell>
          <cell r="X1803">
            <v>526506.29</v>
          </cell>
          <cell r="Y1803">
            <v>313776.48</v>
          </cell>
          <cell r="AT1803">
            <v>99</v>
          </cell>
          <cell r="AU1803">
            <v>59</v>
          </cell>
          <cell r="AV1803">
            <v>1.0669999999999999</v>
          </cell>
          <cell r="AW1803">
            <v>1.0249999999999999</v>
          </cell>
          <cell r="BA1803">
            <v>56.35</v>
          </cell>
          <cell r="BB1803">
            <v>17.07</v>
          </cell>
          <cell r="BC1803">
            <v>5.47</v>
          </cell>
          <cell r="BS1803">
            <v>56.35</v>
          </cell>
          <cell r="BZ1803">
            <v>99</v>
          </cell>
          <cell r="CA1803">
            <v>59</v>
          </cell>
        </row>
        <row r="1804">
          <cell r="F1804" t="str">
            <v>1.3-4-1</v>
          </cell>
          <cell r="H1804" t="str">
            <v>т</v>
          </cell>
          <cell r="I1804">
            <v>0.26910000000000001</v>
          </cell>
          <cell r="O1804">
            <v>1564.82</v>
          </cell>
          <cell r="R1804">
            <v>0</v>
          </cell>
          <cell r="X1804">
            <v>0</v>
          </cell>
          <cell r="Y1804">
            <v>0</v>
          </cell>
          <cell r="AK1804">
            <v>5673.19</v>
          </cell>
        </row>
        <row r="1805">
          <cell r="O1805">
            <v>26163.79</v>
          </cell>
          <cell r="R1805">
            <v>0</v>
          </cell>
          <cell r="X1805">
            <v>0</v>
          </cell>
          <cell r="Y1805">
            <v>0</v>
          </cell>
          <cell r="AW1805">
            <v>1.0249999999999999</v>
          </cell>
          <cell r="BC1805">
            <v>16.72</v>
          </cell>
        </row>
        <row r="1806">
          <cell r="F1806" t="str">
            <v>1.1-1-353</v>
          </cell>
          <cell r="H1806" t="str">
            <v>1000 шт.</v>
          </cell>
          <cell r="I1806">
            <v>14.95</v>
          </cell>
          <cell r="O1806">
            <v>15683.4</v>
          </cell>
          <cell r="R1806">
            <v>0</v>
          </cell>
          <cell r="X1806">
            <v>0</v>
          </cell>
          <cell r="Y1806">
            <v>0</v>
          </cell>
          <cell r="AK1806">
            <v>1023.47</v>
          </cell>
        </row>
        <row r="1807">
          <cell r="O1807">
            <v>243876.87</v>
          </cell>
          <cell r="R1807">
            <v>0</v>
          </cell>
          <cell r="X1807">
            <v>0</v>
          </cell>
          <cell r="Y1807">
            <v>0</v>
          </cell>
          <cell r="AW1807">
            <v>1.0249999999999999</v>
          </cell>
          <cell r="BC1807">
            <v>15.55</v>
          </cell>
        </row>
        <row r="1808">
          <cell r="F1808" t="str">
            <v>1.3-2-13</v>
          </cell>
          <cell r="H1808" t="str">
            <v>м3</v>
          </cell>
          <cell r="I1808">
            <v>6.8769999999999998</v>
          </cell>
          <cell r="O1808">
            <v>3317.93</v>
          </cell>
          <cell r="R1808">
            <v>0</v>
          </cell>
          <cell r="X1808">
            <v>0</v>
          </cell>
          <cell r="Y1808">
            <v>0</v>
          </cell>
          <cell r="AK1808">
            <v>470.7</v>
          </cell>
        </row>
        <row r="1809">
          <cell r="O1809">
            <v>35966.36</v>
          </cell>
          <cell r="R1809">
            <v>0</v>
          </cell>
          <cell r="X1809">
            <v>0</v>
          </cell>
          <cell r="Y1809">
            <v>0</v>
          </cell>
          <cell r="AW1809">
            <v>1.0249999999999999</v>
          </cell>
          <cell r="BC1809">
            <v>10.84</v>
          </cell>
        </row>
        <row r="1811">
          <cell r="G1811" t="str">
            <v>Кирпичные перегородки</v>
          </cell>
        </row>
        <row r="1841">
          <cell r="G1841" t="str">
            <v>Перегородки из газобетоных блоков.</v>
          </cell>
        </row>
        <row r="1845">
          <cell r="F1845" t="str">
            <v>3.70-16-1</v>
          </cell>
          <cell r="H1845" t="str">
            <v>1 м3 кладки</v>
          </cell>
          <cell r="I1845">
            <v>529.375</v>
          </cell>
          <cell r="P1845">
            <v>1625.18</v>
          </cell>
          <cell r="R1845">
            <v>0</v>
          </cell>
          <cell r="S1845">
            <v>41224.230000000003</v>
          </cell>
          <cell r="U1845">
            <v>2717.5994999999998</v>
          </cell>
          <cell r="X1845">
            <v>40811.99</v>
          </cell>
          <cell r="Y1845">
            <v>24322.3</v>
          </cell>
          <cell r="AL1845">
            <v>3.07</v>
          </cell>
          <cell r="AO1845">
            <v>56.43</v>
          </cell>
          <cell r="AQ1845">
            <v>3.72</v>
          </cell>
        </row>
        <row r="1846">
          <cell r="P1846">
            <v>15991.77</v>
          </cell>
          <cell r="R1846">
            <v>0</v>
          </cell>
          <cell r="S1846">
            <v>41224.230000000003</v>
          </cell>
          <cell r="X1846">
            <v>40811.99</v>
          </cell>
          <cell r="Y1846">
            <v>24322.3</v>
          </cell>
          <cell r="AT1846">
            <v>99</v>
          </cell>
          <cell r="AU1846">
            <v>59</v>
          </cell>
          <cell r="AV1846">
            <v>1</v>
          </cell>
          <cell r="AW1846">
            <v>1</v>
          </cell>
          <cell r="BA1846">
            <v>1</v>
          </cell>
          <cell r="BC1846">
            <v>9.84</v>
          </cell>
          <cell r="BZ1846">
            <v>99</v>
          </cell>
          <cell r="CA1846">
            <v>59</v>
          </cell>
        </row>
        <row r="1847">
          <cell r="F1847" t="str">
            <v>1.3-2-13</v>
          </cell>
          <cell r="H1847" t="str">
            <v>м3</v>
          </cell>
          <cell r="I1847">
            <v>58.231250000000003</v>
          </cell>
          <cell r="O1847">
            <v>27409.45</v>
          </cell>
          <cell r="R1847">
            <v>0</v>
          </cell>
          <cell r="X1847">
            <v>0</v>
          </cell>
          <cell r="Y1847">
            <v>0</v>
          </cell>
          <cell r="AK1847">
            <v>470.7</v>
          </cell>
        </row>
        <row r="1848">
          <cell r="O1848">
            <v>297118.44</v>
          </cell>
          <cell r="R1848">
            <v>0</v>
          </cell>
          <cell r="X1848">
            <v>0</v>
          </cell>
          <cell r="Y1848">
            <v>0</v>
          </cell>
          <cell r="AW1848">
            <v>1</v>
          </cell>
          <cell r="BC1848">
            <v>10.84</v>
          </cell>
        </row>
        <row r="1849">
          <cell r="F1849" t="str">
            <v>1.5-1-231</v>
          </cell>
          <cell r="H1849" t="str">
            <v>м3</v>
          </cell>
          <cell r="I1849">
            <v>487.02499999999998</v>
          </cell>
          <cell r="O1849">
            <v>420848.04</v>
          </cell>
          <cell r="R1849">
            <v>0</v>
          </cell>
          <cell r="X1849">
            <v>0</v>
          </cell>
          <cell r="Y1849">
            <v>0</v>
          </cell>
          <cell r="AK1849">
            <v>864.12</v>
          </cell>
        </row>
        <row r="1850">
          <cell r="O1850">
            <v>2483003.44</v>
          </cell>
          <cell r="R1850">
            <v>0</v>
          </cell>
          <cell r="X1850">
            <v>0</v>
          </cell>
          <cell r="Y1850">
            <v>0</v>
          </cell>
          <cell r="AW1850">
            <v>1</v>
          </cell>
          <cell r="BC1850">
            <v>5.9</v>
          </cell>
        </row>
        <row r="1852">
          <cell r="G1852" t="str">
            <v>Перегородки из газобетоных блоков.</v>
          </cell>
        </row>
        <row r="1882">
          <cell r="G1882" t="str">
            <v>Зашивка коммуникаций ГКЛВ</v>
          </cell>
        </row>
        <row r="1886">
          <cell r="F1886" t="str">
            <v>3.70-117-5</v>
          </cell>
          <cell r="H1886" t="str">
            <v>100 м2 перегородки</v>
          </cell>
          <cell r="I1886">
            <v>6.6</v>
          </cell>
          <cell r="P1886">
            <v>13474.16</v>
          </cell>
          <cell r="Q1886">
            <v>348.38</v>
          </cell>
          <cell r="R1886">
            <v>38.25</v>
          </cell>
          <cell r="S1886">
            <v>12572.27</v>
          </cell>
          <cell r="U1886">
            <v>748.86804827999981</v>
          </cell>
          <cell r="X1886">
            <v>12232.2</v>
          </cell>
          <cell r="Y1886">
            <v>5926.94</v>
          </cell>
          <cell r="AL1886">
            <v>2041.54</v>
          </cell>
          <cell r="AM1886">
            <v>33.61</v>
          </cell>
          <cell r="AN1886">
            <v>3.69</v>
          </cell>
          <cell r="AO1886">
            <v>1318.39</v>
          </cell>
          <cell r="AQ1886">
            <v>78.53</v>
          </cell>
        </row>
        <row r="1887">
          <cell r="P1887">
            <v>102807.84</v>
          </cell>
          <cell r="Q1887">
            <v>5413.83</v>
          </cell>
          <cell r="R1887">
            <v>2155.39</v>
          </cell>
          <cell r="S1887">
            <v>708447.41</v>
          </cell>
          <cell r="X1887">
            <v>689284.72</v>
          </cell>
          <cell r="Y1887">
            <v>333983.32</v>
          </cell>
          <cell r="AT1887">
            <v>97</v>
          </cell>
          <cell r="AU1887">
            <v>47</v>
          </cell>
          <cell r="AV1887">
            <v>1.0469999999999999</v>
          </cell>
          <cell r="AW1887">
            <v>1</v>
          </cell>
          <cell r="BA1887">
            <v>56.35</v>
          </cell>
          <cell r="BB1887">
            <v>15.54</v>
          </cell>
          <cell r="BC1887">
            <v>7.63</v>
          </cell>
          <cell r="BS1887">
            <v>56.35</v>
          </cell>
          <cell r="BZ1887">
            <v>97</v>
          </cell>
          <cell r="CA1887">
            <v>47</v>
          </cell>
        </row>
        <row r="1888">
          <cell r="F1888" t="str">
            <v>1.1-1-3719</v>
          </cell>
          <cell r="H1888" t="str">
            <v>м</v>
          </cell>
          <cell r="I1888">
            <v>796.75199999999995</v>
          </cell>
          <cell r="O1888">
            <v>565.69000000000005</v>
          </cell>
          <cell r="R1888">
            <v>0</v>
          </cell>
          <cell r="X1888">
            <v>0</v>
          </cell>
          <cell r="Y1888">
            <v>0</v>
          </cell>
          <cell r="AK1888">
            <v>0.71</v>
          </cell>
        </row>
        <row r="1889">
          <cell r="O1889">
            <v>5719.13</v>
          </cell>
          <cell r="R1889">
            <v>0</v>
          </cell>
          <cell r="X1889">
            <v>0</v>
          </cell>
          <cell r="Y1889">
            <v>0</v>
          </cell>
          <cell r="AW1889">
            <v>1</v>
          </cell>
          <cell r="BC1889">
            <v>10.11</v>
          </cell>
        </row>
        <row r="1890">
          <cell r="F1890" t="str">
            <v>1.7-4-28</v>
          </cell>
          <cell r="H1890" t="str">
            <v>м</v>
          </cell>
          <cell r="I1890">
            <v>627.92399999999998</v>
          </cell>
          <cell r="O1890">
            <v>15340.18</v>
          </cell>
          <cell r="R1890">
            <v>0</v>
          </cell>
          <cell r="X1890">
            <v>0</v>
          </cell>
          <cell r="Y1890">
            <v>0</v>
          </cell>
          <cell r="AK1890">
            <v>24.43</v>
          </cell>
        </row>
        <row r="1891">
          <cell r="O1891">
            <v>53690.63</v>
          </cell>
          <cell r="R1891">
            <v>0</v>
          </cell>
          <cell r="X1891">
            <v>0</v>
          </cell>
          <cell r="Y1891">
            <v>0</v>
          </cell>
          <cell r="AW1891">
            <v>1</v>
          </cell>
          <cell r="BC1891">
            <v>3.5</v>
          </cell>
        </row>
        <row r="1892">
          <cell r="F1892" t="str">
            <v>1.7-4-32</v>
          </cell>
          <cell r="H1892" t="str">
            <v>м</v>
          </cell>
          <cell r="I1892">
            <v>1394.712</v>
          </cell>
          <cell r="O1892">
            <v>32371.27</v>
          </cell>
          <cell r="R1892">
            <v>0</v>
          </cell>
          <cell r="X1892">
            <v>0</v>
          </cell>
          <cell r="Y1892">
            <v>0</v>
          </cell>
          <cell r="AK1892">
            <v>23.21</v>
          </cell>
        </row>
        <row r="1893">
          <cell r="O1893">
            <v>134017.06</v>
          </cell>
          <cell r="R1893">
            <v>0</v>
          </cell>
          <cell r="X1893">
            <v>0</v>
          </cell>
          <cell r="Y1893">
            <v>0</v>
          </cell>
          <cell r="AW1893">
            <v>1</v>
          </cell>
          <cell r="BC1893">
            <v>4.1399999999999997</v>
          </cell>
        </row>
        <row r="1894">
          <cell r="F1894" t="str">
            <v>1.1-1-4067</v>
          </cell>
          <cell r="H1894" t="str">
            <v>м2</v>
          </cell>
          <cell r="I1894">
            <v>1372.8</v>
          </cell>
          <cell r="O1894">
            <v>43092.19</v>
          </cell>
          <cell r="R1894">
            <v>0</v>
          </cell>
          <cell r="X1894">
            <v>0</v>
          </cell>
          <cell r="Y1894">
            <v>0</v>
          </cell>
          <cell r="AK1894">
            <v>31.39</v>
          </cell>
        </row>
        <row r="1895">
          <cell r="O1895">
            <v>218477.4</v>
          </cell>
          <cell r="R1895">
            <v>0</v>
          </cell>
          <cell r="X1895">
            <v>0</v>
          </cell>
          <cell r="Y1895">
            <v>0</v>
          </cell>
          <cell r="AW1895">
            <v>1</v>
          </cell>
          <cell r="BC1895">
            <v>5.07</v>
          </cell>
        </row>
        <row r="1897">
          <cell r="G1897" t="str">
            <v>Зашивка коммуникаций ГКЛВ</v>
          </cell>
        </row>
        <row r="1927">
          <cell r="G1927" t="str">
            <v>Теплоизоляция</v>
          </cell>
        </row>
        <row r="1931">
          <cell r="F1931" t="str">
            <v>3.26-60-1</v>
          </cell>
          <cell r="H1931" t="str">
            <v>100 м2</v>
          </cell>
          <cell r="I1931">
            <v>3.81</v>
          </cell>
          <cell r="Q1931">
            <v>321.44</v>
          </cell>
          <cell r="R1931">
            <v>17.350000000000001</v>
          </cell>
          <cell r="S1931">
            <v>1170.57</v>
          </cell>
          <cell r="U1931">
            <v>91.436664725999975</v>
          </cell>
          <cell r="X1931">
            <v>1033.49</v>
          </cell>
          <cell r="Y1931">
            <v>558.32000000000005</v>
          </cell>
          <cell r="AM1931">
            <v>53.72</v>
          </cell>
          <cell r="AN1931">
            <v>2.9</v>
          </cell>
          <cell r="AO1931">
            <v>212.64</v>
          </cell>
          <cell r="AQ1931">
            <v>16.61</v>
          </cell>
        </row>
        <row r="1932">
          <cell r="Q1932">
            <v>3908.71</v>
          </cell>
          <cell r="R1932">
            <v>977.67</v>
          </cell>
          <cell r="S1932">
            <v>65961.62</v>
          </cell>
          <cell r="X1932">
            <v>58237.18</v>
          </cell>
          <cell r="Y1932">
            <v>31461.47</v>
          </cell>
          <cell r="AT1932">
            <v>87</v>
          </cell>
          <cell r="AU1932">
            <v>47</v>
          </cell>
          <cell r="AV1932">
            <v>1.0469999999999999</v>
          </cell>
          <cell r="BA1932">
            <v>56.35</v>
          </cell>
          <cell r="BB1932">
            <v>12.16</v>
          </cell>
          <cell r="BS1932">
            <v>56.35</v>
          </cell>
          <cell r="BZ1932">
            <v>87</v>
          </cell>
          <cell r="CA1932">
            <v>47</v>
          </cell>
        </row>
        <row r="1933">
          <cell r="F1933" t="str">
            <v>1.1-1-8219</v>
          </cell>
          <cell r="H1933" t="str">
            <v>100 шт.</v>
          </cell>
          <cell r="I1933">
            <v>11.7348</v>
          </cell>
          <cell r="O1933">
            <v>1649.09</v>
          </cell>
          <cell r="R1933">
            <v>0</v>
          </cell>
          <cell r="X1933">
            <v>0</v>
          </cell>
          <cell r="Y1933">
            <v>0</v>
          </cell>
          <cell r="AK1933">
            <v>137.91</v>
          </cell>
        </row>
        <row r="1934">
          <cell r="O1934">
            <v>9828.58</v>
          </cell>
          <cell r="R1934">
            <v>0</v>
          </cell>
          <cell r="X1934">
            <v>0</v>
          </cell>
          <cell r="Y1934">
            <v>0</v>
          </cell>
          <cell r="AW1934">
            <v>1.0189999999999999</v>
          </cell>
          <cell r="BC1934">
            <v>5.96</v>
          </cell>
        </row>
        <row r="1935">
          <cell r="F1935" t="str">
            <v>1.7-3-24</v>
          </cell>
          <cell r="H1935" t="str">
            <v>шт.</v>
          </cell>
          <cell r="I1935">
            <v>10.210800000000001</v>
          </cell>
          <cell r="O1935">
            <v>1093.1300000000001</v>
          </cell>
          <cell r="R1935">
            <v>0</v>
          </cell>
          <cell r="X1935">
            <v>0</v>
          </cell>
          <cell r="Y1935">
            <v>0</v>
          </cell>
          <cell r="AK1935">
            <v>105.06</v>
          </cell>
        </row>
        <row r="1936">
          <cell r="O1936">
            <v>2142.5300000000002</v>
          </cell>
          <cell r="R1936">
            <v>0</v>
          </cell>
          <cell r="X1936">
            <v>0</v>
          </cell>
          <cell r="Y1936">
            <v>0</v>
          </cell>
          <cell r="AW1936">
            <v>1.0189999999999999</v>
          </cell>
          <cell r="BC1936">
            <v>1.96</v>
          </cell>
        </row>
        <row r="1937">
          <cell r="F1937" t="str">
            <v>1.1-1-890</v>
          </cell>
          <cell r="H1937" t="str">
            <v>м3</v>
          </cell>
          <cell r="I1937">
            <v>39.243000000000002</v>
          </cell>
          <cell r="O1937">
            <v>32176.04</v>
          </cell>
          <cell r="R1937">
            <v>0</v>
          </cell>
          <cell r="X1937">
            <v>0</v>
          </cell>
          <cell r="Y1937">
            <v>0</v>
          </cell>
          <cell r="AK1937">
            <v>804.63</v>
          </cell>
        </row>
        <row r="1938">
          <cell r="O1938">
            <v>254190.72</v>
          </cell>
          <cell r="R1938">
            <v>0</v>
          </cell>
          <cell r="X1938">
            <v>0</v>
          </cell>
          <cell r="Y1938">
            <v>0</v>
          </cell>
          <cell r="AW1938">
            <v>1.0189999999999999</v>
          </cell>
          <cell r="BC1938">
            <v>7.9</v>
          </cell>
        </row>
        <row r="1939">
          <cell r="F1939" t="str">
            <v>3.70-411-1</v>
          </cell>
          <cell r="H1939" t="str">
            <v>100 м2</v>
          </cell>
          <cell r="I1939">
            <v>3.97</v>
          </cell>
          <cell r="P1939">
            <v>31951.62</v>
          </cell>
          <cell r="Q1939">
            <v>574.41999999999996</v>
          </cell>
          <cell r="R1939">
            <v>46.57</v>
          </cell>
          <cell r="S1939">
            <v>13973.64</v>
          </cell>
          <cell r="U1939">
            <v>862.13495825999985</v>
          </cell>
          <cell r="X1939">
            <v>12197.58</v>
          </cell>
          <cell r="Y1939">
            <v>6589.5</v>
          </cell>
          <cell r="AL1939">
            <v>7898.2</v>
          </cell>
          <cell r="AM1939">
            <v>92.13</v>
          </cell>
          <cell r="AN1939">
            <v>7.47</v>
          </cell>
          <cell r="AO1939">
            <v>2436.09</v>
          </cell>
          <cell r="AQ1939">
            <v>150.30000000000001</v>
          </cell>
        </row>
        <row r="1940">
          <cell r="P1940">
            <v>143782.29</v>
          </cell>
          <cell r="Q1940">
            <v>7858.07</v>
          </cell>
          <cell r="R1940">
            <v>2624.22</v>
          </cell>
          <cell r="S1940">
            <v>787414.61</v>
          </cell>
          <cell r="X1940">
            <v>687333.78</v>
          </cell>
          <cell r="Y1940">
            <v>371318.25</v>
          </cell>
          <cell r="AT1940">
            <v>87</v>
          </cell>
          <cell r="AU1940">
            <v>47</v>
          </cell>
          <cell r="AV1940">
            <v>1.0469999999999999</v>
          </cell>
          <cell r="AW1940">
            <v>1.0189999999999999</v>
          </cell>
          <cell r="BA1940">
            <v>56.35</v>
          </cell>
          <cell r="BB1940">
            <v>13.68</v>
          </cell>
          <cell r="BC1940">
            <v>4.5</v>
          </cell>
          <cell r="BS1940">
            <v>56.35</v>
          </cell>
          <cell r="BZ1940">
            <v>87</v>
          </cell>
          <cell r="CA1940">
            <v>47</v>
          </cell>
        </row>
        <row r="1941">
          <cell r="F1941" t="str">
            <v>1.1-1-890</v>
          </cell>
          <cell r="H1941" t="str">
            <v>м3</v>
          </cell>
          <cell r="I1941">
            <v>40.890999999999998</v>
          </cell>
          <cell r="O1941">
            <v>33527.269999999997</v>
          </cell>
          <cell r="R1941">
            <v>0</v>
          </cell>
          <cell r="X1941">
            <v>0</v>
          </cell>
          <cell r="Y1941">
            <v>0</v>
          </cell>
          <cell r="AK1941">
            <v>804.63</v>
          </cell>
        </row>
        <row r="1942">
          <cell r="O1942">
            <v>264865.43</v>
          </cell>
          <cell r="R1942">
            <v>0</v>
          </cell>
          <cell r="X1942">
            <v>0</v>
          </cell>
          <cell r="Y1942">
            <v>0</v>
          </cell>
          <cell r="AW1942">
            <v>1.0189999999999999</v>
          </cell>
          <cell r="BC1942">
            <v>7.9</v>
          </cell>
        </row>
        <row r="1943">
          <cell r="F1943" t="str">
            <v>3.70-63-1</v>
          </cell>
          <cell r="H1943" t="str">
            <v>100 м</v>
          </cell>
          <cell r="I1943">
            <v>0.15</v>
          </cell>
          <cell r="P1943">
            <v>10.63</v>
          </cell>
          <cell r="Q1943">
            <v>1.92</v>
          </cell>
          <cell r="R1943">
            <v>0.22</v>
          </cell>
          <cell r="S1943">
            <v>47.03</v>
          </cell>
          <cell r="U1943">
            <v>2.8396135799999995</v>
          </cell>
          <cell r="X1943">
            <v>39.69</v>
          </cell>
          <cell r="Y1943">
            <v>25.04</v>
          </cell>
          <cell r="AL1943">
            <v>70.89</v>
          </cell>
          <cell r="AM1943">
            <v>7.85</v>
          </cell>
          <cell r="AN1943">
            <v>0.88</v>
          </cell>
          <cell r="AO1943">
            <v>209.03</v>
          </cell>
          <cell r="AQ1943">
            <v>12.62</v>
          </cell>
        </row>
        <row r="1944">
          <cell r="P1944">
            <v>51.87</v>
          </cell>
          <cell r="Q1944">
            <v>29.01</v>
          </cell>
          <cell r="R1944">
            <v>12.4</v>
          </cell>
          <cell r="S1944">
            <v>2650.14</v>
          </cell>
          <cell r="X1944">
            <v>2236.5300000000002</v>
          </cell>
          <cell r="Y1944">
            <v>1411.15</v>
          </cell>
          <cell r="AT1944">
            <v>84</v>
          </cell>
          <cell r="AU1944">
            <v>53</v>
          </cell>
          <cell r="AV1944">
            <v>1.087</v>
          </cell>
          <cell r="AW1944">
            <v>1</v>
          </cell>
          <cell r="BA1944">
            <v>56.35</v>
          </cell>
          <cell r="BB1944">
            <v>15.11</v>
          </cell>
          <cell r="BC1944">
            <v>4.88</v>
          </cell>
          <cell r="BS1944">
            <v>56.35</v>
          </cell>
          <cell r="BZ1944">
            <v>84</v>
          </cell>
          <cell r="CA1944">
            <v>53</v>
          </cell>
        </row>
        <row r="1945">
          <cell r="F1945" t="str">
            <v>КА 141</v>
          </cell>
          <cell r="H1945" t="str">
            <v>м</v>
          </cell>
          <cell r="I1945">
            <v>15.3</v>
          </cell>
          <cell r="P1945">
            <v>1011.18</v>
          </cell>
          <cell r="R1945">
            <v>0</v>
          </cell>
          <cell r="X1945">
            <v>0</v>
          </cell>
          <cell r="Y1945">
            <v>0</v>
          </cell>
          <cell r="AL1945">
            <v>66.09</v>
          </cell>
        </row>
        <row r="1946">
          <cell r="P1946">
            <v>9950.01</v>
          </cell>
          <cell r="R1946">
            <v>0</v>
          </cell>
          <cell r="X1946">
            <v>0</v>
          </cell>
          <cell r="Y1946">
            <v>0</v>
          </cell>
          <cell r="AW1946">
            <v>1</v>
          </cell>
          <cell r="BC1946">
            <v>9.84</v>
          </cell>
        </row>
        <row r="1948">
          <cell r="G1948" t="str">
            <v>Теплоизоляция</v>
          </cell>
        </row>
        <row r="1978">
          <cell r="G1978" t="str">
            <v>Замена обшивки конструкции подиума</v>
          </cell>
        </row>
        <row r="1982">
          <cell r="F1982" t="str">
            <v>3.70-254-1</v>
          </cell>
          <cell r="H1982" t="str">
            <v>100 м2 облицовки</v>
          </cell>
          <cell r="I1982">
            <v>1.21</v>
          </cell>
          <cell r="Q1982">
            <v>101</v>
          </cell>
          <cell r="R1982">
            <v>11.06</v>
          </cell>
          <cell r="S1982">
            <v>5389.97</v>
          </cell>
          <cell r="U1982">
            <v>288.13487999999995</v>
          </cell>
          <cell r="X1982">
            <v>4860.93</v>
          </cell>
          <cell r="Y1982">
            <v>2268.4299999999998</v>
          </cell>
          <cell r="AM1982">
            <v>84.83</v>
          </cell>
          <cell r="AN1982">
            <v>9.2899999999999991</v>
          </cell>
          <cell r="AO1982">
            <v>4526.95</v>
          </cell>
          <cell r="AQ1982">
            <v>242</v>
          </cell>
        </row>
        <row r="1983">
          <cell r="Q1983">
            <v>1526.11</v>
          </cell>
          <cell r="R1983">
            <v>623.23</v>
          </cell>
          <cell r="S1983">
            <v>303724.81</v>
          </cell>
          <cell r="X1983">
            <v>273913.24</v>
          </cell>
          <cell r="Y1983">
            <v>127826.18</v>
          </cell>
          <cell r="AT1983">
            <v>90</v>
          </cell>
          <cell r="AU1983">
            <v>42</v>
          </cell>
          <cell r="AV1983">
            <v>1.0249999999999999</v>
          </cell>
          <cell r="BA1983">
            <v>56.35</v>
          </cell>
          <cell r="BB1983">
            <v>15.11</v>
          </cell>
          <cell r="BS1983">
            <v>56.35</v>
          </cell>
          <cell r="BZ1983">
            <v>90</v>
          </cell>
          <cell r="CA1983">
            <v>42</v>
          </cell>
        </row>
        <row r="1984">
          <cell r="F1984" t="str">
            <v>3.70-254-1</v>
          </cell>
          <cell r="H1984" t="str">
            <v>100 м2 облицовки</v>
          </cell>
          <cell r="I1984">
            <v>2.42</v>
          </cell>
          <cell r="P1984">
            <v>11571.93</v>
          </cell>
          <cell r="Q1984">
            <v>315.63</v>
          </cell>
          <cell r="R1984">
            <v>34.57</v>
          </cell>
          <cell r="S1984">
            <v>15496.16</v>
          </cell>
          <cell r="U1984">
            <v>828.38777999999979</v>
          </cell>
          <cell r="X1984">
            <v>13977.66</v>
          </cell>
          <cell r="Y1984">
            <v>6522.91</v>
          </cell>
          <cell r="AL1984">
            <v>4781.79</v>
          </cell>
          <cell r="AM1984">
            <v>84.83</v>
          </cell>
          <cell r="AN1984">
            <v>9.2899999999999991</v>
          </cell>
          <cell r="AO1984">
            <v>4526.95</v>
          </cell>
          <cell r="AQ1984">
            <v>242</v>
          </cell>
        </row>
        <row r="1985">
          <cell r="P1985">
            <v>87020.91</v>
          </cell>
          <cell r="Q1985">
            <v>4769.17</v>
          </cell>
          <cell r="R1985">
            <v>1948.02</v>
          </cell>
          <cell r="S1985">
            <v>873208.62</v>
          </cell>
          <cell r="X1985">
            <v>787640.98</v>
          </cell>
          <cell r="Y1985">
            <v>367565.79</v>
          </cell>
          <cell r="AT1985">
            <v>90</v>
          </cell>
          <cell r="AU1985">
            <v>42</v>
          </cell>
          <cell r="AV1985">
            <v>1.0249999999999999</v>
          </cell>
          <cell r="AW1985">
            <v>1</v>
          </cell>
          <cell r="BA1985">
            <v>56.35</v>
          </cell>
          <cell r="BB1985">
            <v>15.11</v>
          </cell>
          <cell r="BC1985">
            <v>7.52</v>
          </cell>
          <cell r="BS1985">
            <v>56.35</v>
          </cell>
          <cell r="BZ1985">
            <v>90</v>
          </cell>
          <cell r="CA1985">
            <v>42</v>
          </cell>
        </row>
        <row r="1986">
          <cell r="F1986" t="str">
            <v>1.1-1-2397</v>
          </cell>
          <cell r="H1986" t="str">
            <v>м3</v>
          </cell>
          <cell r="I1986">
            <v>5.8079999999999998</v>
          </cell>
          <cell r="P1986">
            <v>17118.91</v>
          </cell>
          <cell r="R1986">
            <v>0</v>
          </cell>
          <cell r="X1986">
            <v>0</v>
          </cell>
          <cell r="Y1986">
            <v>0</v>
          </cell>
          <cell r="AL1986">
            <v>2947.47</v>
          </cell>
        </row>
        <row r="1987">
          <cell r="P1987">
            <v>336557.77</v>
          </cell>
          <cell r="R1987">
            <v>0</v>
          </cell>
          <cell r="X1987">
            <v>0</v>
          </cell>
          <cell r="Y1987">
            <v>0</v>
          </cell>
          <cell r="AW1987">
            <v>1</v>
          </cell>
          <cell r="BC1987">
            <v>19.66</v>
          </cell>
        </row>
        <row r="1989">
          <cell r="G1989" t="str">
            <v>Замена обшивки конструкции подиума</v>
          </cell>
        </row>
        <row r="2019">
          <cell r="G2019" t="str">
            <v>Перегородки</v>
          </cell>
        </row>
        <row r="2049">
          <cell r="G2049" t="str">
            <v>Внутренние двери</v>
          </cell>
        </row>
        <row r="2053">
          <cell r="G2053" t="str">
            <v>Демонтажные работы</v>
          </cell>
        </row>
        <row r="2057">
          <cell r="F2057" t="str">
            <v>6.56-38-3</v>
          </cell>
          <cell r="H2057" t="str">
            <v>100 м2</v>
          </cell>
          <cell r="I2057">
            <v>2.13</v>
          </cell>
          <cell r="R2057">
            <v>0</v>
          </cell>
          <cell r="S2057">
            <v>2585.65</v>
          </cell>
          <cell r="U2057">
            <v>243.92943179999997</v>
          </cell>
          <cell r="X2057">
            <v>2327.09</v>
          </cell>
          <cell r="Y2057">
            <v>1215.26</v>
          </cell>
          <cell r="AO2057">
            <v>966.19</v>
          </cell>
          <cell r="AQ2057">
            <v>91.15</v>
          </cell>
        </row>
        <row r="2058">
          <cell r="R2058">
            <v>0</v>
          </cell>
          <cell r="S2058">
            <v>145701.38</v>
          </cell>
          <cell r="X2058">
            <v>131131.24</v>
          </cell>
          <cell r="Y2058">
            <v>68479.649999999994</v>
          </cell>
          <cell r="AT2058">
            <v>90</v>
          </cell>
          <cell r="AU2058">
            <v>47</v>
          </cell>
          <cell r="AV2058">
            <v>1.0469999999999999</v>
          </cell>
          <cell r="BA2058">
            <v>56.35</v>
          </cell>
          <cell r="BZ2058">
            <v>90</v>
          </cell>
          <cell r="CA2058">
            <v>47</v>
          </cell>
        </row>
        <row r="2059">
          <cell r="F2059" t="str">
            <v>3.70-44-1</v>
          </cell>
          <cell r="H2059" t="str">
            <v>10 шт.</v>
          </cell>
          <cell r="I2059">
            <v>10.199999999999999</v>
          </cell>
          <cell r="P2059">
            <v>2985.83</v>
          </cell>
          <cell r="Q2059">
            <v>907.9</v>
          </cell>
          <cell r="R2059">
            <v>136.99</v>
          </cell>
          <cell r="S2059">
            <v>2202.41</v>
          </cell>
          <cell r="U2059">
            <v>146.72621663999993</v>
          </cell>
          <cell r="X2059">
            <v>1965.1</v>
          </cell>
          <cell r="Y2059">
            <v>1239.8800000000001</v>
          </cell>
          <cell r="AL2059">
            <v>487.88</v>
          </cell>
          <cell r="AM2059">
            <v>113.73</v>
          </cell>
          <cell r="AN2059">
            <v>17.16</v>
          </cell>
          <cell r="AO2059">
            <v>275.89</v>
          </cell>
          <cell r="AQ2059">
            <v>18.38</v>
          </cell>
        </row>
        <row r="2060">
          <cell r="P2060">
            <v>19109.310000000001</v>
          </cell>
          <cell r="Q2060">
            <v>15452.46</v>
          </cell>
          <cell r="R2060">
            <v>7719.39</v>
          </cell>
          <cell r="S2060">
            <v>124105.8</v>
          </cell>
          <cell r="X2060">
            <v>110733.16</v>
          </cell>
          <cell r="Y2060">
            <v>69867.350000000006</v>
          </cell>
          <cell r="AT2060">
            <v>84</v>
          </cell>
          <cell r="AU2060">
            <v>53</v>
          </cell>
          <cell r="AV2060">
            <v>1.087</v>
          </cell>
          <cell r="AW2060">
            <v>1</v>
          </cell>
          <cell r="BA2060">
            <v>56.35</v>
          </cell>
          <cell r="BB2060">
            <v>17.02</v>
          </cell>
          <cell r="BC2060">
            <v>6.4</v>
          </cell>
          <cell r="BS2060">
            <v>56.35</v>
          </cell>
          <cell r="BZ2060">
            <v>84</v>
          </cell>
          <cell r="CA2060">
            <v>53</v>
          </cell>
        </row>
        <row r="2062">
          <cell r="G2062" t="str">
            <v>Демонтажные работы</v>
          </cell>
        </row>
        <row r="2092">
          <cell r="G2092" t="str">
            <v>Алюминиевые двери.</v>
          </cell>
        </row>
        <row r="2096">
          <cell r="F2096" t="str">
            <v>3.70-52-1</v>
          </cell>
          <cell r="H2096" t="str">
            <v>100 м2</v>
          </cell>
          <cell r="I2096">
            <v>1.29206</v>
          </cell>
          <cell r="P2096">
            <v>3769.91</v>
          </cell>
          <cell r="Q2096">
            <v>250.57</v>
          </cell>
          <cell r="R2096">
            <v>27.45</v>
          </cell>
          <cell r="S2096">
            <v>5506.39</v>
          </cell>
          <cell r="U2096">
            <v>303.71085094811997</v>
          </cell>
          <cell r="X2096">
            <v>4648.43</v>
          </cell>
          <cell r="Y2096">
            <v>2932.94</v>
          </cell>
          <cell r="AL2096">
            <v>2917.75</v>
          </cell>
          <cell r="AM2096">
            <v>118.94</v>
          </cell>
          <cell r="AN2096">
            <v>13.03</v>
          </cell>
          <cell r="AO2096">
            <v>2841.03</v>
          </cell>
          <cell r="AQ2096">
            <v>156.69999999999999</v>
          </cell>
        </row>
        <row r="2097">
          <cell r="P2097">
            <v>17907.07</v>
          </cell>
          <cell r="Q2097">
            <v>3773.58</v>
          </cell>
          <cell r="R2097">
            <v>1546.81</v>
          </cell>
          <cell r="S2097">
            <v>310285.08</v>
          </cell>
          <cell r="X2097">
            <v>261938.79</v>
          </cell>
          <cell r="Y2097">
            <v>165270.9</v>
          </cell>
          <cell r="AT2097">
            <v>84</v>
          </cell>
          <cell r="AU2097">
            <v>53</v>
          </cell>
          <cell r="AV2097">
            <v>1.087</v>
          </cell>
          <cell r="AW2097">
            <v>1</v>
          </cell>
          <cell r="BA2097">
            <v>56.35</v>
          </cell>
          <cell r="BB2097">
            <v>15.06</v>
          </cell>
          <cell r="BC2097">
            <v>4.75</v>
          </cell>
          <cell r="BS2097">
            <v>56.35</v>
          </cell>
          <cell r="BZ2097">
            <v>84</v>
          </cell>
          <cell r="CA2097">
            <v>53</v>
          </cell>
        </row>
        <row r="2098">
          <cell r="F2098" t="str">
            <v>1.1-1-2982</v>
          </cell>
          <cell r="H2098" t="str">
            <v>м</v>
          </cell>
          <cell r="I2098">
            <v>327.71538500000003</v>
          </cell>
          <cell r="O2098">
            <v>4568.3500000000004</v>
          </cell>
          <cell r="R2098">
            <v>0</v>
          </cell>
          <cell r="X2098">
            <v>0</v>
          </cell>
          <cell r="Y2098">
            <v>0</v>
          </cell>
          <cell r="AK2098">
            <v>13.94</v>
          </cell>
        </row>
        <row r="2099">
          <cell r="O2099">
            <v>3106.48</v>
          </cell>
          <cell r="R2099">
            <v>0</v>
          </cell>
          <cell r="X2099">
            <v>0</v>
          </cell>
          <cell r="Y2099">
            <v>0</v>
          </cell>
          <cell r="AW2099">
            <v>1</v>
          </cell>
          <cell r="BC2099">
            <v>0.68</v>
          </cell>
        </row>
        <row r="2100">
          <cell r="F2100" t="str">
            <v>1.7-3-8</v>
          </cell>
          <cell r="H2100" t="str">
            <v>шт.</v>
          </cell>
          <cell r="I2100">
            <v>11.187689000000001</v>
          </cell>
          <cell r="O2100">
            <v>132.24</v>
          </cell>
          <cell r="R2100">
            <v>0</v>
          </cell>
          <cell r="X2100">
            <v>0</v>
          </cell>
          <cell r="Y2100">
            <v>0</v>
          </cell>
          <cell r="AK2100">
            <v>11.82</v>
          </cell>
        </row>
        <row r="2101">
          <cell r="O2101">
            <v>826.5</v>
          </cell>
          <cell r="R2101">
            <v>0</v>
          </cell>
          <cell r="X2101">
            <v>0</v>
          </cell>
          <cell r="Y2101">
            <v>0</v>
          </cell>
          <cell r="AW2101">
            <v>1</v>
          </cell>
          <cell r="BC2101">
            <v>6.25</v>
          </cell>
        </row>
        <row r="2102">
          <cell r="F2102" t="str">
            <v>1.1-1-2984</v>
          </cell>
          <cell r="H2102" t="str">
            <v>м</v>
          </cell>
          <cell r="I2102">
            <v>327.71538500000003</v>
          </cell>
          <cell r="O2102">
            <v>2123.6</v>
          </cell>
          <cell r="R2102">
            <v>0</v>
          </cell>
          <cell r="X2102">
            <v>0</v>
          </cell>
          <cell r="Y2102">
            <v>0</v>
          </cell>
          <cell r="AK2102">
            <v>6.48</v>
          </cell>
        </row>
        <row r="2103">
          <cell r="O2103">
            <v>1974.95</v>
          </cell>
          <cell r="R2103">
            <v>0</v>
          </cell>
          <cell r="X2103">
            <v>0</v>
          </cell>
          <cell r="Y2103">
            <v>0</v>
          </cell>
          <cell r="AW2103">
            <v>1</v>
          </cell>
          <cell r="BC2103">
            <v>0.93</v>
          </cell>
        </row>
        <row r="2104">
          <cell r="F2104" t="str">
            <v>КА 148</v>
          </cell>
          <cell r="H2104" t="str">
            <v>ШТ</v>
          </cell>
          <cell r="I2104">
            <v>6</v>
          </cell>
          <cell r="P2104">
            <v>34655.879999999997</v>
          </cell>
          <cell r="R2104">
            <v>0</v>
          </cell>
          <cell r="X2104">
            <v>0</v>
          </cell>
          <cell r="Y2104">
            <v>0</v>
          </cell>
          <cell r="AL2104">
            <v>5775.98</v>
          </cell>
        </row>
        <row r="2105">
          <cell r="P2105">
            <v>341013.86</v>
          </cell>
          <cell r="R2105">
            <v>0</v>
          </cell>
          <cell r="X2105">
            <v>0</v>
          </cell>
          <cell r="Y2105">
            <v>0</v>
          </cell>
          <cell r="AW2105">
            <v>1</v>
          </cell>
          <cell r="BC2105">
            <v>9.84</v>
          </cell>
        </row>
        <row r="2106">
          <cell r="F2106" t="str">
            <v>КА 149</v>
          </cell>
          <cell r="H2106" t="str">
            <v>ШТ</v>
          </cell>
          <cell r="I2106">
            <v>30</v>
          </cell>
          <cell r="P2106">
            <v>173279.4</v>
          </cell>
          <cell r="R2106">
            <v>0</v>
          </cell>
          <cell r="X2106">
            <v>0</v>
          </cell>
          <cell r="Y2106">
            <v>0</v>
          </cell>
          <cell r="AL2106">
            <v>5775.98</v>
          </cell>
        </row>
        <row r="2107">
          <cell r="P2107">
            <v>1705069.3</v>
          </cell>
          <cell r="R2107">
            <v>0</v>
          </cell>
          <cell r="X2107">
            <v>0</v>
          </cell>
          <cell r="Y2107">
            <v>0</v>
          </cell>
          <cell r="AW2107">
            <v>1</v>
          </cell>
          <cell r="BC2107">
            <v>9.84</v>
          </cell>
        </row>
        <row r="2108">
          <cell r="F2108" t="str">
            <v>КА 150</v>
          </cell>
          <cell r="H2108" t="str">
            <v>ШТ</v>
          </cell>
          <cell r="I2108">
            <v>9</v>
          </cell>
          <cell r="P2108">
            <v>51983.82</v>
          </cell>
          <cell r="R2108">
            <v>0</v>
          </cell>
          <cell r="X2108">
            <v>0</v>
          </cell>
          <cell r="Y2108">
            <v>0</v>
          </cell>
          <cell r="AL2108">
            <v>5775.98</v>
          </cell>
        </row>
        <row r="2109">
          <cell r="P2109">
            <v>511520.79</v>
          </cell>
          <cell r="R2109">
            <v>0</v>
          </cell>
          <cell r="X2109">
            <v>0</v>
          </cell>
          <cell r="Y2109">
            <v>0</v>
          </cell>
          <cell r="AW2109">
            <v>1</v>
          </cell>
          <cell r="BC2109">
            <v>9.84</v>
          </cell>
        </row>
        <row r="2110">
          <cell r="F2110" t="str">
            <v>КА 151</v>
          </cell>
          <cell r="H2110" t="str">
            <v>ШТ</v>
          </cell>
          <cell r="I2110">
            <v>1</v>
          </cell>
          <cell r="P2110">
            <v>6897.55</v>
          </cell>
          <cell r="R2110">
            <v>0</v>
          </cell>
          <cell r="X2110">
            <v>0</v>
          </cell>
          <cell r="Y2110">
            <v>0</v>
          </cell>
          <cell r="AL2110">
            <v>6897.55</v>
          </cell>
        </row>
        <row r="2111">
          <cell r="P2111">
            <v>67871.89</v>
          </cell>
          <cell r="R2111">
            <v>0</v>
          </cell>
          <cell r="X2111">
            <v>0</v>
          </cell>
          <cell r="Y2111">
            <v>0</v>
          </cell>
          <cell r="AW2111">
            <v>1</v>
          </cell>
          <cell r="BC2111">
            <v>9.84</v>
          </cell>
        </row>
        <row r="2112">
          <cell r="F2112" t="str">
            <v>КА 152</v>
          </cell>
          <cell r="H2112" t="str">
            <v>ШТ</v>
          </cell>
          <cell r="I2112">
            <v>7</v>
          </cell>
          <cell r="P2112">
            <v>40431.86</v>
          </cell>
          <cell r="R2112">
            <v>0</v>
          </cell>
          <cell r="X2112">
            <v>0</v>
          </cell>
          <cell r="Y2112">
            <v>0</v>
          </cell>
          <cell r="AL2112">
            <v>5775.98</v>
          </cell>
        </row>
        <row r="2113">
          <cell r="P2113">
            <v>397849.5</v>
          </cell>
          <cell r="R2113">
            <v>0</v>
          </cell>
          <cell r="X2113">
            <v>0</v>
          </cell>
          <cell r="Y2113">
            <v>0</v>
          </cell>
          <cell r="AW2113">
            <v>1</v>
          </cell>
          <cell r="BC2113">
            <v>9.84</v>
          </cell>
        </row>
        <row r="2114">
          <cell r="F2114" t="str">
            <v>КА 153</v>
          </cell>
          <cell r="H2114" t="str">
            <v>ШТ</v>
          </cell>
          <cell r="I2114">
            <v>5</v>
          </cell>
          <cell r="P2114">
            <v>28879.9</v>
          </cell>
          <cell r="R2114">
            <v>0</v>
          </cell>
          <cell r="X2114">
            <v>0</v>
          </cell>
          <cell r="Y2114">
            <v>0</v>
          </cell>
          <cell r="AL2114">
            <v>5775.98</v>
          </cell>
        </row>
        <row r="2115">
          <cell r="P2115">
            <v>284178.21999999997</v>
          </cell>
          <cell r="R2115">
            <v>0</v>
          </cell>
          <cell r="X2115">
            <v>0</v>
          </cell>
          <cell r="Y2115">
            <v>0</v>
          </cell>
          <cell r="AW2115">
            <v>1</v>
          </cell>
          <cell r="BC2115">
            <v>9.84</v>
          </cell>
        </row>
        <row r="2116">
          <cell r="F2116" t="str">
            <v>КА 154</v>
          </cell>
          <cell r="H2116" t="str">
            <v>ШТ</v>
          </cell>
          <cell r="I2116">
            <v>3</v>
          </cell>
          <cell r="P2116">
            <v>17327.939999999999</v>
          </cell>
          <cell r="R2116">
            <v>0</v>
          </cell>
          <cell r="X2116">
            <v>0</v>
          </cell>
          <cell r="Y2116">
            <v>0</v>
          </cell>
          <cell r="AL2116">
            <v>5775.98</v>
          </cell>
        </row>
        <row r="2117">
          <cell r="P2117">
            <v>170506.93</v>
          </cell>
          <cell r="R2117">
            <v>0</v>
          </cell>
          <cell r="X2117">
            <v>0</v>
          </cell>
          <cell r="Y2117">
            <v>0</v>
          </cell>
          <cell r="AW2117">
            <v>1</v>
          </cell>
          <cell r="BC2117">
            <v>9.84</v>
          </cell>
        </row>
        <row r="2118">
          <cell r="F2118" t="str">
            <v>КА 155</v>
          </cell>
          <cell r="H2118" t="str">
            <v>ШТ</v>
          </cell>
          <cell r="I2118">
            <v>1</v>
          </cell>
          <cell r="P2118">
            <v>5775.98</v>
          </cell>
          <cell r="R2118">
            <v>0</v>
          </cell>
          <cell r="X2118">
            <v>0</v>
          </cell>
          <cell r="Y2118">
            <v>0</v>
          </cell>
          <cell r="AL2118">
            <v>5775.98</v>
          </cell>
        </row>
        <row r="2119">
          <cell r="P2119">
            <v>56835.64</v>
          </cell>
          <cell r="R2119">
            <v>0</v>
          </cell>
          <cell r="X2119">
            <v>0</v>
          </cell>
          <cell r="Y2119">
            <v>0</v>
          </cell>
          <cell r="AW2119">
            <v>1</v>
          </cell>
          <cell r="BC2119">
            <v>9.84</v>
          </cell>
        </row>
        <row r="2120">
          <cell r="F2120" t="str">
            <v>КА 156</v>
          </cell>
          <cell r="H2120" t="str">
            <v>ШТ</v>
          </cell>
          <cell r="I2120">
            <v>1</v>
          </cell>
          <cell r="P2120">
            <v>6897.55</v>
          </cell>
          <cell r="R2120">
            <v>0</v>
          </cell>
          <cell r="X2120">
            <v>0</v>
          </cell>
          <cell r="Y2120">
            <v>0</v>
          </cell>
          <cell r="AL2120">
            <v>6897.55</v>
          </cell>
        </row>
        <row r="2121">
          <cell r="P2121">
            <v>67871.89</v>
          </cell>
          <cell r="R2121">
            <v>0</v>
          </cell>
          <cell r="X2121">
            <v>0</v>
          </cell>
          <cell r="Y2121">
            <v>0</v>
          </cell>
          <cell r="AW2121">
            <v>1</v>
          </cell>
          <cell r="BC2121">
            <v>9.84</v>
          </cell>
        </row>
        <row r="2122">
          <cell r="F2122" t="str">
            <v>КА 157</v>
          </cell>
          <cell r="H2122" t="str">
            <v>ШТ</v>
          </cell>
          <cell r="I2122">
            <v>1</v>
          </cell>
          <cell r="P2122">
            <v>5775.98</v>
          </cell>
          <cell r="R2122">
            <v>0</v>
          </cell>
          <cell r="X2122">
            <v>0</v>
          </cell>
          <cell r="Y2122">
            <v>0</v>
          </cell>
          <cell r="AL2122">
            <v>5775.98</v>
          </cell>
        </row>
        <row r="2123">
          <cell r="P2123">
            <v>56835.64</v>
          </cell>
          <cell r="R2123">
            <v>0</v>
          </cell>
          <cell r="X2123">
            <v>0</v>
          </cell>
          <cell r="Y2123">
            <v>0</v>
          </cell>
          <cell r="AW2123">
            <v>1</v>
          </cell>
          <cell r="BC2123">
            <v>9.84</v>
          </cell>
        </row>
        <row r="2124">
          <cell r="F2124" t="str">
            <v>КА 158</v>
          </cell>
          <cell r="H2124" t="str">
            <v>ШТ</v>
          </cell>
          <cell r="I2124">
            <v>1</v>
          </cell>
          <cell r="P2124">
            <v>6897.55</v>
          </cell>
          <cell r="R2124">
            <v>0</v>
          </cell>
          <cell r="X2124">
            <v>0</v>
          </cell>
          <cell r="Y2124">
            <v>0</v>
          </cell>
          <cell r="AL2124">
            <v>6897.55</v>
          </cell>
        </row>
        <row r="2125">
          <cell r="P2125">
            <v>67871.89</v>
          </cell>
          <cell r="R2125">
            <v>0</v>
          </cell>
          <cell r="X2125">
            <v>0</v>
          </cell>
          <cell r="Y2125">
            <v>0</v>
          </cell>
          <cell r="AW2125">
            <v>1</v>
          </cell>
          <cell r="BC2125">
            <v>9.84</v>
          </cell>
        </row>
        <row r="2126">
          <cell r="F2126" t="str">
            <v>КА 178</v>
          </cell>
          <cell r="H2126" t="str">
            <v>ШТ</v>
          </cell>
          <cell r="I2126">
            <v>1</v>
          </cell>
          <cell r="P2126">
            <v>6897.55</v>
          </cell>
          <cell r="R2126">
            <v>0</v>
          </cell>
          <cell r="X2126">
            <v>0</v>
          </cell>
          <cell r="Y2126">
            <v>0</v>
          </cell>
          <cell r="AL2126">
            <v>6897.55</v>
          </cell>
        </row>
        <row r="2127">
          <cell r="P2127">
            <v>67871.89</v>
          </cell>
          <cell r="R2127">
            <v>0</v>
          </cell>
          <cell r="X2127">
            <v>0</v>
          </cell>
          <cell r="Y2127">
            <v>0</v>
          </cell>
          <cell r="AW2127">
            <v>1</v>
          </cell>
          <cell r="BC2127">
            <v>9.84</v>
          </cell>
        </row>
        <row r="2128">
          <cell r="F2128" t="str">
            <v>3.70-52-2</v>
          </cell>
          <cell r="H2128" t="str">
            <v>100 м2</v>
          </cell>
          <cell r="I2128">
            <v>1.2177</v>
          </cell>
          <cell r="P2128">
            <v>2539.9899999999998</v>
          </cell>
          <cell r="Q2128">
            <v>221.68</v>
          </cell>
          <cell r="R2128">
            <v>25.27</v>
          </cell>
          <cell r="S2128">
            <v>3320.76</v>
          </cell>
          <cell r="U2128">
            <v>184.98211748873996</v>
          </cell>
          <cell r="X2128">
            <v>2810.67</v>
          </cell>
          <cell r="Y2128">
            <v>1773.4</v>
          </cell>
          <cell r="AL2128">
            <v>2085.89</v>
          </cell>
          <cell r="AM2128">
            <v>111.65</v>
          </cell>
          <cell r="AN2128">
            <v>12.73</v>
          </cell>
          <cell r="AO2128">
            <v>1817.98</v>
          </cell>
          <cell r="AQ2128">
            <v>101.27</v>
          </cell>
        </row>
        <row r="2129">
          <cell r="P2129">
            <v>12039.55</v>
          </cell>
          <cell r="Q2129">
            <v>3387.27</v>
          </cell>
          <cell r="R2129">
            <v>1423.96</v>
          </cell>
          <cell r="S2129">
            <v>187124.83</v>
          </cell>
          <cell r="X2129">
            <v>158380.98000000001</v>
          </cell>
          <cell r="Y2129">
            <v>99930.86</v>
          </cell>
          <cell r="AT2129">
            <v>84</v>
          </cell>
          <cell r="AU2129">
            <v>53</v>
          </cell>
          <cell r="AV2129">
            <v>1.087</v>
          </cell>
          <cell r="AW2129">
            <v>1</v>
          </cell>
          <cell r="BA2129">
            <v>56.35</v>
          </cell>
          <cell r="BB2129">
            <v>15.28</v>
          </cell>
          <cell r="BC2129">
            <v>4.74</v>
          </cell>
          <cell r="BS2129">
            <v>56.35</v>
          </cell>
          <cell r="BZ2129">
            <v>84</v>
          </cell>
          <cell r="CA2129">
            <v>53</v>
          </cell>
        </row>
        <row r="2130">
          <cell r="F2130" t="str">
            <v>1.1-1-2982</v>
          </cell>
          <cell r="H2130" t="str">
            <v>м</v>
          </cell>
          <cell r="I2130">
            <v>208.96243399999997</v>
          </cell>
          <cell r="O2130">
            <v>2912.94</v>
          </cell>
          <cell r="R2130">
            <v>0</v>
          </cell>
          <cell r="X2130">
            <v>0</v>
          </cell>
          <cell r="Y2130">
            <v>0</v>
          </cell>
          <cell r="AK2130">
            <v>13.94</v>
          </cell>
        </row>
        <row r="2131">
          <cell r="O2131">
            <v>1980.8</v>
          </cell>
          <cell r="R2131">
            <v>0</v>
          </cell>
          <cell r="X2131">
            <v>0</v>
          </cell>
          <cell r="Y2131">
            <v>0</v>
          </cell>
          <cell r="AW2131">
            <v>1</v>
          </cell>
          <cell r="BC2131">
            <v>0.68</v>
          </cell>
        </row>
        <row r="2132">
          <cell r="F2132" t="str">
            <v>1.7-3-8</v>
          </cell>
          <cell r="H2132" t="str">
            <v>шт.</v>
          </cell>
          <cell r="I2132">
            <v>7.2373999999999983</v>
          </cell>
          <cell r="O2132">
            <v>85.55</v>
          </cell>
          <cell r="R2132">
            <v>0</v>
          </cell>
          <cell r="X2132">
            <v>0</v>
          </cell>
          <cell r="Y2132">
            <v>0</v>
          </cell>
          <cell r="AK2132">
            <v>11.82</v>
          </cell>
        </row>
        <row r="2133">
          <cell r="O2133">
            <v>534.69000000000005</v>
          </cell>
          <cell r="R2133">
            <v>0</v>
          </cell>
          <cell r="X2133">
            <v>0</v>
          </cell>
          <cell r="Y2133">
            <v>0</v>
          </cell>
          <cell r="AW2133">
            <v>1</v>
          </cell>
          <cell r="BC2133">
            <v>6.25</v>
          </cell>
        </row>
        <row r="2134">
          <cell r="F2134" t="str">
            <v>1.1-1-2984</v>
          </cell>
          <cell r="H2134" t="str">
            <v>м</v>
          </cell>
          <cell r="I2134">
            <v>208.96243399999997</v>
          </cell>
          <cell r="O2134">
            <v>1354.08</v>
          </cell>
          <cell r="R2134">
            <v>0</v>
          </cell>
          <cell r="X2134">
            <v>0</v>
          </cell>
          <cell r="Y2134">
            <v>0</v>
          </cell>
          <cell r="AK2134">
            <v>6.48</v>
          </cell>
        </row>
        <row r="2135">
          <cell r="O2135">
            <v>1259.29</v>
          </cell>
          <cell r="R2135">
            <v>0</v>
          </cell>
          <cell r="X2135">
            <v>0</v>
          </cell>
          <cell r="Y2135">
            <v>0</v>
          </cell>
          <cell r="AW2135">
            <v>1</v>
          </cell>
          <cell r="BC2135">
            <v>0.93</v>
          </cell>
        </row>
        <row r="2136">
          <cell r="F2136" t="str">
            <v>КА-159</v>
          </cell>
          <cell r="H2136" t="str">
            <v>ШТ</v>
          </cell>
          <cell r="I2136">
            <v>1</v>
          </cell>
          <cell r="P2136">
            <v>8579.8700000000008</v>
          </cell>
          <cell r="R2136">
            <v>0</v>
          </cell>
          <cell r="X2136">
            <v>0</v>
          </cell>
          <cell r="Y2136">
            <v>0</v>
          </cell>
          <cell r="AL2136">
            <v>8579.869999999999</v>
          </cell>
        </row>
        <row r="2137">
          <cell r="P2137">
            <v>84425.919999999998</v>
          </cell>
          <cell r="R2137">
            <v>0</v>
          </cell>
          <cell r="X2137">
            <v>0</v>
          </cell>
          <cell r="Y2137">
            <v>0</v>
          </cell>
          <cell r="AW2137">
            <v>1</v>
          </cell>
          <cell r="BC2137">
            <v>9.84</v>
          </cell>
        </row>
        <row r="2138">
          <cell r="F2138" t="str">
            <v>КА-160</v>
          </cell>
          <cell r="H2138" t="str">
            <v>ШТ</v>
          </cell>
          <cell r="I2138">
            <v>2</v>
          </cell>
          <cell r="P2138">
            <v>19290.68</v>
          </cell>
          <cell r="R2138">
            <v>0</v>
          </cell>
          <cell r="X2138">
            <v>0</v>
          </cell>
          <cell r="Y2138">
            <v>0</v>
          </cell>
          <cell r="AL2138">
            <v>9645.34</v>
          </cell>
        </row>
        <row r="2139">
          <cell r="P2139">
            <v>189820.29</v>
          </cell>
          <cell r="R2139">
            <v>0</v>
          </cell>
          <cell r="X2139">
            <v>0</v>
          </cell>
          <cell r="Y2139">
            <v>0</v>
          </cell>
          <cell r="AW2139">
            <v>1</v>
          </cell>
          <cell r="BC2139">
            <v>9.84</v>
          </cell>
        </row>
        <row r="2140">
          <cell r="F2140" t="str">
            <v>КА 161</v>
          </cell>
          <cell r="H2140" t="str">
            <v>ШТ</v>
          </cell>
          <cell r="I2140">
            <v>2</v>
          </cell>
          <cell r="P2140">
            <v>19290.68</v>
          </cell>
          <cell r="R2140">
            <v>0</v>
          </cell>
          <cell r="X2140">
            <v>0</v>
          </cell>
          <cell r="Y2140">
            <v>0</v>
          </cell>
          <cell r="AL2140">
            <v>9645.34</v>
          </cell>
        </row>
        <row r="2141">
          <cell r="P2141">
            <v>189820.29</v>
          </cell>
          <cell r="R2141">
            <v>0</v>
          </cell>
          <cell r="X2141">
            <v>0</v>
          </cell>
          <cell r="Y2141">
            <v>0</v>
          </cell>
          <cell r="AW2141">
            <v>1</v>
          </cell>
          <cell r="BC2141">
            <v>9.84</v>
          </cell>
        </row>
        <row r="2142">
          <cell r="F2142" t="str">
            <v>КА- 162</v>
          </cell>
          <cell r="H2142" t="str">
            <v>ШТ</v>
          </cell>
          <cell r="I2142">
            <v>1</v>
          </cell>
          <cell r="P2142">
            <v>9645.34</v>
          </cell>
          <cell r="R2142">
            <v>0</v>
          </cell>
          <cell r="X2142">
            <v>0</v>
          </cell>
          <cell r="Y2142">
            <v>0</v>
          </cell>
          <cell r="AL2142">
            <v>9645.34</v>
          </cell>
        </row>
        <row r="2143">
          <cell r="P2143">
            <v>94910.15</v>
          </cell>
          <cell r="R2143">
            <v>0</v>
          </cell>
          <cell r="X2143">
            <v>0</v>
          </cell>
          <cell r="Y2143">
            <v>0</v>
          </cell>
          <cell r="AW2143">
            <v>1</v>
          </cell>
          <cell r="BC2143">
            <v>9.84</v>
          </cell>
        </row>
        <row r="2144">
          <cell r="F2144" t="str">
            <v>КА 163</v>
          </cell>
          <cell r="H2144" t="str">
            <v>ШТ</v>
          </cell>
          <cell r="I2144">
            <v>10</v>
          </cell>
          <cell r="P2144">
            <v>96453.4</v>
          </cell>
          <cell r="R2144">
            <v>0</v>
          </cell>
          <cell r="X2144">
            <v>0</v>
          </cell>
          <cell r="Y2144">
            <v>0</v>
          </cell>
          <cell r="AL2144">
            <v>9645.34</v>
          </cell>
        </row>
        <row r="2145">
          <cell r="P2145">
            <v>949101.46</v>
          </cell>
          <cell r="R2145">
            <v>0</v>
          </cell>
          <cell r="X2145">
            <v>0</v>
          </cell>
          <cell r="Y2145">
            <v>0</v>
          </cell>
          <cell r="AW2145">
            <v>1</v>
          </cell>
          <cell r="BC2145">
            <v>9.84</v>
          </cell>
        </row>
        <row r="2146">
          <cell r="F2146" t="str">
            <v>КА 164</v>
          </cell>
          <cell r="H2146" t="str">
            <v>ШТ</v>
          </cell>
          <cell r="I2146">
            <v>2</v>
          </cell>
          <cell r="P2146">
            <v>19290.68</v>
          </cell>
          <cell r="R2146">
            <v>0</v>
          </cell>
          <cell r="X2146">
            <v>0</v>
          </cell>
          <cell r="Y2146">
            <v>0</v>
          </cell>
          <cell r="AL2146">
            <v>9645.34</v>
          </cell>
        </row>
        <row r="2147">
          <cell r="P2147">
            <v>189820.29</v>
          </cell>
          <cell r="R2147">
            <v>0</v>
          </cell>
          <cell r="X2147">
            <v>0</v>
          </cell>
          <cell r="Y2147">
            <v>0</v>
          </cell>
          <cell r="AW2147">
            <v>1</v>
          </cell>
          <cell r="BC2147">
            <v>9.84</v>
          </cell>
        </row>
        <row r="2148">
          <cell r="F2148" t="str">
            <v>КА 165</v>
          </cell>
          <cell r="H2148" t="str">
            <v>ШТ</v>
          </cell>
          <cell r="I2148">
            <v>2</v>
          </cell>
          <cell r="P2148">
            <v>19290.68</v>
          </cell>
          <cell r="R2148">
            <v>0</v>
          </cell>
          <cell r="X2148">
            <v>0</v>
          </cell>
          <cell r="Y2148">
            <v>0</v>
          </cell>
          <cell r="AL2148">
            <v>9645.34</v>
          </cell>
        </row>
        <row r="2149">
          <cell r="P2149">
            <v>189820.29</v>
          </cell>
          <cell r="R2149">
            <v>0</v>
          </cell>
          <cell r="X2149">
            <v>0</v>
          </cell>
          <cell r="Y2149">
            <v>0</v>
          </cell>
          <cell r="AW2149">
            <v>1</v>
          </cell>
          <cell r="BC2149">
            <v>9.84</v>
          </cell>
        </row>
        <row r="2150">
          <cell r="F2150" t="str">
            <v>КА 166</v>
          </cell>
          <cell r="H2150" t="str">
            <v>ШТ</v>
          </cell>
          <cell r="I2150">
            <v>1</v>
          </cell>
          <cell r="P2150">
            <v>8411.6299999999992</v>
          </cell>
          <cell r="R2150">
            <v>0</v>
          </cell>
          <cell r="X2150">
            <v>0</v>
          </cell>
          <cell r="Y2150">
            <v>0</v>
          </cell>
          <cell r="AL2150">
            <v>8411.630000000001</v>
          </cell>
        </row>
        <row r="2151">
          <cell r="P2151">
            <v>82770.44</v>
          </cell>
          <cell r="R2151">
            <v>0</v>
          </cell>
          <cell r="X2151">
            <v>0</v>
          </cell>
          <cell r="Y2151">
            <v>0</v>
          </cell>
          <cell r="AW2151">
            <v>1</v>
          </cell>
          <cell r="BC2151">
            <v>9.84</v>
          </cell>
        </row>
        <row r="2152">
          <cell r="F2152" t="str">
            <v>КА 167</v>
          </cell>
          <cell r="H2152" t="str">
            <v>ШТ</v>
          </cell>
          <cell r="I2152">
            <v>1</v>
          </cell>
          <cell r="P2152">
            <v>8579.8700000000008</v>
          </cell>
          <cell r="R2152">
            <v>0</v>
          </cell>
          <cell r="X2152">
            <v>0</v>
          </cell>
          <cell r="Y2152">
            <v>0</v>
          </cell>
          <cell r="AL2152">
            <v>8579.869999999999</v>
          </cell>
        </row>
        <row r="2153">
          <cell r="P2153">
            <v>84425.919999999998</v>
          </cell>
          <cell r="R2153">
            <v>0</v>
          </cell>
          <cell r="X2153">
            <v>0</v>
          </cell>
          <cell r="Y2153">
            <v>0</v>
          </cell>
          <cell r="AW2153">
            <v>1</v>
          </cell>
          <cell r="BC2153">
            <v>9.84</v>
          </cell>
        </row>
        <row r="2154">
          <cell r="F2154" t="str">
            <v>КА 168</v>
          </cell>
          <cell r="H2154" t="str">
            <v>ШТ</v>
          </cell>
          <cell r="I2154">
            <v>2</v>
          </cell>
          <cell r="P2154">
            <v>16823.259999999998</v>
          </cell>
          <cell r="R2154">
            <v>0</v>
          </cell>
          <cell r="X2154">
            <v>0</v>
          </cell>
          <cell r="Y2154">
            <v>0</v>
          </cell>
          <cell r="AL2154">
            <v>8411.630000000001</v>
          </cell>
        </row>
        <row r="2155">
          <cell r="P2155">
            <v>165540.88</v>
          </cell>
          <cell r="R2155">
            <v>0</v>
          </cell>
          <cell r="X2155">
            <v>0</v>
          </cell>
          <cell r="Y2155">
            <v>0</v>
          </cell>
          <cell r="AW2155">
            <v>1</v>
          </cell>
          <cell r="BC2155">
            <v>9.84</v>
          </cell>
        </row>
        <row r="2156">
          <cell r="F2156" t="str">
            <v>КА 169</v>
          </cell>
          <cell r="H2156" t="str">
            <v>ШТ</v>
          </cell>
          <cell r="I2156">
            <v>12</v>
          </cell>
          <cell r="P2156">
            <v>102958.44</v>
          </cell>
          <cell r="R2156">
            <v>0</v>
          </cell>
          <cell r="X2156">
            <v>0</v>
          </cell>
          <cell r="Y2156">
            <v>0</v>
          </cell>
          <cell r="AL2156">
            <v>8579.869999999999</v>
          </cell>
        </row>
        <row r="2157">
          <cell r="P2157">
            <v>1013111.05</v>
          </cell>
          <cell r="R2157">
            <v>0</v>
          </cell>
          <cell r="X2157">
            <v>0</v>
          </cell>
          <cell r="Y2157">
            <v>0</v>
          </cell>
          <cell r="AW2157">
            <v>1</v>
          </cell>
          <cell r="BC2157">
            <v>9.84</v>
          </cell>
        </row>
        <row r="2158">
          <cell r="F2158" t="str">
            <v>КА 170</v>
          </cell>
          <cell r="H2158" t="str">
            <v>ШТ</v>
          </cell>
          <cell r="I2158">
            <v>2</v>
          </cell>
          <cell r="P2158">
            <v>17159.740000000002</v>
          </cell>
          <cell r="R2158">
            <v>0</v>
          </cell>
          <cell r="X2158">
            <v>0</v>
          </cell>
          <cell r="Y2158">
            <v>0</v>
          </cell>
          <cell r="AL2158">
            <v>8579.869999999999</v>
          </cell>
        </row>
        <row r="2159">
          <cell r="P2159">
            <v>168851.84</v>
          </cell>
          <cell r="R2159">
            <v>0</v>
          </cell>
          <cell r="X2159">
            <v>0</v>
          </cell>
          <cell r="Y2159">
            <v>0</v>
          </cell>
          <cell r="AW2159">
            <v>1</v>
          </cell>
          <cell r="BC2159">
            <v>9.84</v>
          </cell>
        </row>
        <row r="2160">
          <cell r="F2160" t="str">
            <v>КА 171</v>
          </cell>
          <cell r="H2160" t="str">
            <v>ШТ</v>
          </cell>
          <cell r="I2160">
            <v>1</v>
          </cell>
          <cell r="P2160">
            <v>8579.8700000000008</v>
          </cell>
          <cell r="R2160">
            <v>0</v>
          </cell>
          <cell r="X2160">
            <v>0</v>
          </cell>
          <cell r="Y2160">
            <v>0</v>
          </cell>
          <cell r="AL2160">
            <v>8579.869999999999</v>
          </cell>
        </row>
        <row r="2161">
          <cell r="P2161">
            <v>84425.919999999998</v>
          </cell>
          <cell r="R2161">
            <v>0</v>
          </cell>
          <cell r="X2161">
            <v>0</v>
          </cell>
          <cell r="Y2161">
            <v>0</v>
          </cell>
          <cell r="AW2161">
            <v>1</v>
          </cell>
          <cell r="BC2161">
            <v>9.84</v>
          </cell>
        </row>
        <row r="2162">
          <cell r="F2162" t="str">
            <v>КА 172</v>
          </cell>
          <cell r="H2162" t="str">
            <v>ШТ</v>
          </cell>
          <cell r="I2162">
            <v>1</v>
          </cell>
          <cell r="P2162">
            <v>9645.34</v>
          </cell>
          <cell r="R2162">
            <v>0</v>
          </cell>
          <cell r="X2162">
            <v>0</v>
          </cell>
          <cell r="Y2162">
            <v>0</v>
          </cell>
          <cell r="AL2162">
            <v>9645.34</v>
          </cell>
        </row>
        <row r="2163">
          <cell r="P2163">
            <v>94910.15</v>
          </cell>
          <cell r="R2163">
            <v>0</v>
          </cell>
          <cell r="X2163">
            <v>0</v>
          </cell>
          <cell r="Y2163">
            <v>0</v>
          </cell>
          <cell r="AW2163">
            <v>1</v>
          </cell>
          <cell r="BC2163">
            <v>9.84</v>
          </cell>
        </row>
        <row r="2164">
          <cell r="F2164" t="str">
            <v>КА 173</v>
          </cell>
          <cell r="H2164" t="str">
            <v>ШТ</v>
          </cell>
          <cell r="I2164">
            <v>1</v>
          </cell>
          <cell r="P2164">
            <v>9645.34</v>
          </cell>
          <cell r="R2164">
            <v>0</v>
          </cell>
          <cell r="X2164">
            <v>0</v>
          </cell>
          <cell r="Y2164">
            <v>0</v>
          </cell>
          <cell r="AL2164">
            <v>9645.34</v>
          </cell>
        </row>
        <row r="2165">
          <cell r="P2165">
            <v>94910.15</v>
          </cell>
          <cell r="R2165">
            <v>0</v>
          </cell>
          <cell r="X2165">
            <v>0</v>
          </cell>
          <cell r="Y2165">
            <v>0</v>
          </cell>
          <cell r="AW2165">
            <v>1</v>
          </cell>
          <cell r="BC2165">
            <v>9.84</v>
          </cell>
        </row>
        <row r="2166">
          <cell r="F2166" t="str">
            <v>КА 174</v>
          </cell>
          <cell r="H2166" t="str">
            <v>ШТ</v>
          </cell>
          <cell r="I2166">
            <v>1</v>
          </cell>
          <cell r="P2166">
            <v>9645.34</v>
          </cell>
          <cell r="R2166">
            <v>0</v>
          </cell>
          <cell r="X2166">
            <v>0</v>
          </cell>
          <cell r="Y2166">
            <v>0</v>
          </cell>
          <cell r="AL2166">
            <v>9645.34</v>
          </cell>
        </row>
        <row r="2167">
          <cell r="P2167">
            <v>94910.15</v>
          </cell>
          <cell r="R2167">
            <v>0</v>
          </cell>
          <cell r="X2167">
            <v>0</v>
          </cell>
          <cell r="Y2167">
            <v>0</v>
          </cell>
          <cell r="AW2167">
            <v>1</v>
          </cell>
          <cell r="BC2167">
            <v>9.84</v>
          </cell>
        </row>
        <row r="2168">
          <cell r="F2168" t="str">
            <v>КА 175</v>
          </cell>
          <cell r="H2168" t="str">
            <v>ШТ</v>
          </cell>
          <cell r="I2168">
            <v>1</v>
          </cell>
          <cell r="P2168">
            <v>8579.8700000000008</v>
          </cell>
          <cell r="R2168">
            <v>0</v>
          </cell>
          <cell r="X2168">
            <v>0</v>
          </cell>
          <cell r="Y2168">
            <v>0</v>
          </cell>
          <cell r="AL2168">
            <v>8579.869999999999</v>
          </cell>
        </row>
        <row r="2169">
          <cell r="P2169">
            <v>84425.919999999998</v>
          </cell>
          <cell r="R2169">
            <v>0</v>
          </cell>
          <cell r="X2169">
            <v>0</v>
          </cell>
          <cell r="Y2169">
            <v>0</v>
          </cell>
          <cell r="AW2169">
            <v>1</v>
          </cell>
          <cell r="BC2169">
            <v>9.84</v>
          </cell>
        </row>
        <row r="2170">
          <cell r="F2170" t="str">
            <v>КА 176</v>
          </cell>
          <cell r="H2170" t="str">
            <v>ШТ</v>
          </cell>
          <cell r="I2170">
            <v>1</v>
          </cell>
          <cell r="P2170">
            <v>11383.75</v>
          </cell>
          <cell r="R2170">
            <v>0</v>
          </cell>
          <cell r="X2170">
            <v>0</v>
          </cell>
          <cell r="Y2170">
            <v>0</v>
          </cell>
          <cell r="AL2170">
            <v>11383.75</v>
          </cell>
        </row>
        <row r="2171">
          <cell r="P2171">
            <v>112016.1</v>
          </cell>
          <cell r="R2171">
            <v>0</v>
          </cell>
          <cell r="X2171">
            <v>0</v>
          </cell>
          <cell r="Y2171">
            <v>0</v>
          </cell>
          <cell r="AW2171">
            <v>1</v>
          </cell>
          <cell r="BC2171">
            <v>9.84</v>
          </cell>
        </row>
        <row r="2172">
          <cell r="F2172" t="str">
            <v>КА 177</v>
          </cell>
          <cell r="H2172" t="str">
            <v>ШТ</v>
          </cell>
          <cell r="I2172">
            <v>1</v>
          </cell>
          <cell r="P2172">
            <v>11383.75</v>
          </cell>
          <cell r="R2172">
            <v>0</v>
          </cell>
          <cell r="X2172">
            <v>0</v>
          </cell>
          <cell r="Y2172">
            <v>0</v>
          </cell>
          <cell r="AL2172">
            <v>11383.75</v>
          </cell>
        </row>
        <row r="2173">
          <cell r="P2173">
            <v>112016.1</v>
          </cell>
          <cell r="R2173">
            <v>0</v>
          </cell>
          <cell r="X2173">
            <v>0</v>
          </cell>
          <cell r="Y2173">
            <v>0</v>
          </cell>
          <cell r="AW2173">
            <v>1</v>
          </cell>
          <cell r="BC2173">
            <v>9.84</v>
          </cell>
        </row>
        <row r="2174">
          <cell r="F2174" t="str">
            <v>3.70-434-1</v>
          </cell>
          <cell r="H2174" t="str">
            <v>100 шт.</v>
          </cell>
          <cell r="I2174">
            <v>1.69</v>
          </cell>
          <cell r="P2174">
            <v>223.65</v>
          </cell>
          <cell r="Q2174">
            <v>51.5</v>
          </cell>
          <cell r="R2174">
            <v>6.26</v>
          </cell>
          <cell r="S2174">
            <v>489.6</v>
          </cell>
          <cell r="U2174">
            <v>29.331123197999997</v>
          </cell>
          <cell r="X2174">
            <v>416.52</v>
          </cell>
          <cell r="Y2174">
            <v>262.81</v>
          </cell>
          <cell r="AL2174">
            <v>132.34</v>
          </cell>
          <cell r="AM2174">
            <v>18.690000000000001</v>
          </cell>
          <cell r="AN2174">
            <v>2.27</v>
          </cell>
          <cell r="AO2174">
            <v>193.13</v>
          </cell>
          <cell r="AQ2174">
            <v>11.57</v>
          </cell>
        </row>
        <row r="2175">
          <cell r="P2175">
            <v>773.83</v>
          </cell>
          <cell r="Q2175">
            <v>802.37</v>
          </cell>
          <cell r="R2175">
            <v>352.75</v>
          </cell>
          <cell r="S2175">
            <v>27588.959999999999</v>
          </cell>
          <cell r="X2175">
            <v>23471.040000000001</v>
          </cell>
          <cell r="Y2175">
            <v>14809.11</v>
          </cell>
          <cell r="AT2175">
            <v>84</v>
          </cell>
          <cell r="AU2175">
            <v>53</v>
          </cell>
          <cell r="AV2175">
            <v>1.087</v>
          </cell>
          <cell r="AW2175">
            <v>1</v>
          </cell>
          <cell r="BA2175">
            <v>56.35</v>
          </cell>
          <cell r="BB2175">
            <v>15.58</v>
          </cell>
          <cell r="BC2175">
            <v>3.46</v>
          </cell>
          <cell r="BS2175">
            <v>56.35</v>
          </cell>
          <cell r="BZ2175">
            <v>84</v>
          </cell>
          <cell r="CA2175">
            <v>53</v>
          </cell>
        </row>
        <row r="2176">
          <cell r="F2176" t="str">
            <v>1.8-1-74</v>
          </cell>
          <cell r="H2176" t="str">
            <v>шт.</v>
          </cell>
          <cell r="I2176">
            <v>169</v>
          </cell>
          <cell r="O2176">
            <v>45533.67</v>
          </cell>
          <cell r="R2176">
            <v>0</v>
          </cell>
          <cell r="X2176">
            <v>0</v>
          </cell>
          <cell r="Y2176">
            <v>0</v>
          </cell>
          <cell r="AK2176">
            <v>269.43</v>
          </cell>
        </row>
        <row r="2177">
          <cell r="O2177">
            <v>423463.13</v>
          </cell>
          <cell r="R2177">
            <v>0</v>
          </cell>
          <cell r="X2177">
            <v>0</v>
          </cell>
          <cell r="Y2177">
            <v>0</v>
          </cell>
          <cell r="AW2177">
            <v>1</v>
          </cell>
          <cell r="BC2177">
            <v>9.3000000000000007</v>
          </cell>
        </row>
        <row r="2179">
          <cell r="G2179" t="str">
            <v>Алюминиевые двери.</v>
          </cell>
        </row>
        <row r="2209">
          <cell r="G2209" t="str">
            <v>Металлические двери</v>
          </cell>
        </row>
        <row r="2213">
          <cell r="F2213" t="str">
            <v>3.20-26-5</v>
          </cell>
          <cell r="H2213" t="str">
            <v>1ШТ.</v>
          </cell>
          <cell r="I2213">
            <v>1</v>
          </cell>
          <cell r="P2213">
            <v>79.45</v>
          </cell>
          <cell r="Q2213">
            <v>16.18</v>
          </cell>
          <cell r="R2213">
            <v>1.22</v>
          </cell>
          <cell r="S2213">
            <v>38.869999999999997</v>
          </cell>
          <cell r="U2213">
            <v>2.9449199999999998</v>
          </cell>
          <cell r="X2213">
            <v>43.7</v>
          </cell>
          <cell r="Y2213">
            <v>24.45</v>
          </cell>
          <cell r="AL2213">
            <v>79.45</v>
          </cell>
          <cell r="AM2213">
            <v>10.11</v>
          </cell>
          <cell r="AN2213">
            <v>0.76</v>
          </cell>
          <cell r="AO2213">
            <v>26.4</v>
          </cell>
          <cell r="AQ2213">
            <v>2</v>
          </cell>
        </row>
        <row r="2214">
          <cell r="P2214">
            <v>600.64</v>
          </cell>
          <cell r="Q2214">
            <v>246.42</v>
          </cell>
          <cell r="R2214">
            <v>68.75</v>
          </cell>
          <cell r="S2214">
            <v>2190.3200000000002</v>
          </cell>
          <cell r="X2214">
            <v>2462.39</v>
          </cell>
          <cell r="Y2214">
            <v>1378.03</v>
          </cell>
          <cell r="AT2214">
            <v>109</v>
          </cell>
          <cell r="AU2214">
            <v>61</v>
          </cell>
          <cell r="AV2214">
            <v>1.0669999999999999</v>
          </cell>
          <cell r="AW2214">
            <v>1</v>
          </cell>
          <cell r="BA2214">
            <v>56.35</v>
          </cell>
          <cell r="BB2214">
            <v>15.23</v>
          </cell>
          <cell r="BC2214">
            <v>7.56</v>
          </cell>
          <cell r="BS2214">
            <v>56.35</v>
          </cell>
          <cell r="BZ2214">
            <v>109</v>
          </cell>
          <cell r="CA2214">
            <v>61</v>
          </cell>
        </row>
        <row r="2215">
          <cell r="F2215" t="str">
            <v>1.7-2-13</v>
          </cell>
          <cell r="H2215" t="str">
            <v>шт.</v>
          </cell>
          <cell r="I2215">
            <v>1</v>
          </cell>
          <cell r="O2215">
            <v>1143.73</v>
          </cell>
          <cell r="R2215">
            <v>0</v>
          </cell>
          <cell r="X2215">
            <v>0</v>
          </cell>
          <cell r="Y2215">
            <v>0</v>
          </cell>
          <cell r="AK2215">
            <v>1143.73</v>
          </cell>
        </row>
        <row r="2216">
          <cell r="O2216">
            <v>12100.66</v>
          </cell>
          <cell r="R2216">
            <v>0</v>
          </cell>
          <cell r="X2216">
            <v>0</v>
          </cell>
          <cell r="Y2216">
            <v>0</v>
          </cell>
          <cell r="AW2216">
            <v>1</v>
          </cell>
          <cell r="BC2216">
            <v>10.58</v>
          </cell>
        </row>
        <row r="2217">
          <cell r="F2217" t="str">
            <v>3.70-44-1</v>
          </cell>
          <cell r="H2217" t="str">
            <v>10 шт.</v>
          </cell>
          <cell r="I2217">
            <v>3.6</v>
          </cell>
          <cell r="P2217">
            <v>1756.37</v>
          </cell>
          <cell r="Q2217">
            <v>667.57</v>
          </cell>
          <cell r="R2217">
            <v>100.73</v>
          </cell>
          <cell r="S2217">
            <v>1489.87</v>
          </cell>
          <cell r="U2217">
            <v>99.255970079999983</v>
          </cell>
          <cell r="X2217">
            <v>1336.1</v>
          </cell>
          <cell r="Y2217">
            <v>843.02</v>
          </cell>
          <cell r="AL2217">
            <v>487.88</v>
          </cell>
          <cell r="AM2217">
            <v>113.73</v>
          </cell>
          <cell r="AN2217">
            <v>17.16</v>
          </cell>
          <cell r="AO2217">
            <v>275.89</v>
          </cell>
          <cell r="AQ2217">
            <v>18.38</v>
          </cell>
        </row>
        <row r="2218">
          <cell r="P2218">
            <v>11240.77</v>
          </cell>
          <cell r="Q2218">
            <v>11362.04</v>
          </cell>
          <cell r="R2218">
            <v>5676.14</v>
          </cell>
          <cell r="S2218">
            <v>83954.17</v>
          </cell>
          <cell r="X2218">
            <v>75289.460000000006</v>
          </cell>
          <cell r="Y2218">
            <v>47504.06</v>
          </cell>
          <cell r="AT2218">
            <v>84</v>
          </cell>
          <cell r="AU2218">
            <v>53</v>
          </cell>
          <cell r="AV2218">
            <v>1.087</v>
          </cell>
          <cell r="AW2218">
            <v>1</v>
          </cell>
          <cell r="BA2218">
            <v>56.35</v>
          </cell>
          <cell r="BB2218">
            <v>17.02</v>
          </cell>
          <cell r="BC2218">
            <v>6.4</v>
          </cell>
          <cell r="BS2218">
            <v>56.35</v>
          </cell>
          <cell r="BZ2218">
            <v>84</v>
          </cell>
          <cell r="CA2218">
            <v>53</v>
          </cell>
        </row>
        <row r="2219">
          <cell r="F2219" t="str">
            <v>1.7-2-21</v>
          </cell>
          <cell r="H2219" t="str">
            <v>шт.</v>
          </cell>
          <cell r="I2219">
            <v>1</v>
          </cell>
          <cell r="P2219">
            <v>1016.67</v>
          </cell>
          <cell r="R2219">
            <v>0</v>
          </cell>
          <cell r="X2219">
            <v>0</v>
          </cell>
          <cell r="Y2219">
            <v>0</v>
          </cell>
          <cell r="AL2219">
            <v>1016.67</v>
          </cell>
        </row>
        <row r="2220">
          <cell r="P2220">
            <v>13277.71</v>
          </cell>
          <cell r="R2220">
            <v>0</v>
          </cell>
          <cell r="X2220">
            <v>0</v>
          </cell>
          <cell r="Y2220">
            <v>0</v>
          </cell>
          <cell r="AW2220">
            <v>1</v>
          </cell>
          <cell r="BC2220">
            <v>13.06</v>
          </cell>
        </row>
        <row r="2221">
          <cell r="F2221" t="str">
            <v>1.7-2-89</v>
          </cell>
          <cell r="H2221" t="str">
            <v>т</v>
          </cell>
          <cell r="I2221">
            <v>3.4649999999999999</v>
          </cell>
          <cell r="P2221">
            <v>158338.37</v>
          </cell>
          <cell r="R2221">
            <v>0</v>
          </cell>
          <cell r="X2221">
            <v>0</v>
          </cell>
          <cell r="Y2221">
            <v>0</v>
          </cell>
          <cell r="AL2221">
            <v>45696.5</v>
          </cell>
        </row>
        <row r="2222">
          <cell r="P2222">
            <v>509849.55</v>
          </cell>
          <cell r="R2222">
            <v>0</v>
          </cell>
          <cell r="X2222">
            <v>0</v>
          </cell>
          <cell r="Y2222">
            <v>0</v>
          </cell>
          <cell r="AW2222">
            <v>1</v>
          </cell>
          <cell r="BC2222">
            <v>3.22</v>
          </cell>
        </row>
        <row r="2223">
          <cell r="F2223" t="str">
            <v>1.7-2-90</v>
          </cell>
          <cell r="H2223" t="str">
            <v>т</v>
          </cell>
          <cell r="I2223">
            <v>0.222</v>
          </cell>
          <cell r="P2223">
            <v>10121.879999999999</v>
          </cell>
          <cell r="R2223">
            <v>0</v>
          </cell>
          <cell r="X2223">
            <v>0</v>
          </cell>
          <cell r="Y2223">
            <v>0</v>
          </cell>
          <cell r="AL2223">
            <v>45594.04</v>
          </cell>
        </row>
        <row r="2224">
          <cell r="P2224">
            <v>32693.67</v>
          </cell>
          <cell r="R2224">
            <v>0</v>
          </cell>
          <cell r="X2224">
            <v>0</v>
          </cell>
          <cell r="Y2224">
            <v>0</v>
          </cell>
          <cell r="AW2224">
            <v>1</v>
          </cell>
          <cell r="BC2224">
            <v>3.23</v>
          </cell>
        </row>
        <row r="2225">
          <cell r="F2225" t="str">
            <v>3.70-44-2</v>
          </cell>
          <cell r="H2225" t="str">
            <v>10 шт.</v>
          </cell>
          <cell r="I2225">
            <v>0.1</v>
          </cell>
          <cell r="P2225">
            <v>64.959999999999994</v>
          </cell>
          <cell r="Q2225">
            <v>26.57</v>
          </cell>
          <cell r="R2225">
            <v>4.01</v>
          </cell>
          <cell r="S2225">
            <v>51.56</v>
          </cell>
          <cell r="U2225">
            <v>3.4951398</v>
          </cell>
          <cell r="X2225">
            <v>46.68</v>
          </cell>
          <cell r="Y2225">
            <v>29.45</v>
          </cell>
          <cell r="AL2225">
            <v>649.57000000000005</v>
          </cell>
          <cell r="AM2225">
            <v>162.97999999999999</v>
          </cell>
          <cell r="AN2225">
            <v>24.61</v>
          </cell>
          <cell r="AO2225">
            <v>343.71</v>
          </cell>
          <cell r="AQ2225">
            <v>23.3</v>
          </cell>
        </row>
        <row r="2226">
          <cell r="P2226">
            <v>415.09</v>
          </cell>
          <cell r="Q2226">
            <v>452.49</v>
          </cell>
          <cell r="R2226">
            <v>225.96</v>
          </cell>
          <cell r="S2226">
            <v>2905.41</v>
          </cell>
          <cell r="X2226">
            <v>2630.35</v>
          </cell>
          <cell r="Y2226">
            <v>1659.63</v>
          </cell>
          <cell r="AT2226">
            <v>84</v>
          </cell>
          <cell r="AU2226">
            <v>53</v>
          </cell>
          <cell r="AV2226">
            <v>1.087</v>
          </cell>
          <cell r="AW2226">
            <v>1</v>
          </cell>
          <cell r="BA2226">
            <v>56.35</v>
          </cell>
          <cell r="BB2226">
            <v>17.03</v>
          </cell>
          <cell r="BC2226">
            <v>6.39</v>
          </cell>
          <cell r="BS2226">
            <v>56.35</v>
          </cell>
          <cell r="BZ2226">
            <v>84</v>
          </cell>
          <cell r="CA2226">
            <v>53</v>
          </cell>
        </row>
        <row r="2227">
          <cell r="F2227" t="str">
            <v>1.7-2-110</v>
          </cell>
          <cell r="H2227" t="str">
            <v>т</v>
          </cell>
          <cell r="I2227">
            <v>0.20399999999999999</v>
          </cell>
          <cell r="P2227">
            <v>10963.1</v>
          </cell>
          <cell r="R2227">
            <v>0</v>
          </cell>
          <cell r="X2227">
            <v>0</v>
          </cell>
          <cell r="Y2227">
            <v>0</v>
          </cell>
          <cell r="AL2227">
            <v>53740.69</v>
          </cell>
        </row>
        <row r="2228">
          <cell r="P2228">
            <v>35410.81</v>
          </cell>
          <cell r="R2228">
            <v>0</v>
          </cell>
          <cell r="X2228">
            <v>0</v>
          </cell>
          <cell r="Y2228">
            <v>0</v>
          </cell>
          <cell r="AW2228">
            <v>1</v>
          </cell>
          <cell r="BC2228">
            <v>3.23</v>
          </cell>
        </row>
        <row r="2230">
          <cell r="G2230" t="str">
            <v>Металлические двери</v>
          </cell>
        </row>
        <row r="2260">
          <cell r="G2260" t="str">
            <v>Двери композитные</v>
          </cell>
        </row>
        <row r="2264">
          <cell r="F2264" t="str">
            <v>3.70-115-1</v>
          </cell>
          <cell r="H2264" t="str">
            <v>100 м2</v>
          </cell>
          <cell r="I2264">
            <v>0.46400000000000002</v>
          </cell>
          <cell r="P2264">
            <v>5255.29</v>
          </cell>
          <cell r="Q2264">
            <v>223.86</v>
          </cell>
          <cell r="R2264">
            <v>30.16</v>
          </cell>
          <cell r="S2264">
            <v>2115.88</v>
          </cell>
          <cell r="U2264">
            <v>133.41929711039998</v>
          </cell>
          <cell r="X2264">
            <v>2081.66</v>
          </cell>
          <cell r="Y2264">
            <v>1008.64</v>
          </cell>
          <cell r="AL2264">
            <v>11326.06</v>
          </cell>
          <cell r="AM2264">
            <v>307.2</v>
          </cell>
          <cell r="AN2264">
            <v>41.39</v>
          </cell>
          <cell r="AO2264">
            <v>3156.08</v>
          </cell>
          <cell r="AQ2264">
            <v>199.01</v>
          </cell>
        </row>
        <row r="2265">
          <cell r="P2265">
            <v>14346.94</v>
          </cell>
          <cell r="Q2265">
            <v>3633.25</v>
          </cell>
          <cell r="R2265">
            <v>1699.52</v>
          </cell>
          <cell r="S2265">
            <v>119229.84</v>
          </cell>
          <cell r="X2265">
            <v>117301.48</v>
          </cell>
          <cell r="Y2265">
            <v>56836.800000000003</v>
          </cell>
          <cell r="AT2265">
            <v>97</v>
          </cell>
          <cell r="AU2265">
            <v>47</v>
          </cell>
          <cell r="AV2265">
            <v>1.0469999999999999</v>
          </cell>
          <cell r="AW2265">
            <v>1</v>
          </cell>
          <cell r="BA2265">
            <v>56.35</v>
          </cell>
          <cell r="BB2265">
            <v>16.23</v>
          </cell>
          <cell r="BC2265">
            <v>2.73</v>
          </cell>
          <cell r="BS2265">
            <v>56.35</v>
          </cell>
          <cell r="BZ2265">
            <v>97</v>
          </cell>
          <cell r="CA2265">
            <v>47</v>
          </cell>
        </row>
        <row r="2266">
          <cell r="F2266" t="str">
            <v>1.1-1-2469</v>
          </cell>
          <cell r="H2266" t="str">
            <v>м</v>
          </cell>
          <cell r="I2266">
            <v>19.952000000000002</v>
          </cell>
          <cell r="O2266">
            <v>298.88</v>
          </cell>
          <cell r="R2266">
            <v>0</v>
          </cell>
          <cell r="X2266">
            <v>0</v>
          </cell>
          <cell r="Y2266">
            <v>0</v>
          </cell>
          <cell r="AK2266">
            <v>14.98</v>
          </cell>
        </row>
        <row r="2267">
          <cell r="O2267">
            <v>424.41</v>
          </cell>
          <cell r="R2267">
            <v>0</v>
          </cell>
          <cell r="X2267">
            <v>0</v>
          </cell>
          <cell r="Y2267">
            <v>0</v>
          </cell>
          <cell r="AW2267">
            <v>1</v>
          </cell>
          <cell r="BC2267">
            <v>1.42</v>
          </cell>
        </row>
        <row r="2268">
          <cell r="F2268" t="str">
            <v>1.1-1-2980</v>
          </cell>
          <cell r="H2268" t="str">
            <v>м</v>
          </cell>
          <cell r="I2268">
            <v>186.52799999999999</v>
          </cell>
          <cell r="O2268">
            <v>2751.29</v>
          </cell>
          <cell r="R2268">
            <v>0</v>
          </cell>
          <cell r="X2268">
            <v>0</v>
          </cell>
          <cell r="Y2268">
            <v>0</v>
          </cell>
          <cell r="AK2268">
            <v>14.75</v>
          </cell>
        </row>
        <row r="2269">
          <cell r="O2269">
            <v>5254.96</v>
          </cell>
          <cell r="R2269">
            <v>0</v>
          </cell>
          <cell r="X2269">
            <v>0</v>
          </cell>
          <cell r="Y2269">
            <v>0</v>
          </cell>
          <cell r="AW2269">
            <v>1</v>
          </cell>
          <cell r="BC2269">
            <v>1.91</v>
          </cell>
        </row>
        <row r="2270">
          <cell r="F2270" t="str">
            <v>1.1-1-2983</v>
          </cell>
          <cell r="H2270" t="str">
            <v>м</v>
          </cell>
          <cell r="I2270">
            <v>135.952</v>
          </cell>
          <cell r="O2270">
            <v>746.38</v>
          </cell>
          <cell r="R2270">
            <v>0</v>
          </cell>
          <cell r="X2270">
            <v>0</v>
          </cell>
          <cell r="Y2270">
            <v>0</v>
          </cell>
          <cell r="AK2270">
            <v>5.49</v>
          </cell>
        </row>
        <row r="2271">
          <cell r="O2271">
            <v>709.06</v>
          </cell>
          <cell r="R2271">
            <v>0</v>
          </cell>
          <cell r="X2271">
            <v>0</v>
          </cell>
          <cell r="Y2271">
            <v>0</v>
          </cell>
          <cell r="AW2271">
            <v>1</v>
          </cell>
          <cell r="BC2271">
            <v>0.95</v>
          </cell>
        </row>
        <row r="2272">
          <cell r="F2272" t="str">
            <v>КА-143</v>
          </cell>
          <cell r="H2272" t="str">
            <v>ШТ</v>
          </cell>
          <cell r="I2272">
            <v>9</v>
          </cell>
          <cell r="P2272">
            <v>29925.54</v>
          </cell>
          <cell r="R2272">
            <v>0</v>
          </cell>
          <cell r="X2272">
            <v>0</v>
          </cell>
          <cell r="Y2272">
            <v>0</v>
          </cell>
          <cell r="AL2272">
            <v>3325.06</v>
          </cell>
        </row>
        <row r="2273">
          <cell r="P2273">
            <v>294467.31</v>
          </cell>
          <cell r="R2273">
            <v>0</v>
          </cell>
          <cell r="X2273">
            <v>0</v>
          </cell>
          <cell r="Y2273">
            <v>0</v>
          </cell>
          <cell r="AW2273">
            <v>1</v>
          </cell>
          <cell r="BC2273">
            <v>9.84</v>
          </cell>
        </row>
        <row r="2274">
          <cell r="F2274" t="str">
            <v>КА-144</v>
          </cell>
          <cell r="H2274" t="str">
            <v>ШТ</v>
          </cell>
          <cell r="I2274">
            <v>1</v>
          </cell>
          <cell r="P2274">
            <v>3031.57</v>
          </cell>
          <cell r="R2274">
            <v>0</v>
          </cell>
          <cell r="X2274">
            <v>0</v>
          </cell>
          <cell r="Y2274">
            <v>0</v>
          </cell>
          <cell r="AL2274">
            <v>3031.57</v>
          </cell>
        </row>
        <row r="2275">
          <cell r="P2275">
            <v>29830.65</v>
          </cell>
          <cell r="R2275">
            <v>0</v>
          </cell>
          <cell r="X2275">
            <v>0</v>
          </cell>
          <cell r="Y2275">
            <v>0</v>
          </cell>
          <cell r="AW2275">
            <v>1</v>
          </cell>
          <cell r="BC2275">
            <v>9.84</v>
          </cell>
        </row>
        <row r="2276">
          <cell r="F2276" t="str">
            <v>КА 145</v>
          </cell>
          <cell r="H2276" t="str">
            <v>ШТ</v>
          </cell>
          <cell r="I2276">
            <v>4</v>
          </cell>
          <cell r="P2276">
            <v>12126.28</v>
          </cell>
          <cell r="R2276">
            <v>0</v>
          </cell>
          <cell r="X2276">
            <v>0</v>
          </cell>
          <cell r="Y2276">
            <v>0</v>
          </cell>
          <cell r="AL2276">
            <v>3031.57</v>
          </cell>
        </row>
        <row r="2277">
          <cell r="P2277">
            <v>119322.6</v>
          </cell>
          <cell r="R2277">
            <v>0</v>
          </cell>
          <cell r="X2277">
            <v>0</v>
          </cell>
          <cell r="Y2277">
            <v>0</v>
          </cell>
          <cell r="AW2277">
            <v>1</v>
          </cell>
          <cell r="BC2277">
            <v>9.84</v>
          </cell>
        </row>
        <row r="2278">
          <cell r="F2278" t="str">
            <v>КА-146</v>
          </cell>
          <cell r="H2278" t="str">
            <v>ШТ</v>
          </cell>
          <cell r="I2278">
            <v>5</v>
          </cell>
          <cell r="P2278">
            <v>16625.25</v>
          </cell>
          <cell r="R2278">
            <v>0</v>
          </cell>
          <cell r="X2278">
            <v>0</v>
          </cell>
          <cell r="Y2278">
            <v>0</v>
          </cell>
          <cell r="AL2278">
            <v>3325.0499999999997</v>
          </cell>
        </row>
        <row r="2279">
          <cell r="P2279">
            <v>163592.46</v>
          </cell>
          <cell r="R2279">
            <v>0</v>
          </cell>
          <cell r="X2279">
            <v>0</v>
          </cell>
          <cell r="Y2279">
            <v>0</v>
          </cell>
          <cell r="AW2279">
            <v>1</v>
          </cell>
          <cell r="BC2279">
            <v>9.84</v>
          </cell>
        </row>
        <row r="2280">
          <cell r="F2280" t="str">
            <v>3.70-115-2</v>
          </cell>
          <cell r="H2280" t="str">
            <v>100 м2</v>
          </cell>
          <cell r="I2280">
            <v>6.6</v>
          </cell>
          <cell r="P2280">
            <v>38741.54</v>
          </cell>
          <cell r="Q2280">
            <v>2996.4</v>
          </cell>
          <cell r="R2280">
            <v>429.02</v>
          </cell>
          <cell r="S2280">
            <v>18235.740000000002</v>
          </cell>
          <cell r="U2280">
            <v>1168.8368353199996</v>
          </cell>
          <cell r="X2280">
            <v>18104.82</v>
          </cell>
          <cell r="Y2280">
            <v>8772.44</v>
          </cell>
          <cell r="AL2280">
            <v>5869.93</v>
          </cell>
          <cell r="AM2280">
            <v>289.08</v>
          </cell>
          <cell r="AN2280">
            <v>41.39</v>
          </cell>
          <cell r="AO2280">
            <v>1912.29</v>
          </cell>
          <cell r="AQ2280">
            <v>122.57</v>
          </cell>
        </row>
        <row r="2281">
          <cell r="P2281">
            <v>111188.22</v>
          </cell>
          <cell r="Q2281">
            <v>49860.1</v>
          </cell>
          <cell r="R2281">
            <v>24175.279999999999</v>
          </cell>
          <cell r="S2281">
            <v>1027583.95</v>
          </cell>
          <cell r="X2281">
            <v>1020206.45</v>
          </cell>
          <cell r="Y2281">
            <v>494326.84</v>
          </cell>
          <cell r="AT2281">
            <v>97</v>
          </cell>
          <cell r="AU2281">
            <v>47</v>
          </cell>
          <cell r="AV2281">
            <v>1.0469999999999999</v>
          </cell>
          <cell r="AW2281">
            <v>1</v>
          </cell>
          <cell r="BA2281">
            <v>56.35</v>
          </cell>
          <cell r="BB2281">
            <v>16.64</v>
          </cell>
          <cell r="BC2281">
            <v>2.87</v>
          </cell>
          <cell r="BS2281">
            <v>56.35</v>
          </cell>
          <cell r="BZ2281">
            <v>97</v>
          </cell>
          <cell r="CA2281">
            <v>47</v>
          </cell>
        </row>
        <row r="2282">
          <cell r="F2282" t="str">
            <v>1.1-1-2469</v>
          </cell>
          <cell r="H2282" t="str">
            <v>м</v>
          </cell>
          <cell r="I2282">
            <v>264</v>
          </cell>
          <cell r="O2282">
            <v>3954.72</v>
          </cell>
          <cell r="R2282">
            <v>0</v>
          </cell>
          <cell r="X2282">
            <v>0</v>
          </cell>
          <cell r="Y2282">
            <v>0</v>
          </cell>
          <cell r="AK2282">
            <v>14.98</v>
          </cell>
        </row>
        <row r="2283">
          <cell r="O2283">
            <v>5615.7</v>
          </cell>
          <cell r="R2283">
            <v>0</v>
          </cell>
          <cell r="X2283">
            <v>0</v>
          </cell>
          <cell r="Y2283">
            <v>0</v>
          </cell>
          <cell r="AW2283">
            <v>1</v>
          </cell>
          <cell r="BC2283">
            <v>1.42</v>
          </cell>
        </row>
        <row r="2284">
          <cell r="F2284" t="str">
            <v>1.1-1-2980</v>
          </cell>
          <cell r="H2284" t="str">
            <v>м</v>
          </cell>
          <cell r="I2284">
            <v>1438.8</v>
          </cell>
          <cell r="O2284">
            <v>21222.3</v>
          </cell>
          <cell r="R2284">
            <v>0</v>
          </cell>
          <cell r="X2284">
            <v>0</v>
          </cell>
          <cell r="Y2284">
            <v>0</v>
          </cell>
          <cell r="AK2284">
            <v>14.75</v>
          </cell>
        </row>
        <row r="2285">
          <cell r="O2285">
            <v>40534.589999999997</v>
          </cell>
          <cell r="R2285">
            <v>0</v>
          </cell>
          <cell r="X2285">
            <v>0</v>
          </cell>
          <cell r="Y2285">
            <v>0</v>
          </cell>
          <cell r="AW2285">
            <v>1</v>
          </cell>
          <cell r="BC2285">
            <v>1.91</v>
          </cell>
        </row>
        <row r="2286">
          <cell r="F2286" t="str">
            <v>1.1-1-2983</v>
          </cell>
          <cell r="H2286" t="str">
            <v>м</v>
          </cell>
          <cell r="I2286">
            <v>996.59999999999991</v>
          </cell>
          <cell r="O2286">
            <v>5471.33</v>
          </cell>
          <cell r="R2286">
            <v>0</v>
          </cell>
          <cell r="X2286">
            <v>0</v>
          </cell>
          <cell r="Y2286">
            <v>0</v>
          </cell>
          <cell r="AK2286">
            <v>5.49</v>
          </cell>
        </row>
        <row r="2287">
          <cell r="O2287">
            <v>5197.76</v>
          </cell>
          <cell r="R2287">
            <v>0</v>
          </cell>
          <cell r="X2287">
            <v>0</v>
          </cell>
          <cell r="Y2287">
            <v>0</v>
          </cell>
          <cell r="AW2287">
            <v>1</v>
          </cell>
          <cell r="BC2287">
            <v>0.95</v>
          </cell>
        </row>
        <row r="2288">
          <cell r="F2288" t="str">
            <v>КА-147</v>
          </cell>
          <cell r="H2288" t="str">
            <v>ШТ</v>
          </cell>
          <cell r="I2288">
            <v>2</v>
          </cell>
          <cell r="P2288">
            <v>8710.26</v>
          </cell>
          <cell r="R2288">
            <v>0</v>
          </cell>
          <cell r="X2288">
            <v>0</v>
          </cell>
          <cell r="Y2288">
            <v>0</v>
          </cell>
          <cell r="AL2288">
            <v>4355.13</v>
          </cell>
        </row>
        <row r="2289">
          <cell r="P2289">
            <v>85708.96</v>
          </cell>
          <cell r="R2289">
            <v>0</v>
          </cell>
          <cell r="X2289">
            <v>0</v>
          </cell>
          <cell r="Y2289">
            <v>0</v>
          </cell>
          <cell r="AW2289">
            <v>1</v>
          </cell>
          <cell r="BC2289">
            <v>9.84</v>
          </cell>
        </row>
        <row r="2291">
          <cell r="G2291" t="str">
            <v>Двери композитные</v>
          </cell>
        </row>
        <row r="2321">
          <cell r="G2321" t="str">
            <v>Внутренние двери</v>
          </cell>
        </row>
        <row r="2351">
          <cell r="G2351" t="str">
            <v>Витражи</v>
          </cell>
        </row>
        <row r="2355">
          <cell r="G2355" t="str">
            <v>Демонтажные работы</v>
          </cell>
        </row>
        <row r="2359">
          <cell r="F2359" t="str">
            <v>3.70-29-1</v>
          </cell>
          <cell r="H2359" t="str">
            <v>100 м2</v>
          </cell>
          <cell r="I2359">
            <v>2.3069999999999999</v>
          </cell>
          <cell r="P2359">
            <v>2926.68</v>
          </cell>
          <cell r="Q2359">
            <v>739.75</v>
          </cell>
          <cell r="R2359">
            <v>38.93</v>
          </cell>
          <cell r="S2359">
            <v>3544.96</v>
          </cell>
          <cell r="U2359">
            <v>200.41610327999996</v>
          </cell>
          <cell r="X2359">
            <v>3010.47</v>
          </cell>
          <cell r="Y2359">
            <v>1899.46</v>
          </cell>
          <cell r="AL2359">
            <v>2114.35</v>
          </cell>
          <cell r="AM2359">
            <v>409.71</v>
          </cell>
          <cell r="AN2359">
            <v>21.56</v>
          </cell>
          <cell r="AO2359">
            <v>1963.37</v>
          </cell>
          <cell r="AQ2359">
            <v>111</v>
          </cell>
        </row>
        <row r="2360">
          <cell r="P2360">
            <v>34008.019999999997</v>
          </cell>
          <cell r="Q2360">
            <v>9986.6299999999992</v>
          </cell>
          <cell r="R2360">
            <v>2193.71</v>
          </cell>
          <cell r="S2360">
            <v>199758.5</v>
          </cell>
          <cell r="X2360">
            <v>169639.86</v>
          </cell>
          <cell r="Y2360">
            <v>107034.67</v>
          </cell>
          <cell r="AT2360">
            <v>84</v>
          </cell>
          <cell r="AU2360">
            <v>53</v>
          </cell>
          <cell r="AV2360">
            <v>1.087</v>
          </cell>
          <cell r="AW2360">
            <v>1</v>
          </cell>
          <cell r="BA2360">
            <v>56.35</v>
          </cell>
          <cell r="BB2360">
            <v>13.5</v>
          </cell>
          <cell r="BC2360">
            <v>11.62</v>
          </cell>
          <cell r="BS2360">
            <v>56.35</v>
          </cell>
          <cell r="BZ2360">
            <v>84</v>
          </cell>
          <cell r="CA2360">
            <v>53</v>
          </cell>
        </row>
        <row r="2362">
          <cell r="G2362" t="str">
            <v>Демонтажные работы</v>
          </cell>
        </row>
        <row r="2392">
          <cell r="G2392" t="str">
            <v>ДВ-18-Л Витраж учебного кабинета</v>
          </cell>
        </row>
        <row r="2396">
          <cell r="F2396" t="str">
            <v>3.70-55-2</v>
          </cell>
          <cell r="H2396" t="str">
            <v>100 м2</v>
          </cell>
          <cell r="I2396">
            <v>4.3999999999999997E-2</v>
          </cell>
          <cell r="P2396">
            <v>69.400000000000006</v>
          </cell>
          <cell r="Q2396">
            <v>17.48</v>
          </cell>
          <cell r="R2396">
            <v>2.0299999999999998</v>
          </cell>
          <cell r="S2396">
            <v>195.24</v>
          </cell>
          <cell r="U2396">
            <v>12.129305152799999</v>
          </cell>
          <cell r="X2396">
            <v>165.71</v>
          </cell>
          <cell r="Y2396">
            <v>104.55</v>
          </cell>
          <cell r="AL2396">
            <v>1577.27</v>
          </cell>
          <cell r="AM2396">
            <v>243.71</v>
          </cell>
          <cell r="AN2396">
            <v>28.27</v>
          </cell>
          <cell r="AO2396">
            <v>2958.13</v>
          </cell>
          <cell r="AQ2396">
            <v>183.77</v>
          </cell>
        </row>
        <row r="2397">
          <cell r="P2397">
            <v>323.39999999999998</v>
          </cell>
          <cell r="Q2397">
            <v>269.72000000000003</v>
          </cell>
          <cell r="R2397">
            <v>114.39</v>
          </cell>
          <cell r="S2397">
            <v>11001.77</v>
          </cell>
          <cell r="X2397">
            <v>9337.57</v>
          </cell>
          <cell r="Y2397">
            <v>5891.56</v>
          </cell>
          <cell r="AT2397">
            <v>84</v>
          </cell>
          <cell r="AU2397">
            <v>53</v>
          </cell>
          <cell r="AV2397">
            <v>1.087</v>
          </cell>
          <cell r="AW2397">
            <v>1</v>
          </cell>
          <cell r="BA2397">
            <v>56.35</v>
          </cell>
          <cell r="BB2397">
            <v>15.43</v>
          </cell>
          <cell r="BC2397">
            <v>4.66</v>
          </cell>
          <cell r="BS2397">
            <v>56.35</v>
          </cell>
          <cell r="BZ2397">
            <v>84</v>
          </cell>
          <cell r="CA2397">
            <v>53</v>
          </cell>
        </row>
        <row r="2398">
          <cell r="F2398" t="str">
            <v>1.1-1-2121</v>
          </cell>
          <cell r="H2398" t="str">
            <v>м2</v>
          </cell>
          <cell r="I2398">
            <v>1.7780000000000001E-3</v>
          </cell>
          <cell r="O2398">
            <v>0.26</v>
          </cell>
          <cell r="R2398">
            <v>0</v>
          </cell>
          <cell r="X2398">
            <v>0</v>
          </cell>
          <cell r="Y2398">
            <v>0</v>
          </cell>
          <cell r="AK2398">
            <v>145.16999999999999</v>
          </cell>
        </row>
        <row r="2399">
          <cell r="O2399">
            <v>1.48</v>
          </cell>
          <cell r="R2399">
            <v>0</v>
          </cell>
          <cell r="X2399">
            <v>0</v>
          </cell>
          <cell r="Y2399">
            <v>0</v>
          </cell>
          <cell r="AW2399">
            <v>1</v>
          </cell>
          <cell r="BC2399">
            <v>5.69</v>
          </cell>
        </row>
        <row r="2400">
          <cell r="F2400" t="str">
            <v>1.7-3-8</v>
          </cell>
          <cell r="H2400" t="str">
            <v>шт.</v>
          </cell>
          <cell r="I2400">
            <v>1</v>
          </cell>
          <cell r="O2400">
            <v>11.82</v>
          </cell>
          <cell r="R2400">
            <v>0</v>
          </cell>
          <cell r="X2400">
            <v>0</v>
          </cell>
          <cell r="Y2400">
            <v>0</v>
          </cell>
          <cell r="AK2400">
            <v>11.82</v>
          </cell>
        </row>
        <row r="2401">
          <cell r="O2401">
            <v>73.88</v>
          </cell>
          <cell r="R2401">
            <v>0</v>
          </cell>
          <cell r="X2401">
            <v>0</v>
          </cell>
          <cell r="Y2401">
            <v>0</v>
          </cell>
          <cell r="AW2401">
            <v>1</v>
          </cell>
          <cell r="BC2401">
            <v>6.25</v>
          </cell>
        </row>
        <row r="2402">
          <cell r="F2402" t="str">
            <v>1.7-3-112</v>
          </cell>
          <cell r="H2402" t="str">
            <v>шт.</v>
          </cell>
          <cell r="I2402">
            <v>1</v>
          </cell>
          <cell r="O2402">
            <v>15.25</v>
          </cell>
          <cell r="R2402">
            <v>0</v>
          </cell>
          <cell r="X2402">
            <v>0</v>
          </cell>
          <cell r="Y2402">
            <v>0</v>
          </cell>
          <cell r="AK2402">
            <v>15.25</v>
          </cell>
        </row>
        <row r="2403">
          <cell r="O2403">
            <v>36.14</v>
          </cell>
          <cell r="R2403">
            <v>0</v>
          </cell>
          <cell r="X2403">
            <v>0</v>
          </cell>
          <cell r="Y2403">
            <v>0</v>
          </cell>
          <cell r="AW2403">
            <v>1</v>
          </cell>
          <cell r="BC2403">
            <v>2.37</v>
          </cell>
        </row>
        <row r="2404">
          <cell r="F2404" t="str">
            <v>1.7-3-68</v>
          </cell>
          <cell r="H2404" t="str">
            <v>шт.</v>
          </cell>
          <cell r="I2404">
            <v>1</v>
          </cell>
          <cell r="O2404">
            <v>69318.3</v>
          </cell>
          <cell r="R2404">
            <v>0</v>
          </cell>
          <cell r="X2404">
            <v>0</v>
          </cell>
          <cell r="Y2404">
            <v>0</v>
          </cell>
          <cell r="AK2404">
            <v>69318.3</v>
          </cell>
        </row>
        <row r="2405">
          <cell r="O2405">
            <v>91500.160000000003</v>
          </cell>
          <cell r="R2405">
            <v>0</v>
          </cell>
          <cell r="X2405">
            <v>0</v>
          </cell>
          <cell r="Y2405">
            <v>0</v>
          </cell>
          <cell r="AW2405">
            <v>1</v>
          </cell>
          <cell r="BC2405">
            <v>1.32</v>
          </cell>
        </row>
        <row r="2406">
          <cell r="F2406" t="str">
            <v>3.70-55-7</v>
          </cell>
          <cell r="H2406" t="str">
            <v>100 м2</v>
          </cell>
          <cell r="I2406">
            <v>1.2500000000000001E-2</v>
          </cell>
          <cell r="P2406">
            <v>0.21</v>
          </cell>
          <cell r="Q2406">
            <v>2.35</v>
          </cell>
          <cell r="R2406">
            <v>0.32</v>
          </cell>
          <cell r="S2406">
            <v>20.079999999999998</v>
          </cell>
          <cell r="U2406">
            <v>1.2943642725</v>
          </cell>
          <cell r="X2406">
            <v>17.14</v>
          </cell>
          <cell r="Y2406">
            <v>10.81</v>
          </cell>
          <cell r="AL2406">
            <v>17.079999999999998</v>
          </cell>
          <cell r="AM2406">
            <v>115.28</v>
          </cell>
          <cell r="AN2406">
            <v>15.9</v>
          </cell>
          <cell r="AO2406">
            <v>1071.1199999999999</v>
          </cell>
          <cell r="AQ2406">
            <v>69.03</v>
          </cell>
        </row>
        <row r="2407">
          <cell r="P2407">
            <v>0.83</v>
          </cell>
          <cell r="Q2407">
            <v>38.520000000000003</v>
          </cell>
          <cell r="R2407">
            <v>18.03</v>
          </cell>
          <cell r="S2407">
            <v>1131.51</v>
          </cell>
          <cell r="X2407">
            <v>965.61</v>
          </cell>
          <cell r="Y2407">
            <v>609.26</v>
          </cell>
          <cell r="AT2407">
            <v>84</v>
          </cell>
          <cell r="AU2407">
            <v>53</v>
          </cell>
          <cell r="AV2407">
            <v>1.087</v>
          </cell>
          <cell r="AW2407">
            <v>1</v>
          </cell>
          <cell r="BA2407">
            <v>56.35</v>
          </cell>
          <cell r="BB2407">
            <v>16.39</v>
          </cell>
          <cell r="BC2407">
            <v>3.95</v>
          </cell>
          <cell r="BS2407">
            <v>56.35</v>
          </cell>
          <cell r="BZ2407">
            <v>84</v>
          </cell>
          <cell r="CA2407">
            <v>53</v>
          </cell>
        </row>
        <row r="2408">
          <cell r="F2408" t="str">
            <v>3.70-55-10</v>
          </cell>
          <cell r="H2408" t="str">
            <v>100 м2</v>
          </cell>
          <cell r="I2408">
            <v>3.15E-2</v>
          </cell>
          <cell r="P2408">
            <v>1.76</v>
          </cell>
          <cell r="Q2408">
            <v>5.01</v>
          </cell>
          <cell r="R2408">
            <v>0.68</v>
          </cell>
          <cell r="S2408">
            <v>93.97</v>
          </cell>
          <cell r="U2408">
            <v>5.353639137</v>
          </cell>
          <cell r="X2408">
            <v>79.510000000000005</v>
          </cell>
          <cell r="Y2408">
            <v>50.16</v>
          </cell>
          <cell r="AL2408">
            <v>55.75</v>
          </cell>
          <cell r="AM2408">
            <v>97.6</v>
          </cell>
          <cell r="AN2408">
            <v>13.25</v>
          </cell>
          <cell r="AO2408">
            <v>1988.67</v>
          </cell>
          <cell r="AQ2408">
            <v>113.3</v>
          </cell>
        </row>
        <row r="2409">
          <cell r="P2409">
            <v>11.7</v>
          </cell>
          <cell r="Q2409">
            <v>81.56</v>
          </cell>
          <cell r="R2409">
            <v>38.32</v>
          </cell>
          <cell r="S2409">
            <v>5295.21</v>
          </cell>
          <cell r="X2409">
            <v>4480.17</v>
          </cell>
          <cell r="Y2409">
            <v>2826.77</v>
          </cell>
          <cell r="AT2409">
            <v>84</v>
          </cell>
          <cell r="AU2409">
            <v>53</v>
          </cell>
          <cell r="AV2409">
            <v>1.087</v>
          </cell>
          <cell r="AW2409">
            <v>1</v>
          </cell>
          <cell r="BA2409">
            <v>56.35</v>
          </cell>
          <cell r="BB2409">
            <v>16.28</v>
          </cell>
          <cell r="BC2409">
            <v>6.65</v>
          </cell>
          <cell r="BS2409">
            <v>56.35</v>
          </cell>
          <cell r="BZ2409">
            <v>84</v>
          </cell>
          <cell r="CA2409">
            <v>53</v>
          </cell>
        </row>
        <row r="2410">
          <cell r="F2410" t="str">
            <v>1.7-3-112</v>
          </cell>
          <cell r="H2410" t="str">
            <v>шт.</v>
          </cell>
          <cell r="I2410">
            <v>1</v>
          </cell>
          <cell r="O2410">
            <v>15.25</v>
          </cell>
          <cell r="R2410">
            <v>0</v>
          </cell>
          <cell r="X2410">
            <v>0</v>
          </cell>
          <cell r="Y2410">
            <v>0</v>
          </cell>
          <cell r="AK2410">
            <v>15.25</v>
          </cell>
        </row>
        <row r="2411">
          <cell r="O2411">
            <v>36.14</v>
          </cell>
          <cell r="R2411">
            <v>0</v>
          </cell>
          <cell r="X2411">
            <v>0</v>
          </cell>
          <cell r="Y2411">
            <v>0</v>
          </cell>
          <cell r="AW2411">
            <v>1</v>
          </cell>
          <cell r="BC2411">
            <v>2.37</v>
          </cell>
        </row>
        <row r="2412">
          <cell r="F2412" t="str">
            <v>КА-179</v>
          </cell>
          <cell r="H2412" t="str">
            <v>м2</v>
          </cell>
          <cell r="I2412">
            <v>4.4000000000000004</v>
          </cell>
          <cell r="P2412">
            <v>17047.580000000002</v>
          </cell>
          <cell r="R2412">
            <v>0</v>
          </cell>
          <cell r="X2412">
            <v>0</v>
          </cell>
          <cell r="Y2412">
            <v>0</v>
          </cell>
          <cell r="AL2412">
            <v>3874.45</v>
          </cell>
        </row>
        <row r="2413">
          <cell r="P2413">
            <v>94910.05</v>
          </cell>
          <cell r="R2413">
            <v>0</v>
          </cell>
          <cell r="X2413">
            <v>0</v>
          </cell>
          <cell r="Y2413">
            <v>0</v>
          </cell>
          <cell r="AW2413">
            <v>1</v>
          </cell>
          <cell r="BC2413">
            <v>9.84</v>
          </cell>
        </row>
        <row r="2415">
          <cell r="G2415" t="str">
            <v>ДВ-18-Л Витраж учебного кабинета</v>
          </cell>
        </row>
        <row r="2445">
          <cell r="G2445" t="str">
            <v>ДВ-19-П Витраж учебного кабинета</v>
          </cell>
        </row>
        <row r="2449">
          <cell r="F2449" t="str">
            <v>3.70-55-2</v>
          </cell>
          <cell r="H2449" t="str">
            <v>100 м2</v>
          </cell>
          <cell r="I2449">
            <v>8.5999999999999993E-2</v>
          </cell>
          <cell r="P2449">
            <v>135.65</v>
          </cell>
          <cell r="Q2449">
            <v>34.17</v>
          </cell>
          <cell r="R2449">
            <v>3.96</v>
          </cell>
          <cell r="S2449">
            <v>381.61</v>
          </cell>
          <cell r="U2449">
            <v>23.707278253199995</v>
          </cell>
          <cell r="X2449">
            <v>323.88</v>
          </cell>
          <cell r="Y2449">
            <v>204.35</v>
          </cell>
          <cell r="AL2449">
            <v>1577.27</v>
          </cell>
          <cell r="AM2449">
            <v>243.71</v>
          </cell>
          <cell r="AN2449">
            <v>28.27</v>
          </cell>
          <cell r="AO2449">
            <v>2958.13</v>
          </cell>
          <cell r="AQ2449">
            <v>183.77</v>
          </cell>
        </row>
        <row r="2450">
          <cell r="P2450">
            <v>632.13</v>
          </cell>
          <cell r="Q2450">
            <v>527.24</v>
          </cell>
          <cell r="R2450">
            <v>223.15</v>
          </cell>
          <cell r="S2450">
            <v>21503.72</v>
          </cell>
          <cell r="X2450">
            <v>18250.57</v>
          </cell>
          <cell r="Y2450">
            <v>11515.24</v>
          </cell>
          <cell r="AT2450">
            <v>84</v>
          </cell>
          <cell r="AU2450">
            <v>53</v>
          </cell>
          <cell r="AV2450">
            <v>1.087</v>
          </cell>
          <cell r="AW2450">
            <v>1</v>
          </cell>
          <cell r="BA2450">
            <v>56.35</v>
          </cell>
          <cell r="BB2450">
            <v>15.43</v>
          </cell>
          <cell r="BC2450">
            <v>4.66</v>
          </cell>
          <cell r="BS2450">
            <v>56.35</v>
          </cell>
          <cell r="BZ2450">
            <v>84</v>
          </cell>
          <cell r="CA2450">
            <v>53</v>
          </cell>
        </row>
        <row r="2451">
          <cell r="F2451" t="str">
            <v>1.7-1-105</v>
          </cell>
          <cell r="H2451" t="str">
            <v>м</v>
          </cell>
          <cell r="I2451">
            <v>3.4740000000000001E-3</v>
          </cell>
          <cell r="O2451">
            <v>0.06</v>
          </cell>
          <cell r="R2451">
            <v>0</v>
          </cell>
          <cell r="X2451">
            <v>0</v>
          </cell>
          <cell r="Y2451">
            <v>0</v>
          </cell>
          <cell r="AK2451">
            <v>15.96</v>
          </cell>
        </row>
        <row r="2452">
          <cell r="O2452">
            <v>0.65</v>
          </cell>
          <cell r="R2452">
            <v>0</v>
          </cell>
          <cell r="X2452">
            <v>0</v>
          </cell>
          <cell r="Y2452">
            <v>0</v>
          </cell>
          <cell r="AW2452">
            <v>1</v>
          </cell>
          <cell r="BC2452">
            <v>10.82</v>
          </cell>
        </row>
        <row r="2453">
          <cell r="F2453" t="str">
            <v>3.70-55-8</v>
          </cell>
          <cell r="H2453" t="str">
            <v>100 м2</v>
          </cell>
          <cell r="I2453">
            <v>5.45E-2</v>
          </cell>
          <cell r="P2453">
            <v>0.64</v>
          </cell>
          <cell r="Q2453">
            <v>9.99</v>
          </cell>
          <cell r="R2453">
            <v>1.41</v>
          </cell>
          <cell r="S2453">
            <v>68.94</v>
          </cell>
          <cell r="U2453">
            <v>4.4849843921999994</v>
          </cell>
          <cell r="X2453">
            <v>59.09</v>
          </cell>
          <cell r="Y2453">
            <v>37.29</v>
          </cell>
          <cell r="AL2453">
            <v>11.79</v>
          </cell>
          <cell r="AM2453">
            <v>112.46</v>
          </cell>
          <cell r="AN2453">
            <v>15.9</v>
          </cell>
          <cell r="AO2453">
            <v>843.28</v>
          </cell>
          <cell r="AQ2453">
            <v>54.86</v>
          </cell>
        </row>
        <row r="2454">
          <cell r="P2454">
            <v>2.5299999999999998</v>
          </cell>
          <cell r="Q2454">
            <v>165.43</v>
          </cell>
          <cell r="R2454">
            <v>79.45</v>
          </cell>
          <cell r="S2454">
            <v>3884.77</v>
          </cell>
          <cell r="X2454">
            <v>3329.94</v>
          </cell>
          <cell r="Y2454">
            <v>2101.04</v>
          </cell>
          <cell r="AT2454">
            <v>84</v>
          </cell>
          <cell r="AU2454">
            <v>53</v>
          </cell>
          <cell r="AV2454">
            <v>1.087</v>
          </cell>
          <cell r="AW2454">
            <v>1</v>
          </cell>
          <cell r="BA2454">
            <v>56.35</v>
          </cell>
          <cell r="BB2454">
            <v>16.559999999999999</v>
          </cell>
          <cell r="BC2454">
            <v>3.95</v>
          </cell>
          <cell r="BS2454">
            <v>56.35</v>
          </cell>
          <cell r="BZ2454">
            <v>84</v>
          </cell>
          <cell r="CA2454">
            <v>53</v>
          </cell>
        </row>
        <row r="2455">
          <cell r="F2455" t="str">
            <v>3.70-55-10</v>
          </cell>
          <cell r="H2455" t="str">
            <v>100 м2</v>
          </cell>
          <cell r="I2455">
            <v>3.15E-2</v>
          </cell>
          <cell r="P2455">
            <v>1.76</v>
          </cell>
          <cell r="Q2455">
            <v>5.01</v>
          </cell>
          <cell r="R2455">
            <v>0.68</v>
          </cell>
          <cell r="S2455">
            <v>93.97</v>
          </cell>
          <cell r="U2455">
            <v>5.353639137</v>
          </cell>
          <cell r="X2455">
            <v>79.510000000000005</v>
          </cell>
          <cell r="Y2455">
            <v>50.16</v>
          </cell>
          <cell r="AL2455">
            <v>55.75</v>
          </cell>
          <cell r="AM2455">
            <v>97.6</v>
          </cell>
          <cell r="AN2455">
            <v>13.25</v>
          </cell>
          <cell r="AO2455">
            <v>1988.67</v>
          </cell>
          <cell r="AQ2455">
            <v>113.3</v>
          </cell>
        </row>
        <row r="2456">
          <cell r="P2456">
            <v>11.7</v>
          </cell>
          <cell r="Q2456">
            <v>81.56</v>
          </cell>
          <cell r="R2456">
            <v>38.32</v>
          </cell>
          <cell r="S2456">
            <v>5295.21</v>
          </cell>
          <cell r="X2456">
            <v>4480.17</v>
          </cell>
          <cell r="Y2456">
            <v>2826.77</v>
          </cell>
          <cell r="AT2456">
            <v>84</v>
          </cell>
          <cell r="AU2456">
            <v>53</v>
          </cell>
          <cell r="AV2456">
            <v>1.087</v>
          </cell>
          <cell r="AW2456">
            <v>1</v>
          </cell>
          <cell r="BA2456">
            <v>56.35</v>
          </cell>
          <cell r="BB2456">
            <v>16.28</v>
          </cell>
          <cell r="BC2456">
            <v>6.65</v>
          </cell>
          <cell r="BS2456">
            <v>56.35</v>
          </cell>
          <cell r="BZ2456">
            <v>84</v>
          </cell>
          <cell r="CA2456">
            <v>53</v>
          </cell>
        </row>
        <row r="2457">
          <cell r="F2457" t="str">
            <v>КА-179</v>
          </cell>
          <cell r="H2457" t="str">
            <v>м2</v>
          </cell>
          <cell r="I2457">
            <v>8.6</v>
          </cell>
          <cell r="P2457">
            <v>33320.269999999997</v>
          </cell>
          <cell r="R2457">
            <v>0</v>
          </cell>
          <cell r="X2457">
            <v>0</v>
          </cell>
          <cell r="Y2457">
            <v>0</v>
          </cell>
          <cell r="AL2457">
            <v>3874.45</v>
          </cell>
        </row>
        <row r="2458">
          <cell r="P2458">
            <v>185505.94</v>
          </cell>
          <cell r="R2458">
            <v>0</v>
          </cell>
          <cell r="X2458">
            <v>0</v>
          </cell>
          <cell r="Y2458">
            <v>0</v>
          </cell>
          <cell r="AW2458">
            <v>1</v>
          </cell>
          <cell r="BC2458">
            <v>9.84</v>
          </cell>
        </row>
        <row r="2460">
          <cell r="G2460" t="str">
            <v>ДВ-19-П Витраж учебного кабинета</v>
          </cell>
        </row>
        <row r="2490">
          <cell r="G2490" t="str">
            <v>ДВ-20-П  Витраж учебного кабинета</v>
          </cell>
        </row>
        <row r="2494">
          <cell r="F2494" t="str">
            <v>3.70-55-2</v>
          </cell>
          <cell r="H2494" t="str">
            <v>100 м2</v>
          </cell>
          <cell r="I2494">
            <v>0.112</v>
          </cell>
          <cell r="P2494">
            <v>176.65</v>
          </cell>
          <cell r="Q2494">
            <v>44.51</v>
          </cell>
          <cell r="R2494">
            <v>5.16</v>
          </cell>
          <cell r="S2494">
            <v>496.99</v>
          </cell>
          <cell r="U2494">
            <v>30.874594934399997</v>
          </cell>
          <cell r="X2494">
            <v>421.81</v>
          </cell>
          <cell r="Y2494">
            <v>266.14</v>
          </cell>
          <cell r="AL2494">
            <v>1577.27</v>
          </cell>
          <cell r="AM2494">
            <v>243.71</v>
          </cell>
          <cell r="AN2494">
            <v>28.27</v>
          </cell>
          <cell r="AO2494">
            <v>2958.13</v>
          </cell>
          <cell r="AQ2494">
            <v>183.77</v>
          </cell>
        </row>
        <row r="2495">
          <cell r="P2495">
            <v>823.19</v>
          </cell>
          <cell r="Q2495">
            <v>686.79</v>
          </cell>
          <cell r="R2495">
            <v>290.77</v>
          </cell>
          <cell r="S2495">
            <v>28005.39</v>
          </cell>
          <cell r="X2495">
            <v>23768.77</v>
          </cell>
          <cell r="Y2495">
            <v>14996.96</v>
          </cell>
          <cell r="AT2495">
            <v>84</v>
          </cell>
          <cell r="AU2495">
            <v>53</v>
          </cell>
          <cell r="AV2495">
            <v>1.087</v>
          </cell>
          <cell r="AW2495">
            <v>1</v>
          </cell>
          <cell r="BA2495">
            <v>56.35</v>
          </cell>
          <cell r="BB2495">
            <v>15.43</v>
          </cell>
          <cell r="BC2495">
            <v>4.66</v>
          </cell>
          <cell r="BS2495">
            <v>56.35</v>
          </cell>
          <cell r="BZ2495">
            <v>84</v>
          </cell>
          <cell r="CA2495">
            <v>53</v>
          </cell>
        </row>
        <row r="2496">
          <cell r="F2496" t="str">
            <v>1.7-1-105</v>
          </cell>
          <cell r="H2496" t="str">
            <v>м</v>
          </cell>
          <cell r="I2496">
            <v>4.5250000000000004E-3</v>
          </cell>
          <cell r="O2496">
            <v>7.0000000000000007E-2</v>
          </cell>
          <cell r="R2496">
            <v>0</v>
          </cell>
          <cell r="X2496">
            <v>0</v>
          </cell>
          <cell r="Y2496">
            <v>0</v>
          </cell>
          <cell r="AK2496">
            <v>15.96</v>
          </cell>
        </row>
        <row r="2497">
          <cell r="O2497">
            <v>0.76</v>
          </cell>
          <cell r="R2497">
            <v>0</v>
          </cell>
          <cell r="X2497">
            <v>0</v>
          </cell>
          <cell r="Y2497">
            <v>0</v>
          </cell>
          <cell r="AW2497">
            <v>1</v>
          </cell>
          <cell r="BC2497">
            <v>10.82</v>
          </cell>
        </row>
        <row r="2498">
          <cell r="F2498" t="str">
            <v>3.70-55-8</v>
          </cell>
          <cell r="H2498" t="str">
            <v>100 м2</v>
          </cell>
          <cell r="I2498">
            <v>8.0500000000000002E-2</v>
          </cell>
          <cell r="P2498">
            <v>0.95</v>
          </cell>
          <cell r="Q2498">
            <v>14.76</v>
          </cell>
          <cell r="R2498">
            <v>2.09</v>
          </cell>
          <cell r="S2498">
            <v>101.83</v>
          </cell>
          <cell r="U2498">
            <v>6.6246099737999993</v>
          </cell>
          <cell r="X2498">
            <v>87.29</v>
          </cell>
          <cell r="Y2498">
            <v>55.08</v>
          </cell>
          <cell r="AL2498">
            <v>11.79</v>
          </cell>
          <cell r="AM2498">
            <v>112.46</v>
          </cell>
          <cell r="AN2498">
            <v>15.9</v>
          </cell>
          <cell r="AO2498">
            <v>843.28</v>
          </cell>
          <cell r="AQ2498">
            <v>54.86</v>
          </cell>
        </row>
        <row r="2499">
          <cell r="P2499">
            <v>3.75</v>
          </cell>
          <cell r="Q2499">
            <v>244.43</v>
          </cell>
          <cell r="R2499">
            <v>117.77</v>
          </cell>
          <cell r="S2499">
            <v>5738.12</v>
          </cell>
          <cell r="X2499">
            <v>4918.95</v>
          </cell>
          <cell r="Y2499">
            <v>3103.62</v>
          </cell>
          <cell r="AT2499">
            <v>84</v>
          </cell>
          <cell r="AU2499">
            <v>53</v>
          </cell>
          <cell r="AV2499">
            <v>1.087</v>
          </cell>
          <cell r="AW2499">
            <v>1</v>
          </cell>
          <cell r="BA2499">
            <v>56.35</v>
          </cell>
          <cell r="BB2499">
            <v>16.559999999999999</v>
          </cell>
          <cell r="BC2499">
            <v>3.95</v>
          </cell>
          <cell r="BS2499">
            <v>56.35</v>
          </cell>
          <cell r="BZ2499">
            <v>84</v>
          </cell>
          <cell r="CA2499">
            <v>53</v>
          </cell>
        </row>
        <row r="2500">
          <cell r="F2500" t="str">
            <v>3.70-55-10</v>
          </cell>
          <cell r="H2500" t="str">
            <v>100 м2</v>
          </cell>
          <cell r="I2500">
            <v>3.15E-2</v>
          </cell>
          <cell r="P2500">
            <v>1.76</v>
          </cell>
          <cell r="Q2500">
            <v>5.01</v>
          </cell>
          <cell r="R2500">
            <v>0.68</v>
          </cell>
          <cell r="S2500">
            <v>93.97</v>
          </cell>
          <cell r="U2500">
            <v>5.353639137</v>
          </cell>
          <cell r="X2500">
            <v>79.510000000000005</v>
          </cell>
          <cell r="Y2500">
            <v>50.16</v>
          </cell>
          <cell r="AL2500">
            <v>55.75</v>
          </cell>
          <cell r="AM2500">
            <v>97.6</v>
          </cell>
          <cell r="AN2500">
            <v>13.25</v>
          </cell>
          <cell r="AO2500">
            <v>1988.67</v>
          </cell>
          <cell r="AQ2500">
            <v>113.3</v>
          </cell>
        </row>
        <row r="2501">
          <cell r="P2501">
            <v>11.7</v>
          </cell>
          <cell r="Q2501">
            <v>81.56</v>
          </cell>
          <cell r="R2501">
            <v>38.32</v>
          </cell>
          <cell r="S2501">
            <v>5295.21</v>
          </cell>
          <cell r="X2501">
            <v>4480.17</v>
          </cell>
          <cell r="Y2501">
            <v>2826.77</v>
          </cell>
          <cell r="AT2501">
            <v>84</v>
          </cell>
          <cell r="AU2501">
            <v>53</v>
          </cell>
          <cell r="AV2501">
            <v>1.087</v>
          </cell>
          <cell r="AW2501">
            <v>1</v>
          </cell>
          <cell r="BA2501">
            <v>56.35</v>
          </cell>
          <cell r="BB2501">
            <v>16.28</v>
          </cell>
          <cell r="BC2501">
            <v>6.65</v>
          </cell>
          <cell r="BS2501">
            <v>56.35</v>
          </cell>
          <cell r="BZ2501">
            <v>84</v>
          </cell>
          <cell r="CA2501">
            <v>53</v>
          </cell>
        </row>
        <row r="2502">
          <cell r="F2502" t="str">
            <v>КА-179</v>
          </cell>
          <cell r="H2502" t="str">
            <v>м2</v>
          </cell>
          <cell r="I2502">
            <v>11.2</v>
          </cell>
          <cell r="P2502">
            <v>43393.84</v>
          </cell>
          <cell r="R2502">
            <v>0</v>
          </cell>
          <cell r="X2502">
            <v>0</v>
          </cell>
          <cell r="Y2502">
            <v>0</v>
          </cell>
          <cell r="AL2502">
            <v>3874.45</v>
          </cell>
        </row>
        <row r="2503">
          <cell r="P2503">
            <v>241589.12</v>
          </cell>
          <cell r="R2503">
            <v>0</v>
          </cell>
          <cell r="X2503">
            <v>0</v>
          </cell>
          <cell r="Y2503">
            <v>0</v>
          </cell>
          <cell r="AW2503">
            <v>1</v>
          </cell>
          <cell r="BC2503">
            <v>9.84</v>
          </cell>
        </row>
        <row r="2505">
          <cell r="G2505" t="str">
            <v>ДВ-20-П  Витраж учебного кабинета</v>
          </cell>
        </row>
        <row r="2535">
          <cell r="G2535" t="str">
            <v>ДВ-21-П</v>
          </cell>
        </row>
        <row r="2539">
          <cell r="F2539" t="str">
            <v>3.70-55-2</v>
          </cell>
          <cell r="H2539" t="str">
            <v>100 м2</v>
          </cell>
          <cell r="I2539">
            <v>8.8999999999999996E-2</v>
          </cell>
          <cell r="P2539">
            <v>140.38</v>
          </cell>
          <cell r="Q2539">
            <v>35.369999999999997</v>
          </cell>
          <cell r="R2539">
            <v>4.0999999999999996</v>
          </cell>
          <cell r="S2539">
            <v>394.93</v>
          </cell>
          <cell r="U2539">
            <v>24.534276331799997</v>
          </cell>
          <cell r="X2539">
            <v>335.19</v>
          </cell>
          <cell r="Y2539">
            <v>211.49</v>
          </cell>
          <cell r="AL2539">
            <v>1577.27</v>
          </cell>
          <cell r="AM2539">
            <v>243.71</v>
          </cell>
          <cell r="AN2539">
            <v>28.27</v>
          </cell>
          <cell r="AO2539">
            <v>2958.13</v>
          </cell>
          <cell r="AQ2539">
            <v>183.77</v>
          </cell>
        </row>
        <row r="2540">
          <cell r="P2540">
            <v>654.16999999999996</v>
          </cell>
          <cell r="Q2540">
            <v>545.76</v>
          </cell>
          <cell r="R2540">
            <v>231.04</v>
          </cell>
          <cell r="S2540">
            <v>22254.31</v>
          </cell>
          <cell r="X2540">
            <v>18887.689999999999</v>
          </cell>
          <cell r="Y2540">
            <v>11917.24</v>
          </cell>
          <cell r="AT2540">
            <v>84</v>
          </cell>
          <cell r="AU2540">
            <v>53</v>
          </cell>
          <cell r="AV2540">
            <v>1.087</v>
          </cell>
          <cell r="AW2540">
            <v>1</v>
          </cell>
          <cell r="BA2540">
            <v>56.35</v>
          </cell>
          <cell r="BB2540">
            <v>15.43</v>
          </cell>
          <cell r="BC2540">
            <v>4.66</v>
          </cell>
          <cell r="BS2540">
            <v>56.35</v>
          </cell>
          <cell r="BZ2540">
            <v>84</v>
          </cell>
          <cell r="CA2540">
            <v>53</v>
          </cell>
        </row>
        <row r="2541">
          <cell r="F2541" t="str">
            <v>1.7-1-105</v>
          </cell>
          <cell r="H2541" t="str">
            <v>м</v>
          </cell>
          <cell r="I2541">
            <v>3.5959999999999994E-3</v>
          </cell>
          <cell r="O2541">
            <v>0.06</v>
          </cell>
          <cell r="R2541">
            <v>0</v>
          </cell>
          <cell r="X2541">
            <v>0</v>
          </cell>
          <cell r="Y2541">
            <v>0</v>
          </cell>
          <cell r="AK2541">
            <v>15.96</v>
          </cell>
        </row>
        <row r="2542">
          <cell r="O2542">
            <v>0.65</v>
          </cell>
          <cell r="R2542">
            <v>0</v>
          </cell>
          <cell r="X2542">
            <v>0</v>
          </cell>
          <cell r="Y2542">
            <v>0</v>
          </cell>
          <cell r="AW2542">
            <v>1</v>
          </cell>
          <cell r="BC2542">
            <v>10.82</v>
          </cell>
        </row>
        <row r="2543">
          <cell r="F2543" t="str">
            <v>3.70-55-8</v>
          </cell>
          <cell r="H2543" t="str">
            <v>100 м2</v>
          </cell>
          <cell r="I2543">
            <v>5.7500000000000002E-2</v>
          </cell>
          <cell r="P2543">
            <v>0.68</v>
          </cell>
          <cell r="Q2543">
            <v>10.54</v>
          </cell>
          <cell r="R2543">
            <v>1.49</v>
          </cell>
          <cell r="S2543">
            <v>72.739999999999995</v>
          </cell>
          <cell r="U2543">
            <v>4.7318642669999997</v>
          </cell>
          <cell r="X2543">
            <v>62.35</v>
          </cell>
          <cell r="Y2543">
            <v>39.340000000000003</v>
          </cell>
          <cell r="AL2543">
            <v>11.79</v>
          </cell>
          <cell r="AM2543">
            <v>112.46</v>
          </cell>
          <cell r="AN2543">
            <v>15.9</v>
          </cell>
          <cell r="AO2543">
            <v>843.28</v>
          </cell>
          <cell r="AQ2543">
            <v>54.86</v>
          </cell>
        </row>
        <row r="2544">
          <cell r="P2544">
            <v>2.69</v>
          </cell>
          <cell r="Q2544">
            <v>174.54</v>
          </cell>
          <cell r="R2544">
            <v>83.96</v>
          </cell>
          <cell r="S2544">
            <v>4098.8999999999996</v>
          </cell>
          <cell r="X2544">
            <v>3513.6</v>
          </cell>
          <cell r="Y2544">
            <v>2216.92</v>
          </cell>
          <cell r="AT2544">
            <v>84</v>
          </cell>
          <cell r="AU2544">
            <v>53</v>
          </cell>
          <cell r="AV2544">
            <v>1.087</v>
          </cell>
          <cell r="AW2544">
            <v>1</v>
          </cell>
          <cell r="BA2544">
            <v>56.35</v>
          </cell>
          <cell r="BB2544">
            <v>16.559999999999999</v>
          </cell>
          <cell r="BC2544">
            <v>3.95</v>
          </cell>
          <cell r="BS2544">
            <v>56.35</v>
          </cell>
          <cell r="BZ2544">
            <v>84</v>
          </cell>
          <cell r="CA2544">
            <v>53</v>
          </cell>
        </row>
        <row r="2545">
          <cell r="F2545" t="str">
            <v>3.70-55-10</v>
          </cell>
          <cell r="H2545" t="str">
            <v>100 м2</v>
          </cell>
          <cell r="I2545">
            <v>3.15E-2</v>
          </cell>
          <cell r="P2545">
            <v>1.76</v>
          </cell>
          <cell r="Q2545">
            <v>7.21</v>
          </cell>
          <cell r="R2545">
            <v>0.98</v>
          </cell>
          <cell r="S2545">
            <v>124.27</v>
          </cell>
          <cell r="U2545">
            <v>7.0801877586824977</v>
          </cell>
          <cell r="X2545">
            <v>105.21</v>
          </cell>
          <cell r="Y2545">
            <v>66.38</v>
          </cell>
          <cell r="AL2545">
            <v>55.75</v>
          </cell>
          <cell r="AM2545">
            <v>97.6</v>
          </cell>
          <cell r="AN2545">
            <v>13.25</v>
          </cell>
          <cell r="AO2545">
            <v>1988.67</v>
          </cell>
          <cell r="AQ2545">
            <v>113.3</v>
          </cell>
        </row>
        <row r="2546">
          <cell r="P2546">
            <v>11.7</v>
          </cell>
          <cell r="Q2546">
            <v>117.38</v>
          </cell>
          <cell r="R2546">
            <v>55.22</v>
          </cell>
          <cell r="S2546">
            <v>7002.61</v>
          </cell>
          <cell r="X2546">
            <v>5928.58</v>
          </cell>
          <cell r="Y2546">
            <v>3740.65</v>
          </cell>
          <cell r="AT2546">
            <v>84</v>
          </cell>
          <cell r="AU2546">
            <v>53</v>
          </cell>
          <cell r="AV2546">
            <v>1.087</v>
          </cell>
          <cell r="AW2546">
            <v>1</v>
          </cell>
          <cell r="BA2546">
            <v>56.35</v>
          </cell>
          <cell r="BB2546">
            <v>16.28</v>
          </cell>
          <cell r="BC2546">
            <v>6.65</v>
          </cell>
          <cell r="BS2546">
            <v>56.35</v>
          </cell>
          <cell r="BZ2546">
            <v>84</v>
          </cell>
          <cell r="CA2546">
            <v>53</v>
          </cell>
        </row>
        <row r="2547">
          <cell r="F2547" t="str">
            <v>КА-179</v>
          </cell>
          <cell r="H2547" t="str">
            <v>м2</v>
          </cell>
          <cell r="I2547">
            <v>8.9</v>
          </cell>
          <cell r="P2547">
            <v>34482.61</v>
          </cell>
          <cell r="R2547">
            <v>0</v>
          </cell>
          <cell r="X2547">
            <v>0</v>
          </cell>
          <cell r="Y2547">
            <v>0</v>
          </cell>
          <cell r="AL2547">
            <v>3874.45</v>
          </cell>
        </row>
        <row r="2548">
          <cell r="P2548">
            <v>191977.12</v>
          </cell>
          <cell r="R2548">
            <v>0</v>
          </cell>
          <cell r="X2548">
            <v>0</v>
          </cell>
          <cell r="Y2548">
            <v>0</v>
          </cell>
          <cell r="AW2548">
            <v>1</v>
          </cell>
          <cell r="BC2548">
            <v>9.84</v>
          </cell>
        </row>
        <row r="2550">
          <cell r="G2550" t="str">
            <v>ДВ-21-П</v>
          </cell>
        </row>
        <row r="2580">
          <cell r="G2580" t="str">
            <v>ДВ-22-П Витраж учебного кабинета</v>
          </cell>
        </row>
        <row r="2584">
          <cell r="F2584" t="str">
            <v>3.70-55-2</v>
          </cell>
          <cell r="H2584" t="str">
            <v>100 м2</v>
          </cell>
          <cell r="I2584">
            <v>0.309</v>
          </cell>
          <cell r="P2584">
            <v>487.38</v>
          </cell>
          <cell r="Q2584">
            <v>122.79</v>
          </cell>
          <cell r="R2584">
            <v>14.24</v>
          </cell>
          <cell r="S2584">
            <v>1371.15</v>
          </cell>
          <cell r="U2584">
            <v>85.18080209579999</v>
          </cell>
          <cell r="X2584">
            <v>1163.73</v>
          </cell>
          <cell r="Y2584">
            <v>734.26</v>
          </cell>
          <cell r="AL2584">
            <v>1577.27</v>
          </cell>
          <cell r="AM2584">
            <v>243.71</v>
          </cell>
          <cell r="AN2584">
            <v>28.27</v>
          </cell>
          <cell r="AO2584">
            <v>2958.13</v>
          </cell>
          <cell r="AQ2584">
            <v>183.77</v>
          </cell>
        </row>
        <row r="2585">
          <cell r="P2585">
            <v>2271.19</v>
          </cell>
          <cell r="Q2585">
            <v>1894.65</v>
          </cell>
          <cell r="R2585">
            <v>802.42</v>
          </cell>
          <cell r="S2585">
            <v>77264.3</v>
          </cell>
          <cell r="X2585">
            <v>65576.039999999994</v>
          </cell>
          <cell r="Y2585">
            <v>41375.360000000001</v>
          </cell>
          <cell r="AT2585">
            <v>84</v>
          </cell>
          <cell r="AU2585">
            <v>53</v>
          </cell>
          <cell r="AV2585">
            <v>1.087</v>
          </cell>
          <cell r="AW2585">
            <v>1</v>
          </cell>
          <cell r="BA2585">
            <v>56.35</v>
          </cell>
          <cell r="BB2585">
            <v>15.43</v>
          </cell>
          <cell r="BC2585">
            <v>4.66</v>
          </cell>
          <cell r="BS2585">
            <v>56.35</v>
          </cell>
          <cell r="BZ2585">
            <v>84</v>
          </cell>
          <cell r="CA2585">
            <v>53</v>
          </cell>
        </row>
        <row r="2586">
          <cell r="F2586" t="str">
            <v>1.7-1-105</v>
          </cell>
          <cell r="H2586" t="str">
            <v>м</v>
          </cell>
          <cell r="I2586">
            <v>1.2484000000000002E-2</v>
          </cell>
          <cell r="O2586">
            <v>0.2</v>
          </cell>
          <cell r="R2586">
            <v>0</v>
          </cell>
          <cell r="X2586">
            <v>0</v>
          </cell>
          <cell r="Y2586">
            <v>0</v>
          </cell>
          <cell r="AK2586">
            <v>15.96</v>
          </cell>
        </row>
        <row r="2587">
          <cell r="O2587">
            <v>2.16</v>
          </cell>
          <cell r="R2587">
            <v>0</v>
          </cell>
          <cell r="X2587">
            <v>0</v>
          </cell>
          <cell r="Y2587">
            <v>0</v>
          </cell>
          <cell r="AW2587">
            <v>1</v>
          </cell>
          <cell r="BC2587">
            <v>10.82</v>
          </cell>
        </row>
        <row r="2588">
          <cell r="F2588" t="str">
            <v>3.70-55-8</v>
          </cell>
          <cell r="H2588" t="str">
            <v>100 м2</v>
          </cell>
          <cell r="I2588">
            <v>0.27750000000000002</v>
          </cell>
          <cell r="P2588">
            <v>3.27</v>
          </cell>
          <cell r="Q2588">
            <v>50.88</v>
          </cell>
          <cell r="R2588">
            <v>7.19</v>
          </cell>
          <cell r="S2588">
            <v>351.03</v>
          </cell>
          <cell r="U2588">
            <v>22.836388418999999</v>
          </cell>
          <cell r="X2588">
            <v>300.89999999999998</v>
          </cell>
          <cell r="Y2588">
            <v>189.86</v>
          </cell>
          <cell r="AL2588">
            <v>11.79</v>
          </cell>
          <cell r="AM2588">
            <v>112.46</v>
          </cell>
          <cell r="AN2588">
            <v>15.9</v>
          </cell>
          <cell r="AO2588">
            <v>843.28</v>
          </cell>
          <cell r="AQ2588">
            <v>54.86</v>
          </cell>
        </row>
        <row r="2589">
          <cell r="P2589">
            <v>12.92</v>
          </cell>
          <cell r="Q2589">
            <v>842.57</v>
          </cell>
          <cell r="R2589">
            <v>405.16</v>
          </cell>
          <cell r="S2589">
            <v>19780.54</v>
          </cell>
          <cell r="X2589">
            <v>16955.990000000002</v>
          </cell>
          <cell r="Y2589">
            <v>10698.42</v>
          </cell>
          <cell r="AT2589">
            <v>84</v>
          </cell>
          <cell r="AU2589">
            <v>53</v>
          </cell>
          <cell r="AV2589">
            <v>1.087</v>
          </cell>
          <cell r="AW2589">
            <v>1</v>
          </cell>
          <cell r="BA2589">
            <v>56.35</v>
          </cell>
          <cell r="BB2589">
            <v>16.559999999999999</v>
          </cell>
          <cell r="BC2589">
            <v>3.95</v>
          </cell>
          <cell r="BS2589">
            <v>56.35</v>
          </cell>
          <cell r="BZ2589">
            <v>84</v>
          </cell>
          <cell r="CA2589">
            <v>53</v>
          </cell>
        </row>
        <row r="2590">
          <cell r="F2590" t="str">
            <v>3.70-55-10</v>
          </cell>
          <cell r="H2590" t="str">
            <v>100 м2</v>
          </cell>
          <cell r="I2590">
            <v>3.15E-2</v>
          </cell>
          <cell r="P2590">
            <v>1.76</v>
          </cell>
          <cell r="Q2590">
            <v>5.01</v>
          </cell>
          <cell r="R2590">
            <v>0.68</v>
          </cell>
          <cell r="S2590">
            <v>93.97</v>
          </cell>
          <cell r="U2590">
            <v>5.353639137</v>
          </cell>
          <cell r="X2590">
            <v>79.510000000000005</v>
          </cell>
          <cell r="Y2590">
            <v>50.16</v>
          </cell>
          <cell r="AL2590">
            <v>55.75</v>
          </cell>
          <cell r="AM2590">
            <v>97.6</v>
          </cell>
          <cell r="AN2590">
            <v>13.25</v>
          </cell>
          <cell r="AO2590">
            <v>1988.67</v>
          </cell>
          <cell r="AQ2590">
            <v>113.3</v>
          </cell>
        </row>
        <row r="2591">
          <cell r="P2591">
            <v>11.7</v>
          </cell>
          <cell r="Q2591">
            <v>81.56</v>
          </cell>
          <cell r="R2591">
            <v>38.32</v>
          </cell>
          <cell r="S2591">
            <v>5295.21</v>
          </cell>
          <cell r="X2591">
            <v>4480.17</v>
          </cell>
          <cell r="Y2591">
            <v>2826.77</v>
          </cell>
          <cell r="AT2591">
            <v>84</v>
          </cell>
          <cell r="AU2591">
            <v>53</v>
          </cell>
          <cell r="AV2591">
            <v>1.087</v>
          </cell>
          <cell r="AW2591">
            <v>1</v>
          </cell>
          <cell r="BA2591">
            <v>56.35</v>
          </cell>
          <cell r="BB2591">
            <v>16.28</v>
          </cell>
          <cell r="BC2591">
            <v>6.65</v>
          </cell>
          <cell r="BS2591">
            <v>56.35</v>
          </cell>
          <cell r="BZ2591">
            <v>84</v>
          </cell>
          <cell r="CA2591">
            <v>53</v>
          </cell>
        </row>
        <row r="2592">
          <cell r="F2592" t="str">
            <v>КА-179</v>
          </cell>
          <cell r="H2592" t="str">
            <v>м2</v>
          </cell>
          <cell r="I2592">
            <v>30.9</v>
          </cell>
          <cell r="P2592">
            <v>119720.51</v>
          </cell>
          <cell r="R2592">
            <v>0</v>
          </cell>
          <cell r="X2592">
            <v>0</v>
          </cell>
          <cell r="Y2592">
            <v>0</v>
          </cell>
          <cell r="AL2592">
            <v>3874.45</v>
          </cell>
        </row>
        <row r="2593">
          <cell r="P2593">
            <v>666527.26</v>
          </cell>
          <cell r="R2593">
            <v>0</v>
          </cell>
          <cell r="X2593">
            <v>0</v>
          </cell>
          <cell r="Y2593">
            <v>0</v>
          </cell>
          <cell r="AW2593">
            <v>1</v>
          </cell>
          <cell r="BC2593">
            <v>9.84</v>
          </cell>
        </row>
        <row r="2595">
          <cell r="G2595" t="str">
            <v>ДВ-22-П Витраж учебного кабинета</v>
          </cell>
        </row>
        <row r="2625">
          <cell r="G2625" t="str">
            <v>ДВ-23-П  Витраж учебного кабинета</v>
          </cell>
        </row>
        <row r="2629">
          <cell r="F2629" t="str">
            <v>3.70-55-2</v>
          </cell>
          <cell r="H2629" t="str">
            <v>100 м2</v>
          </cell>
          <cell r="I2629">
            <v>0.22900000000000001</v>
          </cell>
          <cell r="P2629">
            <v>361.19</v>
          </cell>
          <cell r="Q2629">
            <v>91</v>
          </cell>
          <cell r="R2629">
            <v>10.56</v>
          </cell>
          <cell r="S2629">
            <v>1016.16</v>
          </cell>
          <cell r="U2629">
            <v>63.127519999800001</v>
          </cell>
          <cell r="X2629">
            <v>862.44</v>
          </cell>
          <cell r="Y2629">
            <v>544.16</v>
          </cell>
          <cell r="AL2629">
            <v>1577.27</v>
          </cell>
          <cell r="AM2629">
            <v>243.71</v>
          </cell>
          <cell r="AN2629">
            <v>28.27</v>
          </cell>
          <cell r="AO2629">
            <v>2958.13</v>
          </cell>
          <cell r="AQ2629">
            <v>183.77</v>
          </cell>
        </row>
        <row r="2630">
          <cell r="P2630">
            <v>1683.15</v>
          </cell>
          <cell r="Q2630">
            <v>1404.13</v>
          </cell>
          <cell r="R2630">
            <v>595.05999999999995</v>
          </cell>
          <cell r="S2630">
            <v>57260.62</v>
          </cell>
          <cell r="X2630">
            <v>48598.77</v>
          </cell>
          <cell r="Y2630">
            <v>30663.51</v>
          </cell>
          <cell r="AT2630">
            <v>84</v>
          </cell>
          <cell r="AU2630">
            <v>53</v>
          </cell>
          <cell r="AV2630">
            <v>1.087</v>
          </cell>
          <cell r="AW2630">
            <v>1</v>
          </cell>
          <cell r="BA2630">
            <v>56.35</v>
          </cell>
          <cell r="BB2630">
            <v>15.43</v>
          </cell>
          <cell r="BC2630">
            <v>4.66</v>
          </cell>
          <cell r="BS2630">
            <v>56.35</v>
          </cell>
          <cell r="BZ2630">
            <v>84</v>
          </cell>
          <cell r="CA2630">
            <v>53</v>
          </cell>
        </row>
        <row r="2631">
          <cell r="F2631" t="str">
            <v>1.7-1-105</v>
          </cell>
          <cell r="H2631" t="str">
            <v>м</v>
          </cell>
          <cell r="I2631">
            <v>9.2519999999999998E-3</v>
          </cell>
          <cell r="O2631">
            <v>0.15</v>
          </cell>
          <cell r="R2631">
            <v>0</v>
          </cell>
          <cell r="X2631">
            <v>0</v>
          </cell>
          <cell r="Y2631">
            <v>0</v>
          </cell>
          <cell r="AK2631">
            <v>15.96</v>
          </cell>
        </row>
        <row r="2632">
          <cell r="O2632">
            <v>1.62</v>
          </cell>
          <cell r="R2632">
            <v>0</v>
          </cell>
          <cell r="X2632">
            <v>0</v>
          </cell>
          <cell r="Y2632">
            <v>0</v>
          </cell>
          <cell r="AW2632">
            <v>1</v>
          </cell>
          <cell r="BC2632">
            <v>10.82</v>
          </cell>
        </row>
        <row r="2633">
          <cell r="F2633" t="str">
            <v>3.70-55-8</v>
          </cell>
          <cell r="H2633" t="str">
            <v>100 м2</v>
          </cell>
          <cell r="I2633">
            <v>0.19750000000000001</v>
          </cell>
          <cell r="P2633">
            <v>2.33</v>
          </cell>
          <cell r="Q2633">
            <v>36.21</v>
          </cell>
          <cell r="R2633">
            <v>5.12</v>
          </cell>
          <cell r="S2633">
            <v>249.83</v>
          </cell>
          <cell r="U2633">
            <v>16.252925090999998</v>
          </cell>
          <cell r="X2633">
            <v>214.16</v>
          </cell>
          <cell r="Y2633">
            <v>135.12</v>
          </cell>
          <cell r="AL2633">
            <v>11.79</v>
          </cell>
          <cell r="AM2633">
            <v>112.46</v>
          </cell>
          <cell r="AN2633">
            <v>15.9</v>
          </cell>
          <cell r="AO2633">
            <v>843.28</v>
          </cell>
          <cell r="AQ2633">
            <v>54.86</v>
          </cell>
        </row>
        <row r="2634">
          <cell r="P2634">
            <v>9.1999999999999993</v>
          </cell>
          <cell r="Q2634">
            <v>599.64</v>
          </cell>
          <cell r="R2634">
            <v>288.51</v>
          </cell>
          <cell r="S2634">
            <v>14077.92</v>
          </cell>
          <cell r="X2634">
            <v>12067.8</v>
          </cell>
          <cell r="Y2634">
            <v>7614.21</v>
          </cell>
          <cell r="AT2634">
            <v>84</v>
          </cell>
          <cell r="AU2634">
            <v>53</v>
          </cell>
          <cell r="AV2634">
            <v>1.087</v>
          </cell>
          <cell r="AW2634">
            <v>1</v>
          </cell>
          <cell r="BA2634">
            <v>56.35</v>
          </cell>
          <cell r="BB2634">
            <v>16.559999999999999</v>
          </cell>
          <cell r="BC2634">
            <v>3.95</v>
          </cell>
          <cell r="BS2634">
            <v>56.35</v>
          </cell>
          <cell r="BZ2634">
            <v>84</v>
          </cell>
          <cell r="CA2634">
            <v>53</v>
          </cell>
        </row>
        <row r="2635">
          <cell r="F2635" t="str">
            <v>3.70-55-10</v>
          </cell>
          <cell r="H2635" t="str">
            <v>100 м2</v>
          </cell>
          <cell r="I2635">
            <v>3.15E-2</v>
          </cell>
          <cell r="P2635">
            <v>1.76</v>
          </cell>
          <cell r="Q2635">
            <v>5.01</v>
          </cell>
          <cell r="R2635">
            <v>0.68</v>
          </cell>
          <cell r="S2635">
            <v>93.97</v>
          </cell>
          <cell r="U2635">
            <v>5.353639137</v>
          </cell>
          <cell r="X2635">
            <v>79.510000000000005</v>
          </cell>
          <cell r="Y2635">
            <v>50.16</v>
          </cell>
          <cell r="AL2635">
            <v>55.75</v>
          </cell>
          <cell r="AM2635">
            <v>97.6</v>
          </cell>
          <cell r="AN2635">
            <v>13.25</v>
          </cell>
          <cell r="AO2635">
            <v>1988.67</v>
          </cell>
          <cell r="AQ2635">
            <v>113.3</v>
          </cell>
        </row>
        <row r="2636">
          <cell r="P2636">
            <v>11.7</v>
          </cell>
          <cell r="Q2636">
            <v>81.56</v>
          </cell>
          <cell r="R2636">
            <v>38.32</v>
          </cell>
          <cell r="S2636">
            <v>5295.21</v>
          </cell>
          <cell r="X2636">
            <v>4480.17</v>
          </cell>
          <cell r="Y2636">
            <v>2826.77</v>
          </cell>
          <cell r="AT2636">
            <v>84</v>
          </cell>
          <cell r="AU2636">
            <v>53</v>
          </cell>
          <cell r="AV2636">
            <v>1.087</v>
          </cell>
          <cell r="AW2636">
            <v>1</v>
          </cell>
          <cell r="BA2636">
            <v>56.35</v>
          </cell>
          <cell r="BB2636">
            <v>16.28</v>
          </cell>
          <cell r="BC2636">
            <v>6.65</v>
          </cell>
          <cell r="BS2636">
            <v>56.35</v>
          </cell>
          <cell r="BZ2636">
            <v>84</v>
          </cell>
          <cell r="CA2636">
            <v>53</v>
          </cell>
        </row>
        <row r="2637">
          <cell r="F2637" t="str">
            <v>КА-179</v>
          </cell>
          <cell r="H2637" t="str">
            <v>м2</v>
          </cell>
          <cell r="I2637">
            <v>22.9</v>
          </cell>
          <cell r="P2637">
            <v>88724.91</v>
          </cell>
          <cell r="R2637">
            <v>0</v>
          </cell>
          <cell r="X2637">
            <v>0</v>
          </cell>
          <cell r="Y2637">
            <v>0</v>
          </cell>
          <cell r="AL2637">
            <v>3874.45</v>
          </cell>
        </row>
        <row r="2638">
          <cell r="P2638">
            <v>493963.57</v>
          </cell>
          <cell r="R2638">
            <v>0</v>
          </cell>
          <cell r="X2638">
            <v>0</v>
          </cell>
          <cell r="Y2638">
            <v>0</v>
          </cell>
          <cell r="AW2638">
            <v>1</v>
          </cell>
          <cell r="BC2638">
            <v>9.84</v>
          </cell>
        </row>
        <row r="2640">
          <cell r="G2640" t="str">
            <v>ДВ-23-П  Витраж учебного кабинета</v>
          </cell>
        </row>
        <row r="2670">
          <cell r="G2670" t="str">
            <v>ДВ-24-П  Витраж учебного кабинета</v>
          </cell>
        </row>
        <row r="2674">
          <cell r="F2674" t="str">
            <v>3.70-55-2</v>
          </cell>
          <cell r="H2674" t="str">
            <v>100 м2</v>
          </cell>
          <cell r="I2674">
            <v>0.115</v>
          </cell>
          <cell r="P2674">
            <v>181.39</v>
          </cell>
          <cell r="Q2674">
            <v>45.7</v>
          </cell>
          <cell r="R2674">
            <v>5.3</v>
          </cell>
          <cell r="S2674">
            <v>510.3</v>
          </cell>
          <cell r="U2674">
            <v>31.701593013</v>
          </cell>
          <cell r="X2674">
            <v>433.1</v>
          </cell>
          <cell r="Y2674">
            <v>273.27</v>
          </cell>
          <cell r="AL2674">
            <v>1577.27</v>
          </cell>
          <cell r="AM2674">
            <v>243.71</v>
          </cell>
          <cell r="AN2674">
            <v>28.27</v>
          </cell>
          <cell r="AO2674">
            <v>2958.13</v>
          </cell>
          <cell r="AQ2674">
            <v>183.77</v>
          </cell>
        </row>
        <row r="2675">
          <cell r="P2675">
            <v>845.28</v>
          </cell>
          <cell r="Q2675">
            <v>705.15</v>
          </cell>
          <cell r="R2675">
            <v>298.66000000000003</v>
          </cell>
          <cell r="S2675">
            <v>28755.41</v>
          </cell>
          <cell r="X2675">
            <v>24405.42</v>
          </cell>
          <cell r="Y2675">
            <v>15398.66</v>
          </cell>
          <cell r="AT2675">
            <v>84</v>
          </cell>
          <cell r="AU2675">
            <v>53</v>
          </cell>
          <cell r="AV2675">
            <v>1.087</v>
          </cell>
          <cell r="AW2675">
            <v>1</v>
          </cell>
          <cell r="BA2675">
            <v>56.35</v>
          </cell>
          <cell r="BB2675">
            <v>15.43</v>
          </cell>
          <cell r="BC2675">
            <v>4.66</v>
          </cell>
          <cell r="BS2675">
            <v>56.35</v>
          </cell>
          <cell r="BZ2675">
            <v>84</v>
          </cell>
          <cell r="CA2675">
            <v>53</v>
          </cell>
        </row>
        <row r="2676">
          <cell r="F2676" t="str">
            <v>1.7-1-105</v>
          </cell>
          <cell r="H2676" t="str">
            <v>м</v>
          </cell>
          <cell r="I2676">
            <v>4.646E-3</v>
          </cell>
          <cell r="O2676">
            <v>7.0000000000000007E-2</v>
          </cell>
          <cell r="R2676">
            <v>0</v>
          </cell>
          <cell r="X2676">
            <v>0</v>
          </cell>
          <cell r="Y2676">
            <v>0</v>
          </cell>
          <cell r="AK2676">
            <v>15.96</v>
          </cell>
        </row>
        <row r="2677">
          <cell r="O2677">
            <v>0.76</v>
          </cell>
          <cell r="R2677">
            <v>0</v>
          </cell>
          <cell r="X2677">
            <v>0</v>
          </cell>
          <cell r="Y2677">
            <v>0</v>
          </cell>
          <cell r="AW2677">
            <v>1</v>
          </cell>
          <cell r="BC2677">
            <v>10.82</v>
          </cell>
        </row>
        <row r="2678">
          <cell r="F2678" t="str">
            <v>3.70-55-8</v>
          </cell>
          <cell r="H2678" t="str">
            <v>100 м2</v>
          </cell>
          <cell r="I2678">
            <v>8.3500000000000005E-2</v>
          </cell>
          <cell r="P2678">
            <v>0.98</v>
          </cell>
          <cell r="Q2678">
            <v>15.31</v>
          </cell>
          <cell r="R2678">
            <v>2.16</v>
          </cell>
          <cell r="S2678">
            <v>105.63</v>
          </cell>
          <cell r="U2678">
            <v>6.8714898485999996</v>
          </cell>
          <cell r="X2678">
            <v>90.54</v>
          </cell>
          <cell r="Y2678">
            <v>57.13</v>
          </cell>
          <cell r="AL2678">
            <v>11.79</v>
          </cell>
          <cell r="AM2678">
            <v>112.46</v>
          </cell>
          <cell r="AN2678">
            <v>15.9</v>
          </cell>
          <cell r="AO2678">
            <v>843.28</v>
          </cell>
          <cell r="AQ2678">
            <v>54.86</v>
          </cell>
        </row>
        <row r="2679">
          <cell r="P2679">
            <v>3.87</v>
          </cell>
          <cell r="Q2679">
            <v>253.53</v>
          </cell>
          <cell r="R2679">
            <v>121.72</v>
          </cell>
          <cell r="S2679">
            <v>5952.25</v>
          </cell>
          <cell r="X2679">
            <v>5102.13</v>
          </cell>
          <cell r="Y2679">
            <v>3219.2</v>
          </cell>
          <cell r="AT2679">
            <v>84</v>
          </cell>
          <cell r="AU2679">
            <v>53</v>
          </cell>
          <cell r="AV2679">
            <v>1.087</v>
          </cell>
          <cell r="AW2679">
            <v>1</v>
          </cell>
          <cell r="BA2679">
            <v>56.35</v>
          </cell>
          <cell r="BB2679">
            <v>16.559999999999999</v>
          </cell>
          <cell r="BC2679">
            <v>3.95</v>
          </cell>
          <cell r="BS2679">
            <v>56.35</v>
          </cell>
          <cell r="BZ2679">
            <v>84</v>
          </cell>
          <cell r="CA2679">
            <v>53</v>
          </cell>
        </row>
        <row r="2680">
          <cell r="F2680" t="str">
            <v>3.70-55-10</v>
          </cell>
          <cell r="H2680" t="str">
            <v>100 м2</v>
          </cell>
          <cell r="I2680">
            <v>3.15E-2</v>
          </cell>
          <cell r="P2680">
            <v>1.76</v>
          </cell>
          <cell r="Q2680">
            <v>5.01</v>
          </cell>
          <cell r="R2680">
            <v>0.68</v>
          </cell>
          <cell r="S2680">
            <v>93.97</v>
          </cell>
          <cell r="U2680">
            <v>5.353639137</v>
          </cell>
          <cell r="X2680">
            <v>79.510000000000005</v>
          </cell>
          <cell r="Y2680">
            <v>50.16</v>
          </cell>
          <cell r="AL2680">
            <v>55.75</v>
          </cell>
          <cell r="AM2680">
            <v>97.6</v>
          </cell>
          <cell r="AN2680">
            <v>13.25</v>
          </cell>
          <cell r="AO2680">
            <v>1988.67</v>
          </cell>
          <cell r="AQ2680">
            <v>113.3</v>
          </cell>
        </row>
        <row r="2681">
          <cell r="P2681">
            <v>11.7</v>
          </cell>
          <cell r="Q2681">
            <v>81.56</v>
          </cell>
          <cell r="R2681">
            <v>38.32</v>
          </cell>
          <cell r="S2681">
            <v>5295.21</v>
          </cell>
          <cell r="X2681">
            <v>4480.17</v>
          </cell>
          <cell r="Y2681">
            <v>2826.77</v>
          </cell>
          <cell r="AT2681">
            <v>84</v>
          </cell>
          <cell r="AU2681">
            <v>53</v>
          </cell>
          <cell r="AV2681">
            <v>1.087</v>
          </cell>
          <cell r="AW2681">
            <v>1</v>
          </cell>
          <cell r="BA2681">
            <v>56.35</v>
          </cell>
          <cell r="BB2681">
            <v>16.28</v>
          </cell>
          <cell r="BC2681">
            <v>6.65</v>
          </cell>
          <cell r="BS2681">
            <v>56.35</v>
          </cell>
          <cell r="BZ2681">
            <v>84</v>
          </cell>
          <cell r="CA2681">
            <v>53</v>
          </cell>
        </row>
        <row r="2682">
          <cell r="F2682" t="str">
            <v>КА-179</v>
          </cell>
          <cell r="H2682" t="str">
            <v>м2</v>
          </cell>
          <cell r="I2682">
            <v>11.5</v>
          </cell>
          <cell r="P2682">
            <v>44556.18</v>
          </cell>
          <cell r="R2682">
            <v>0</v>
          </cell>
          <cell r="X2682">
            <v>0</v>
          </cell>
          <cell r="Y2682">
            <v>0</v>
          </cell>
          <cell r="AL2682">
            <v>3874.45</v>
          </cell>
        </row>
        <row r="2683">
          <cell r="P2683">
            <v>248060.3</v>
          </cell>
          <cell r="R2683">
            <v>0</v>
          </cell>
          <cell r="X2683">
            <v>0</v>
          </cell>
          <cell r="Y2683">
            <v>0</v>
          </cell>
          <cell r="AW2683">
            <v>1</v>
          </cell>
          <cell r="BC2683">
            <v>9.84</v>
          </cell>
        </row>
        <row r="2685">
          <cell r="G2685" t="str">
            <v>ДВ-24-П  Витраж учебного кабинета</v>
          </cell>
        </row>
        <row r="2715">
          <cell r="G2715" t="str">
            <v>ДВ-25-П Витраж учебного кабинета (3 шт)</v>
          </cell>
        </row>
        <row r="2719">
          <cell r="F2719" t="str">
            <v>3.70-55-2</v>
          </cell>
          <cell r="H2719" t="str">
            <v>100 м2</v>
          </cell>
          <cell r="I2719">
            <v>0.39300000000000002</v>
          </cell>
          <cell r="P2719">
            <v>619.87</v>
          </cell>
          <cell r="Q2719">
            <v>156.16999999999999</v>
          </cell>
          <cell r="R2719">
            <v>18.12</v>
          </cell>
          <cell r="S2719">
            <v>1743.89</v>
          </cell>
          <cell r="U2719">
            <v>108.33674829659999</v>
          </cell>
          <cell r="X2719">
            <v>1480.09</v>
          </cell>
          <cell r="Y2719">
            <v>933.87</v>
          </cell>
          <cell r="AL2719">
            <v>1577.27</v>
          </cell>
          <cell r="AM2719">
            <v>243.71</v>
          </cell>
          <cell r="AN2719">
            <v>28.27</v>
          </cell>
          <cell r="AO2719">
            <v>2958.13</v>
          </cell>
          <cell r="AQ2719">
            <v>183.77</v>
          </cell>
        </row>
        <row r="2720">
          <cell r="P2720">
            <v>2888.59</v>
          </cell>
          <cell r="Q2720">
            <v>2409.6999999999998</v>
          </cell>
          <cell r="R2720">
            <v>1021.06</v>
          </cell>
          <cell r="S2720">
            <v>98268.2</v>
          </cell>
          <cell r="X2720">
            <v>83402.98</v>
          </cell>
          <cell r="Y2720">
            <v>52623.31</v>
          </cell>
          <cell r="AT2720">
            <v>84</v>
          </cell>
          <cell r="AU2720">
            <v>53</v>
          </cell>
          <cell r="AV2720">
            <v>1.087</v>
          </cell>
          <cell r="AW2720">
            <v>1</v>
          </cell>
          <cell r="BA2720">
            <v>56.35</v>
          </cell>
          <cell r="BB2720">
            <v>15.43</v>
          </cell>
          <cell r="BC2720">
            <v>4.66</v>
          </cell>
          <cell r="BS2720">
            <v>56.35</v>
          </cell>
          <cell r="BZ2720">
            <v>84</v>
          </cell>
          <cell r="CA2720">
            <v>53</v>
          </cell>
        </row>
        <row r="2721">
          <cell r="F2721" t="str">
            <v>1.7-1-105</v>
          </cell>
          <cell r="H2721" t="str">
            <v>м</v>
          </cell>
          <cell r="I2721">
            <v>1.5876999999999999E-2</v>
          </cell>
          <cell r="O2721">
            <v>0.25</v>
          </cell>
          <cell r="R2721">
            <v>0</v>
          </cell>
          <cell r="X2721">
            <v>0</v>
          </cell>
          <cell r="Y2721">
            <v>0</v>
          </cell>
          <cell r="AK2721">
            <v>15.96</v>
          </cell>
        </row>
        <row r="2722">
          <cell r="O2722">
            <v>2.71</v>
          </cell>
          <cell r="R2722">
            <v>0</v>
          </cell>
          <cell r="X2722">
            <v>0</v>
          </cell>
          <cell r="Y2722">
            <v>0</v>
          </cell>
          <cell r="AW2722">
            <v>1</v>
          </cell>
          <cell r="BC2722">
            <v>10.82</v>
          </cell>
        </row>
        <row r="2723">
          <cell r="F2723" t="str">
            <v>3.70-55-8</v>
          </cell>
          <cell r="H2723" t="str">
            <v>100 м2</v>
          </cell>
          <cell r="I2723">
            <v>0.29849999999999999</v>
          </cell>
          <cell r="P2723">
            <v>3.52</v>
          </cell>
          <cell r="Q2723">
            <v>54.73</v>
          </cell>
          <cell r="R2723">
            <v>7.74</v>
          </cell>
          <cell r="S2723">
            <v>377.59</v>
          </cell>
          <cell r="U2723">
            <v>24.564547542599996</v>
          </cell>
          <cell r="X2723">
            <v>323.68</v>
          </cell>
          <cell r="Y2723">
            <v>204.22</v>
          </cell>
          <cell r="AL2723">
            <v>11.79</v>
          </cell>
          <cell r="AM2723">
            <v>112.46</v>
          </cell>
          <cell r="AN2723">
            <v>15.9</v>
          </cell>
          <cell r="AO2723">
            <v>843.28</v>
          </cell>
          <cell r="AQ2723">
            <v>54.86</v>
          </cell>
        </row>
        <row r="2724">
          <cell r="P2724">
            <v>13.9</v>
          </cell>
          <cell r="Q2724">
            <v>906.33</v>
          </cell>
          <cell r="R2724">
            <v>436.15</v>
          </cell>
          <cell r="S2724">
            <v>21277.200000000001</v>
          </cell>
          <cell r="X2724">
            <v>18239.21</v>
          </cell>
          <cell r="Y2724">
            <v>11508.08</v>
          </cell>
          <cell r="AT2724">
            <v>84</v>
          </cell>
          <cell r="AU2724">
            <v>53</v>
          </cell>
          <cell r="AV2724">
            <v>1.087</v>
          </cell>
          <cell r="AW2724">
            <v>1</v>
          </cell>
          <cell r="BA2724">
            <v>56.35</v>
          </cell>
          <cell r="BB2724">
            <v>16.559999999999999</v>
          </cell>
          <cell r="BC2724">
            <v>3.95</v>
          </cell>
          <cell r="BS2724">
            <v>56.35</v>
          </cell>
          <cell r="BZ2724">
            <v>84</v>
          </cell>
          <cell r="CA2724">
            <v>53</v>
          </cell>
        </row>
        <row r="2725">
          <cell r="F2725" t="str">
            <v>3.70-55-10</v>
          </cell>
          <cell r="H2725" t="str">
            <v>100 м2</v>
          </cell>
          <cell r="I2725">
            <v>9.4500000000000001E-2</v>
          </cell>
          <cell r="P2725">
            <v>5.27</v>
          </cell>
          <cell r="Q2725">
            <v>15.04</v>
          </cell>
          <cell r="R2725">
            <v>2.04</v>
          </cell>
          <cell r="S2725">
            <v>281.91000000000003</v>
          </cell>
          <cell r="U2725">
            <v>16.060917410999998</v>
          </cell>
          <cell r="X2725">
            <v>238.52</v>
          </cell>
          <cell r="Y2725">
            <v>150.49</v>
          </cell>
          <cell r="AL2725">
            <v>55.75</v>
          </cell>
          <cell r="AM2725">
            <v>97.6</v>
          </cell>
          <cell r="AN2725">
            <v>13.25</v>
          </cell>
          <cell r="AO2725">
            <v>1988.67</v>
          </cell>
          <cell r="AQ2725">
            <v>113.3</v>
          </cell>
        </row>
        <row r="2726">
          <cell r="P2726">
            <v>35.049999999999997</v>
          </cell>
          <cell r="Q2726">
            <v>244.85</v>
          </cell>
          <cell r="R2726">
            <v>114.95</v>
          </cell>
          <cell r="S2726">
            <v>15885.63</v>
          </cell>
          <cell r="X2726">
            <v>13440.49</v>
          </cell>
          <cell r="Y2726">
            <v>8480.31</v>
          </cell>
          <cell r="AT2726">
            <v>84</v>
          </cell>
          <cell r="AU2726">
            <v>53</v>
          </cell>
          <cell r="AV2726">
            <v>1.087</v>
          </cell>
          <cell r="AW2726">
            <v>1</v>
          </cell>
          <cell r="BA2726">
            <v>56.35</v>
          </cell>
          <cell r="BB2726">
            <v>16.28</v>
          </cell>
          <cell r="BC2726">
            <v>6.65</v>
          </cell>
          <cell r="BS2726">
            <v>56.35</v>
          </cell>
          <cell r="BZ2726">
            <v>84</v>
          </cell>
          <cell r="CA2726">
            <v>53</v>
          </cell>
        </row>
        <row r="2727">
          <cell r="F2727" t="str">
            <v>КА-179</v>
          </cell>
          <cell r="H2727" t="str">
            <v>м2</v>
          </cell>
          <cell r="I2727">
            <v>39.299999999999997</v>
          </cell>
          <cell r="P2727">
            <v>152265.89000000001</v>
          </cell>
          <cell r="R2727">
            <v>0</v>
          </cell>
          <cell r="X2727">
            <v>0</v>
          </cell>
          <cell r="Y2727">
            <v>0</v>
          </cell>
          <cell r="AL2727">
            <v>3874.45</v>
          </cell>
        </row>
        <row r="2728">
          <cell r="P2728">
            <v>847719.15</v>
          </cell>
          <cell r="R2728">
            <v>0</v>
          </cell>
          <cell r="X2728">
            <v>0</v>
          </cell>
          <cell r="Y2728">
            <v>0</v>
          </cell>
          <cell r="AW2728">
            <v>1</v>
          </cell>
          <cell r="BC2728">
            <v>9.84</v>
          </cell>
        </row>
        <row r="2730">
          <cell r="G2730" t="str">
            <v>ДВ-25-П Витраж учебного кабинета (3 шт)</v>
          </cell>
        </row>
        <row r="2760">
          <cell r="G2760" t="str">
            <v>ДВ-26-Л Витраж учебного кабинета</v>
          </cell>
        </row>
        <row r="2764">
          <cell r="F2764" t="str">
            <v>3.70-55-2</v>
          </cell>
          <cell r="H2764" t="str">
            <v>100 м2</v>
          </cell>
          <cell r="I2764">
            <v>0.15</v>
          </cell>
          <cell r="P2764">
            <v>236.59</v>
          </cell>
          <cell r="Q2764">
            <v>59.61</v>
          </cell>
          <cell r="R2764">
            <v>6.91</v>
          </cell>
          <cell r="S2764">
            <v>665.61</v>
          </cell>
          <cell r="U2764">
            <v>41.349903929999996</v>
          </cell>
          <cell r="X2764">
            <v>564.91999999999996</v>
          </cell>
          <cell r="Y2764">
            <v>356.44</v>
          </cell>
          <cell r="AL2764">
            <v>1577.27</v>
          </cell>
          <cell r="AM2764">
            <v>243.71</v>
          </cell>
          <cell r="AN2764">
            <v>28.27</v>
          </cell>
          <cell r="AO2764">
            <v>2958.13</v>
          </cell>
          <cell r="AQ2764">
            <v>183.77</v>
          </cell>
        </row>
        <row r="2765">
          <cell r="P2765">
            <v>1102.51</v>
          </cell>
          <cell r="Q2765">
            <v>919.78</v>
          </cell>
          <cell r="R2765">
            <v>389.38</v>
          </cell>
          <cell r="S2765">
            <v>37507.120000000003</v>
          </cell>
          <cell r="X2765">
            <v>31833.06</v>
          </cell>
          <cell r="Y2765">
            <v>20085.150000000001</v>
          </cell>
          <cell r="AT2765">
            <v>84</v>
          </cell>
          <cell r="AU2765">
            <v>53</v>
          </cell>
          <cell r="AV2765">
            <v>1.087</v>
          </cell>
          <cell r="AW2765">
            <v>1</v>
          </cell>
          <cell r="BA2765">
            <v>56.35</v>
          </cell>
          <cell r="BB2765">
            <v>15.43</v>
          </cell>
          <cell r="BC2765">
            <v>4.66</v>
          </cell>
          <cell r="BS2765">
            <v>56.35</v>
          </cell>
          <cell r="BZ2765">
            <v>84</v>
          </cell>
          <cell r="CA2765">
            <v>53</v>
          </cell>
        </row>
        <row r="2766">
          <cell r="F2766" t="str">
            <v>1.7-1-105</v>
          </cell>
          <cell r="H2766" t="str">
            <v>м</v>
          </cell>
          <cell r="I2766">
            <v>6.0600000000000003E-3</v>
          </cell>
          <cell r="O2766">
            <v>0.1</v>
          </cell>
          <cell r="R2766">
            <v>0</v>
          </cell>
          <cell r="X2766">
            <v>0</v>
          </cell>
          <cell r="Y2766">
            <v>0</v>
          </cell>
          <cell r="AK2766">
            <v>15.96</v>
          </cell>
        </row>
        <row r="2767">
          <cell r="O2767">
            <v>1.08</v>
          </cell>
          <cell r="R2767">
            <v>0</v>
          </cell>
          <cell r="X2767">
            <v>0</v>
          </cell>
          <cell r="Y2767">
            <v>0</v>
          </cell>
          <cell r="AW2767">
            <v>1</v>
          </cell>
          <cell r="BC2767">
            <v>10.82</v>
          </cell>
        </row>
        <row r="2768">
          <cell r="F2768" t="str">
            <v>3.70-55-8</v>
          </cell>
          <cell r="H2768" t="str">
            <v>100 м2</v>
          </cell>
          <cell r="I2768">
            <v>0.11849999999999999</v>
          </cell>
          <cell r="P2768">
            <v>1.4</v>
          </cell>
          <cell r="Q2768">
            <v>21.73</v>
          </cell>
          <cell r="R2768">
            <v>3.07</v>
          </cell>
          <cell r="S2768">
            <v>149.9</v>
          </cell>
          <cell r="U2768">
            <v>9.7517550545999985</v>
          </cell>
          <cell r="X2768">
            <v>128.49</v>
          </cell>
          <cell r="Y2768">
            <v>81.069999999999993</v>
          </cell>
          <cell r="AL2768">
            <v>11.79</v>
          </cell>
          <cell r="AM2768">
            <v>112.46</v>
          </cell>
          <cell r="AN2768">
            <v>15.9</v>
          </cell>
          <cell r="AO2768">
            <v>843.28</v>
          </cell>
          <cell r="AQ2768">
            <v>54.86</v>
          </cell>
        </row>
        <row r="2769">
          <cell r="P2769">
            <v>5.53</v>
          </cell>
          <cell r="Q2769">
            <v>359.85</v>
          </cell>
          <cell r="R2769">
            <v>172.99</v>
          </cell>
          <cell r="S2769">
            <v>8446.8700000000008</v>
          </cell>
          <cell r="X2769">
            <v>7240.68</v>
          </cell>
          <cell r="Y2769">
            <v>4568.53</v>
          </cell>
          <cell r="AT2769">
            <v>84</v>
          </cell>
          <cell r="AU2769">
            <v>53</v>
          </cell>
          <cell r="AV2769">
            <v>1.087</v>
          </cell>
          <cell r="AW2769">
            <v>1</v>
          </cell>
          <cell r="BA2769">
            <v>56.35</v>
          </cell>
          <cell r="BB2769">
            <v>16.559999999999999</v>
          </cell>
          <cell r="BC2769">
            <v>3.95</v>
          </cell>
          <cell r="BS2769">
            <v>56.35</v>
          </cell>
          <cell r="BZ2769">
            <v>84</v>
          </cell>
          <cell r="CA2769">
            <v>53</v>
          </cell>
        </row>
        <row r="2770">
          <cell r="F2770" t="str">
            <v>3.70-55-10</v>
          </cell>
          <cell r="H2770" t="str">
            <v>100 м2</v>
          </cell>
          <cell r="I2770">
            <v>3.15E-2</v>
          </cell>
          <cell r="P2770">
            <v>1.76</v>
          </cell>
          <cell r="Q2770">
            <v>5.01</v>
          </cell>
          <cell r="R2770">
            <v>0.68</v>
          </cell>
          <cell r="S2770">
            <v>93.97</v>
          </cell>
          <cell r="U2770">
            <v>5.353639137</v>
          </cell>
          <cell r="X2770">
            <v>79.510000000000005</v>
          </cell>
          <cell r="Y2770">
            <v>50.16</v>
          </cell>
          <cell r="AL2770">
            <v>55.75</v>
          </cell>
          <cell r="AM2770">
            <v>97.6</v>
          </cell>
          <cell r="AN2770">
            <v>13.25</v>
          </cell>
          <cell r="AO2770">
            <v>1988.67</v>
          </cell>
          <cell r="AQ2770">
            <v>113.3</v>
          </cell>
        </row>
        <row r="2771">
          <cell r="P2771">
            <v>11.7</v>
          </cell>
          <cell r="Q2771">
            <v>81.56</v>
          </cell>
          <cell r="R2771">
            <v>38.32</v>
          </cell>
          <cell r="S2771">
            <v>5295.21</v>
          </cell>
          <cell r="X2771">
            <v>4480.17</v>
          </cell>
          <cell r="Y2771">
            <v>2826.77</v>
          </cell>
          <cell r="AT2771">
            <v>84</v>
          </cell>
          <cell r="AU2771">
            <v>53</v>
          </cell>
          <cell r="AV2771">
            <v>1.087</v>
          </cell>
          <cell r="AW2771">
            <v>1</v>
          </cell>
          <cell r="BA2771">
            <v>56.35</v>
          </cell>
          <cell r="BB2771">
            <v>16.28</v>
          </cell>
          <cell r="BC2771">
            <v>6.65</v>
          </cell>
          <cell r="BS2771">
            <v>56.35</v>
          </cell>
          <cell r="BZ2771">
            <v>84</v>
          </cell>
          <cell r="CA2771">
            <v>53</v>
          </cell>
        </row>
        <row r="2772">
          <cell r="F2772" t="str">
            <v>КА-179</v>
          </cell>
          <cell r="H2772" t="str">
            <v>м2</v>
          </cell>
          <cell r="I2772">
            <v>15</v>
          </cell>
          <cell r="P2772">
            <v>58116.75</v>
          </cell>
          <cell r="R2772">
            <v>0</v>
          </cell>
          <cell r="X2772">
            <v>0</v>
          </cell>
          <cell r="Y2772">
            <v>0</v>
          </cell>
          <cell r="AL2772">
            <v>3874.45</v>
          </cell>
        </row>
        <row r="2773">
          <cell r="P2773">
            <v>323556.90999999997</v>
          </cell>
          <cell r="R2773">
            <v>0</v>
          </cell>
          <cell r="X2773">
            <v>0</v>
          </cell>
          <cell r="Y2773">
            <v>0</v>
          </cell>
          <cell r="AW2773">
            <v>1</v>
          </cell>
          <cell r="BC2773">
            <v>9.84</v>
          </cell>
        </row>
        <row r="2775">
          <cell r="G2775" t="str">
            <v>ДВ-26-Л Витраж учебного кабинета</v>
          </cell>
        </row>
        <row r="2805">
          <cell r="G2805" t="str">
            <v>ДВ-27-П Витраж учебного кабинета, 4 шт</v>
          </cell>
        </row>
        <row r="2809">
          <cell r="F2809" t="str">
            <v>3.70-55-2</v>
          </cell>
          <cell r="H2809" t="str">
            <v>100 м2</v>
          </cell>
          <cell r="I2809">
            <v>0.59899999999999998</v>
          </cell>
          <cell r="P2809">
            <v>944.78</v>
          </cell>
          <cell r="Q2809">
            <v>238.02</v>
          </cell>
          <cell r="R2809">
            <v>27.61</v>
          </cell>
          <cell r="S2809">
            <v>2657.99</v>
          </cell>
          <cell r="U2809">
            <v>165.12394969379997</v>
          </cell>
          <cell r="X2809">
            <v>2255.9</v>
          </cell>
          <cell r="Y2809">
            <v>1423.37</v>
          </cell>
          <cell r="AL2809">
            <v>1577.27</v>
          </cell>
          <cell r="AM2809">
            <v>243.71</v>
          </cell>
          <cell r="AN2809">
            <v>28.27</v>
          </cell>
          <cell r="AO2809">
            <v>2958.13</v>
          </cell>
          <cell r="AQ2809">
            <v>183.77</v>
          </cell>
        </row>
        <row r="2810">
          <cell r="P2810">
            <v>4402.67</v>
          </cell>
          <cell r="Q2810">
            <v>3672.65</v>
          </cell>
          <cell r="R2810">
            <v>1555.82</v>
          </cell>
          <cell r="S2810">
            <v>149777.74</v>
          </cell>
          <cell r="X2810">
            <v>127120.19</v>
          </cell>
          <cell r="Y2810">
            <v>80206.789999999994</v>
          </cell>
          <cell r="AT2810">
            <v>84</v>
          </cell>
          <cell r="AU2810">
            <v>53</v>
          </cell>
          <cell r="AV2810">
            <v>1.087</v>
          </cell>
          <cell r="AW2810">
            <v>1</v>
          </cell>
          <cell r="BA2810">
            <v>56.35</v>
          </cell>
          <cell r="BB2810">
            <v>15.43</v>
          </cell>
          <cell r="BC2810">
            <v>4.66</v>
          </cell>
          <cell r="BS2810">
            <v>56.35</v>
          </cell>
          <cell r="BZ2810">
            <v>84</v>
          </cell>
          <cell r="CA2810">
            <v>53</v>
          </cell>
        </row>
        <row r="2811">
          <cell r="F2811" t="str">
            <v>1.7-1-105</v>
          </cell>
          <cell r="H2811" t="str">
            <v>м</v>
          </cell>
          <cell r="I2811">
            <v>2.4199999999999999E-2</v>
          </cell>
          <cell r="O2811">
            <v>0.39</v>
          </cell>
          <cell r="R2811">
            <v>0</v>
          </cell>
          <cell r="X2811">
            <v>0</v>
          </cell>
          <cell r="Y2811">
            <v>0</v>
          </cell>
          <cell r="AK2811">
            <v>15.96</v>
          </cell>
        </row>
        <row r="2812">
          <cell r="O2812">
            <v>4.22</v>
          </cell>
          <cell r="R2812">
            <v>0</v>
          </cell>
          <cell r="X2812">
            <v>0</v>
          </cell>
          <cell r="Y2812">
            <v>0</v>
          </cell>
          <cell r="AW2812">
            <v>1</v>
          </cell>
          <cell r="BC2812">
            <v>10.82</v>
          </cell>
        </row>
        <row r="2813">
          <cell r="F2813" t="str">
            <v>3.70-55-8</v>
          </cell>
          <cell r="H2813" t="str">
            <v>100 м2</v>
          </cell>
          <cell r="I2813">
            <v>0.47299999999999998</v>
          </cell>
          <cell r="P2813">
            <v>5.58</v>
          </cell>
          <cell r="Q2813">
            <v>86.73</v>
          </cell>
          <cell r="R2813">
            <v>12.26</v>
          </cell>
          <cell r="S2813">
            <v>598.33000000000004</v>
          </cell>
          <cell r="U2813">
            <v>38.924726926799991</v>
          </cell>
          <cell r="X2813">
            <v>512.9</v>
          </cell>
          <cell r="Y2813">
            <v>323.61</v>
          </cell>
          <cell r="AL2813">
            <v>11.79</v>
          </cell>
          <cell r="AM2813">
            <v>112.46</v>
          </cell>
          <cell r="AN2813">
            <v>15.9</v>
          </cell>
          <cell r="AO2813">
            <v>843.28</v>
          </cell>
          <cell r="AQ2813">
            <v>54.86</v>
          </cell>
        </row>
        <row r="2814">
          <cell r="P2814">
            <v>22.04</v>
          </cell>
          <cell r="Q2814">
            <v>1436.25</v>
          </cell>
          <cell r="R2814">
            <v>690.85</v>
          </cell>
          <cell r="S2814">
            <v>33715.9</v>
          </cell>
          <cell r="X2814">
            <v>28901.67</v>
          </cell>
          <cell r="Y2814">
            <v>18235.580000000002</v>
          </cell>
          <cell r="AT2814">
            <v>84</v>
          </cell>
          <cell r="AU2814">
            <v>53</v>
          </cell>
          <cell r="AV2814">
            <v>1.087</v>
          </cell>
          <cell r="AW2814">
            <v>1</v>
          </cell>
          <cell r="BA2814">
            <v>56.35</v>
          </cell>
          <cell r="BB2814">
            <v>16.559999999999999</v>
          </cell>
          <cell r="BC2814">
            <v>3.95</v>
          </cell>
          <cell r="BS2814">
            <v>56.35</v>
          </cell>
          <cell r="BZ2814">
            <v>84</v>
          </cell>
          <cell r="CA2814">
            <v>53</v>
          </cell>
        </row>
        <row r="2815">
          <cell r="F2815" t="str">
            <v>3.70-55-10</v>
          </cell>
          <cell r="H2815" t="str">
            <v>100 м2</v>
          </cell>
          <cell r="I2815">
            <v>0.126</v>
          </cell>
          <cell r="P2815">
            <v>7.02</v>
          </cell>
          <cell r="Q2815">
            <v>20.05</v>
          </cell>
          <cell r="R2815">
            <v>2.72</v>
          </cell>
          <cell r="S2815">
            <v>375.87</v>
          </cell>
          <cell r="U2815">
            <v>21.414556548</v>
          </cell>
          <cell r="X2815">
            <v>318.02</v>
          </cell>
          <cell r="Y2815">
            <v>200.65</v>
          </cell>
          <cell r="AL2815">
            <v>55.75</v>
          </cell>
          <cell r="AM2815">
            <v>97.6</v>
          </cell>
          <cell r="AN2815">
            <v>13.25</v>
          </cell>
          <cell r="AO2815">
            <v>1988.67</v>
          </cell>
          <cell r="AQ2815">
            <v>113.3</v>
          </cell>
        </row>
        <row r="2816">
          <cell r="P2816">
            <v>46.68</v>
          </cell>
          <cell r="Q2816">
            <v>326.41000000000003</v>
          </cell>
          <cell r="R2816">
            <v>153.27000000000001</v>
          </cell>
          <cell r="S2816">
            <v>21180.27</v>
          </cell>
          <cell r="X2816">
            <v>17920.169999999998</v>
          </cell>
          <cell r="Y2816">
            <v>11306.78</v>
          </cell>
          <cell r="AT2816">
            <v>84</v>
          </cell>
          <cell r="AU2816">
            <v>53</v>
          </cell>
          <cell r="AV2816">
            <v>1.087</v>
          </cell>
          <cell r="AW2816">
            <v>1</v>
          </cell>
          <cell r="BA2816">
            <v>56.35</v>
          </cell>
          <cell r="BB2816">
            <v>16.28</v>
          </cell>
          <cell r="BC2816">
            <v>6.65</v>
          </cell>
          <cell r="BS2816">
            <v>56.35</v>
          </cell>
          <cell r="BZ2816">
            <v>84</v>
          </cell>
          <cell r="CA2816">
            <v>53</v>
          </cell>
        </row>
        <row r="2817">
          <cell r="F2817" t="str">
            <v>КА-179</v>
          </cell>
          <cell r="H2817" t="str">
            <v>м2</v>
          </cell>
          <cell r="I2817">
            <v>59.9</v>
          </cell>
          <cell r="P2817">
            <v>232079.56</v>
          </cell>
          <cell r="R2817">
            <v>0</v>
          </cell>
          <cell r="X2817">
            <v>0</v>
          </cell>
          <cell r="Y2817">
            <v>0</v>
          </cell>
          <cell r="AL2817">
            <v>3874.45</v>
          </cell>
        </row>
        <row r="2818">
          <cell r="P2818">
            <v>1292070.6200000001</v>
          </cell>
          <cell r="R2818">
            <v>0</v>
          </cell>
          <cell r="X2818">
            <v>0</v>
          </cell>
          <cell r="Y2818">
            <v>0</v>
          </cell>
          <cell r="AW2818">
            <v>1</v>
          </cell>
          <cell r="BC2818">
            <v>9.84</v>
          </cell>
        </row>
        <row r="2820">
          <cell r="G2820" t="str">
            <v>ДВ-27-П Витраж учебного кабинета, 4 шт</v>
          </cell>
        </row>
        <row r="2850">
          <cell r="G2850" t="str">
            <v>ДВ-28л-Л Витраж разделяющий коридор</v>
          </cell>
        </row>
        <row r="2854">
          <cell r="F2854" t="str">
            <v>3.70-55-2</v>
          </cell>
          <cell r="H2854" t="str">
            <v>100 м2</v>
          </cell>
          <cell r="I2854">
            <v>0.152</v>
          </cell>
          <cell r="P2854">
            <v>239.75</v>
          </cell>
          <cell r="Q2854">
            <v>60.4</v>
          </cell>
          <cell r="R2854">
            <v>7.01</v>
          </cell>
          <cell r="S2854">
            <v>674.48</v>
          </cell>
          <cell r="U2854">
            <v>41.901235982399996</v>
          </cell>
          <cell r="X2854">
            <v>572.45000000000005</v>
          </cell>
          <cell r="Y2854">
            <v>361.19</v>
          </cell>
          <cell r="AL2854">
            <v>1577.27</v>
          </cell>
          <cell r="AM2854">
            <v>243.71</v>
          </cell>
          <cell r="AN2854">
            <v>28.27</v>
          </cell>
          <cell r="AO2854">
            <v>2958.13</v>
          </cell>
          <cell r="AQ2854">
            <v>183.77</v>
          </cell>
        </row>
        <row r="2855">
          <cell r="P2855">
            <v>1117.24</v>
          </cell>
          <cell r="Q2855">
            <v>931.97</v>
          </cell>
          <cell r="R2855">
            <v>395.01</v>
          </cell>
          <cell r="S2855">
            <v>38006.949999999997</v>
          </cell>
          <cell r="X2855">
            <v>32257.65</v>
          </cell>
          <cell r="Y2855">
            <v>20353.04</v>
          </cell>
          <cell r="AT2855">
            <v>84</v>
          </cell>
          <cell r="AU2855">
            <v>53</v>
          </cell>
          <cell r="AV2855">
            <v>1.087</v>
          </cell>
          <cell r="AW2855">
            <v>1</v>
          </cell>
          <cell r="BA2855">
            <v>56.35</v>
          </cell>
          <cell r="BB2855">
            <v>15.43</v>
          </cell>
          <cell r="BC2855">
            <v>4.66</v>
          </cell>
          <cell r="BS2855">
            <v>56.35</v>
          </cell>
          <cell r="BZ2855">
            <v>84</v>
          </cell>
          <cell r="CA2855">
            <v>53</v>
          </cell>
        </row>
        <row r="2856">
          <cell r="F2856" t="str">
            <v>1.7-1-105</v>
          </cell>
          <cell r="H2856" t="str">
            <v>м</v>
          </cell>
          <cell r="I2856">
            <v>6.1409999999999998E-3</v>
          </cell>
          <cell r="O2856">
            <v>0.1</v>
          </cell>
          <cell r="R2856">
            <v>0</v>
          </cell>
          <cell r="X2856">
            <v>0</v>
          </cell>
          <cell r="Y2856">
            <v>0</v>
          </cell>
          <cell r="AK2856">
            <v>15.96</v>
          </cell>
        </row>
        <row r="2857">
          <cell r="O2857">
            <v>1.08</v>
          </cell>
          <cell r="R2857">
            <v>0</v>
          </cell>
          <cell r="X2857">
            <v>0</v>
          </cell>
          <cell r="Y2857">
            <v>0</v>
          </cell>
          <cell r="AW2857">
            <v>1</v>
          </cell>
          <cell r="BC2857">
            <v>10.82</v>
          </cell>
        </row>
        <row r="2858">
          <cell r="F2858" t="str">
            <v>3.70-55-8</v>
          </cell>
          <cell r="H2858" t="str">
            <v>100 м2</v>
          </cell>
          <cell r="I2858">
            <v>0.1205</v>
          </cell>
          <cell r="P2858">
            <v>1.42</v>
          </cell>
          <cell r="Q2858">
            <v>22.1</v>
          </cell>
          <cell r="R2858">
            <v>3.12</v>
          </cell>
          <cell r="S2858">
            <v>152.43</v>
          </cell>
          <cell r="U2858">
            <v>9.9163416377999987</v>
          </cell>
          <cell r="X2858">
            <v>130.66</v>
          </cell>
          <cell r="Y2858">
            <v>82.44</v>
          </cell>
          <cell r="AL2858">
            <v>11.79</v>
          </cell>
          <cell r="AM2858">
            <v>112.46</v>
          </cell>
          <cell r="AN2858">
            <v>15.9</v>
          </cell>
          <cell r="AO2858">
            <v>843.28</v>
          </cell>
          <cell r="AQ2858">
            <v>54.86</v>
          </cell>
        </row>
        <row r="2859">
          <cell r="P2859">
            <v>5.61</v>
          </cell>
          <cell r="Q2859">
            <v>365.98</v>
          </cell>
          <cell r="R2859">
            <v>175.81</v>
          </cell>
          <cell r="S2859">
            <v>8589.43</v>
          </cell>
          <cell r="X2859">
            <v>7362.8</v>
          </cell>
          <cell r="Y2859">
            <v>4645.58</v>
          </cell>
          <cell r="AT2859">
            <v>84</v>
          </cell>
          <cell r="AU2859">
            <v>53</v>
          </cell>
          <cell r="AV2859">
            <v>1.087</v>
          </cell>
          <cell r="AW2859">
            <v>1</v>
          </cell>
          <cell r="BA2859">
            <v>56.35</v>
          </cell>
          <cell r="BB2859">
            <v>16.559999999999999</v>
          </cell>
          <cell r="BC2859">
            <v>3.95</v>
          </cell>
          <cell r="BS2859">
            <v>56.35</v>
          </cell>
          <cell r="BZ2859">
            <v>84</v>
          </cell>
          <cell r="CA2859">
            <v>53</v>
          </cell>
        </row>
        <row r="2860">
          <cell r="F2860" t="str">
            <v>3.70-55-10</v>
          </cell>
          <cell r="H2860" t="str">
            <v>100 м2</v>
          </cell>
          <cell r="I2860">
            <v>3.15E-2</v>
          </cell>
          <cell r="P2860">
            <v>1.76</v>
          </cell>
          <cell r="Q2860">
            <v>5.01</v>
          </cell>
          <cell r="R2860">
            <v>0.68</v>
          </cell>
          <cell r="S2860">
            <v>93.97</v>
          </cell>
          <cell r="U2860">
            <v>5.353639137</v>
          </cell>
          <cell r="X2860">
            <v>79.510000000000005</v>
          </cell>
          <cell r="Y2860">
            <v>50.16</v>
          </cell>
          <cell r="AL2860">
            <v>55.75</v>
          </cell>
          <cell r="AM2860">
            <v>97.6</v>
          </cell>
          <cell r="AN2860">
            <v>13.25</v>
          </cell>
          <cell r="AO2860">
            <v>1988.67</v>
          </cell>
          <cell r="AQ2860">
            <v>113.3</v>
          </cell>
        </row>
        <row r="2861">
          <cell r="P2861">
            <v>11.7</v>
          </cell>
          <cell r="Q2861">
            <v>81.56</v>
          </cell>
          <cell r="R2861">
            <v>38.32</v>
          </cell>
          <cell r="S2861">
            <v>5295.21</v>
          </cell>
          <cell r="X2861">
            <v>4480.17</v>
          </cell>
          <cell r="Y2861">
            <v>2826.77</v>
          </cell>
          <cell r="AT2861">
            <v>84</v>
          </cell>
          <cell r="AU2861">
            <v>53</v>
          </cell>
          <cell r="AV2861">
            <v>1.087</v>
          </cell>
          <cell r="AW2861">
            <v>1</v>
          </cell>
          <cell r="BA2861">
            <v>56.35</v>
          </cell>
          <cell r="BB2861">
            <v>16.28</v>
          </cell>
          <cell r="BC2861">
            <v>6.65</v>
          </cell>
          <cell r="BS2861">
            <v>56.35</v>
          </cell>
          <cell r="BZ2861">
            <v>84</v>
          </cell>
          <cell r="CA2861">
            <v>53</v>
          </cell>
        </row>
        <row r="2862">
          <cell r="F2862" t="str">
            <v>КА-179</v>
          </cell>
          <cell r="H2862" t="str">
            <v>м2</v>
          </cell>
          <cell r="I2862">
            <v>15.2</v>
          </cell>
          <cell r="P2862">
            <v>58891.64</v>
          </cell>
          <cell r="R2862">
            <v>0</v>
          </cell>
          <cell r="X2862">
            <v>0</v>
          </cell>
          <cell r="Y2862">
            <v>0</v>
          </cell>
          <cell r="AL2862">
            <v>3874.45</v>
          </cell>
        </row>
        <row r="2863">
          <cell r="P2863">
            <v>327870.96000000002</v>
          </cell>
          <cell r="R2863">
            <v>0</v>
          </cell>
          <cell r="X2863">
            <v>0</v>
          </cell>
          <cell r="Y2863">
            <v>0</v>
          </cell>
          <cell r="AW2863">
            <v>1</v>
          </cell>
          <cell r="BC2863">
            <v>9.84</v>
          </cell>
        </row>
        <row r="2865">
          <cell r="G2865" t="str">
            <v>ДВ-28л-Л Витраж разделяющий коридор</v>
          </cell>
        </row>
        <row r="2895">
          <cell r="G2895" t="str">
            <v>вв-1 Витраж тамбура</v>
          </cell>
        </row>
        <row r="2899">
          <cell r="F2899" t="str">
            <v>3.70-55-2</v>
          </cell>
          <cell r="H2899" t="str">
            <v>100 м2</v>
          </cell>
          <cell r="I2899">
            <v>0.252</v>
          </cell>
          <cell r="P2899">
            <v>397.47</v>
          </cell>
          <cell r="Q2899">
            <v>100.14</v>
          </cell>
          <cell r="R2899">
            <v>11.62</v>
          </cell>
          <cell r="S2899">
            <v>1118.22</v>
          </cell>
          <cell r="U2899">
            <v>69.467838602399993</v>
          </cell>
          <cell r="X2899">
            <v>949.07</v>
          </cell>
          <cell r="Y2899">
            <v>598.82000000000005</v>
          </cell>
          <cell r="AL2899">
            <v>1577.27</v>
          </cell>
          <cell r="AM2899">
            <v>243.71</v>
          </cell>
          <cell r="AN2899">
            <v>28.27</v>
          </cell>
          <cell r="AO2899">
            <v>2958.13</v>
          </cell>
          <cell r="AQ2899">
            <v>183.77</v>
          </cell>
        </row>
        <row r="2900">
          <cell r="P2900">
            <v>1852.21</v>
          </cell>
          <cell r="Q2900">
            <v>1545.16</v>
          </cell>
          <cell r="R2900">
            <v>654.79</v>
          </cell>
          <cell r="S2900">
            <v>63011.7</v>
          </cell>
          <cell r="X2900">
            <v>53479.85</v>
          </cell>
          <cell r="Y2900">
            <v>33743.24</v>
          </cell>
          <cell r="AT2900">
            <v>84</v>
          </cell>
          <cell r="AU2900">
            <v>53</v>
          </cell>
          <cell r="AV2900">
            <v>1.087</v>
          </cell>
          <cell r="AW2900">
            <v>1</v>
          </cell>
          <cell r="BA2900">
            <v>56.35</v>
          </cell>
          <cell r="BB2900">
            <v>15.43</v>
          </cell>
          <cell r="BC2900">
            <v>4.66</v>
          </cell>
          <cell r="BS2900">
            <v>56.35</v>
          </cell>
          <cell r="BZ2900">
            <v>84</v>
          </cell>
          <cell r="CA2900">
            <v>53</v>
          </cell>
        </row>
        <row r="2901">
          <cell r="F2901" t="str">
            <v>1.7-1-105</v>
          </cell>
          <cell r="H2901" t="str">
            <v>м</v>
          </cell>
          <cell r="I2901">
            <v>1.0181000000000001E-2</v>
          </cell>
          <cell r="O2901">
            <v>0.16</v>
          </cell>
          <cell r="R2901">
            <v>0</v>
          </cell>
          <cell r="X2901">
            <v>0</v>
          </cell>
          <cell r="Y2901">
            <v>0</v>
          </cell>
          <cell r="AK2901">
            <v>15.96</v>
          </cell>
        </row>
        <row r="2902">
          <cell r="O2902">
            <v>1.73</v>
          </cell>
          <cell r="R2902">
            <v>0</v>
          </cell>
          <cell r="X2902">
            <v>0</v>
          </cell>
          <cell r="Y2902">
            <v>0</v>
          </cell>
          <cell r="AW2902">
            <v>1</v>
          </cell>
          <cell r="BC2902">
            <v>10.82</v>
          </cell>
        </row>
        <row r="2903">
          <cell r="F2903" t="str">
            <v>3.70-55-8</v>
          </cell>
          <cell r="H2903" t="str">
            <v>100 м2</v>
          </cell>
          <cell r="I2903">
            <v>0.2205</v>
          </cell>
          <cell r="P2903">
            <v>2.6</v>
          </cell>
          <cell r="Q2903">
            <v>40.43</v>
          </cell>
          <cell r="R2903">
            <v>5.72</v>
          </cell>
          <cell r="S2903">
            <v>278.93</v>
          </cell>
          <cell r="U2903">
            <v>18.145670797799998</v>
          </cell>
          <cell r="X2903">
            <v>239.11</v>
          </cell>
          <cell r="Y2903">
            <v>150.86000000000001</v>
          </cell>
          <cell r="AL2903">
            <v>11.79</v>
          </cell>
          <cell r="AM2903">
            <v>112.46</v>
          </cell>
          <cell r="AN2903">
            <v>15.9</v>
          </cell>
          <cell r="AO2903">
            <v>843.28</v>
          </cell>
          <cell r="AQ2903">
            <v>54.86</v>
          </cell>
        </row>
        <row r="2904">
          <cell r="P2904">
            <v>10.27</v>
          </cell>
          <cell r="Q2904">
            <v>669.52</v>
          </cell>
          <cell r="R2904">
            <v>322.32</v>
          </cell>
          <cell r="S2904">
            <v>15717.71</v>
          </cell>
          <cell r="X2904">
            <v>13473.63</v>
          </cell>
          <cell r="Y2904">
            <v>8501.2199999999993</v>
          </cell>
          <cell r="AT2904">
            <v>84</v>
          </cell>
          <cell r="AU2904">
            <v>53</v>
          </cell>
          <cell r="AV2904">
            <v>1.087</v>
          </cell>
          <cell r="AW2904">
            <v>1</v>
          </cell>
          <cell r="BA2904">
            <v>56.35</v>
          </cell>
          <cell r="BB2904">
            <v>16.559999999999999</v>
          </cell>
          <cell r="BC2904">
            <v>3.95</v>
          </cell>
          <cell r="BS2904">
            <v>56.35</v>
          </cell>
          <cell r="BZ2904">
            <v>84</v>
          </cell>
          <cell r="CA2904">
            <v>53</v>
          </cell>
        </row>
        <row r="2905">
          <cell r="F2905" t="str">
            <v>3.70-55-10</v>
          </cell>
          <cell r="H2905" t="str">
            <v>100 м2</v>
          </cell>
          <cell r="I2905">
            <v>3.15E-2</v>
          </cell>
          <cell r="P2905">
            <v>1.76</v>
          </cell>
          <cell r="Q2905">
            <v>5.01</v>
          </cell>
          <cell r="R2905">
            <v>0.68</v>
          </cell>
          <cell r="S2905">
            <v>93.97</v>
          </cell>
          <cell r="U2905">
            <v>5.353639137</v>
          </cell>
          <cell r="X2905">
            <v>79.510000000000005</v>
          </cell>
          <cell r="Y2905">
            <v>50.16</v>
          </cell>
          <cell r="AL2905">
            <v>55.75</v>
          </cell>
          <cell r="AM2905">
            <v>97.6</v>
          </cell>
          <cell r="AN2905">
            <v>13.25</v>
          </cell>
          <cell r="AO2905">
            <v>1988.67</v>
          </cell>
          <cell r="AQ2905">
            <v>113.3</v>
          </cell>
        </row>
        <row r="2906">
          <cell r="P2906">
            <v>11.7</v>
          </cell>
          <cell r="Q2906">
            <v>81.56</v>
          </cell>
          <cell r="R2906">
            <v>38.32</v>
          </cell>
          <cell r="S2906">
            <v>5295.21</v>
          </cell>
          <cell r="X2906">
            <v>4480.17</v>
          </cell>
          <cell r="Y2906">
            <v>2826.77</v>
          </cell>
          <cell r="AT2906">
            <v>84</v>
          </cell>
          <cell r="AU2906">
            <v>53</v>
          </cell>
          <cell r="AV2906">
            <v>1.087</v>
          </cell>
          <cell r="AW2906">
            <v>1</v>
          </cell>
          <cell r="BA2906">
            <v>56.35</v>
          </cell>
          <cell r="BB2906">
            <v>16.28</v>
          </cell>
          <cell r="BC2906">
            <v>6.65</v>
          </cell>
          <cell r="BS2906">
            <v>56.35</v>
          </cell>
          <cell r="BZ2906">
            <v>84</v>
          </cell>
          <cell r="CA2906">
            <v>53</v>
          </cell>
        </row>
        <row r="2907">
          <cell r="F2907" t="str">
            <v>КА-179</v>
          </cell>
          <cell r="H2907" t="str">
            <v>м2</v>
          </cell>
          <cell r="I2907">
            <v>25.2</v>
          </cell>
          <cell r="P2907">
            <v>97636.14</v>
          </cell>
          <cell r="R2907">
            <v>0</v>
          </cell>
          <cell r="X2907">
            <v>0</v>
          </cell>
          <cell r="Y2907">
            <v>0</v>
          </cell>
          <cell r="AL2907">
            <v>3874.45</v>
          </cell>
        </row>
        <row r="2908">
          <cell r="P2908">
            <v>543575.56999999995</v>
          </cell>
          <cell r="R2908">
            <v>0</v>
          </cell>
          <cell r="X2908">
            <v>0</v>
          </cell>
          <cell r="Y2908">
            <v>0</v>
          </cell>
          <cell r="AW2908">
            <v>1</v>
          </cell>
          <cell r="BC2908">
            <v>9.84</v>
          </cell>
        </row>
        <row r="2909">
          <cell r="F2909" t="str">
            <v>3.70-434-1</v>
          </cell>
          <cell r="H2909" t="str">
            <v>100 шт.</v>
          </cell>
          <cell r="I2909">
            <v>0.19</v>
          </cell>
          <cell r="P2909">
            <v>25.14</v>
          </cell>
          <cell r="Q2909">
            <v>5.79</v>
          </cell>
          <cell r="R2909">
            <v>0.7</v>
          </cell>
          <cell r="S2909">
            <v>55.04</v>
          </cell>
          <cell r="U2909">
            <v>3.2975818979999998</v>
          </cell>
          <cell r="X2909">
            <v>46.82</v>
          </cell>
          <cell r="Y2909">
            <v>29.54</v>
          </cell>
          <cell r="AL2909">
            <v>132.34</v>
          </cell>
          <cell r="AM2909">
            <v>18.690000000000001</v>
          </cell>
          <cell r="AN2909">
            <v>2.27</v>
          </cell>
          <cell r="AO2909">
            <v>193.13</v>
          </cell>
          <cell r="AQ2909">
            <v>11.57</v>
          </cell>
        </row>
        <row r="2910">
          <cell r="P2910">
            <v>86.98</v>
          </cell>
          <cell r="Q2910">
            <v>90.21</v>
          </cell>
          <cell r="R2910">
            <v>39.450000000000003</v>
          </cell>
          <cell r="S2910">
            <v>3101.5</v>
          </cell>
          <cell r="X2910">
            <v>2638.4</v>
          </cell>
          <cell r="Y2910">
            <v>1664.7</v>
          </cell>
          <cell r="AT2910">
            <v>84</v>
          </cell>
          <cell r="AU2910">
            <v>53</v>
          </cell>
          <cell r="AV2910">
            <v>1.087</v>
          </cell>
          <cell r="AW2910">
            <v>1</v>
          </cell>
          <cell r="BA2910">
            <v>56.35</v>
          </cell>
          <cell r="BB2910">
            <v>15.58</v>
          </cell>
          <cell r="BC2910">
            <v>3.46</v>
          </cell>
          <cell r="BS2910">
            <v>56.35</v>
          </cell>
          <cell r="BZ2910">
            <v>84</v>
          </cell>
          <cell r="CA2910">
            <v>53</v>
          </cell>
        </row>
        <row r="2911">
          <cell r="F2911" t="str">
            <v>1.8-1-75</v>
          </cell>
          <cell r="H2911" t="str">
            <v>шт.</v>
          </cell>
          <cell r="I2911">
            <v>19</v>
          </cell>
          <cell r="O2911">
            <v>5179.97</v>
          </cell>
          <cell r="R2911">
            <v>0</v>
          </cell>
          <cell r="X2911">
            <v>0</v>
          </cell>
          <cell r="Y2911">
            <v>0</v>
          </cell>
          <cell r="AK2911">
            <v>272.63</v>
          </cell>
        </row>
        <row r="2912">
          <cell r="O2912">
            <v>59569.66</v>
          </cell>
          <cell r="R2912">
            <v>0</v>
          </cell>
          <cell r="X2912">
            <v>0</v>
          </cell>
          <cell r="Y2912">
            <v>0</v>
          </cell>
          <cell r="AW2912">
            <v>1</v>
          </cell>
          <cell r="BC2912">
            <v>11.5</v>
          </cell>
        </row>
        <row r="2914">
          <cell r="G2914" t="str">
            <v>вв-1 Витраж тамбура</v>
          </cell>
        </row>
        <row r="2944">
          <cell r="G2944" t="str">
            <v>Витражи</v>
          </cell>
        </row>
        <row r="2974">
          <cell r="G2974" t="str">
            <v>Заполнение внутренних технических ниш</v>
          </cell>
        </row>
        <row r="2978">
          <cell r="F2978" t="str">
            <v>3.9-74-2</v>
          </cell>
          <cell r="H2978" t="str">
            <v>10 шт.</v>
          </cell>
          <cell r="I2978">
            <v>2.2000000000000002</v>
          </cell>
          <cell r="P2978">
            <v>1429.05</v>
          </cell>
          <cell r="Q2978">
            <v>584.63</v>
          </cell>
          <cell r="R2978">
            <v>88.28</v>
          </cell>
          <cell r="S2978">
            <v>846.48</v>
          </cell>
          <cell r="U2978">
            <v>76.893075600000003</v>
          </cell>
          <cell r="X2978">
            <v>785.2</v>
          </cell>
          <cell r="Y2978">
            <v>495.42</v>
          </cell>
          <cell r="AL2978">
            <v>649.57000000000005</v>
          </cell>
          <cell r="AM2978">
            <v>162.97999999999999</v>
          </cell>
          <cell r="AN2978">
            <v>24.61</v>
          </cell>
          <cell r="AO2978">
            <v>256.5</v>
          </cell>
          <cell r="AQ2978">
            <v>23.3</v>
          </cell>
        </row>
        <row r="2979">
          <cell r="P2979">
            <v>9131.6299999999992</v>
          </cell>
          <cell r="Q2979">
            <v>9956.25</v>
          </cell>
          <cell r="R2979">
            <v>4974.58</v>
          </cell>
          <cell r="S2979">
            <v>47699.15</v>
          </cell>
          <cell r="X2979">
            <v>44245.93</v>
          </cell>
          <cell r="Y2979">
            <v>27917.08</v>
          </cell>
          <cell r="AT2979">
            <v>84</v>
          </cell>
          <cell r="AU2979">
            <v>53</v>
          </cell>
          <cell r="AV2979">
            <v>1.087</v>
          </cell>
          <cell r="AW2979">
            <v>1</v>
          </cell>
          <cell r="BA2979">
            <v>56.35</v>
          </cell>
          <cell r="BB2979">
            <v>17.03</v>
          </cell>
          <cell r="BC2979">
            <v>6.39</v>
          </cell>
          <cell r="BS2979">
            <v>56.35</v>
          </cell>
          <cell r="BZ2979">
            <v>84</v>
          </cell>
          <cell r="CA2979">
            <v>53</v>
          </cell>
        </row>
        <row r="2980">
          <cell r="F2980" t="str">
            <v>1.7-2-88</v>
          </cell>
          <cell r="H2980" t="str">
            <v>т</v>
          </cell>
          <cell r="I2980">
            <v>9.9000000000000005E-2</v>
          </cell>
          <cell r="P2980">
            <v>4526.6499999999996</v>
          </cell>
          <cell r="R2980">
            <v>0</v>
          </cell>
          <cell r="X2980">
            <v>0</v>
          </cell>
          <cell r="Y2980">
            <v>0</v>
          </cell>
          <cell r="AL2980">
            <v>45723.72</v>
          </cell>
        </row>
        <row r="2981">
          <cell r="P2981">
            <v>14847.41</v>
          </cell>
          <cell r="R2981">
            <v>0</v>
          </cell>
          <cell r="X2981">
            <v>0</v>
          </cell>
          <cell r="Y2981">
            <v>0</v>
          </cell>
          <cell r="AW2981">
            <v>1</v>
          </cell>
          <cell r="BC2981">
            <v>3.28</v>
          </cell>
        </row>
        <row r="2982">
          <cell r="F2982" t="str">
            <v>1.7-2-100</v>
          </cell>
          <cell r="H2982" t="str">
            <v>т</v>
          </cell>
          <cell r="I2982">
            <v>2.226</v>
          </cell>
          <cell r="P2982">
            <v>104382.22</v>
          </cell>
          <cell r="R2982">
            <v>0</v>
          </cell>
          <cell r="X2982">
            <v>0</v>
          </cell>
          <cell r="Y2982">
            <v>0</v>
          </cell>
          <cell r="AL2982">
            <v>46892.28</v>
          </cell>
        </row>
        <row r="2983">
          <cell r="P2983">
            <v>305839.90000000002</v>
          </cell>
          <cell r="R2983">
            <v>0</v>
          </cell>
          <cell r="X2983">
            <v>0</v>
          </cell>
          <cell r="Y2983">
            <v>0</v>
          </cell>
          <cell r="AW2983">
            <v>1</v>
          </cell>
          <cell r="BC2983">
            <v>2.93</v>
          </cell>
        </row>
        <row r="2984">
          <cell r="F2984" t="str">
            <v>1.7-2-100</v>
          </cell>
          <cell r="H2984" t="str">
            <v>т</v>
          </cell>
          <cell r="I2984">
            <v>0.318</v>
          </cell>
          <cell r="P2984">
            <v>14911.75</v>
          </cell>
          <cell r="R2984">
            <v>0</v>
          </cell>
          <cell r="X2984">
            <v>0</v>
          </cell>
          <cell r="Y2984">
            <v>0</v>
          </cell>
          <cell r="AL2984">
            <v>46892.28</v>
          </cell>
        </row>
        <row r="2985">
          <cell r="P2985">
            <v>43691.43</v>
          </cell>
          <cell r="R2985">
            <v>0</v>
          </cell>
          <cell r="X2985">
            <v>0</v>
          </cell>
          <cell r="Y2985">
            <v>0</v>
          </cell>
          <cell r="AW2985">
            <v>1</v>
          </cell>
          <cell r="BC2985">
            <v>2.93</v>
          </cell>
        </row>
        <row r="2986">
          <cell r="F2986" t="str">
            <v>1.7-2-88</v>
          </cell>
          <cell r="H2986" t="str">
            <v>т</v>
          </cell>
          <cell r="I2986">
            <v>0.495</v>
          </cell>
          <cell r="P2986">
            <v>22633.24</v>
          </cell>
          <cell r="R2986">
            <v>0</v>
          </cell>
          <cell r="X2986">
            <v>0</v>
          </cell>
          <cell r="Y2986">
            <v>0</v>
          </cell>
          <cell r="AL2986">
            <v>45723.72</v>
          </cell>
        </row>
        <row r="2987">
          <cell r="P2987">
            <v>74237.03</v>
          </cell>
          <cell r="R2987">
            <v>0</v>
          </cell>
          <cell r="X2987">
            <v>0</v>
          </cell>
          <cell r="Y2987">
            <v>0</v>
          </cell>
          <cell r="AW2987">
            <v>1</v>
          </cell>
          <cell r="BC2987">
            <v>3.28</v>
          </cell>
        </row>
        <row r="2989">
          <cell r="G2989" t="str">
            <v>Заполнение внутренних технических ниш</v>
          </cell>
        </row>
        <row r="3019">
          <cell r="G3019" t="str">
            <v>Лючки ревизионные</v>
          </cell>
        </row>
        <row r="3023">
          <cell r="F3023" t="str">
            <v>3.20-26-7</v>
          </cell>
          <cell r="H3023" t="str">
            <v>1  ШТ.</v>
          </cell>
          <cell r="I3023">
            <v>35</v>
          </cell>
          <cell r="P3023">
            <v>1335.6</v>
          </cell>
          <cell r="Q3023">
            <v>381.48</v>
          </cell>
          <cell r="R3023">
            <v>28.01</v>
          </cell>
          <cell r="S3023">
            <v>857.05</v>
          </cell>
          <cell r="U3023">
            <v>64.935485999999983</v>
          </cell>
          <cell r="X3023">
            <v>964.72</v>
          </cell>
          <cell r="Y3023">
            <v>539.89</v>
          </cell>
          <cell r="AL3023">
            <v>38.159999999999997</v>
          </cell>
          <cell r="AM3023">
            <v>6.81</v>
          </cell>
          <cell r="AN3023">
            <v>0.5</v>
          </cell>
          <cell r="AO3023">
            <v>16.63</v>
          </cell>
          <cell r="AQ3023">
            <v>1.26</v>
          </cell>
        </row>
        <row r="3024">
          <cell r="P3024">
            <v>10524.53</v>
          </cell>
          <cell r="Q3024">
            <v>5806.13</v>
          </cell>
          <cell r="R3024">
            <v>1578.36</v>
          </cell>
          <cell r="S3024">
            <v>48294.77</v>
          </cell>
          <cell r="X3024">
            <v>54361.71</v>
          </cell>
          <cell r="Y3024">
            <v>30422.61</v>
          </cell>
          <cell r="AT3024">
            <v>109</v>
          </cell>
          <cell r="AU3024">
            <v>61</v>
          </cell>
          <cell r="AV3024">
            <v>1.0669999999999999</v>
          </cell>
          <cell r="AW3024">
            <v>1</v>
          </cell>
          <cell r="BA3024">
            <v>56.35</v>
          </cell>
          <cell r="BB3024">
            <v>15.22</v>
          </cell>
          <cell r="BC3024">
            <v>7.88</v>
          </cell>
          <cell r="BS3024">
            <v>56.35</v>
          </cell>
          <cell r="BZ3024">
            <v>109</v>
          </cell>
          <cell r="CA3024">
            <v>61</v>
          </cell>
        </row>
        <row r="3025">
          <cell r="F3025" t="str">
            <v>КА 203</v>
          </cell>
          <cell r="H3025" t="str">
            <v>ШТ</v>
          </cell>
          <cell r="I3025">
            <v>35</v>
          </cell>
          <cell r="P3025">
            <v>21441</v>
          </cell>
          <cell r="R3025">
            <v>0</v>
          </cell>
          <cell r="X3025">
            <v>0</v>
          </cell>
          <cell r="Y3025">
            <v>0</v>
          </cell>
          <cell r="AL3025">
            <v>612.6</v>
          </cell>
        </row>
        <row r="3026">
          <cell r="P3026">
            <v>210979.44</v>
          </cell>
          <cell r="R3026">
            <v>0</v>
          </cell>
          <cell r="X3026">
            <v>0</v>
          </cell>
          <cell r="Y3026">
            <v>0</v>
          </cell>
          <cell r="AW3026">
            <v>1</v>
          </cell>
          <cell r="BC3026">
            <v>9.84</v>
          </cell>
        </row>
        <row r="3028">
          <cell r="G3028" t="str">
            <v>Лючки ревизионные</v>
          </cell>
        </row>
        <row r="3058">
          <cell r="G3058" t="str">
            <v>Подоконник ПД-4</v>
          </cell>
        </row>
        <row r="3062">
          <cell r="F3062" t="str">
            <v>3.10-85-1</v>
          </cell>
          <cell r="H3062" t="str">
            <v>100 м</v>
          </cell>
          <cell r="I3062">
            <v>2.3919999999999999</v>
          </cell>
          <cell r="Q3062">
            <v>90.78</v>
          </cell>
          <cell r="R3062">
            <v>11.83</v>
          </cell>
          <cell r="S3062">
            <v>1653.76</v>
          </cell>
          <cell r="U3062">
            <v>131.80082273279999</v>
          </cell>
          <cell r="X3062">
            <v>1615.62</v>
          </cell>
          <cell r="Y3062">
            <v>782.83</v>
          </cell>
          <cell r="AM3062">
            <v>37.76</v>
          </cell>
          <cell r="AN3062">
            <v>4.92</v>
          </cell>
          <cell r="AO3062">
            <v>687.85</v>
          </cell>
          <cell r="AQ3062">
            <v>54.82</v>
          </cell>
        </row>
        <row r="3063">
          <cell r="Q3063">
            <v>1456.11</v>
          </cell>
          <cell r="R3063">
            <v>666.62</v>
          </cell>
          <cell r="S3063">
            <v>93189.38</v>
          </cell>
          <cell r="X3063">
            <v>91040.320000000007</v>
          </cell>
          <cell r="Y3063">
            <v>44112.32</v>
          </cell>
          <cell r="AT3063">
            <v>97</v>
          </cell>
          <cell r="AU3063">
            <v>47</v>
          </cell>
          <cell r="AV3063">
            <v>1.0469999999999999</v>
          </cell>
          <cell r="BA3063">
            <v>56.35</v>
          </cell>
          <cell r="BB3063">
            <v>16.04</v>
          </cell>
          <cell r="BS3063">
            <v>56.35</v>
          </cell>
          <cell r="BZ3063">
            <v>97</v>
          </cell>
          <cell r="CA3063">
            <v>47</v>
          </cell>
        </row>
        <row r="3064">
          <cell r="F3064" t="str">
            <v>3.70-220-2</v>
          </cell>
          <cell r="H3064" t="str">
            <v>100 м2 поверхности облицовки</v>
          </cell>
          <cell r="I3064">
            <v>0.26</v>
          </cell>
          <cell r="P3064">
            <v>365.24</v>
          </cell>
          <cell r="Q3064">
            <v>21.39</v>
          </cell>
          <cell r="R3064">
            <v>2.27</v>
          </cell>
          <cell r="S3064">
            <v>2646.32</v>
          </cell>
          <cell r="U3064">
            <v>131.48225999999997</v>
          </cell>
          <cell r="X3064">
            <v>2383.73</v>
          </cell>
          <cell r="Y3064">
            <v>1112.4100000000001</v>
          </cell>
          <cell r="AL3064">
            <v>1400.58</v>
          </cell>
          <cell r="AM3064">
            <v>52.39</v>
          </cell>
          <cell r="AN3064">
            <v>5.55</v>
          </cell>
          <cell r="AO3064">
            <v>7044.38</v>
          </cell>
          <cell r="AQ3064">
            <v>350</v>
          </cell>
        </row>
        <row r="3065">
          <cell r="P3065">
            <v>3875.2</v>
          </cell>
          <cell r="Q3065">
            <v>340.74</v>
          </cell>
          <cell r="R3065">
            <v>127.91</v>
          </cell>
          <cell r="S3065">
            <v>149120.13</v>
          </cell>
          <cell r="X3065">
            <v>134323.24</v>
          </cell>
          <cell r="Y3065">
            <v>62684.18</v>
          </cell>
          <cell r="AT3065">
            <v>90</v>
          </cell>
          <cell r="AU3065">
            <v>42</v>
          </cell>
          <cell r="AV3065">
            <v>1.0469999999999999</v>
          </cell>
          <cell r="AW3065">
            <v>1.0029999999999999</v>
          </cell>
          <cell r="BA3065">
            <v>56.35</v>
          </cell>
          <cell r="BB3065">
            <v>15.93</v>
          </cell>
          <cell r="BC3065">
            <v>10.61</v>
          </cell>
          <cell r="BS3065">
            <v>56.35</v>
          </cell>
          <cell r="BZ3065">
            <v>90</v>
          </cell>
          <cell r="CA3065">
            <v>42</v>
          </cell>
        </row>
        <row r="3066">
          <cell r="F3066" t="str">
            <v>1.1-1-3228</v>
          </cell>
          <cell r="H3066" t="str">
            <v>м2</v>
          </cell>
          <cell r="I3066">
            <v>26</v>
          </cell>
          <cell r="O3066">
            <v>5181.4399999999996</v>
          </cell>
          <cell r="R3066">
            <v>0</v>
          </cell>
          <cell r="X3066">
            <v>0</v>
          </cell>
          <cell r="Y3066">
            <v>0</v>
          </cell>
          <cell r="AK3066">
            <v>198.69</v>
          </cell>
        </row>
        <row r="3067">
          <cell r="O3067">
            <v>36580.97</v>
          </cell>
          <cell r="R3067">
            <v>0</v>
          </cell>
          <cell r="X3067">
            <v>0</v>
          </cell>
          <cell r="Y3067">
            <v>0</v>
          </cell>
          <cell r="AW3067">
            <v>1.0029999999999999</v>
          </cell>
          <cell r="BC3067">
            <v>7.06</v>
          </cell>
        </row>
        <row r="3068">
          <cell r="F3068" t="str">
            <v>3.70-114-1</v>
          </cell>
          <cell r="H3068" t="str">
            <v>100 м</v>
          </cell>
          <cell r="I3068">
            <v>1.7727272730000001</v>
          </cell>
          <cell r="P3068">
            <v>1326.53</v>
          </cell>
          <cell r="Q3068">
            <v>105.13</v>
          </cell>
          <cell r="R3068">
            <v>13.7</v>
          </cell>
          <cell r="S3068">
            <v>2360.84</v>
          </cell>
          <cell r="U3068">
            <v>140.41280833069285</v>
          </cell>
          <cell r="X3068">
            <v>2303.3000000000002</v>
          </cell>
          <cell r="Y3068">
            <v>1116.03</v>
          </cell>
          <cell r="AL3068">
            <v>748.3</v>
          </cell>
          <cell r="AM3068">
            <v>37.76</v>
          </cell>
          <cell r="AN3068">
            <v>4.92</v>
          </cell>
          <cell r="AO3068">
            <v>921.72</v>
          </cell>
          <cell r="AQ3068">
            <v>54.82</v>
          </cell>
        </row>
        <row r="3069">
          <cell r="P3069">
            <v>7640.81</v>
          </cell>
          <cell r="Q3069">
            <v>1686.29</v>
          </cell>
          <cell r="R3069">
            <v>772</v>
          </cell>
          <cell r="S3069">
            <v>133033.32999999999</v>
          </cell>
          <cell r="X3069">
            <v>129791.17</v>
          </cell>
          <cell r="Y3069">
            <v>62888.51</v>
          </cell>
          <cell r="AT3069">
            <v>97</v>
          </cell>
          <cell r="AU3069">
            <v>47</v>
          </cell>
          <cell r="AV3069">
            <v>1.0469999999999999</v>
          </cell>
          <cell r="AW3069">
            <v>1</v>
          </cell>
          <cell r="BA3069">
            <v>56.35</v>
          </cell>
          <cell r="BB3069">
            <v>16.04</v>
          </cell>
          <cell r="BC3069">
            <v>5.76</v>
          </cell>
          <cell r="BS3069">
            <v>56.35</v>
          </cell>
          <cell r="BZ3069">
            <v>97</v>
          </cell>
          <cell r="CA3069">
            <v>47</v>
          </cell>
        </row>
        <row r="3070">
          <cell r="F3070" t="str">
            <v>КА-204</v>
          </cell>
          <cell r="H3070" t="str">
            <v>ПМ</v>
          </cell>
          <cell r="I3070">
            <v>117</v>
          </cell>
          <cell r="P3070">
            <v>119292.03</v>
          </cell>
          <cell r="R3070">
            <v>0</v>
          </cell>
          <cell r="X3070">
            <v>0</v>
          </cell>
          <cell r="Y3070">
            <v>0</v>
          </cell>
          <cell r="AL3070">
            <v>1019.59</v>
          </cell>
        </row>
        <row r="3071">
          <cell r="P3071">
            <v>1173833.58</v>
          </cell>
          <cell r="R3071">
            <v>0</v>
          </cell>
          <cell r="X3071">
            <v>0</v>
          </cell>
          <cell r="Y3071">
            <v>0</v>
          </cell>
          <cell r="AW3071">
            <v>1</v>
          </cell>
          <cell r="BC3071">
            <v>9.84</v>
          </cell>
        </row>
        <row r="3072">
          <cell r="F3072" t="str">
            <v>6.70-224-2</v>
          </cell>
          <cell r="H3072" t="str">
            <v>1 м2</v>
          </cell>
          <cell r="I3072">
            <v>228.6</v>
          </cell>
          <cell r="P3072">
            <v>8649.2000000000007</v>
          </cell>
          <cell r="Q3072">
            <v>28.72</v>
          </cell>
          <cell r="R3072">
            <v>0</v>
          </cell>
          <cell r="S3072">
            <v>2332.17</v>
          </cell>
          <cell r="U3072">
            <v>137.86225919999998</v>
          </cell>
          <cell r="X3072">
            <v>2145.6</v>
          </cell>
          <cell r="Y3072">
            <v>1026.1500000000001</v>
          </cell>
          <cell r="AL3072">
            <v>37.76</v>
          </cell>
          <cell r="AM3072">
            <v>0.1</v>
          </cell>
          <cell r="AO3072">
            <v>8.1199999999999992</v>
          </cell>
          <cell r="AQ3072">
            <v>0.48</v>
          </cell>
        </row>
        <row r="3073">
          <cell r="P3073">
            <v>44975.839999999997</v>
          </cell>
          <cell r="Q3073">
            <v>281.45999999999998</v>
          </cell>
          <cell r="R3073">
            <v>0</v>
          </cell>
          <cell r="S3073">
            <v>131417.78</v>
          </cell>
          <cell r="X3073">
            <v>120904.36</v>
          </cell>
          <cell r="Y3073">
            <v>57823.82</v>
          </cell>
          <cell r="AT3073">
            <v>92</v>
          </cell>
          <cell r="AU3073">
            <v>44</v>
          </cell>
          <cell r="AV3073">
            <v>1.0469999999999999</v>
          </cell>
          <cell r="AW3073">
            <v>1.002</v>
          </cell>
          <cell r="BA3073">
            <v>56.35</v>
          </cell>
          <cell r="BB3073">
            <v>9.8000000000000007</v>
          </cell>
          <cell r="BC3073">
            <v>5.2</v>
          </cell>
          <cell r="BZ3073">
            <v>92</v>
          </cell>
          <cell r="CA3073">
            <v>44</v>
          </cell>
        </row>
        <row r="3074">
          <cell r="F3074" t="str">
            <v>КА-205</v>
          </cell>
          <cell r="H3074" t="str">
            <v>ПМ</v>
          </cell>
          <cell r="I3074">
            <v>254</v>
          </cell>
          <cell r="P3074">
            <v>357078.28</v>
          </cell>
          <cell r="R3074">
            <v>0</v>
          </cell>
          <cell r="X3074">
            <v>0</v>
          </cell>
          <cell r="Y3074">
            <v>0</v>
          </cell>
          <cell r="AL3074">
            <v>1405.82</v>
          </cell>
        </row>
        <row r="3075">
          <cell r="P3075">
            <v>3513650.28</v>
          </cell>
          <cell r="R3075">
            <v>0</v>
          </cell>
          <cell r="X3075">
            <v>0</v>
          </cell>
          <cell r="Y3075">
            <v>0</v>
          </cell>
          <cell r="AW3075">
            <v>1</v>
          </cell>
          <cell r="BC3075">
            <v>9.84</v>
          </cell>
        </row>
        <row r="3077">
          <cell r="G3077" t="str">
            <v>Подоконник ПД-4</v>
          </cell>
        </row>
        <row r="3107">
          <cell r="G3107" t="str">
            <v>Стены внутренние</v>
          </cell>
        </row>
        <row r="3111">
          <cell r="G3111" t="str">
            <v>Отделочные работы</v>
          </cell>
        </row>
        <row r="3115">
          <cell r="F3115" t="str">
            <v>3.70-265-3</v>
          </cell>
          <cell r="H3115" t="str">
            <v>100 м2 оштукатуриваемой поверхности</v>
          </cell>
          <cell r="I3115">
            <v>101.76</v>
          </cell>
          <cell r="P3115">
            <v>19716</v>
          </cell>
          <cell r="Q3115">
            <v>19383.330000000002</v>
          </cell>
          <cell r="R3115">
            <v>9822.31</v>
          </cell>
          <cell r="S3115">
            <v>185549.56</v>
          </cell>
          <cell r="U3115">
            <v>10651.52448</v>
          </cell>
          <cell r="X3115">
            <v>175834.68</v>
          </cell>
          <cell r="Y3115">
            <v>82056.19</v>
          </cell>
          <cell r="AL3115">
            <v>193.75</v>
          </cell>
          <cell r="AM3115">
            <v>123.89</v>
          </cell>
          <cell r="AN3115">
            <v>62.78</v>
          </cell>
          <cell r="AO3115">
            <v>1289.08</v>
          </cell>
          <cell r="AQ3115">
            <v>74</v>
          </cell>
        </row>
        <row r="3116">
          <cell r="P3116">
            <v>594831.72</v>
          </cell>
          <cell r="Q3116">
            <v>710980.54</v>
          </cell>
          <cell r="R3116">
            <v>553487.17000000004</v>
          </cell>
          <cell r="S3116">
            <v>10455717.710000001</v>
          </cell>
          <cell r="X3116">
            <v>9908284.3900000006</v>
          </cell>
          <cell r="Y3116">
            <v>4623866.05</v>
          </cell>
          <cell r="AT3116">
            <v>90</v>
          </cell>
          <cell r="AU3116">
            <v>42</v>
          </cell>
          <cell r="AV3116">
            <v>1.0249999999999999</v>
          </cell>
          <cell r="AW3116">
            <v>1</v>
          </cell>
          <cell r="BA3116">
            <v>56.35</v>
          </cell>
          <cell r="BB3116">
            <v>36.68</v>
          </cell>
          <cell r="BC3116">
            <v>30.17</v>
          </cell>
          <cell r="BS3116">
            <v>56.35</v>
          </cell>
          <cell r="BZ3116">
            <v>90</v>
          </cell>
          <cell r="CA3116">
            <v>42</v>
          </cell>
        </row>
        <row r="3117">
          <cell r="F3117" t="str">
            <v>1.1-1-118</v>
          </cell>
          <cell r="H3117" t="str">
            <v>м3</v>
          </cell>
          <cell r="I3117">
            <v>10.656307</v>
          </cell>
          <cell r="O3117">
            <v>75.34</v>
          </cell>
          <cell r="R3117">
            <v>0</v>
          </cell>
          <cell r="X3117">
            <v>0</v>
          </cell>
          <cell r="Y3117">
            <v>0</v>
          </cell>
          <cell r="AK3117">
            <v>7.07</v>
          </cell>
        </row>
        <row r="3118">
          <cell r="O3118">
            <v>583.89</v>
          </cell>
          <cell r="R3118">
            <v>0</v>
          </cell>
          <cell r="X3118">
            <v>0</v>
          </cell>
          <cell r="Y3118">
            <v>0</v>
          </cell>
          <cell r="AW3118">
            <v>1</v>
          </cell>
          <cell r="BC3118">
            <v>7.75</v>
          </cell>
        </row>
        <row r="3119">
          <cell r="F3119" t="str">
            <v>1.3-2-221</v>
          </cell>
          <cell r="H3119" t="str">
            <v>кг</v>
          </cell>
          <cell r="I3119">
            <v>60893.184000000001</v>
          </cell>
          <cell r="O3119">
            <v>193031.39</v>
          </cell>
          <cell r="R3119">
            <v>0</v>
          </cell>
          <cell r="X3119">
            <v>0</v>
          </cell>
          <cell r="Y3119">
            <v>0</v>
          </cell>
          <cell r="AK3119">
            <v>3.17</v>
          </cell>
        </row>
        <row r="3120">
          <cell r="O3120">
            <v>874432.2</v>
          </cell>
          <cell r="R3120">
            <v>0</v>
          </cell>
          <cell r="X3120">
            <v>0</v>
          </cell>
          <cell r="Y3120">
            <v>0</v>
          </cell>
          <cell r="AW3120">
            <v>1</v>
          </cell>
          <cell r="BC3120">
            <v>4.53</v>
          </cell>
        </row>
        <row r="3121">
          <cell r="F3121" t="str">
            <v>1.3-2-13</v>
          </cell>
          <cell r="H3121" t="str">
            <v>м3</v>
          </cell>
          <cell r="I3121">
            <v>152.23295999999999</v>
          </cell>
          <cell r="O3121">
            <v>71656.05</v>
          </cell>
          <cell r="R3121">
            <v>0</v>
          </cell>
          <cell r="X3121">
            <v>0</v>
          </cell>
          <cell r="Y3121">
            <v>0</v>
          </cell>
          <cell r="AK3121">
            <v>470.7</v>
          </cell>
        </row>
        <row r="3122">
          <cell r="O3122">
            <v>776751.58</v>
          </cell>
          <cell r="R3122">
            <v>0</v>
          </cell>
          <cell r="X3122">
            <v>0</v>
          </cell>
          <cell r="Y3122">
            <v>0</v>
          </cell>
          <cell r="AW3122">
            <v>1</v>
          </cell>
          <cell r="BC3122">
            <v>10.84</v>
          </cell>
        </row>
        <row r="3123">
          <cell r="F3123" t="str">
            <v>3.70-264-1</v>
          </cell>
          <cell r="H3123" t="str">
            <v>100 м2 оштукатуриваемой поверхности</v>
          </cell>
          <cell r="I3123">
            <v>23.63</v>
          </cell>
          <cell r="P3123">
            <v>2101.1799999999998</v>
          </cell>
          <cell r="Q3123">
            <v>3897.97</v>
          </cell>
          <cell r="R3123">
            <v>1990.58</v>
          </cell>
          <cell r="S3123">
            <v>28912.31</v>
          </cell>
          <cell r="U3123">
            <v>1858.4097059999997</v>
          </cell>
          <cell r="X3123">
            <v>27812.6</v>
          </cell>
          <cell r="Y3123">
            <v>12979.21</v>
          </cell>
          <cell r="AL3123">
            <v>88.92</v>
          </cell>
          <cell r="AM3123">
            <v>107.29</v>
          </cell>
          <cell r="AN3123">
            <v>54.79</v>
          </cell>
          <cell r="AO3123">
            <v>865</v>
          </cell>
          <cell r="AQ3123">
            <v>55.6</v>
          </cell>
        </row>
        <row r="3124">
          <cell r="P3124">
            <v>65346.7</v>
          </cell>
          <cell r="Q3124">
            <v>143835.09</v>
          </cell>
          <cell r="R3124">
            <v>112169.18</v>
          </cell>
          <cell r="S3124">
            <v>1629208.67</v>
          </cell>
          <cell r="X3124">
            <v>1567240.07</v>
          </cell>
          <cell r="Y3124">
            <v>731378.7</v>
          </cell>
          <cell r="AT3124">
            <v>90</v>
          </cell>
          <cell r="AU3124">
            <v>42</v>
          </cell>
          <cell r="AV3124">
            <v>1.0249999999999999</v>
          </cell>
          <cell r="AW3124">
            <v>1</v>
          </cell>
          <cell r="BA3124">
            <v>56.35</v>
          </cell>
          <cell r="BB3124">
            <v>36.9</v>
          </cell>
          <cell r="BC3124">
            <v>31.1</v>
          </cell>
          <cell r="BS3124">
            <v>56.35</v>
          </cell>
          <cell r="BZ3124">
            <v>90</v>
          </cell>
          <cell r="CA3124">
            <v>42</v>
          </cell>
        </row>
        <row r="3125">
          <cell r="F3125" t="str">
            <v>1.1-1-118</v>
          </cell>
          <cell r="H3125" t="str">
            <v>м3</v>
          </cell>
          <cell r="I3125">
            <v>2.2231100000000001</v>
          </cell>
          <cell r="O3125">
            <v>15.72</v>
          </cell>
          <cell r="R3125">
            <v>0</v>
          </cell>
          <cell r="X3125">
            <v>0</v>
          </cell>
          <cell r="Y3125">
            <v>0</v>
          </cell>
          <cell r="AK3125">
            <v>7.07</v>
          </cell>
        </row>
        <row r="3126">
          <cell r="O3126">
            <v>121.83</v>
          </cell>
          <cell r="R3126">
            <v>0</v>
          </cell>
          <cell r="X3126">
            <v>0</v>
          </cell>
          <cell r="Y3126">
            <v>0</v>
          </cell>
          <cell r="AW3126">
            <v>1</v>
          </cell>
          <cell r="BC3126">
            <v>7.75</v>
          </cell>
        </row>
        <row r="3127">
          <cell r="F3127" t="str">
            <v>1.3-2-221</v>
          </cell>
          <cell r="H3127" t="str">
            <v>кг</v>
          </cell>
          <cell r="I3127">
            <v>12703.487999999999</v>
          </cell>
          <cell r="O3127">
            <v>40270.06</v>
          </cell>
          <cell r="R3127">
            <v>0</v>
          </cell>
          <cell r="X3127">
            <v>0</v>
          </cell>
          <cell r="Y3127">
            <v>0</v>
          </cell>
          <cell r="AK3127">
            <v>3.17</v>
          </cell>
        </row>
        <row r="3128">
          <cell r="O3128">
            <v>182423.37</v>
          </cell>
          <cell r="R3128">
            <v>0</v>
          </cell>
          <cell r="X3128">
            <v>0</v>
          </cell>
          <cell r="Y3128">
            <v>0</v>
          </cell>
          <cell r="AW3128">
            <v>1</v>
          </cell>
          <cell r="BC3128">
            <v>4.53</v>
          </cell>
        </row>
        <row r="3129">
          <cell r="F3129" t="str">
            <v>1.3-2-13</v>
          </cell>
          <cell r="H3129" t="str">
            <v>м3</v>
          </cell>
          <cell r="I3129">
            <v>5.29312</v>
          </cell>
          <cell r="O3129">
            <v>2491.4699999999998</v>
          </cell>
          <cell r="R3129">
            <v>0</v>
          </cell>
          <cell r="X3129">
            <v>0</v>
          </cell>
          <cell r="Y3129">
            <v>0</v>
          </cell>
          <cell r="AK3129">
            <v>470.7</v>
          </cell>
        </row>
        <row r="3130">
          <cell r="O3130">
            <v>27007.53</v>
          </cell>
          <cell r="R3130">
            <v>0</v>
          </cell>
          <cell r="X3130">
            <v>0</v>
          </cell>
          <cell r="Y3130">
            <v>0</v>
          </cell>
          <cell r="AW3130">
            <v>1</v>
          </cell>
          <cell r="BC3130">
            <v>10.84</v>
          </cell>
        </row>
        <row r="3131">
          <cell r="F3131" t="str">
            <v>1.3-2-15</v>
          </cell>
          <cell r="H3131" t="str">
            <v>м3</v>
          </cell>
          <cell r="I3131">
            <v>26.465599999999995</v>
          </cell>
          <cell r="O3131">
            <v>14011.42</v>
          </cell>
          <cell r="R3131">
            <v>0</v>
          </cell>
          <cell r="X3131">
            <v>0</v>
          </cell>
          <cell r="Y3131">
            <v>0</v>
          </cell>
          <cell r="AK3131">
            <v>529.41999999999996</v>
          </cell>
        </row>
        <row r="3132">
          <cell r="O3132">
            <v>105786.22</v>
          </cell>
          <cell r="R3132">
            <v>0</v>
          </cell>
          <cell r="X3132">
            <v>0</v>
          </cell>
          <cell r="Y3132">
            <v>0</v>
          </cell>
          <cell r="AW3132">
            <v>1</v>
          </cell>
          <cell r="BC3132">
            <v>7.55</v>
          </cell>
        </row>
        <row r="3133">
          <cell r="F3133" t="str">
            <v>3.70-300-5</v>
          </cell>
          <cell r="H3133" t="str">
            <v>100 м2</v>
          </cell>
          <cell r="I3133">
            <v>91.44</v>
          </cell>
          <cell r="P3133">
            <v>4594.8599999999997</v>
          </cell>
          <cell r="Q3133">
            <v>873.06</v>
          </cell>
          <cell r="R3133">
            <v>123.72</v>
          </cell>
          <cell r="S3133">
            <v>54751.71</v>
          </cell>
          <cell r="U3133">
            <v>3595.7042639999995</v>
          </cell>
          <cell r="X3133">
            <v>49387.89</v>
          </cell>
          <cell r="Y3133">
            <v>23047.68</v>
          </cell>
          <cell r="AL3133">
            <v>50.25</v>
          </cell>
          <cell r="AM3133">
            <v>6.21</v>
          </cell>
          <cell r="AN3133">
            <v>0.88</v>
          </cell>
          <cell r="AO3133">
            <v>423.31</v>
          </cell>
          <cell r="AQ3133">
            <v>27.8</v>
          </cell>
        </row>
        <row r="3134">
          <cell r="P3134">
            <v>8776.18</v>
          </cell>
          <cell r="Q3134">
            <v>14693.6</v>
          </cell>
          <cell r="R3134">
            <v>6971.62</v>
          </cell>
          <cell r="S3134">
            <v>3085258.86</v>
          </cell>
          <cell r="X3134">
            <v>2783007.43</v>
          </cell>
          <cell r="Y3134">
            <v>1298736.8</v>
          </cell>
          <cell r="AT3134">
            <v>90</v>
          </cell>
          <cell r="AU3134">
            <v>42</v>
          </cell>
          <cell r="AV3134">
            <v>1.0249999999999999</v>
          </cell>
          <cell r="AW3134">
            <v>1</v>
          </cell>
          <cell r="BA3134">
            <v>56.35</v>
          </cell>
          <cell r="BB3134">
            <v>16.829999999999998</v>
          </cell>
          <cell r="BC3134">
            <v>1.91</v>
          </cell>
          <cell r="BS3134">
            <v>56.35</v>
          </cell>
          <cell r="BZ3134">
            <v>90</v>
          </cell>
          <cell r="CA3134">
            <v>42</v>
          </cell>
        </row>
        <row r="3135">
          <cell r="F3135" t="str">
            <v>1.1-1-3040</v>
          </cell>
          <cell r="H3135" t="str">
            <v>т</v>
          </cell>
          <cell r="I3135">
            <v>2.0500850000000002</v>
          </cell>
          <cell r="O3135">
            <v>19823.400000000001</v>
          </cell>
          <cell r="R3135">
            <v>0</v>
          </cell>
          <cell r="X3135">
            <v>0</v>
          </cell>
          <cell r="Y3135">
            <v>0</v>
          </cell>
          <cell r="AK3135">
            <v>9669.5499999999993</v>
          </cell>
        </row>
        <row r="3136">
          <cell r="O3136">
            <v>497765.57</v>
          </cell>
          <cell r="R3136">
            <v>0</v>
          </cell>
          <cell r="X3136">
            <v>0</v>
          </cell>
          <cell r="Y3136">
            <v>0</v>
          </cell>
          <cell r="AW3136">
            <v>1</v>
          </cell>
          <cell r="BC3136">
            <v>25.11</v>
          </cell>
        </row>
        <row r="3137">
          <cell r="F3137" t="str">
            <v>1.1-1-3108</v>
          </cell>
          <cell r="H3137" t="str">
            <v>кг</v>
          </cell>
          <cell r="I3137">
            <v>2834.64</v>
          </cell>
          <cell r="O3137">
            <v>50031.4</v>
          </cell>
          <cell r="R3137">
            <v>0</v>
          </cell>
          <cell r="X3137">
            <v>0</v>
          </cell>
          <cell r="Y3137">
            <v>0</v>
          </cell>
          <cell r="AK3137">
            <v>17.649999999999999</v>
          </cell>
        </row>
        <row r="3138">
          <cell r="O3138">
            <v>250157</v>
          </cell>
          <cell r="R3138">
            <v>0</v>
          </cell>
          <cell r="X3138">
            <v>0</v>
          </cell>
          <cell r="Y3138">
            <v>0</v>
          </cell>
          <cell r="AW3138">
            <v>1</v>
          </cell>
          <cell r="BC3138">
            <v>5</v>
          </cell>
        </row>
        <row r="3139">
          <cell r="F3139" t="str">
            <v>1.3-2-224</v>
          </cell>
          <cell r="H3139" t="str">
            <v>кг</v>
          </cell>
          <cell r="I3139">
            <v>7408.4687999999996</v>
          </cell>
          <cell r="O3139">
            <v>28967.11</v>
          </cell>
          <cell r="R3139">
            <v>0</v>
          </cell>
          <cell r="X3139">
            <v>0</v>
          </cell>
          <cell r="Y3139">
            <v>0</v>
          </cell>
          <cell r="AK3139">
            <v>3.91</v>
          </cell>
        </row>
        <row r="3140">
          <cell r="O3140">
            <v>112392.39</v>
          </cell>
          <cell r="R3140">
            <v>0</v>
          </cell>
          <cell r="X3140">
            <v>0</v>
          </cell>
          <cell r="Y3140">
            <v>0</v>
          </cell>
          <cell r="AW3140">
            <v>1</v>
          </cell>
          <cell r="BC3140">
            <v>3.88</v>
          </cell>
        </row>
        <row r="3141">
          <cell r="F3141" t="str">
            <v>3.70-300-5</v>
          </cell>
          <cell r="H3141" t="str">
            <v>100 м2</v>
          </cell>
          <cell r="I3141">
            <v>10.32</v>
          </cell>
          <cell r="P3141">
            <v>518.58000000000004</v>
          </cell>
          <cell r="Q3141">
            <v>98.53</v>
          </cell>
          <cell r="R3141">
            <v>13.96</v>
          </cell>
          <cell r="S3141">
            <v>6179.33</v>
          </cell>
          <cell r="U3141">
            <v>405.814392</v>
          </cell>
          <cell r="X3141">
            <v>5573.96</v>
          </cell>
          <cell r="Y3141">
            <v>2601.1799999999998</v>
          </cell>
          <cell r="AL3141">
            <v>50.25</v>
          </cell>
          <cell r="AM3141">
            <v>6.21</v>
          </cell>
          <cell r="AN3141">
            <v>0.88</v>
          </cell>
          <cell r="AO3141">
            <v>423.31</v>
          </cell>
          <cell r="AQ3141">
            <v>27.8</v>
          </cell>
        </row>
        <row r="3142">
          <cell r="P3142">
            <v>990.49</v>
          </cell>
          <cell r="Q3142">
            <v>1658.26</v>
          </cell>
          <cell r="R3142">
            <v>786.65</v>
          </cell>
          <cell r="S3142">
            <v>348205.25</v>
          </cell>
          <cell r="X3142">
            <v>314092.71000000002</v>
          </cell>
          <cell r="Y3142">
            <v>146576.6</v>
          </cell>
          <cell r="AT3142">
            <v>90</v>
          </cell>
          <cell r="AU3142">
            <v>42</v>
          </cell>
          <cell r="AV3142">
            <v>1.0249999999999999</v>
          </cell>
          <cell r="AW3142">
            <v>1</v>
          </cell>
          <cell r="BA3142">
            <v>56.35</v>
          </cell>
          <cell r="BB3142">
            <v>16.829999999999998</v>
          </cell>
          <cell r="BC3142">
            <v>1.91</v>
          </cell>
          <cell r="BS3142">
            <v>56.35</v>
          </cell>
          <cell r="BZ3142">
            <v>90</v>
          </cell>
          <cell r="CA3142">
            <v>42</v>
          </cell>
        </row>
        <row r="3143">
          <cell r="F3143" t="str">
            <v>1.1-1-3934</v>
          </cell>
          <cell r="H3143" t="str">
            <v>кг</v>
          </cell>
          <cell r="I3143">
            <v>231.37440000000004</v>
          </cell>
          <cell r="O3143">
            <v>36314.21</v>
          </cell>
          <cell r="R3143">
            <v>0</v>
          </cell>
          <cell r="X3143">
            <v>0</v>
          </cell>
          <cell r="Y3143">
            <v>0</v>
          </cell>
          <cell r="AK3143">
            <v>156.94999999999999</v>
          </cell>
        </row>
        <row r="3144">
          <cell r="O3144">
            <v>83159.539999999994</v>
          </cell>
          <cell r="R3144">
            <v>0</v>
          </cell>
          <cell r="X3144">
            <v>0</v>
          </cell>
          <cell r="Y3144">
            <v>0</v>
          </cell>
          <cell r="AW3144">
            <v>1</v>
          </cell>
          <cell r="BC3144">
            <v>2.29</v>
          </cell>
        </row>
        <row r="3145">
          <cell r="F3145" t="str">
            <v>1.1-1-3108</v>
          </cell>
          <cell r="H3145" t="str">
            <v>кг</v>
          </cell>
          <cell r="I3145">
            <v>319.92</v>
          </cell>
          <cell r="O3145">
            <v>5646.59</v>
          </cell>
          <cell r="R3145">
            <v>0</v>
          </cell>
          <cell r="X3145">
            <v>0</v>
          </cell>
          <cell r="Y3145">
            <v>0</v>
          </cell>
          <cell r="AK3145">
            <v>17.649999999999999</v>
          </cell>
        </row>
        <row r="3146">
          <cell r="O3146">
            <v>28232.95</v>
          </cell>
          <cell r="R3146">
            <v>0</v>
          </cell>
          <cell r="X3146">
            <v>0</v>
          </cell>
          <cell r="Y3146">
            <v>0</v>
          </cell>
          <cell r="AW3146">
            <v>1</v>
          </cell>
          <cell r="BC3146">
            <v>5</v>
          </cell>
        </row>
        <row r="3147">
          <cell r="F3147" t="str">
            <v>1.3-2-224</v>
          </cell>
          <cell r="H3147" t="str">
            <v>кг</v>
          </cell>
          <cell r="I3147">
            <v>836.12639999999999</v>
          </cell>
          <cell r="O3147">
            <v>3269.25</v>
          </cell>
          <cell r="R3147">
            <v>0</v>
          </cell>
          <cell r="X3147">
            <v>0</v>
          </cell>
          <cell r="Y3147">
            <v>0</v>
          </cell>
          <cell r="AK3147">
            <v>3.91</v>
          </cell>
        </row>
        <row r="3148">
          <cell r="O3148">
            <v>12684.69</v>
          </cell>
          <cell r="R3148">
            <v>0</v>
          </cell>
          <cell r="X3148">
            <v>0</v>
          </cell>
          <cell r="Y3148">
            <v>0</v>
          </cell>
          <cell r="AW3148">
            <v>1</v>
          </cell>
          <cell r="BC3148">
            <v>3.88</v>
          </cell>
        </row>
        <row r="3149">
          <cell r="F3149" t="str">
            <v>3.70-224-1</v>
          </cell>
          <cell r="H3149" t="str">
            <v>100 м2</v>
          </cell>
          <cell r="I3149">
            <v>0.15</v>
          </cell>
          <cell r="P3149">
            <v>12.51</v>
          </cell>
          <cell r="Q3149">
            <v>3.29</v>
          </cell>
          <cell r="R3149">
            <v>0.27</v>
          </cell>
          <cell r="S3149">
            <v>387.29</v>
          </cell>
          <cell r="U3149">
            <v>24.455290499999993</v>
          </cell>
          <cell r="X3149">
            <v>348.8</v>
          </cell>
          <cell r="Y3149">
            <v>162.78</v>
          </cell>
          <cell r="AL3149">
            <v>83.4</v>
          </cell>
          <cell r="AM3149">
            <v>14.28</v>
          </cell>
          <cell r="AN3149">
            <v>1.1599999999999999</v>
          </cell>
          <cell r="AO3149">
            <v>1825.33</v>
          </cell>
          <cell r="AQ3149">
            <v>115.26</v>
          </cell>
        </row>
        <row r="3150">
          <cell r="P3150">
            <v>18.77</v>
          </cell>
          <cell r="Q3150">
            <v>47.77</v>
          </cell>
          <cell r="R3150">
            <v>15.21</v>
          </cell>
          <cell r="S3150">
            <v>21823.79</v>
          </cell>
          <cell r="X3150">
            <v>19655.099999999999</v>
          </cell>
          <cell r="Y3150">
            <v>9172.3799999999992</v>
          </cell>
          <cell r="AT3150">
            <v>90</v>
          </cell>
          <cell r="AU3150">
            <v>42</v>
          </cell>
          <cell r="AV3150">
            <v>1.0249999999999999</v>
          </cell>
          <cell r="AW3150">
            <v>1</v>
          </cell>
          <cell r="BA3150">
            <v>56.35</v>
          </cell>
          <cell r="BB3150">
            <v>14.52</v>
          </cell>
          <cell r="BC3150">
            <v>1.5</v>
          </cell>
          <cell r="BS3150">
            <v>56.35</v>
          </cell>
          <cell r="BZ3150">
            <v>90</v>
          </cell>
          <cell r="CA3150">
            <v>42</v>
          </cell>
        </row>
        <row r="3153">
          <cell r="F3153" t="str">
            <v>1.3-2-35</v>
          </cell>
          <cell r="H3153" t="str">
            <v>т</v>
          </cell>
          <cell r="I3153">
            <v>5.6249999999999994E-2</v>
          </cell>
          <cell r="O3153">
            <v>93.92</v>
          </cell>
          <cell r="R3153">
            <v>0</v>
          </cell>
          <cell r="X3153">
            <v>0</v>
          </cell>
          <cell r="Y3153">
            <v>0</v>
          </cell>
          <cell r="AK3153">
            <v>1669.7</v>
          </cell>
        </row>
        <row r="3154">
          <cell r="O3154">
            <v>751.36</v>
          </cell>
          <cell r="R3154">
            <v>0</v>
          </cell>
          <cell r="X3154">
            <v>0</v>
          </cell>
          <cell r="Y3154">
            <v>0</v>
          </cell>
          <cell r="AW3154">
            <v>1</v>
          </cell>
          <cell r="BC3154">
            <v>8</v>
          </cell>
        </row>
        <row r="3155">
          <cell r="F3155" t="str">
            <v>1.5-1-243</v>
          </cell>
          <cell r="H3155" t="str">
            <v>м2</v>
          </cell>
          <cell r="I3155">
            <v>16.350000000000001</v>
          </cell>
          <cell r="O3155">
            <v>1953.66</v>
          </cell>
          <cell r="R3155">
            <v>0</v>
          </cell>
          <cell r="X3155">
            <v>0</v>
          </cell>
          <cell r="Y3155">
            <v>0</v>
          </cell>
          <cell r="AK3155">
            <v>119.49</v>
          </cell>
        </row>
        <row r="3156">
          <cell r="O3156">
            <v>38096.370000000003</v>
          </cell>
          <cell r="R3156">
            <v>0</v>
          </cell>
          <cell r="X3156">
            <v>0</v>
          </cell>
          <cell r="Y3156">
            <v>0</v>
          </cell>
          <cell r="AW3156">
            <v>1</v>
          </cell>
          <cell r="BC3156">
            <v>19.5</v>
          </cell>
        </row>
        <row r="3157">
          <cell r="F3157" t="str">
            <v>3.70-228-4</v>
          </cell>
          <cell r="H3157" t="str">
            <v>100 м2</v>
          </cell>
          <cell r="I3157">
            <v>8.6199999999999992</v>
          </cell>
          <cell r="P3157">
            <v>1822.18</v>
          </cell>
          <cell r="Q3157">
            <v>986.04</v>
          </cell>
          <cell r="R3157">
            <v>172.29</v>
          </cell>
          <cell r="S3157">
            <v>16766.34</v>
          </cell>
          <cell r="U3157">
            <v>1011.4085204999998</v>
          </cell>
          <cell r="X3157">
            <v>15244.77</v>
          </cell>
          <cell r="Y3157">
            <v>7114.22</v>
          </cell>
          <cell r="AL3157">
            <v>211.39</v>
          </cell>
          <cell r="AM3157">
            <v>74.400000000000006</v>
          </cell>
          <cell r="AN3157">
            <v>13</v>
          </cell>
          <cell r="AO3157">
            <v>1375.08</v>
          </cell>
          <cell r="AQ3157">
            <v>82.95</v>
          </cell>
        </row>
        <row r="3158">
          <cell r="P3158">
            <v>2569.27</v>
          </cell>
          <cell r="Q3158">
            <v>18576.990000000002</v>
          </cell>
          <cell r="R3158">
            <v>9708.5400000000009</v>
          </cell>
          <cell r="S3158">
            <v>944783.26</v>
          </cell>
          <cell r="X3158">
            <v>859042.62</v>
          </cell>
          <cell r="Y3158">
            <v>400886.56</v>
          </cell>
          <cell r="AT3158">
            <v>90</v>
          </cell>
          <cell r="AU3158">
            <v>42</v>
          </cell>
          <cell r="AV3158">
            <v>1.0249999999999999</v>
          </cell>
          <cell r="AW3158">
            <v>1</v>
          </cell>
          <cell r="BA3158">
            <v>56.35</v>
          </cell>
          <cell r="BB3158">
            <v>18.84</v>
          </cell>
          <cell r="BC3158">
            <v>1.41</v>
          </cell>
          <cell r="BS3158">
            <v>56.35</v>
          </cell>
          <cell r="BZ3158">
            <v>90</v>
          </cell>
          <cell r="CA3158">
            <v>42</v>
          </cell>
        </row>
        <row r="3159">
          <cell r="F3159" t="str">
            <v>1.1-1-8206</v>
          </cell>
          <cell r="H3159" t="str">
            <v>100 шт.</v>
          </cell>
          <cell r="I3159">
            <v>91.285799999999995</v>
          </cell>
          <cell r="O3159">
            <v>396.18</v>
          </cell>
          <cell r="R3159">
            <v>0</v>
          </cell>
          <cell r="X3159">
            <v>0</v>
          </cell>
          <cell r="Y3159">
            <v>0</v>
          </cell>
          <cell r="AK3159">
            <v>4.34</v>
          </cell>
        </row>
        <row r="3160">
          <cell r="O3160">
            <v>3973.69</v>
          </cell>
          <cell r="R3160">
            <v>0</v>
          </cell>
          <cell r="X3160">
            <v>0</v>
          </cell>
          <cell r="Y3160">
            <v>0</v>
          </cell>
          <cell r="AW3160">
            <v>1</v>
          </cell>
          <cell r="BC3160">
            <v>10.029999999999999</v>
          </cell>
        </row>
        <row r="3161">
          <cell r="F3161" t="str">
            <v>1.1-1-3108</v>
          </cell>
          <cell r="H3161" t="str">
            <v>кг</v>
          </cell>
          <cell r="I3161">
            <v>120.68</v>
          </cell>
          <cell r="O3161">
            <v>2130</v>
          </cell>
          <cell r="R3161">
            <v>0</v>
          </cell>
          <cell r="X3161">
            <v>0</v>
          </cell>
          <cell r="Y3161">
            <v>0</v>
          </cell>
          <cell r="AK3161">
            <v>17.649999999999999</v>
          </cell>
        </row>
        <row r="3162">
          <cell r="O3162">
            <v>10650</v>
          </cell>
          <cell r="R3162">
            <v>0</v>
          </cell>
          <cell r="X3162">
            <v>0</v>
          </cell>
          <cell r="Y3162">
            <v>0</v>
          </cell>
          <cell r="AW3162">
            <v>1</v>
          </cell>
          <cell r="BC3162">
            <v>5</v>
          </cell>
        </row>
        <row r="3163">
          <cell r="F3163" t="str">
            <v>1.3-2-50</v>
          </cell>
          <cell r="H3163" t="str">
            <v>т</v>
          </cell>
          <cell r="I3163">
            <v>0.3448</v>
          </cell>
          <cell r="O3163">
            <v>2061.23</v>
          </cell>
          <cell r="R3163">
            <v>0</v>
          </cell>
          <cell r="X3163">
            <v>0</v>
          </cell>
          <cell r="Y3163">
            <v>0</v>
          </cell>
          <cell r="AK3163">
            <v>5978.05</v>
          </cell>
        </row>
        <row r="3164">
          <cell r="O3164">
            <v>31557.43</v>
          </cell>
          <cell r="R3164">
            <v>0</v>
          </cell>
          <cell r="X3164">
            <v>0</v>
          </cell>
          <cell r="Y3164">
            <v>0</v>
          </cell>
          <cell r="AW3164">
            <v>1</v>
          </cell>
          <cell r="BC3164">
            <v>15.31</v>
          </cell>
        </row>
        <row r="3165">
          <cell r="F3165" t="str">
            <v>1.3-2-35</v>
          </cell>
          <cell r="H3165" t="str">
            <v>т</v>
          </cell>
          <cell r="I3165">
            <v>4.9702919999999997</v>
          </cell>
          <cell r="O3165">
            <v>8298.9</v>
          </cell>
          <cell r="R3165">
            <v>0</v>
          </cell>
          <cell r="X3165">
            <v>0</v>
          </cell>
          <cell r="Y3165">
            <v>0</v>
          </cell>
          <cell r="AK3165">
            <v>1669.7</v>
          </cell>
        </row>
        <row r="3166">
          <cell r="O3166">
            <v>66391.199999999997</v>
          </cell>
          <cell r="R3166">
            <v>0</v>
          </cell>
          <cell r="X3166">
            <v>0</v>
          </cell>
          <cell r="Y3166">
            <v>0</v>
          </cell>
          <cell r="AW3166">
            <v>1</v>
          </cell>
          <cell r="BC3166">
            <v>8</v>
          </cell>
        </row>
        <row r="3167">
          <cell r="F3167" t="str">
            <v>1.1-1-3225</v>
          </cell>
          <cell r="H3167" t="str">
            <v>м2</v>
          </cell>
          <cell r="I3167">
            <v>939.58</v>
          </cell>
          <cell r="O3167">
            <v>117043.48</v>
          </cell>
          <cell r="R3167">
            <v>0</v>
          </cell>
          <cell r="X3167">
            <v>0</v>
          </cell>
          <cell r="Y3167">
            <v>0</v>
          </cell>
          <cell r="AK3167">
            <v>124.57</v>
          </cell>
        </row>
        <row r="3168">
          <cell r="O3168">
            <v>775998.27</v>
          </cell>
          <cell r="R3168">
            <v>0</v>
          </cell>
          <cell r="X3168">
            <v>0</v>
          </cell>
          <cell r="Y3168">
            <v>0</v>
          </cell>
          <cell r="AW3168">
            <v>1</v>
          </cell>
          <cell r="BC3168">
            <v>6.63</v>
          </cell>
        </row>
        <row r="3169">
          <cell r="F3169" t="str">
            <v>3.70-228-5</v>
          </cell>
          <cell r="H3169" t="str">
            <v>100 м2</v>
          </cell>
          <cell r="I3169">
            <v>2.7</v>
          </cell>
          <cell r="P3169">
            <v>578.04</v>
          </cell>
          <cell r="Q3169">
            <v>323.67</v>
          </cell>
          <cell r="R3169">
            <v>56.58</v>
          </cell>
          <cell r="S3169">
            <v>5408.11</v>
          </cell>
          <cell r="U3169">
            <v>326.26998450000002</v>
          </cell>
          <cell r="X3169">
            <v>4918.22</v>
          </cell>
          <cell r="Y3169">
            <v>2295.17</v>
          </cell>
          <cell r="AL3169">
            <v>214.09</v>
          </cell>
          <cell r="AM3169">
            <v>77.97</v>
          </cell>
          <cell r="AN3169">
            <v>13.63</v>
          </cell>
          <cell r="AO3169">
            <v>1416.05</v>
          </cell>
          <cell r="AQ3169">
            <v>85.43</v>
          </cell>
        </row>
        <row r="3170">
          <cell r="P3170">
            <v>826.6</v>
          </cell>
          <cell r="Q3170">
            <v>6101.18</v>
          </cell>
          <cell r="R3170">
            <v>3188.28</v>
          </cell>
          <cell r="S3170">
            <v>304747</v>
          </cell>
          <cell r="X3170">
            <v>277141.75</v>
          </cell>
          <cell r="Y3170">
            <v>129332.82</v>
          </cell>
          <cell r="AT3170">
            <v>90</v>
          </cell>
          <cell r="AU3170">
            <v>42</v>
          </cell>
          <cell r="AV3170">
            <v>1.0249999999999999</v>
          </cell>
          <cell r="AW3170">
            <v>1</v>
          </cell>
          <cell r="BA3170">
            <v>56.35</v>
          </cell>
          <cell r="BB3170">
            <v>18.850000000000001</v>
          </cell>
          <cell r="BC3170">
            <v>1.43</v>
          </cell>
          <cell r="BS3170">
            <v>56.35</v>
          </cell>
          <cell r="BZ3170">
            <v>90</v>
          </cell>
          <cell r="CA3170">
            <v>42</v>
          </cell>
        </row>
        <row r="3171">
          <cell r="F3171" t="str">
            <v>1.1-1-8206</v>
          </cell>
          <cell r="H3171" t="str">
            <v>100 шт.</v>
          </cell>
          <cell r="I3171">
            <v>18.576000000000001</v>
          </cell>
          <cell r="O3171">
            <v>80.62</v>
          </cell>
          <cell r="R3171">
            <v>0</v>
          </cell>
          <cell r="X3171">
            <v>0</v>
          </cell>
          <cell r="Y3171">
            <v>0</v>
          </cell>
          <cell r="AK3171">
            <v>4.34</v>
          </cell>
        </row>
        <row r="3172">
          <cell r="O3172">
            <v>808.62</v>
          </cell>
          <cell r="R3172">
            <v>0</v>
          </cell>
          <cell r="X3172">
            <v>0</v>
          </cell>
          <cell r="Y3172">
            <v>0</v>
          </cell>
          <cell r="AW3172">
            <v>1</v>
          </cell>
          <cell r="BC3172">
            <v>10.029999999999999</v>
          </cell>
        </row>
        <row r="3173">
          <cell r="F3173" t="str">
            <v>1.1-1-3108</v>
          </cell>
          <cell r="H3173" t="str">
            <v>кг</v>
          </cell>
          <cell r="I3173">
            <v>37.799999999999997</v>
          </cell>
          <cell r="O3173">
            <v>667.17</v>
          </cell>
          <cell r="R3173">
            <v>0</v>
          </cell>
          <cell r="X3173">
            <v>0</v>
          </cell>
          <cell r="Y3173">
            <v>0</v>
          </cell>
          <cell r="AK3173">
            <v>17.649999999999999</v>
          </cell>
        </row>
        <row r="3174">
          <cell r="O3174">
            <v>3335.85</v>
          </cell>
          <cell r="R3174">
            <v>0</v>
          </cell>
          <cell r="X3174">
            <v>0</v>
          </cell>
          <cell r="Y3174">
            <v>0</v>
          </cell>
          <cell r="AW3174">
            <v>1</v>
          </cell>
          <cell r="BC3174">
            <v>5</v>
          </cell>
        </row>
        <row r="3175">
          <cell r="F3175" t="str">
            <v>1.3-2-50</v>
          </cell>
          <cell r="H3175" t="str">
            <v>т</v>
          </cell>
          <cell r="I3175">
            <v>0.10799999999999998</v>
          </cell>
          <cell r="O3175">
            <v>645.63</v>
          </cell>
          <cell r="R3175">
            <v>0</v>
          </cell>
          <cell r="X3175">
            <v>0</v>
          </cell>
          <cell r="Y3175">
            <v>0</v>
          </cell>
          <cell r="AK3175">
            <v>5978.05</v>
          </cell>
        </row>
        <row r="3176">
          <cell r="O3176">
            <v>9884.6</v>
          </cell>
          <cell r="R3176">
            <v>0</v>
          </cell>
          <cell r="X3176">
            <v>0</v>
          </cell>
          <cell r="Y3176">
            <v>0</v>
          </cell>
          <cell r="AW3176">
            <v>1</v>
          </cell>
          <cell r="BC3176">
            <v>15.31</v>
          </cell>
        </row>
        <row r="3177">
          <cell r="F3177" t="str">
            <v>1.3-2-35</v>
          </cell>
          <cell r="H3177" t="str">
            <v>т</v>
          </cell>
          <cell r="I3177">
            <v>1.5568200000000001</v>
          </cell>
          <cell r="O3177">
            <v>2599.42</v>
          </cell>
          <cell r="R3177">
            <v>0</v>
          </cell>
          <cell r="X3177">
            <v>0</v>
          </cell>
          <cell r="Y3177">
            <v>0</v>
          </cell>
          <cell r="AK3177">
            <v>1669.7</v>
          </cell>
        </row>
        <row r="3178">
          <cell r="O3178">
            <v>20795.36</v>
          </cell>
          <cell r="R3178">
            <v>0</v>
          </cell>
          <cell r="X3178">
            <v>0</v>
          </cell>
          <cell r="Y3178">
            <v>0</v>
          </cell>
          <cell r="AW3178">
            <v>1</v>
          </cell>
          <cell r="BC3178">
            <v>8</v>
          </cell>
        </row>
        <row r="3179">
          <cell r="F3179" t="str">
            <v>1.1-1-8134</v>
          </cell>
          <cell r="H3179" t="str">
            <v>м2</v>
          </cell>
          <cell r="I3179">
            <v>294.3</v>
          </cell>
          <cell r="O3179">
            <v>37632.14</v>
          </cell>
          <cell r="R3179">
            <v>0</v>
          </cell>
          <cell r="X3179">
            <v>0</v>
          </cell>
          <cell r="Y3179">
            <v>0</v>
          </cell>
          <cell r="AK3179">
            <v>127.87</v>
          </cell>
        </row>
        <row r="3180">
          <cell r="O3180">
            <v>309336.19</v>
          </cell>
          <cell r="R3180">
            <v>0</v>
          </cell>
          <cell r="X3180">
            <v>0</v>
          </cell>
          <cell r="Y3180">
            <v>0</v>
          </cell>
          <cell r="AW3180">
            <v>1</v>
          </cell>
          <cell r="BC3180">
            <v>8.2200000000000006</v>
          </cell>
        </row>
        <row r="3181">
          <cell r="F3181" t="str">
            <v>3.70-224-1</v>
          </cell>
          <cell r="H3181" t="str">
            <v>100 м2</v>
          </cell>
          <cell r="I3181">
            <v>0.7</v>
          </cell>
          <cell r="P3181">
            <v>58.38</v>
          </cell>
          <cell r="Q3181">
            <v>15.37</v>
          </cell>
          <cell r="R3181">
            <v>1.25</v>
          </cell>
          <cell r="S3181">
            <v>1807.35</v>
          </cell>
          <cell r="U3181">
            <v>114.12468899999998</v>
          </cell>
          <cell r="X3181">
            <v>1627.74</v>
          </cell>
          <cell r="Y3181">
            <v>759.61</v>
          </cell>
          <cell r="AL3181">
            <v>83.4</v>
          </cell>
          <cell r="AM3181">
            <v>14.28</v>
          </cell>
          <cell r="AN3181">
            <v>1.1599999999999999</v>
          </cell>
          <cell r="AO3181">
            <v>1825.33</v>
          </cell>
          <cell r="AQ3181">
            <v>115.26</v>
          </cell>
        </row>
        <row r="3182">
          <cell r="P3182">
            <v>87.57</v>
          </cell>
          <cell r="Q3182">
            <v>223.17</v>
          </cell>
          <cell r="R3182">
            <v>70.44</v>
          </cell>
          <cell r="S3182">
            <v>101844.17</v>
          </cell>
          <cell r="X3182">
            <v>91723.15</v>
          </cell>
          <cell r="Y3182">
            <v>42804.14</v>
          </cell>
          <cell r="AT3182">
            <v>90</v>
          </cell>
          <cell r="AU3182">
            <v>42</v>
          </cell>
          <cell r="AV3182">
            <v>1.0249999999999999</v>
          </cell>
          <cell r="AW3182">
            <v>1</v>
          </cell>
          <cell r="BA3182">
            <v>56.35</v>
          </cell>
          <cell r="BB3182">
            <v>14.52</v>
          </cell>
          <cell r="BC3182">
            <v>1.5</v>
          </cell>
          <cell r="BS3182">
            <v>56.35</v>
          </cell>
          <cell r="BZ3182">
            <v>90</v>
          </cell>
          <cell r="CA3182">
            <v>42</v>
          </cell>
        </row>
        <row r="3183">
          <cell r="F3183" t="str">
            <v>1.3-2-50</v>
          </cell>
          <cell r="H3183" t="str">
            <v>т</v>
          </cell>
          <cell r="I3183">
            <v>2.7999999999999997E-2</v>
          </cell>
          <cell r="O3183">
            <v>167.39</v>
          </cell>
          <cell r="R3183">
            <v>0</v>
          </cell>
          <cell r="X3183">
            <v>0</v>
          </cell>
          <cell r="Y3183">
            <v>0</v>
          </cell>
          <cell r="AK3183">
            <v>5978.05</v>
          </cell>
        </row>
        <row r="3184">
          <cell r="O3184">
            <v>2562.7399999999998</v>
          </cell>
          <cell r="R3184">
            <v>0</v>
          </cell>
          <cell r="X3184">
            <v>0</v>
          </cell>
          <cell r="Y3184">
            <v>0</v>
          </cell>
          <cell r="AW3184">
            <v>1</v>
          </cell>
          <cell r="BC3184">
            <v>15.31</v>
          </cell>
        </row>
        <row r="3185">
          <cell r="F3185" t="str">
            <v>1.3-2-35</v>
          </cell>
          <cell r="H3185" t="str">
            <v>т</v>
          </cell>
          <cell r="I3185">
            <v>0.26250000000000001</v>
          </cell>
          <cell r="O3185">
            <v>438.3</v>
          </cell>
          <cell r="R3185">
            <v>0</v>
          </cell>
          <cell r="X3185">
            <v>0</v>
          </cell>
          <cell r="Y3185">
            <v>0</v>
          </cell>
          <cell r="AK3185">
            <v>1669.7</v>
          </cell>
        </row>
        <row r="3186">
          <cell r="O3186">
            <v>3506.4</v>
          </cell>
          <cell r="R3186">
            <v>0</v>
          </cell>
          <cell r="X3186">
            <v>0</v>
          </cell>
          <cell r="Y3186">
            <v>0</v>
          </cell>
          <cell r="AW3186">
            <v>1</v>
          </cell>
          <cell r="BC3186">
            <v>8</v>
          </cell>
        </row>
        <row r="3187">
          <cell r="F3187" t="str">
            <v>1.1-1-4102</v>
          </cell>
          <cell r="H3187" t="str">
            <v>м2</v>
          </cell>
          <cell r="I3187">
            <v>76.3</v>
          </cell>
          <cell r="O3187">
            <v>7778.02</v>
          </cell>
          <cell r="R3187">
            <v>0</v>
          </cell>
          <cell r="X3187">
            <v>0</v>
          </cell>
          <cell r="Y3187">
            <v>0</v>
          </cell>
          <cell r="AK3187">
            <v>101.94</v>
          </cell>
        </row>
        <row r="3188">
          <cell r="O3188">
            <v>69613.279999999999</v>
          </cell>
          <cell r="R3188">
            <v>0</v>
          </cell>
          <cell r="X3188">
            <v>0</v>
          </cell>
          <cell r="Y3188">
            <v>0</v>
          </cell>
          <cell r="AW3188">
            <v>1</v>
          </cell>
          <cell r="BC3188">
            <v>8.9499999999999993</v>
          </cell>
        </row>
        <row r="3189">
          <cell r="F3189" t="str">
            <v>3.70-224-1</v>
          </cell>
          <cell r="H3189" t="str">
            <v>100 м2</v>
          </cell>
          <cell r="I3189">
            <v>7.24</v>
          </cell>
          <cell r="P3189">
            <v>603.82000000000005</v>
          </cell>
          <cell r="Q3189">
            <v>158.96</v>
          </cell>
          <cell r="R3189">
            <v>12.91</v>
          </cell>
          <cell r="S3189">
            <v>18693.169999999998</v>
          </cell>
          <cell r="U3189">
            <v>1180.3753547999997</v>
          </cell>
          <cell r="X3189">
            <v>16835.47</v>
          </cell>
          <cell r="Y3189">
            <v>7856.55</v>
          </cell>
          <cell r="AL3189">
            <v>83.4</v>
          </cell>
          <cell r="AM3189">
            <v>14.28</v>
          </cell>
          <cell r="AN3189">
            <v>1.1599999999999999</v>
          </cell>
          <cell r="AO3189">
            <v>1825.33</v>
          </cell>
          <cell r="AQ3189">
            <v>115.26</v>
          </cell>
        </row>
        <row r="3190">
          <cell r="P3190">
            <v>905.73</v>
          </cell>
          <cell r="Q3190">
            <v>2308.1</v>
          </cell>
          <cell r="R3190">
            <v>727.48</v>
          </cell>
          <cell r="S3190">
            <v>1053360.1299999999</v>
          </cell>
          <cell r="X3190">
            <v>948678.85</v>
          </cell>
          <cell r="Y3190">
            <v>442716.8</v>
          </cell>
          <cell r="AT3190">
            <v>90</v>
          </cell>
          <cell r="AU3190">
            <v>42</v>
          </cell>
          <cell r="AV3190">
            <v>1.0249999999999999</v>
          </cell>
          <cell r="AW3190">
            <v>1</v>
          </cell>
          <cell r="BA3190">
            <v>56.35</v>
          </cell>
          <cell r="BB3190">
            <v>14.52</v>
          </cell>
          <cell r="BC3190">
            <v>1.5</v>
          </cell>
          <cell r="BS3190">
            <v>56.35</v>
          </cell>
          <cell r="BZ3190">
            <v>90</v>
          </cell>
          <cell r="CA3190">
            <v>42</v>
          </cell>
        </row>
        <row r="3191">
          <cell r="F3191" t="str">
            <v>1.3-2-50</v>
          </cell>
          <cell r="H3191" t="str">
            <v>т</v>
          </cell>
          <cell r="I3191">
            <v>0.28960000000000002</v>
          </cell>
          <cell r="O3191">
            <v>1731.24</v>
          </cell>
          <cell r="R3191">
            <v>0</v>
          </cell>
          <cell r="X3191">
            <v>0</v>
          </cell>
          <cell r="Y3191">
            <v>0</v>
          </cell>
          <cell r="AK3191">
            <v>5978.05</v>
          </cell>
        </row>
        <row r="3192">
          <cell r="O3192">
            <v>26505.279999999999</v>
          </cell>
          <cell r="R3192">
            <v>0</v>
          </cell>
          <cell r="X3192">
            <v>0</v>
          </cell>
          <cell r="Y3192">
            <v>0</v>
          </cell>
          <cell r="AW3192">
            <v>1</v>
          </cell>
          <cell r="BC3192">
            <v>15.31</v>
          </cell>
        </row>
        <row r="3193">
          <cell r="F3193" t="str">
            <v>1.3-2-35</v>
          </cell>
          <cell r="H3193" t="str">
            <v>т</v>
          </cell>
          <cell r="I3193">
            <v>2.7149999999999999</v>
          </cell>
          <cell r="O3193">
            <v>4533.24</v>
          </cell>
          <cell r="R3193">
            <v>0</v>
          </cell>
          <cell r="X3193">
            <v>0</v>
          </cell>
          <cell r="Y3193">
            <v>0</v>
          </cell>
          <cell r="AK3193">
            <v>1669.7</v>
          </cell>
        </row>
        <row r="3194">
          <cell r="O3194">
            <v>36265.919999999998</v>
          </cell>
          <cell r="R3194">
            <v>0</v>
          </cell>
          <cell r="X3194">
            <v>0</v>
          </cell>
          <cell r="Y3194">
            <v>0</v>
          </cell>
          <cell r="AW3194">
            <v>1</v>
          </cell>
          <cell r="BC3194">
            <v>8</v>
          </cell>
        </row>
        <row r="3195">
          <cell r="F3195" t="str">
            <v>КА-180</v>
          </cell>
          <cell r="H3195" t="str">
            <v>м2</v>
          </cell>
          <cell r="I3195">
            <v>789.16</v>
          </cell>
          <cell r="O3195">
            <v>45258.33</v>
          </cell>
          <cell r="R3195">
            <v>0</v>
          </cell>
          <cell r="X3195">
            <v>0</v>
          </cell>
          <cell r="Y3195">
            <v>0</v>
          </cell>
          <cell r="AK3195">
            <v>57.349999999999994</v>
          </cell>
        </row>
        <row r="3196">
          <cell r="O3196">
            <v>445341.97</v>
          </cell>
          <cell r="R3196">
            <v>0</v>
          </cell>
          <cell r="X3196">
            <v>0</v>
          </cell>
          <cell r="Y3196">
            <v>0</v>
          </cell>
          <cell r="AW3196">
            <v>1</v>
          </cell>
          <cell r="BC3196">
            <v>9.84</v>
          </cell>
        </row>
        <row r="3197">
          <cell r="F3197" t="str">
            <v>3.70-224-1</v>
          </cell>
          <cell r="H3197" t="str">
            <v>100 м2</v>
          </cell>
          <cell r="I3197">
            <v>1</v>
          </cell>
          <cell r="P3197">
            <v>83.4</v>
          </cell>
          <cell r="Q3197">
            <v>21.96</v>
          </cell>
          <cell r="R3197">
            <v>1.78</v>
          </cell>
          <cell r="S3197">
            <v>2581.9299999999998</v>
          </cell>
          <cell r="U3197">
            <v>163.03526999999997</v>
          </cell>
          <cell r="X3197">
            <v>2325.34</v>
          </cell>
          <cell r="Y3197">
            <v>1085.1600000000001</v>
          </cell>
          <cell r="AL3197">
            <v>83.4</v>
          </cell>
          <cell r="AM3197">
            <v>14.28</v>
          </cell>
          <cell r="AN3197">
            <v>1.1599999999999999</v>
          </cell>
          <cell r="AO3197">
            <v>1825.33</v>
          </cell>
          <cell r="AQ3197">
            <v>115.26</v>
          </cell>
        </row>
        <row r="3198">
          <cell r="P3198">
            <v>125.1</v>
          </cell>
          <cell r="Q3198">
            <v>318.86</v>
          </cell>
          <cell r="R3198">
            <v>100.3</v>
          </cell>
          <cell r="S3198">
            <v>145491.76</v>
          </cell>
          <cell r="X3198">
            <v>131032.85</v>
          </cell>
          <cell r="Y3198">
            <v>61148.67</v>
          </cell>
          <cell r="AT3198">
            <v>90</v>
          </cell>
          <cell r="AU3198">
            <v>42</v>
          </cell>
          <cell r="AV3198">
            <v>1.0249999999999999</v>
          </cell>
          <cell r="AW3198">
            <v>1</v>
          </cell>
          <cell r="BA3198">
            <v>56.35</v>
          </cell>
          <cell r="BB3198">
            <v>14.52</v>
          </cell>
          <cell r="BC3198">
            <v>1.5</v>
          </cell>
          <cell r="BS3198">
            <v>56.35</v>
          </cell>
          <cell r="BZ3198">
            <v>90</v>
          </cell>
          <cell r="CA3198">
            <v>42</v>
          </cell>
        </row>
        <row r="3199">
          <cell r="F3199" t="str">
            <v>1.3-2-50</v>
          </cell>
          <cell r="H3199" t="str">
            <v>т</v>
          </cell>
          <cell r="I3199">
            <v>0.04</v>
          </cell>
          <cell r="O3199">
            <v>239.12</v>
          </cell>
          <cell r="R3199">
            <v>0</v>
          </cell>
          <cell r="X3199">
            <v>0</v>
          </cell>
          <cell r="Y3199">
            <v>0</v>
          </cell>
          <cell r="AK3199">
            <v>5978.05</v>
          </cell>
        </row>
        <row r="3200">
          <cell r="O3200">
            <v>3660.93</v>
          </cell>
          <cell r="R3200">
            <v>0</v>
          </cell>
          <cell r="X3200">
            <v>0</v>
          </cell>
          <cell r="Y3200">
            <v>0</v>
          </cell>
          <cell r="AW3200">
            <v>1</v>
          </cell>
          <cell r="BC3200">
            <v>15.31</v>
          </cell>
        </row>
        <row r="3201">
          <cell r="F3201" t="str">
            <v>1.3-2-35</v>
          </cell>
          <cell r="H3201" t="str">
            <v>т</v>
          </cell>
          <cell r="I3201">
            <v>0.375</v>
          </cell>
          <cell r="O3201">
            <v>626.14</v>
          </cell>
          <cell r="R3201">
            <v>0</v>
          </cell>
          <cell r="X3201">
            <v>0</v>
          </cell>
          <cell r="Y3201">
            <v>0</v>
          </cell>
          <cell r="AK3201">
            <v>1669.7</v>
          </cell>
        </row>
        <row r="3202">
          <cell r="O3202">
            <v>5009.12</v>
          </cell>
          <cell r="R3202">
            <v>0</v>
          </cell>
          <cell r="X3202">
            <v>0</v>
          </cell>
          <cell r="Y3202">
            <v>0</v>
          </cell>
          <cell r="AW3202">
            <v>1</v>
          </cell>
          <cell r="BC3202">
            <v>8</v>
          </cell>
        </row>
        <row r="3203">
          <cell r="F3203" t="str">
            <v>КА-181</v>
          </cell>
          <cell r="H3203" t="str">
            <v>м2</v>
          </cell>
          <cell r="I3203">
            <v>109</v>
          </cell>
          <cell r="O3203">
            <v>6251.15</v>
          </cell>
          <cell r="R3203">
            <v>0</v>
          </cell>
          <cell r="X3203">
            <v>0</v>
          </cell>
          <cell r="Y3203">
            <v>0</v>
          </cell>
          <cell r="AK3203">
            <v>57.349999999999994</v>
          </cell>
        </row>
        <row r="3204">
          <cell r="O3204">
            <v>61511.32</v>
          </cell>
          <cell r="R3204">
            <v>0</v>
          </cell>
          <cell r="X3204">
            <v>0</v>
          </cell>
          <cell r="Y3204">
            <v>0</v>
          </cell>
          <cell r="AW3204">
            <v>1</v>
          </cell>
          <cell r="BC3204">
            <v>9.84</v>
          </cell>
        </row>
        <row r="3205">
          <cell r="F3205" t="str">
            <v>3.70-224-1</v>
          </cell>
          <cell r="H3205" t="str">
            <v>100 м2</v>
          </cell>
          <cell r="I3205">
            <v>1.1299999999999999</v>
          </cell>
          <cell r="P3205">
            <v>94.24</v>
          </cell>
          <cell r="Q3205">
            <v>24.81</v>
          </cell>
          <cell r="R3205">
            <v>2.02</v>
          </cell>
          <cell r="S3205">
            <v>2917.58</v>
          </cell>
          <cell r="U3205">
            <v>184.22985509999995</v>
          </cell>
          <cell r="X3205">
            <v>2627.64</v>
          </cell>
          <cell r="Y3205">
            <v>1226.23</v>
          </cell>
          <cell r="AL3205">
            <v>83.4</v>
          </cell>
          <cell r="AM3205">
            <v>14.28</v>
          </cell>
          <cell r="AN3205">
            <v>1.1599999999999999</v>
          </cell>
          <cell r="AO3205">
            <v>1825.33</v>
          </cell>
          <cell r="AQ3205">
            <v>115.26</v>
          </cell>
        </row>
        <row r="3206">
          <cell r="P3206">
            <v>141.36000000000001</v>
          </cell>
          <cell r="Q3206">
            <v>360.24</v>
          </cell>
          <cell r="R3206">
            <v>113.83</v>
          </cell>
          <cell r="S3206">
            <v>164405.63</v>
          </cell>
          <cell r="X3206">
            <v>148067.51</v>
          </cell>
          <cell r="Y3206">
            <v>69098.17</v>
          </cell>
          <cell r="AT3206">
            <v>90</v>
          </cell>
          <cell r="AU3206">
            <v>42</v>
          </cell>
          <cell r="AV3206">
            <v>1.0249999999999999</v>
          </cell>
          <cell r="AW3206">
            <v>1</v>
          </cell>
          <cell r="BA3206">
            <v>56.35</v>
          </cell>
          <cell r="BB3206">
            <v>14.52</v>
          </cell>
          <cell r="BC3206">
            <v>1.5</v>
          </cell>
          <cell r="BS3206">
            <v>56.35</v>
          </cell>
          <cell r="BZ3206">
            <v>90</v>
          </cell>
          <cell r="CA3206">
            <v>42</v>
          </cell>
        </row>
        <row r="3207">
          <cell r="F3207" t="str">
            <v>1.3-2-50</v>
          </cell>
          <cell r="H3207" t="str">
            <v>т</v>
          </cell>
          <cell r="I3207">
            <v>4.5199999999999997E-2</v>
          </cell>
          <cell r="O3207">
            <v>270.20999999999998</v>
          </cell>
          <cell r="R3207">
            <v>0</v>
          </cell>
          <cell r="X3207">
            <v>0</v>
          </cell>
          <cell r="Y3207">
            <v>0</v>
          </cell>
          <cell r="AK3207">
            <v>5978.05</v>
          </cell>
        </row>
        <row r="3208">
          <cell r="O3208">
            <v>4136.92</v>
          </cell>
          <cell r="R3208">
            <v>0</v>
          </cell>
          <cell r="X3208">
            <v>0</v>
          </cell>
          <cell r="Y3208">
            <v>0</v>
          </cell>
          <cell r="AW3208">
            <v>1</v>
          </cell>
          <cell r="BC3208">
            <v>15.31</v>
          </cell>
        </row>
        <row r="3209">
          <cell r="F3209" t="str">
            <v>1.3-2-35</v>
          </cell>
          <cell r="H3209" t="str">
            <v>т</v>
          </cell>
          <cell r="I3209">
            <v>0.42375000000000002</v>
          </cell>
          <cell r="O3209">
            <v>707.54</v>
          </cell>
          <cell r="R3209">
            <v>0</v>
          </cell>
          <cell r="X3209">
            <v>0</v>
          </cell>
          <cell r="Y3209">
            <v>0</v>
          </cell>
          <cell r="AK3209">
            <v>1669.7</v>
          </cell>
        </row>
        <row r="3210">
          <cell r="O3210">
            <v>5660.32</v>
          </cell>
          <cell r="R3210">
            <v>0</v>
          </cell>
          <cell r="X3210">
            <v>0</v>
          </cell>
          <cell r="Y3210">
            <v>0</v>
          </cell>
          <cell r="AW3210">
            <v>1</v>
          </cell>
          <cell r="BC3210">
            <v>8</v>
          </cell>
        </row>
        <row r="3211">
          <cell r="F3211" t="str">
            <v>КА-182</v>
          </cell>
          <cell r="H3211" t="str">
            <v>м2</v>
          </cell>
          <cell r="I3211">
            <v>29.43</v>
          </cell>
          <cell r="O3211">
            <v>5448.67</v>
          </cell>
          <cell r="R3211">
            <v>0</v>
          </cell>
          <cell r="X3211">
            <v>0</v>
          </cell>
          <cell r="Y3211">
            <v>0</v>
          </cell>
          <cell r="AK3211">
            <v>185.14</v>
          </cell>
        </row>
        <row r="3212">
          <cell r="O3212">
            <v>53614.91</v>
          </cell>
          <cell r="R3212">
            <v>0</v>
          </cell>
          <cell r="X3212">
            <v>0</v>
          </cell>
          <cell r="Y3212">
            <v>0</v>
          </cell>
          <cell r="AW3212">
            <v>1</v>
          </cell>
          <cell r="BC3212">
            <v>9.84</v>
          </cell>
        </row>
        <row r="3213">
          <cell r="F3213" t="str">
            <v>КА-183</v>
          </cell>
          <cell r="H3213" t="str">
            <v>м2</v>
          </cell>
          <cell r="I3213">
            <v>93.74</v>
          </cell>
          <cell r="O3213">
            <v>14798.73</v>
          </cell>
          <cell r="R3213">
            <v>0</v>
          </cell>
          <cell r="X3213">
            <v>0</v>
          </cell>
          <cell r="Y3213">
            <v>0</v>
          </cell>
          <cell r="AK3213">
            <v>157.87</v>
          </cell>
        </row>
        <row r="3214">
          <cell r="O3214">
            <v>145619.5</v>
          </cell>
          <cell r="R3214">
            <v>0</v>
          </cell>
          <cell r="X3214">
            <v>0</v>
          </cell>
          <cell r="Y3214">
            <v>0</v>
          </cell>
          <cell r="AW3214">
            <v>1</v>
          </cell>
          <cell r="BC3214">
            <v>9.84</v>
          </cell>
        </row>
        <row r="3215">
          <cell r="F3215" t="str">
            <v>3.70-228-5</v>
          </cell>
          <cell r="H3215" t="str">
            <v>100 м2</v>
          </cell>
          <cell r="I3215">
            <v>2.1800000000000002</v>
          </cell>
          <cell r="P3215">
            <v>466.72</v>
          </cell>
          <cell r="Q3215">
            <v>261.33999999999997</v>
          </cell>
          <cell r="R3215">
            <v>45.68</v>
          </cell>
          <cell r="S3215">
            <v>4366.55</v>
          </cell>
          <cell r="U3215">
            <v>263.43280229999999</v>
          </cell>
          <cell r="X3215">
            <v>3971.01</v>
          </cell>
          <cell r="Y3215">
            <v>1853.14</v>
          </cell>
          <cell r="AL3215">
            <v>214.09</v>
          </cell>
          <cell r="AM3215">
            <v>77.97</v>
          </cell>
          <cell r="AN3215">
            <v>13.63</v>
          </cell>
          <cell r="AO3215">
            <v>1416.05</v>
          </cell>
          <cell r="AQ3215">
            <v>85.43</v>
          </cell>
        </row>
        <row r="3216">
          <cell r="P3216">
            <v>667.41</v>
          </cell>
          <cell r="Q3216">
            <v>4926.26</v>
          </cell>
          <cell r="R3216">
            <v>2574.0700000000002</v>
          </cell>
          <cell r="S3216">
            <v>246055.09</v>
          </cell>
          <cell r="X3216">
            <v>223766.24</v>
          </cell>
          <cell r="Y3216">
            <v>104424.25</v>
          </cell>
          <cell r="AT3216">
            <v>90</v>
          </cell>
          <cell r="AU3216">
            <v>42</v>
          </cell>
          <cell r="AV3216">
            <v>1.0249999999999999</v>
          </cell>
          <cell r="AW3216">
            <v>1</v>
          </cell>
          <cell r="BA3216">
            <v>56.35</v>
          </cell>
          <cell r="BB3216">
            <v>18.850000000000001</v>
          </cell>
          <cell r="BC3216">
            <v>1.43</v>
          </cell>
          <cell r="BS3216">
            <v>56.35</v>
          </cell>
          <cell r="BZ3216">
            <v>90</v>
          </cell>
          <cell r="CA3216">
            <v>42</v>
          </cell>
        </row>
        <row r="3217">
          <cell r="F3217" t="str">
            <v>1.1-1-8206</v>
          </cell>
          <cell r="H3217" t="str">
            <v>100 шт.</v>
          </cell>
          <cell r="I3217">
            <v>14.9984</v>
          </cell>
          <cell r="O3217">
            <v>65.09</v>
          </cell>
          <cell r="R3217">
            <v>0</v>
          </cell>
          <cell r="X3217">
            <v>0</v>
          </cell>
          <cell r="Y3217">
            <v>0</v>
          </cell>
          <cell r="AK3217">
            <v>4.34</v>
          </cell>
        </row>
        <row r="3218">
          <cell r="O3218">
            <v>652.85</v>
          </cell>
          <cell r="R3218">
            <v>0</v>
          </cell>
          <cell r="X3218">
            <v>0</v>
          </cell>
          <cell r="Y3218">
            <v>0</v>
          </cell>
          <cell r="AW3218">
            <v>1</v>
          </cell>
          <cell r="BC3218">
            <v>10.029999999999999</v>
          </cell>
        </row>
        <row r="3219">
          <cell r="F3219" t="str">
            <v>1.1-1-3108</v>
          </cell>
          <cell r="H3219" t="str">
            <v>кг</v>
          </cell>
          <cell r="I3219">
            <v>30.52</v>
          </cell>
          <cell r="O3219">
            <v>538.67999999999995</v>
          </cell>
          <cell r="R3219">
            <v>0</v>
          </cell>
          <cell r="X3219">
            <v>0</v>
          </cell>
          <cell r="Y3219">
            <v>0</v>
          </cell>
          <cell r="AK3219">
            <v>17.649999999999999</v>
          </cell>
        </row>
        <row r="3220">
          <cell r="O3220">
            <v>2693.4</v>
          </cell>
          <cell r="R3220">
            <v>0</v>
          </cell>
          <cell r="X3220">
            <v>0</v>
          </cell>
          <cell r="Y3220">
            <v>0</v>
          </cell>
          <cell r="AW3220">
            <v>1</v>
          </cell>
          <cell r="BC3220">
            <v>5</v>
          </cell>
        </row>
        <row r="3221">
          <cell r="F3221" t="str">
            <v>1.3-2-50</v>
          </cell>
          <cell r="H3221" t="str">
            <v>т</v>
          </cell>
          <cell r="I3221">
            <v>8.72E-2</v>
          </cell>
          <cell r="O3221">
            <v>521.29</v>
          </cell>
          <cell r="R3221">
            <v>0</v>
          </cell>
          <cell r="X3221">
            <v>0</v>
          </cell>
          <cell r="Y3221">
            <v>0</v>
          </cell>
          <cell r="AK3221">
            <v>5978.05</v>
          </cell>
        </row>
        <row r="3222">
          <cell r="O3222">
            <v>7980.95</v>
          </cell>
          <cell r="R3222">
            <v>0</v>
          </cell>
          <cell r="X3222">
            <v>0</v>
          </cell>
          <cell r="Y3222">
            <v>0</v>
          </cell>
          <cell r="AW3222">
            <v>1</v>
          </cell>
          <cell r="BC3222">
            <v>15.31</v>
          </cell>
        </row>
        <row r="3223">
          <cell r="F3223" t="str">
            <v>1.3-2-35</v>
          </cell>
          <cell r="H3223" t="str">
            <v>т</v>
          </cell>
          <cell r="I3223">
            <v>1.256988</v>
          </cell>
          <cell r="O3223">
            <v>2098.79</v>
          </cell>
          <cell r="R3223">
            <v>0</v>
          </cell>
          <cell r="X3223">
            <v>0</v>
          </cell>
          <cell r="Y3223">
            <v>0</v>
          </cell>
          <cell r="AK3223">
            <v>1669.7</v>
          </cell>
        </row>
        <row r="3224">
          <cell r="O3224">
            <v>16790.32</v>
          </cell>
          <cell r="R3224">
            <v>0</v>
          </cell>
          <cell r="X3224">
            <v>0</v>
          </cell>
          <cell r="Y3224">
            <v>0</v>
          </cell>
          <cell r="AW3224">
            <v>1</v>
          </cell>
          <cell r="BC3224">
            <v>8</v>
          </cell>
        </row>
        <row r="3225">
          <cell r="F3225" t="str">
            <v>КА-185</v>
          </cell>
          <cell r="H3225" t="str">
            <v>м2</v>
          </cell>
          <cell r="I3225">
            <v>237.62</v>
          </cell>
          <cell r="O3225">
            <v>70361.66</v>
          </cell>
          <cell r="R3225">
            <v>0</v>
          </cell>
          <cell r="X3225">
            <v>0</v>
          </cell>
          <cell r="Y3225">
            <v>0</v>
          </cell>
          <cell r="AK3225">
            <v>296.11</v>
          </cell>
        </row>
        <row r="3226">
          <cell r="O3226">
            <v>692358.73</v>
          </cell>
          <cell r="R3226">
            <v>0</v>
          </cell>
          <cell r="X3226">
            <v>0</v>
          </cell>
          <cell r="Y3226">
            <v>0</v>
          </cell>
          <cell r="AW3226">
            <v>1</v>
          </cell>
          <cell r="BC3226">
            <v>9.84</v>
          </cell>
        </row>
        <row r="3227">
          <cell r="F3227" t="str">
            <v>3.15-161-1</v>
          </cell>
          <cell r="H3227" t="str">
            <v>100 м2</v>
          </cell>
          <cell r="I3227">
            <v>0.91</v>
          </cell>
          <cell r="P3227">
            <v>2.39</v>
          </cell>
          <cell r="Q3227">
            <v>75.86</v>
          </cell>
          <cell r="R3227">
            <v>5.65</v>
          </cell>
          <cell r="S3227">
            <v>2409.89</v>
          </cell>
          <cell r="U3227">
            <v>211.71783359999998</v>
          </cell>
          <cell r="X3227">
            <v>2173.9899999999998</v>
          </cell>
          <cell r="Y3227">
            <v>1014.53</v>
          </cell>
          <cell r="AL3227">
            <v>2.63</v>
          </cell>
          <cell r="AM3227">
            <v>54.22</v>
          </cell>
          <cell r="AN3227">
            <v>4.04</v>
          </cell>
          <cell r="AO3227">
            <v>1872.2</v>
          </cell>
          <cell r="AQ3227">
            <v>164.48</v>
          </cell>
        </row>
        <row r="3228">
          <cell r="P3228">
            <v>26.62</v>
          </cell>
          <cell r="Q3228">
            <v>1002.87</v>
          </cell>
          <cell r="R3228">
            <v>318.38</v>
          </cell>
          <cell r="S3228">
            <v>135797.29999999999</v>
          </cell>
          <cell r="X3228">
            <v>122504.11</v>
          </cell>
          <cell r="Y3228">
            <v>57168.59</v>
          </cell>
          <cell r="AT3228">
            <v>90</v>
          </cell>
          <cell r="AU3228">
            <v>42</v>
          </cell>
          <cell r="AV3228">
            <v>1.0249999999999999</v>
          </cell>
          <cell r="AW3228">
            <v>1</v>
          </cell>
          <cell r="BA3228">
            <v>56.35</v>
          </cell>
          <cell r="BB3228">
            <v>13.22</v>
          </cell>
          <cell r="BC3228">
            <v>11.14</v>
          </cell>
          <cell r="BS3228">
            <v>56.35</v>
          </cell>
          <cell r="BZ3228">
            <v>90</v>
          </cell>
          <cell r="CA3228">
            <v>42</v>
          </cell>
        </row>
        <row r="3229">
          <cell r="F3229" t="str">
            <v>1.3-2-50</v>
          </cell>
          <cell r="H3229" t="str">
            <v>т</v>
          </cell>
          <cell r="I3229">
            <v>0.10920000000000001</v>
          </cell>
          <cell r="O3229">
            <v>652.79999999999995</v>
          </cell>
          <cell r="R3229">
            <v>0</v>
          </cell>
          <cell r="X3229">
            <v>0</v>
          </cell>
          <cell r="Y3229">
            <v>0</v>
          </cell>
          <cell r="AK3229">
            <v>5978.05</v>
          </cell>
        </row>
        <row r="3230">
          <cell r="O3230">
            <v>9994.3700000000008</v>
          </cell>
          <cell r="R3230">
            <v>0</v>
          </cell>
          <cell r="X3230">
            <v>0</v>
          </cell>
          <cell r="Y3230">
            <v>0</v>
          </cell>
          <cell r="AW3230">
            <v>1</v>
          </cell>
          <cell r="BC3230">
            <v>15.31</v>
          </cell>
        </row>
        <row r="3231">
          <cell r="F3231" t="str">
            <v>1.3-2-168</v>
          </cell>
          <cell r="H3231" t="str">
            <v>т</v>
          </cell>
          <cell r="I3231">
            <v>0.25480000000000003</v>
          </cell>
          <cell r="O3231">
            <v>1661.58</v>
          </cell>
          <cell r="R3231">
            <v>0</v>
          </cell>
          <cell r="X3231">
            <v>0</v>
          </cell>
          <cell r="Y3231">
            <v>0</v>
          </cell>
          <cell r="AK3231">
            <v>6521.13</v>
          </cell>
        </row>
        <row r="3232">
          <cell r="O3232">
            <v>3090.54</v>
          </cell>
          <cell r="R3232">
            <v>0</v>
          </cell>
          <cell r="X3232">
            <v>0</v>
          </cell>
          <cell r="Y3232">
            <v>0</v>
          </cell>
          <cell r="AW3232">
            <v>1</v>
          </cell>
          <cell r="BC3232">
            <v>1.86</v>
          </cell>
        </row>
        <row r="3233">
          <cell r="F3233" t="str">
            <v>КА-184</v>
          </cell>
          <cell r="H3233" t="str">
            <v>м2</v>
          </cell>
          <cell r="I3233">
            <v>91.91</v>
          </cell>
          <cell r="O3233">
            <v>23575.83</v>
          </cell>
          <cell r="R3233">
            <v>0</v>
          </cell>
          <cell r="X3233">
            <v>0</v>
          </cell>
          <cell r="Y3233">
            <v>0</v>
          </cell>
          <cell r="AK3233">
            <v>256.51</v>
          </cell>
        </row>
        <row r="3234">
          <cell r="O3234">
            <v>231986.17</v>
          </cell>
          <cell r="R3234">
            <v>0</v>
          </cell>
          <cell r="X3234">
            <v>0</v>
          </cell>
          <cell r="Y3234">
            <v>0</v>
          </cell>
          <cell r="AW3234">
            <v>1</v>
          </cell>
          <cell r="BC3234">
            <v>9.84</v>
          </cell>
        </row>
        <row r="3236">
          <cell r="G3236" t="str">
            <v>Отделочные работы</v>
          </cell>
        </row>
        <row r="3266">
          <cell r="G3266" t="str">
            <v>Стены внутренние</v>
          </cell>
        </row>
        <row r="3296">
          <cell r="G3296" t="str">
            <v>Отделка потолков</v>
          </cell>
        </row>
        <row r="3300">
          <cell r="G3300" t="str">
            <v>Демонтажные работы</v>
          </cell>
        </row>
        <row r="3304">
          <cell r="F3304" t="str">
            <v>6.70-17-1</v>
          </cell>
          <cell r="H3304" t="str">
            <v>100 м2</v>
          </cell>
          <cell r="I3304">
            <v>22.17</v>
          </cell>
          <cell r="Q3304">
            <v>104.99</v>
          </cell>
          <cell r="R3304">
            <v>0</v>
          </cell>
          <cell r="S3304">
            <v>16308.83</v>
          </cell>
          <cell r="U3304">
            <v>1092.4001460000002</v>
          </cell>
          <cell r="X3304">
            <v>15004.12</v>
          </cell>
          <cell r="Y3304">
            <v>9622.2099999999991</v>
          </cell>
          <cell r="AM3304">
            <v>3.85</v>
          </cell>
          <cell r="AO3304">
            <v>598.07000000000005</v>
          </cell>
          <cell r="AQ3304">
            <v>40.06</v>
          </cell>
        </row>
        <row r="3305">
          <cell r="Q3305">
            <v>1014.2</v>
          </cell>
          <cell r="R3305">
            <v>0</v>
          </cell>
          <cell r="S3305">
            <v>919002.57</v>
          </cell>
          <cell r="X3305">
            <v>845482.36</v>
          </cell>
          <cell r="Y3305">
            <v>542211.52</v>
          </cell>
          <cell r="AT3305">
            <v>92</v>
          </cell>
          <cell r="AU3305">
            <v>59</v>
          </cell>
          <cell r="AV3305">
            <v>1.0249999999999999</v>
          </cell>
          <cell r="BA3305">
            <v>56.35</v>
          </cell>
          <cell r="BB3305">
            <v>9.66</v>
          </cell>
          <cell r="BZ3305">
            <v>92</v>
          </cell>
          <cell r="CA3305">
            <v>59</v>
          </cell>
        </row>
        <row r="3306">
          <cell r="F3306" t="str">
            <v>3.70-257-1</v>
          </cell>
          <cell r="H3306" t="str">
            <v>100 м2</v>
          </cell>
          <cell r="I3306">
            <v>3.45</v>
          </cell>
          <cell r="Q3306">
            <v>327.33</v>
          </cell>
          <cell r="R3306">
            <v>16.2</v>
          </cell>
          <cell r="S3306">
            <v>4822.37</v>
          </cell>
          <cell r="U3306">
            <v>292.58370287999992</v>
          </cell>
          <cell r="X3306">
            <v>4354.71</v>
          </cell>
          <cell r="Y3306">
            <v>2032.2</v>
          </cell>
          <cell r="AM3306">
            <v>121.23</v>
          </cell>
          <cell r="AN3306">
            <v>6</v>
          </cell>
          <cell r="AO3306">
            <v>1785.99</v>
          </cell>
          <cell r="AQ3306">
            <v>108.36</v>
          </cell>
        </row>
        <row r="3307">
          <cell r="Q3307">
            <v>4081.81</v>
          </cell>
          <cell r="R3307">
            <v>912.87</v>
          </cell>
          <cell r="S3307">
            <v>271740.55</v>
          </cell>
          <cell r="X3307">
            <v>245388.08</v>
          </cell>
          <cell r="Y3307">
            <v>114514.44</v>
          </cell>
          <cell r="AT3307">
            <v>90</v>
          </cell>
          <cell r="AU3307">
            <v>42</v>
          </cell>
          <cell r="AV3307">
            <v>1.087</v>
          </cell>
          <cell r="BA3307">
            <v>56.35</v>
          </cell>
          <cell r="BB3307">
            <v>12.47</v>
          </cell>
          <cell r="BS3307">
            <v>56.35</v>
          </cell>
          <cell r="BZ3307">
            <v>90</v>
          </cell>
          <cell r="CA3307">
            <v>42</v>
          </cell>
        </row>
        <row r="3308">
          <cell r="F3308" t="str">
            <v>6.61-26-2</v>
          </cell>
          <cell r="H3308" t="str">
            <v>100 м2</v>
          </cell>
          <cell r="I3308">
            <v>35.57</v>
          </cell>
          <cell r="R3308">
            <v>0</v>
          </cell>
          <cell r="S3308">
            <v>22425.52</v>
          </cell>
          <cell r="U3308">
            <v>2194.2862667999998</v>
          </cell>
          <cell r="X3308">
            <v>19958.71</v>
          </cell>
          <cell r="Y3308">
            <v>9867.23</v>
          </cell>
          <cell r="AO3308">
            <v>501.8</v>
          </cell>
          <cell r="AQ3308">
            <v>49.1</v>
          </cell>
        </row>
        <row r="3309">
          <cell r="R3309">
            <v>0</v>
          </cell>
          <cell r="S3309">
            <v>1263678.05</v>
          </cell>
          <cell r="X3309">
            <v>1124673.46</v>
          </cell>
          <cell r="Y3309">
            <v>556018.34</v>
          </cell>
          <cell r="AT3309">
            <v>89</v>
          </cell>
          <cell r="AU3309">
            <v>44</v>
          </cell>
          <cell r="AV3309">
            <v>1.0469999999999999</v>
          </cell>
          <cell r="BA3309">
            <v>56.35</v>
          </cell>
          <cell r="BZ3309">
            <v>89</v>
          </cell>
          <cell r="CA3309">
            <v>44</v>
          </cell>
        </row>
        <row r="3311">
          <cell r="G3311" t="str">
            <v>Демонтажные работы</v>
          </cell>
        </row>
        <row r="3341">
          <cell r="G3341" t="str">
            <v>Отделочные работы</v>
          </cell>
        </row>
        <row r="3345">
          <cell r="F3345" t="str">
            <v>3.70-265-4</v>
          </cell>
          <cell r="H3345" t="str">
            <v>100 м2 оштукатуриваемой поверхности</v>
          </cell>
          <cell r="I3345">
            <v>35.57</v>
          </cell>
          <cell r="P3345">
            <v>6631.32</v>
          </cell>
          <cell r="Q3345">
            <v>6737.12</v>
          </cell>
          <cell r="R3345">
            <v>3432.27</v>
          </cell>
          <cell r="S3345">
            <v>65734.929999999993</v>
          </cell>
          <cell r="U3345">
            <v>3773.5323749999998</v>
          </cell>
          <cell r="X3345">
            <v>62250.48</v>
          </cell>
          <cell r="Y3345">
            <v>29050.22</v>
          </cell>
          <cell r="AL3345">
            <v>186.43</v>
          </cell>
          <cell r="AM3345">
            <v>123.19</v>
          </cell>
          <cell r="AN3345">
            <v>62.76</v>
          </cell>
          <cell r="AO3345">
            <v>1306.5</v>
          </cell>
          <cell r="AQ3345">
            <v>75</v>
          </cell>
        </row>
        <row r="3346">
          <cell r="P3346">
            <v>206366.68</v>
          </cell>
          <cell r="Q3346">
            <v>248128.13</v>
          </cell>
          <cell r="R3346">
            <v>193408.41</v>
          </cell>
          <cell r="S3346">
            <v>3704163.31</v>
          </cell>
          <cell r="X3346">
            <v>3507814.55</v>
          </cell>
          <cell r="Y3346">
            <v>1636980.12</v>
          </cell>
          <cell r="AT3346">
            <v>90</v>
          </cell>
          <cell r="AU3346">
            <v>42</v>
          </cell>
          <cell r="AV3346">
            <v>1.0249999999999999</v>
          </cell>
          <cell r="AW3346">
            <v>1</v>
          </cell>
          <cell r="BA3346">
            <v>56.35</v>
          </cell>
          <cell r="BB3346">
            <v>36.83</v>
          </cell>
          <cell r="BC3346">
            <v>31.12</v>
          </cell>
          <cell r="BS3346">
            <v>56.35</v>
          </cell>
          <cell r="BZ3346">
            <v>90</v>
          </cell>
          <cell r="CA3346">
            <v>42</v>
          </cell>
        </row>
        <row r="3347">
          <cell r="F3347" t="str">
            <v>1.1-1-118</v>
          </cell>
          <cell r="H3347" t="str">
            <v>м3</v>
          </cell>
          <cell r="I3347">
            <v>3.8244859999999998</v>
          </cell>
          <cell r="O3347">
            <v>27.04</v>
          </cell>
          <cell r="R3347">
            <v>0</v>
          </cell>
          <cell r="X3347">
            <v>0</v>
          </cell>
          <cell r="Y3347">
            <v>0</v>
          </cell>
          <cell r="AK3347">
            <v>7.07</v>
          </cell>
        </row>
        <row r="3348">
          <cell r="O3348">
            <v>209.56</v>
          </cell>
          <cell r="R3348">
            <v>0</v>
          </cell>
          <cell r="X3348">
            <v>0</v>
          </cell>
          <cell r="Y3348">
            <v>0</v>
          </cell>
          <cell r="AW3348">
            <v>1</v>
          </cell>
          <cell r="BC3348">
            <v>7.75</v>
          </cell>
        </row>
        <row r="3349">
          <cell r="F3349" t="str">
            <v>1.3-2-24</v>
          </cell>
          <cell r="H3349" t="str">
            <v>т</v>
          </cell>
          <cell r="I3349">
            <v>21.854208</v>
          </cell>
          <cell r="O3349">
            <v>17240.78</v>
          </cell>
          <cell r="R3349">
            <v>0</v>
          </cell>
          <cell r="X3349">
            <v>0</v>
          </cell>
          <cell r="Y3349">
            <v>0</v>
          </cell>
          <cell r="AK3349">
            <v>788.9</v>
          </cell>
        </row>
        <row r="3350">
          <cell r="O3350">
            <v>210337.52</v>
          </cell>
          <cell r="R3350">
            <v>0</v>
          </cell>
          <cell r="X3350">
            <v>0</v>
          </cell>
          <cell r="Y3350">
            <v>0</v>
          </cell>
          <cell r="AW3350">
            <v>1</v>
          </cell>
          <cell r="BC3350">
            <v>12.2</v>
          </cell>
        </row>
        <row r="3351">
          <cell r="F3351" t="str">
            <v>1.3-2-13</v>
          </cell>
          <cell r="H3351" t="str">
            <v>м3</v>
          </cell>
          <cell r="I3351">
            <v>54.63552</v>
          </cell>
          <cell r="O3351">
            <v>25716.94</v>
          </cell>
          <cell r="R3351">
            <v>0</v>
          </cell>
          <cell r="X3351">
            <v>0</v>
          </cell>
          <cell r="Y3351">
            <v>0</v>
          </cell>
          <cell r="AK3351">
            <v>470.7</v>
          </cell>
        </row>
        <row r="3352">
          <cell r="O3352">
            <v>278771.63</v>
          </cell>
          <cell r="R3352">
            <v>0</v>
          </cell>
          <cell r="X3352">
            <v>0</v>
          </cell>
          <cell r="Y3352">
            <v>0</v>
          </cell>
          <cell r="AW3352">
            <v>1</v>
          </cell>
          <cell r="BC3352">
            <v>10.84</v>
          </cell>
        </row>
        <row r="3353">
          <cell r="F3353" t="str">
            <v>3.70-300-6</v>
          </cell>
          <cell r="H3353" t="str">
            <v>100 м2</v>
          </cell>
          <cell r="I3353">
            <v>20.79</v>
          </cell>
          <cell r="P3353">
            <v>1044.7</v>
          </cell>
          <cell r="Q3353">
            <v>198.5</v>
          </cell>
          <cell r="R3353">
            <v>28.13</v>
          </cell>
          <cell r="S3353">
            <v>15659.18</v>
          </cell>
          <cell r="U3353">
            <v>1029.8490740999998</v>
          </cell>
          <cell r="X3353">
            <v>14118.58</v>
          </cell>
          <cell r="Y3353">
            <v>6588.67</v>
          </cell>
          <cell r="AL3353">
            <v>50.25</v>
          </cell>
          <cell r="AM3353">
            <v>6.21</v>
          </cell>
          <cell r="AN3353">
            <v>0.88</v>
          </cell>
          <cell r="AO3353">
            <v>532.49</v>
          </cell>
          <cell r="AQ3353">
            <v>35.020000000000003</v>
          </cell>
        </row>
        <row r="3354">
          <cell r="P3354">
            <v>1995.38</v>
          </cell>
          <cell r="Q3354">
            <v>3340.76</v>
          </cell>
          <cell r="R3354">
            <v>1585.13</v>
          </cell>
          <cell r="S3354">
            <v>882394.79</v>
          </cell>
          <cell r="X3354">
            <v>795581.93</v>
          </cell>
          <cell r="Y3354">
            <v>371271.57</v>
          </cell>
          <cell r="AT3354">
            <v>90</v>
          </cell>
          <cell r="AU3354">
            <v>42</v>
          </cell>
          <cell r="AV3354">
            <v>1.0249999999999999</v>
          </cell>
          <cell r="AW3354">
            <v>1</v>
          </cell>
          <cell r="BA3354">
            <v>56.35</v>
          </cell>
          <cell r="BB3354">
            <v>16.829999999999998</v>
          </cell>
          <cell r="BC3354">
            <v>1.91</v>
          </cell>
          <cell r="BS3354">
            <v>56.35</v>
          </cell>
          <cell r="BZ3354">
            <v>90</v>
          </cell>
          <cell r="CA3354">
            <v>42</v>
          </cell>
        </row>
        <row r="3355">
          <cell r="F3355" t="str">
            <v>1.1-1-2843</v>
          </cell>
          <cell r="H3355" t="str">
            <v>т</v>
          </cell>
          <cell r="I3355">
            <v>0.46611200000000003</v>
          </cell>
          <cell r="O3355">
            <v>12511.79</v>
          </cell>
          <cell r="R3355">
            <v>0</v>
          </cell>
          <cell r="X3355">
            <v>0</v>
          </cell>
          <cell r="Y3355">
            <v>0</v>
          </cell>
          <cell r="AK3355">
            <v>26842.89</v>
          </cell>
        </row>
        <row r="3356">
          <cell r="O3356">
            <v>150016.35999999999</v>
          </cell>
          <cell r="R3356">
            <v>0</v>
          </cell>
          <cell r="X3356">
            <v>0</v>
          </cell>
          <cell r="Y3356">
            <v>0</v>
          </cell>
          <cell r="AW3356">
            <v>1</v>
          </cell>
          <cell r="BC3356">
            <v>11.99</v>
          </cell>
        </row>
        <row r="3357">
          <cell r="F3357" t="str">
            <v>1.1-1-3108</v>
          </cell>
          <cell r="H3357" t="str">
            <v>кг</v>
          </cell>
          <cell r="I3357">
            <v>644.49</v>
          </cell>
          <cell r="O3357">
            <v>11375.25</v>
          </cell>
          <cell r="R3357">
            <v>0</v>
          </cell>
          <cell r="X3357">
            <v>0</v>
          </cell>
          <cell r="Y3357">
            <v>0</v>
          </cell>
          <cell r="AK3357">
            <v>17.649999999999999</v>
          </cell>
        </row>
        <row r="3358">
          <cell r="O3358">
            <v>56876.25</v>
          </cell>
          <cell r="R3358">
            <v>0</v>
          </cell>
          <cell r="X3358">
            <v>0</v>
          </cell>
          <cell r="Y3358">
            <v>0</v>
          </cell>
          <cell r="AW3358">
            <v>1</v>
          </cell>
          <cell r="BC3358">
            <v>5</v>
          </cell>
        </row>
        <row r="3359">
          <cell r="F3359" t="str">
            <v>1.3-2-224</v>
          </cell>
          <cell r="H3359" t="str">
            <v>кг</v>
          </cell>
          <cell r="I3359">
            <v>1684.4058000000002</v>
          </cell>
          <cell r="O3359">
            <v>6586.03</v>
          </cell>
          <cell r="R3359">
            <v>0</v>
          </cell>
          <cell r="X3359">
            <v>0</v>
          </cell>
          <cell r="Y3359">
            <v>0</v>
          </cell>
          <cell r="AK3359">
            <v>3.91</v>
          </cell>
        </row>
        <row r="3360">
          <cell r="O3360">
            <v>25553.8</v>
          </cell>
          <cell r="R3360">
            <v>0</v>
          </cell>
          <cell r="X3360">
            <v>0</v>
          </cell>
          <cell r="Y3360">
            <v>0</v>
          </cell>
          <cell r="AW3360">
            <v>1</v>
          </cell>
          <cell r="BC3360">
            <v>3.88</v>
          </cell>
        </row>
        <row r="3361">
          <cell r="F3361" t="str">
            <v>3.70-300-6</v>
          </cell>
          <cell r="H3361" t="str">
            <v>100 м2</v>
          </cell>
          <cell r="I3361">
            <v>14.78</v>
          </cell>
          <cell r="P3361">
            <v>742.7</v>
          </cell>
          <cell r="Q3361">
            <v>141.12</v>
          </cell>
          <cell r="R3361">
            <v>20</v>
          </cell>
          <cell r="S3361">
            <v>11132.4</v>
          </cell>
          <cell r="U3361">
            <v>732.1389762</v>
          </cell>
          <cell r="X3361">
            <v>10037.16</v>
          </cell>
          <cell r="Y3361">
            <v>4684.01</v>
          </cell>
          <cell r="AL3361">
            <v>50.25</v>
          </cell>
          <cell r="AM3361">
            <v>6.21</v>
          </cell>
          <cell r="AN3361">
            <v>0.88</v>
          </cell>
          <cell r="AO3361">
            <v>532.49</v>
          </cell>
          <cell r="AQ3361">
            <v>35.020000000000003</v>
          </cell>
        </row>
        <row r="3362">
          <cell r="P3362">
            <v>1418.56</v>
          </cell>
          <cell r="Q3362">
            <v>2375.0500000000002</v>
          </cell>
          <cell r="R3362">
            <v>1127</v>
          </cell>
          <cell r="S3362">
            <v>627310.74</v>
          </cell>
          <cell r="X3362">
            <v>565593.97</v>
          </cell>
          <cell r="Y3362">
            <v>263943.84999999998</v>
          </cell>
          <cell r="AT3362">
            <v>90</v>
          </cell>
          <cell r="AU3362">
            <v>42</v>
          </cell>
          <cell r="AV3362">
            <v>1.0249999999999999</v>
          </cell>
          <cell r="AW3362">
            <v>1</v>
          </cell>
          <cell r="BA3362">
            <v>56.35</v>
          </cell>
          <cell r="BB3362">
            <v>16.829999999999998</v>
          </cell>
          <cell r="BC3362">
            <v>1.91</v>
          </cell>
          <cell r="BS3362">
            <v>56.35</v>
          </cell>
          <cell r="BZ3362">
            <v>90</v>
          </cell>
          <cell r="CA3362">
            <v>42</v>
          </cell>
        </row>
        <row r="3363">
          <cell r="F3363" t="str">
            <v>1.1-1-2844</v>
          </cell>
          <cell r="H3363" t="str">
            <v>т</v>
          </cell>
          <cell r="I3363">
            <v>0.331368</v>
          </cell>
          <cell r="O3363">
            <v>11930.25</v>
          </cell>
          <cell r="R3363">
            <v>0</v>
          </cell>
          <cell r="X3363">
            <v>0</v>
          </cell>
          <cell r="Y3363">
            <v>0</v>
          </cell>
          <cell r="AK3363">
            <v>36003.01</v>
          </cell>
        </row>
        <row r="3364">
          <cell r="O3364">
            <v>127772.98</v>
          </cell>
          <cell r="R3364">
            <v>0</v>
          </cell>
          <cell r="X3364">
            <v>0</v>
          </cell>
          <cell r="Y3364">
            <v>0</v>
          </cell>
          <cell r="AW3364">
            <v>1</v>
          </cell>
          <cell r="BC3364">
            <v>10.71</v>
          </cell>
        </row>
        <row r="3365">
          <cell r="F3365" t="str">
            <v>1.1-1-3108</v>
          </cell>
          <cell r="H3365" t="str">
            <v>кг</v>
          </cell>
          <cell r="I3365">
            <v>458.18</v>
          </cell>
          <cell r="O3365">
            <v>8086.88</v>
          </cell>
          <cell r="R3365">
            <v>0</v>
          </cell>
          <cell r="X3365">
            <v>0</v>
          </cell>
          <cell r="Y3365">
            <v>0</v>
          </cell>
          <cell r="AK3365">
            <v>17.649999999999999</v>
          </cell>
        </row>
        <row r="3366">
          <cell r="O3366">
            <v>40434.400000000001</v>
          </cell>
          <cell r="R3366">
            <v>0</v>
          </cell>
          <cell r="X3366">
            <v>0</v>
          </cell>
          <cell r="Y3366">
            <v>0</v>
          </cell>
          <cell r="AW3366">
            <v>1</v>
          </cell>
          <cell r="BC3366">
            <v>5</v>
          </cell>
        </row>
        <row r="3367">
          <cell r="F3367" t="str">
            <v>1.3-2-224</v>
          </cell>
          <cell r="H3367" t="str">
            <v>кг</v>
          </cell>
          <cell r="I3367">
            <v>1197.4756</v>
          </cell>
          <cell r="O3367">
            <v>4682.13</v>
          </cell>
          <cell r="R3367">
            <v>0</v>
          </cell>
          <cell r="X3367">
            <v>0</v>
          </cell>
          <cell r="Y3367">
            <v>0</v>
          </cell>
          <cell r="AK3367">
            <v>3.91</v>
          </cell>
        </row>
        <row r="3368">
          <cell r="O3368">
            <v>18166.66</v>
          </cell>
          <cell r="R3368">
            <v>0</v>
          </cell>
          <cell r="X3368">
            <v>0</v>
          </cell>
          <cell r="Y3368">
            <v>0</v>
          </cell>
          <cell r="AW3368">
            <v>1</v>
          </cell>
          <cell r="BC3368">
            <v>3.88</v>
          </cell>
        </row>
        <row r="3369">
          <cell r="F3369" t="str">
            <v>3.70-257-1</v>
          </cell>
          <cell r="H3369" t="str">
            <v>100 м2</v>
          </cell>
          <cell r="I3369">
            <v>3.45</v>
          </cell>
          <cell r="Q3369">
            <v>681.95</v>
          </cell>
          <cell r="R3369">
            <v>33.75</v>
          </cell>
          <cell r="S3369">
            <v>9242.8700000000008</v>
          </cell>
          <cell r="U3369">
            <v>560.78543051999998</v>
          </cell>
          <cell r="X3369">
            <v>8348.9599999999991</v>
          </cell>
          <cell r="Y3369">
            <v>3896.18</v>
          </cell>
          <cell r="AM3369">
            <v>121.23</v>
          </cell>
          <cell r="AN3369">
            <v>6</v>
          </cell>
          <cell r="AO3369">
            <v>1785.99</v>
          </cell>
          <cell r="AQ3369">
            <v>108.36</v>
          </cell>
        </row>
        <row r="3370">
          <cell r="Q3370">
            <v>8503.92</v>
          </cell>
          <cell r="R3370">
            <v>1901.81</v>
          </cell>
          <cell r="S3370">
            <v>520835.72</v>
          </cell>
          <cell r="X3370">
            <v>470463.78</v>
          </cell>
          <cell r="Y3370">
            <v>219549.76</v>
          </cell>
          <cell r="AT3370">
            <v>90</v>
          </cell>
          <cell r="AU3370">
            <v>42</v>
          </cell>
          <cell r="AV3370">
            <v>1.087</v>
          </cell>
          <cell r="BA3370">
            <v>56.35</v>
          </cell>
          <cell r="BB3370">
            <v>12.47</v>
          </cell>
          <cell r="BS3370">
            <v>56.35</v>
          </cell>
          <cell r="BZ3370">
            <v>90</v>
          </cell>
          <cell r="CA3370">
            <v>42</v>
          </cell>
        </row>
        <row r="3371">
          <cell r="F3371" t="str">
            <v>1.6-2-192</v>
          </cell>
          <cell r="H3371" t="str">
            <v>м2</v>
          </cell>
          <cell r="I3371">
            <v>345</v>
          </cell>
          <cell r="O3371">
            <v>153576.75</v>
          </cell>
          <cell r="R3371">
            <v>0</v>
          </cell>
          <cell r="X3371">
            <v>0</v>
          </cell>
          <cell r="Y3371">
            <v>0</v>
          </cell>
          <cell r="AK3371">
            <v>445.15</v>
          </cell>
        </row>
        <row r="3372">
          <cell r="O3372">
            <v>453051.41</v>
          </cell>
          <cell r="R3372">
            <v>0</v>
          </cell>
          <cell r="X3372">
            <v>0</v>
          </cell>
          <cell r="Y3372">
            <v>0</v>
          </cell>
          <cell r="AW3372">
            <v>1</v>
          </cell>
          <cell r="BC3372">
            <v>2.95</v>
          </cell>
        </row>
        <row r="3373">
          <cell r="F3373" t="str">
            <v>3.70-258-1</v>
          </cell>
          <cell r="H3373" t="str">
            <v>100 м2</v>
          </cell>
          <cell r="I3373">
            <v>2.5339999999999998</v>
          </cell>
          <cell r="P3373">
            <v>258.33999999999997</v>
          </cell>
          <cell r="Q3373">
            <v>68.099999999999994</v>
          </cell>
          <cell r="R3373">
            <v>7.36</v>
          </cell>
          <cell r="S3373">
            <v>10059.459999999999</v>
          </cell>
          <cell r="U3373">
            <v>630.8443679999998</v>
          </cell>
          <cell r="X3373">
            <v>9060.14</v>
          </cell>
          <cell r="Y3373">
            <v>4228.0600000000004</v>
          </cell>
          <cell r="AL3373">
            <v>101.95</v>
          </cell>
          <cell r="AM3373">
            <v>17.48</v>
          </cell>
          <cell r="AN3373">
            <v>1.89</v>
          </cell>
          <cell r="AO3373">
            <v>2806.5</v>
          </cell>
          <cell r="AQ3373">
            <v>176</v>
          </cell>
        </row>
        <row r="3374">
          <cell r="P3374">
            <v>1836.8</v>
          </cell>
          <cell r="Q3374">
            <v>1014.01</v>
          </cell>
          <cell r="R3374">
            <v>414.74</v>
          </cell>
          <cell r="S3374">
            <v>566850.56999999995</v>
          </cell>
          <cell r="X3374">
            <v>510538.78</v>
          </cell>
          <cell r="Y3374">
            <v>238251.43</v>
          </cell>
          <cell r="AT3374">
            <v>90</v>
          </cell>
          <cell r="AU3374">
            <v>42</v>
          </cell>
          <cell r="AV3374">
            <v>1.0249999999999999</v>
          </cell>
          <cell r="AW3374">
            <v>1</v>
          </cell>
          <cell r="BA3374">
            <v>56.35</v>
          </cell>
          <cell r="BB3374">
            <v>14.89</v>
          </cell>
          <cell r="BC3374">
            <v>7.11</v>
          </cell>
          <cell r="BS3374">
            <v>56.35</v>
          </cell>
          <cell r="BZ3374">
            <v>90</v>
          </cell>
          <cell r="CA3374">
            <v>42</v>
          </cell>
        </row>
        <row r="3375">
          <cell r="F3375" t="str">
            <v>1.1-1-863</v>
          </cell>
          <cell r="H3375" t="str">
            <v>КОМПЛЕКТ</v>
          </cell>
          <cell r="I3375">
            <v>253.4</v>
          </cell>
          <cell r="O3375">
            <v>5389.82</v>
          </cell>
          <cell r="R3375">
            <v>0</v>
          </cell>
          <cell r="X3375">
            <v>0</v>
          </cell>
          <cell r="Y3375">
            <v>0</v>
          </cell>
          <cell r="AK3375">
            <v>21.27</v>
          </cell>
        </row>
        <row r="3376">
          <cell r="O3376">
            <v>22798.94</v>
          </cell>
          <cell r="R3376">
            <v>0</v>
          </cell>
          <cell r="X3376">
            <v>0</v>
          </cell>
          <cell r="Y3376">
            <v>0</v>
          </cell>
          <cell r="AW3376">
            <v>1</v>
          </cell>
          <cell r="BC3376">
            <v>4.2300000000000004</v>
          </cell>
        </row>
        <row r="3377">
          <cell r="F3377" t="str">
            <v>1.1-1-8211</v>
          </cell>
          <cell r="H3377" t="str">
            <v>м2</v>
          </cell>
          <cell r="I3377">
            <v>253.4</v>
          </cell>
          <cell r="P3377">
            <v>64609.4</v>
          </cell>
          <cell r="R3377">
            <v>0</v>
          </cell>
          <cell r="X3377">
            <v>0</v>
          </cell>
          <cell r="Y3377">
            <v>0</v>
          </cell>
          <cell r="AL3377">
            <v>254.97</v>
          </cell>
        </row>
        <row r="3378">
          <cell r="P3378">
            <v>480047.84</v>
          </cell>
          <cell r="R3378">
            <v>0</v>
          </cell>
          <cell r="X3378">
            <v>0</v>
          </cell>
          <cell r="Y3378">
            <v>0</v>
          </cell>
          <cell r="AW3378">
            <v>1</v>
          </cell>
          <cell r="BC3378">
            <v>7.43</v>
          </cell>
        </row>
        <row r="3379">
          <cell r="F3379" t="str">
            <v>3.70-50-1</v>
          </cell>
          <cell r="H3379" t="str">
            <v>100 м2</v>
          </cell>
          <cell r="I3379">
            <v>2.71</v>
          </cell>
          <cell r="P3379">
            <v>2160.38</v>
          </cell>
          <cell r="Q3379">
            <v>482.52</v>
          </cell>
          <cell r="R3379">
            <v>19.22</v>
          </cell>
          <cell r="S3379">
            <v>22290.42</v>
          </cell>
          <cell r="U3379">
            <v>1260.2004059999999</v>
          </cell>
          <cell r="X3379">
            <v>18740.099999999999</v>
          </cell>
          <cell r="Y3379">
            <v>11824.11</v>
          </cell>
          <cell r="AL3379">
            <v>797.19</v>
          </cell>
          <cell r="AM3379">
            <v>109.2</v>
          </cell>
          <cell r="AN3379">
            <v>4.3499999999999996</v>
          </cell>
          <cell r="AO3379">
            <v>5483.28</v>
          </cell>
          <cell r="AQ3379">
            <v>310</v>
          </cell>
        </row>
        <row r="3380">
          <cell r="P3380">
            <v>17995.97</v>
          </cell>
          <cell r="Q3380">
            <v>5886.74</v>
          </cell>
          <cell r="R3380">
            <v>1083.05</v>
          </cell>
          <cell r="S3380">
            <v>1256065.17</v>
          </cell>
          <cell r="X3380">
            <v>1056004.5</v>
          </cell>
          <cell r="Y3380">
            <v>666288.56000000006</v>
          </cell>
          <cell r="AT3380">
            <v>84</v>
          </cell>
          <cell r="AU3380">
            <v>53</v>
          </cell>
          <cell r="AV3380">
            <v>1.087</v>
          </cell>
          <cell r="AW3380">
            <v>1</v>
          </cell>
          <cell r="BA3380">
            <v>56.35</v>
          </cell>
          <cell r="BB3380">
            <v>12.2</v>
          </cell>
          <cell r="BC3380">
            <v>8.33</v>
          </cell>
          <cell r="BS3380">
            <v>56.35</v>
          </cell>
          <cell r="BZ3380">
            <v>84</v>
          </cell>
          <cell r="CA3380">
            <v>53</v>
          </cell>
        </row>
        <row r="3381">
          <cell r="F3381" t="str">
            <v>1.6-2-103</v>
          </cell>
          <cell r="H3381" t="str">
            <v>м2</v>
          </cell>
          <cell r="I3381">
            <v>271</v>
          </cell>
          <cell r="O3381">
            <v>43658.1</v>
          </cell>
          <cell r="R3381">
            <v>0</v>
          </cell>
          <cell r="X3381">
            <v>0</v>
          </cell>
          <cell r="Y3381">
            <v>0</v>
          </cell>
          <cell r="AK3381">
            <v>161.1</v>
          </cell>
        </row>
        <row r="3382">
          <cell r="O3382">
            <v>212614.95</v>
          </cell>
          <cell r="R3382">
            <v>0</v>
          </cell>
          <cell r="X3382">
            <v>0</v>
          </cell>
          <cell r="Y3382">
            <v>0</v>
          </cell>
          <cell r="AW3382">
            <v>1</v>
          </cell>
          <cell r="BC3382">
            <v>4.87</v>
          </cell>
        </row>
        <row r="3383">
          <cell r="F3383" t="str">
            <v>3.70-255-3</v>
          </cell>
          <cell r="H3383" t="str">
            <v>100 м2</v>
          </cell>
          <cell r="I3383">
            <v>19.46</v>
          </cell>
          <cell r="P3383">
            <v>54826.02</v>
          </cell>
          <cell r="Q3383">
            <v>1483.12</v>
          </cell>
          <cell r="R3383">
            <v>90.66</v>
          </cell>
          <cell r="S3383">
            <v>84981.82</v>
          </cell>
          <cell r="U3383">
            <v>5030.6828291999991</v>
          </cell>
          <cell r="X3383">
            <v>76565.23</v>
          </cell>
          <cell r="Y3383">
            <v>35730.44</v>
          </cell>
          <cell r="AL3383">
            <v>2817.37</v>
          </cell>
          <cell r="AM3383">
            <v>49.57</v>
          </cell>
          <cell r="AN3383">
            <v>3.03</v>
          </cell>
          <cell r="AO3383">
            <v>3087.31</v>
          </cell>
          <cell r="AQ3383">
            <v>182.76</v>
          </cell>
        </row>
        <row r="3384">
          <cell r="P3384">
            <v>312508.31</v>
          </cell>
          <cell r="Q3384">
            <v>18835.62</v>
          </cell>
          <cell r="R3384">
            <v>5108.6899999999996</v>
          </cell>
          <cell r="S3384">
            <v>4788725.5599999996</v>
          </cell>
          <cell r="X3384">
            <v>4314450.83</v>
          </cell>
          <cell r="Y3384">
            <v>2013410.39</v>
          </cell>
          <cell r="AT3384">
            <v>90</v>
          </cell>
          <cell r="AU3384">
            <v>42</v>
          </cell>
          <cell r="AV3384">
            <v>1.0249999999999999</v>
          </cell>
          <cell r="AW3384">
            <v>1</v>
          </cell>
          <cell r="BA3384">
            <v>56.35</v>
          </cell>
          <cell r="BB3384">
            <v>12.7</v>
          </cell>
          <cell r="BC3384">
            <v>5.7</v>
          </cell>
          <cell r="BS3384">
            <v>56.35</v>
          </cell>
          <cell r="BZ3384">
            <v>90</v>
          </cell>
          <cell r="CA3384">
            <v>42</v>
          </cell>
        </row>
        <row r="3385">
          <cell r="F3385" t="str">
            <v>1.7-3-121</v>
          </cell>
          <cell r="H3385" t="str">
            <v>шт.</v>
          </cell>
          <cell r="I3385">
            <v>1.336902</v>
          </cell>
          <cell r="O3385">
            <v>14.08</v>
          </cell>
          <cell r="R3385">
            <v>0</v>
          </cell>
          <cell r="X3385">
            <v>0</v>
          </cell>
          <cell r="Y3385">
            <v>0</v>
          </cell>
          <cell r="AK3385">
            <v>10.53</v>
          </cell>
        </row>
        <row r="3386">
          <cell r="O3386">
            <v>138.69</v>
          </cell>
          <cell r="R3386">
            <v>0</v>
          </cell>
          <cell r="X3386">
            <v>0</v>
          </cell>
          <cell r="Y3386">
            <v>0</v>
          </cell>
          <cell r="AW3386">
            <v>1</v>
          </cell>
          <cell r="BC3386">
            <v>9.85</v>
          </cell>
        </row>
        <row r="3387">
          <cell r="F3387" t="str">
            <v>1.1-1-863</v>
          </cell>
          <cell r="H3387" t="str">
            <v>КОМПЛЕКТ</v>
          </cell>
          <cell r="I3387">
            <v>3282.1235999999999</v>
          </cell>
          <cell r="O3387">
            <v>69810.77</v>
          </cell>
          <cell r="R3387">
            <v>0</v>
          </cell>
          <cell r="X3387">
            <v>0</v>
          </cell>
          <cell r="Y3387">
            <v>0</v>
          </cell>
          <cell r="AK3387">
            <v>21.27</v>
          </cell>
        </row>
        <row r="3388">
          <cell r="O3388">
            <v>295299.56</v>
          </cell>
          <cell r="R3388">
            <v>0</v>
          </cell>
          <cell r="X3388">
            <v>0</v>
          </cell>
          <cell r="Y3388">
            <v>0</v>
          </cell>
          <cell r="AW3388">
            <v>1</v>
          </cell>
          <cell r="BC3388">
            <v>4.2300000000000004</v>
          </cell>
        </row>
        <row r="3389">
          <cell r="F3389" t="str">
            <v>КА 186</v>
          </cell>
          <cell r="H3389" t="str">
            <v>м2</v>
          </cell>
          <cell r="I3389">
            <v>1946</v>
          </cell>
          <cell r="P3389">
            <v>738740.52</v>
          </cell>
          <cell r="R3389">
            <v>0</v>
          </cell>
          <cell r="X3389">
            <v>0</v>
          </cell>
          <cell r="Y3389">
            <v>0</v>
          </cell>
          <cell r="AL3389">
            <v>379.62</v>
          </cell>
        </row>
        <row r="3390">
          <cell r="P3390">
            <v>7269206.7199999997</v>
          </cell>
          <cell r="R3390">
            <v>0</v>
          </cell>
          <cell r="X3390">
            <v>0</v>
          </cell>
          <cell r="Y3390">
            <v>0</v>
          </cell>
          <cell r="AW3390">
            <v>1</v>
          </cell>
          <cell r="BC3390">
            <v>9.84</v>
          </cell>
        </row>
        <row r="3392">
          <cell r="G3392" t="str">
            <v>Отделочные работы</v>
          </cell>
        </row>
        <row r="3422">
          <cell r="G3422" t="str">
            <v>Отделка потолков</v>
          </cell>
        </row>
        <row r="3452">
          <cell r="G3452" t="str">
            <v>Отделка полов</v>
          </cell>
        </row>
        <row r="3456">
          <cell r="G3456" t="str">
            <v>Демонтажные работы</v>
          </cell>
        </row>
        <row r="3460">
          <cell r="F3460" t="str">
            <v>6.70-63-5</v>
          </cell>
          <cell r="H3460" t="str">
            <v>100 м2 покрытия</v>
          </cell>
          <cell r="I3460">
            <v>0.46</v>
          </cell>
          <cell r="R3460">
            <v>0</v>
          </cell>
          <cell r="S3460">
            <v>90.15</v>
          </cell>
          <cell r="U3460">
            <v>6.5827821600000007</v>
          </cell>
          <cell r="X3460">
            <v>80.23</v>
          </cell>
          <cell r="Y3460">
            <v>44.17</v>
          </cell>
          <cell r="AO3460">
            <v>155.99</v>
          </cell>
          <cell r="AQ3460">
            <v>11.39</v>
          </cell>
        </row>
        <row r="3461">
          <cell r="R3461">
            <v>0</v>
          </cell>
          <cell r="S3461">
            <v>5079.95</v>
          </cell>
          <cell r="X3461">
            <v>4521.16</v>
          </cell>
          <cell r="Y3461">
            <v>2489.1799999999998</v>
          </cell>
          <cell r="AT3461">
            <v>89</v>
          </cell>
          <cell r="AU3461">
            <v>49</v>
          </cell>
          <cell r="AV3461">
            <v>1.0469999999999999</v>
          </cell>
          <cell r="BA3461">
            <v>56.35</v>
          </cell>
          <cell r="BZ3461">
            <v>89</v>
          </cell>
          <cell r="CA3461">
            <v>49</v>
          </cell>
        </row>
        <row r="3462">
          <cell r="F3462" t="str">
            <v>6.70-63-7</v>
          </cell>
          <cell r="H3462" t="str">
            <v>100 м2 покрытия</v>
          </cell>
          <cell r="I3462">
            <v>19.75</v>
          </cell>
          <cell r="Q3462">
            <v>1249.8800000000001</v>
          </cell>
          <cell r="R3462">
            <v>450.87</v>
          </cell>
          <cell r="S3462">
            <v>25973.7</v>
          </cell>
          <cell r="U3462">
            <v>1733.7471929999999</v>
          </cell>
          <cell r="X3462">
            <v>23517.87</v>
          </cell>
          <cell r="Y3462">
            <v>12948.04</v>
          </cell>
          <cell r="AM3462">
            <v>50.37</v>
          </cell>
          <cell r="AN3462">
            <v>18.170000000000002</v>
          </cell>
          <cell r="AO3462">
            <v>1046.74</v>
          </cell>
          <cell r="AQ3462">
            <v>69.87</v>
          </cell>
        </row>
        <row r="3463">
          <cell r="Q3463">
            <v>35059.129999999997</v>
          </cell>
          <cell r="R3463">
            <v>25406.52</v>
          </cell>
          <cell r="S3463">
            <v>1463618</v>
          </cell>
          <cell r="X3463">
            <v>1325231.82</v>
          </cell>
          <cell r="Y3463">
            <v>729622.01</v>
          </cell>
          <cell r="AT3463">
            <v>89</v>
          </cell>
          <cell r="AU3463">
            <v>49</v>
          </cell>
          <cell r="AV3463">
            <v>1.0469999999999999</v>
          </cell>
          <cell r="BA3463">
            <v>56.35</v>
          </cell>
          <cell r="BB3463">
            <v>28.05</v>
          </cell>
          <cell r="BS3463">
            <v>56.35</v>
          </cell>
          <cell r="BZ3463">
            <v>89</v>
          </cell>
          <cell r="CA3463">
            <v>49</v>
          </cell>
        </row>
        <row r="3464">
          <cell r="F3464" t="str">
            <v>6.70-63-1</v>
          </cell>
          <cell r="H3464" t="str">
            <v>100 м2 покрытия</v>
          </cell>
          <cell r="I3464">
            <v>33.43</v>
          </cell>
          <cell r="R3464">
            <v>0</v>
          </cell>
          <cell r="S3464">
            <v>19326.55</v>
          </cell>
          <cell r="U3464">
            <v>1411.2487871999999</v>
          </cell>
          <cell r="X3464">
            <v>17200.63</v>
          </cell>
          <cell r="Y3464">
            <v>9470.01</v>
          </cell>
          <cell r="AO3464">
            <v>460.14</v>
          </cell>
          <cell r="AQ3464">
            <v>33.6</v>
          </cell>
        </row>
        <row r="3465">
          <cell r="R3465">
            <v>0</v>
          </cell>
          <cell r="S3465">
            <v>1089051.0900000001</v>
          </cell>
          <cell r="X3465">
            <v>969255.47</v>
          </cell>
          <cell r="Y3465">
            <v>533635.03</v>
          </cell>
          <cell r="AT3465">
            <v>89</v>
          </cell>
          <cell r="AU3465">
            <v>49</v>
          </cell>
          <cell r="AV3465">
            <v>1.0469999999999999</v>
          </cell>
          <cell r="BA3465">
            <v>56.35</v>
          </cell>
          <cell r="BZ3465">
            <v>89</v>
          </cell>
          <cell r="CA3465">
            <v>49</v>
          </cell>
        </row>
        <row r="3466">
          <cell r="F3466" t="str">
            <v>6.70-63-8</v>
          </cell>
          <cell r="H3466" t="str">
            <v>100 м2 покрытия</v>
          </cell>
          <cell r="I3466">
            <v>48.48</v>
          </cell>
          <cell r="Q3466">
            <v>22158.55</v>
          </cell>
          <cell r="R3466">
            <v>7994.47</v>
          </cell>
          <cell r="S3466">
            <v>22447.87</v>
          </cell>
          <cell r="U3466">
            <v>1498.3926911999997</v>
          </cell>
          <cell r="X3466">
            <v>27093.68</v>
          </cell>
          <cell r="Y3466">
            <v>14916.75</v>
          </cell>
          <cell r="AM3466">
            <v>363.79</v>
          </cell>
          <cell r="AN3466">
            <v>131.25</v>
          </cell>
          <cell r="AO3466">
            <v>368.54</v>
          </cell>
          <cell r="AQ3466">
            <v>24.6</v>
          </cell>
        </row>
        <row r="3467">
          <cell r="Q3467">
            <v>621547.32999999996</v>
          </cell>
          <cell r="R3467">
            <v>450488.38</v>
          </cell>
          <cell r="S3467">
            <v>1264937.47</v>
          </cell>
          <cell r="X3467">
            <v>1526729.01</v>
          </cell>
          <cell r="Y3467">
            <v>840558.67</v>
          </cell>
          <cell r="AT3467">
            <v>89</v>
          </cell>
          <cell r="AU3467">
            <v>49</v>
          </cell>
          <cell r="AV3467">
            <v>1.0469999999999999</v>
          </cell>
          <cell r="BA3467">
            <v>56.35</v>
          </cell>
          <cell r="BB3467">
            <v>28.05</v>
          </cell>
          <cell r="BS3467">
            <v>56.35</v>
          </cell>
          <cell r="BZ3467">
            <v>89</v>
          </cell>
          <cell r="CA3467">
            <v>49</v>
          </cell>
        </row>
        <row r="3468">
          <cell r="F3468" t="str">
            <v>6.70-63-16</v>
          </cell>
          <cell r="H3468" t="str">
            <v>100 м2 покрытия</v>
          </cell>
          <cell r="I3468">
            <v>48.48</v>
          </cell>
          <cell r="R3468">
            <v>0</v>
          </cell>
          <cell r="S3468">
            <v>16423.849999999999</v>
          </cell>
          <cell r="U3468">
            <v>1096.3848959999998</v>
          </cell>
          <cell r="X3468">
            <v>14617.23</v>
          </cell>
          <cell r="Y3468">
            <v>8047.69</v>
          </cell>
          <cell r="AO3468">
            <v>44.94</v>
          </cell>
          <cell r="AQ3468">
            <v>3</v>
          </cell>
        </row>
        <row r="3469">
          <cell r="R3469">
            <v>0</v>
          </cell>
          <cell r="S3469">
            <v>925483.95</v>
          </cell>
          <cell r="X3469">
            <v>823680.72</v>
          </cell>
          <cell r="Y3469">
            <v>453487.14</v>
          </cell>
          <cell r="AT3469">
            <v>89</v>
          </cell>
          <cell r="AU3469">
            <v>49</v>
          </cell>
          <cell r="AV3469">
            <v>1.0469999999999999</v>
          </cell>
          <cell r="BA3469">
            <v>56.35</v>
          </cell>
          <cell r="BZ3469">
            <v>89</v>
          </cell>
          <cell r="CA3469">
            <v>49</v>
          </cell>
        </row>
        <row r="3471">
          <cell r="G3471" t="str">
            <v>Демонтажные работы</v>
          </cell>
        </row>
        <row r="3501">
          <cell r="G3501" t="str">
            <v>Подвал. Керамогранит 1195х600 мм</v>
          </cell>
        </row>
        <row r="3505">
          <cell r="F3505" t="str">
            <v>3.70-159-1</v>
          </cell>
          <cell r="H3505" t="str">
            <v>100 м2 стяжки</v>
          </cell>
          <cell r="I3505">
            <v>0.89</v>
          </cell>
          <cell r="P3505">
            <v>22.03</v>
          </cell>
          <cell r="Q3505">
            <v>2.52</v>
          </cell>
          <cell r="R3505">
            <v>0</v>
          </cell>
          <cell r="S3505">
            <v>418.5</v>
          </cell>
          <cell r="U3505">
            <v>30.000639581999994</v>
          </cell>
          <cell r="X3505">
            <v>422.69</v>
          </cell>
          <cell r="Y3505">
            <v>230.18</v>
          </cell>
          <cell r="AL3505">
            <v>24.75</v>
          </cell>
          <cell r="AM3505">
            <v>1.8</v>
          </cell>
          <cell r="AO3505">
            <v>325.45</v>
          </cell>
          <cell r="AQ3505">
            <v>23.33</v>
          </cell>
        </row>
        <row r="3506">
          <cell r="P3506">
            <v>170.73</v>
          </cell>
          <cell r="Q3506">
            <v>29.46</v>
          </cell>
          <cell r="R3506">
            <v>0</v>
          </cell>
          <cell r="S3506">
            <v>23582.48</v>
          </cell>
          <cell r="X3506">
            <v>23818.3</v>
          </cell>
          <cell r="Y3506">
            <v>12970.36</v>
          </cell>
          <cell r="AT3506">
            <v>101</v>
          </cell>
          <cell r="AU3506">
            <v>55</v>
          </cell>
          <cell r="AV3506">
            <v>1.0469999999999999</v>
          </cell>
          <cell r="AW3506">
            <v>1</v>
          </cell>
          <cell r="BA3506">
            <v>56.35</v>
          </cell>
          <cell r="BB3506">
            <v>11.69</v>
          </cell>
          <cell r="BC3506">
            <v>7.75</v>
          </cell>
          <cell r="BZ3506">
            <v>101</v>
          </cell>
          <cell r="CA3506">
            <v>55</v>
          </cell>
        </row>
        <row r="3507">
          <cell r="F3507" t="str">
            <v>1.3-2-6</v>
          </cell>
          <cell r="H3507" t="str">
            <v>м3</v>
          </cell>
          <cell r="I3507">
            <v>1.8156000000000001</v>
          </cell>
          <cell r="O3507">
            <v>848.47</v>
          </cell>
          <cell r="R3507">
            <v>0</v>
          </cell>
          <cell r="X3507">
            <v>0</v>
          </cell>
          <cell r="Y3507">
            <v>0</v>
          </cell>
          <cell r="AK3507">
            <v>467.32</v>
          </cell>
        </row>
        <row r="3508">
          <cell r="O3508">
            <v>9392.56</v>
          </cell>
          <cell r="R3508">
            <v>0</v>
          </cell>
          <cell r="X3508">
            <v>0</v>
          </cell>
          <cell r="Y3508">
            <v>0</v>
          </cell>
          <cell r="AW3508">
            <v>1</v>
          </cell>
          <cell r="BC3508">
            <v>11.07</v>
          </cell>
        </row>
        <row r="3509">
          <cell r="F3509" t="str">
            <v>3.70-159-2</v>
          </cell>
          <cell r="H3509" t="str">
            <v>100 м2 стяжки</v>
          </cell>
          <cell r="I3509">
            <v>0.89</v>
          </cell>
          <cell r="Q3509">
            <v>5.14</v>
          </cell>
          <cell r="R3509">
            <v>0</v>
          </cell>
          <cell r="S3509">
            <v>62.03</v>
          </cell>
          <cell r="U3509">
            <v>4.5264574079999997</v>
          </cell>
          <cell r="X3509">
            <v>62.65</v>
          </cell>
          <cell r="Y3509">
            <v>34.119999999999997</v>
          </cell>
          <cell r="AM3509">
            <v>0.46</v>
          </cell>
          <cell r="AO3509">
            <v>6.03</v>
          </cell>
          <cell r="AQ3509">
            <v>0.44</v>
          </cell>
        </row>
        <row r="3510">
          <cell r="Q3510">
            <v>60.14</v>
          </cell>
          <cell r="R3510">
            <v>0</v>
          </cell>
          <cell r="S3510">
            <v>3495.39</v>
          </cell>
          <cell r="X3510">
            <v>3530.34</v>
          </cell>
          <cell r="Y3510">
            <v>1922.46</v>
          </cell>
          <cell r="AT3510">
            <v>101</v>
          </cell>
          <cell r="AU3510">
            <v>55</v>
          </cell>
          <cell r="AV3510">
            <v>1.0469999999999999</v>
          </cell>
          <cell r="BA3510">
            <v>56.35</v>
          </cell>
          <cell r="BB3510">
            <v>11.7</v>
          </cell>
          <cell r="BZ3510">
            <v>101</v>
          </cell>
          <cell r="CA3510">
            <v>55</v>
          </cell>
        </row>
        <row r="3511">
          <cell r="F3511" t="str">
            <v>1.3-2-6</v>
          </cell>
          <cell r="H3511" t="str">
            <v>м3</v>
          </cell>
          <cell r="I3511">
            <v>3.6312000000000002</v>
          </cell>
          <cell r="O3511">
            <v>1696.93</v>
          </cell>
          <cell r="R3511">
            <v>0</v>
          </cell>
          <cell r="X3511">
            <v>0</v>
          </cell>
          <cell r="Y3511">
            <v>0</v>
          </cell>
          <cell r="AK3511">
            <v>467.32</v>
          </cell>
        </row>
        <row r="3512">
          <cell r="O3512">
            <v>18785.02</v>
          </cell>
          <cell r="R3512">
            <v>0</v>
          </cell>
          <cell r="X3512">
            <v>0</v>
          </cell>
          <cell r="Y3512">
            <v>0</v>
          </cell>
          <cell r="AW3512">
            <v>1</v>
          </cell>
          <cell r="BC3512">
            <v>11.07</v>
          </cell>
        </row>
        <row r="3513">
          <cell r="F3513" t="str">
            <v>3.70-43-6</v>
          </cell>
          <cell r="H3513" t="str">
            <v>1 Т</v>
          </cell>
          <cell r="I3513">
            <v>0.24475</v>
          </cell>
          <cell r="P3513">
            <v>64.7</v>
          </cell>
          <cell r="Q3513">
            <v>16.72</v>
          </cell>
          <cell r="R3513">
            <v>1.94</v>
          </cell>
          <cell r="S3513">
            <v>63.82</v>
          </cell>
          <cell r="U3513">
            <v>4.1021020259999981</v>
          </cell>
          <cell r="X3513">
            <v>60.5</v>
          </cell>
          <cell r="Y3513">
            <v>32.22</v>
          </cell>
          <cell r="AL3513">
            <v>258.67</v>
          </cell>
          <cell r="AM3513">
            <v>43.5</v>
          </cell>
          <cell r="AN3513">
            <v>5.0599999999999996</v>
          </cell>
          <cell r="AO3513">
            <v>180.47</v>
          </cell>
          <cell r="AQ3513">
            <v>11.6</v>
          </cell>
        </row>
        <row r="3514">
          <cell r="P3514">
            <v>485.25</v>
          </cell>
          <cell r="Q3514">
            <v>258.16000000000003</v>
          </cell>
          <cell r="R3514">
            <v>109.32</v>
          </cell>
          <cell r="S3514">
            <v>3596.26</v>
          </cell>
          <cell r="X3514">
            <v>3409.13</v>
          </cell>
          <cell r="Y3514">
            <v>1815.73</v>
          </cell>
          <cell r="AT3514">
            <v>92</v>
          </cell>
          <cell r="AU3514">
            <v>49</v>
          </cell>
          <cell r="AV3514">
            <v>1.0469999999999999</v>
          </cell>
          <cell r="AW3514">
            <v>1.022</v>
          </cell>
          <cell r="BA3514">
            <v>56.35</v>
          </cell>
          <cell r="BB3514">
            <v>15.44</v>
          </cell>
          <cell r="BC3514">
            <v>7.5</v>
          </cell>
          <cell r="BS3514">
            <v>56.35</v>
          </cell>
          <cell r="BZ3514">
            <v>92</v>
          </cell>
          <cell r="CA3514">
            <v>49</v>
          </cell>
        </row>
        <row r="3515">
          <cell r="F3515" t="str">
            <v>1.3-4-75</v>
          </cell>
          <cell r="H3515" t="str">
            <v>т</v>
          </cell>
          <cell r="I3515">
            <v>0.24475</v>
          </cell>
          <cell r="O3515">
            <v>2432.48</v>
          </cell>
          <cell r="R3515">
            <v>0</v>
          </cell>
          <cell r="X3515">
            <v>0</v>
          </cell>
          <cell r="Y3515">
            <v>0</v>
          </cell>
          <cell r="AK3515">
            <v>9724.69</v>
          </cell>
        </row>
        <row r="3516">
          <cell r="O3516">
            <v>9438.02</v>
          </cell>
          <cell r="R3516">
            <v>0</v>
          </cell>
          <cell r="X3516">
            <v>0</v>
          </cell>
          <cell r="Y3516">
            <v>0</v>
          </cell>
          <cell r="AW3516">
            <v>1.022</v>
          </cell>
          <cell r="BC3516">
            <v>3.88</v>
          </cell>
        </row>
        <row r="3517">
          <cell r="F3517" t="str">
            <v>3.70-2-1</v>
          </cell>
          <cell r="H3517" t="str">
            <v>100 м2</v>
          </cell>
          <cell r="I3517">
            <v>0.89</v>
          </cell>
          <cell r="P3517">
            <v>0.69</v>
          </cell>
          <cell r="Q3517">
            <v>13.15</v>
          </cell>
          <cell r="R3517">
            <v>11.25</v>
          </cell>
          <cell r="S3517">
            <v>1833.43</v>
          </cell>
          <cell r="U3517">
            <v>109.61228109599998</v>
          </cell>
          <cell r="X3517">
            <v>1826.23</v>
          </cell>
          <cell r="Y3517">
            <v>1088.3599999999999</v>
          </cell>
          <cell r="AL3517">
            <v>0.78</v>
          </cell>
          <cell r="AM3517">
            <v>9.41</v>
          </cell>
          <cell r="AN3517">
            <v>8.0500000000000007</v>
          </cell>
          <cell r="AO3517">
            <v>1425.77</v>
          </cell>
          <cell r="AQ3517">
            <v>85.24</v>
          </cell>
        </row>
        <row r="3518">
          <cell r="P3518">
            <v>5.33</v>
          </cell>
          <cell r="Q3518">
            <v>715.36</v>
          </cell>
          <cell r="R3518">
            <v>633.94000000000005</v>
          </cell>
          <cell r="S3518">
            <v>103313.78</v>
          </cell>
          <cell r="X3518">
            <v>102908.24</v>
          </cell>
          <cell r="Y3518">
            <v>61329.15</v>
          </cell>
          <cell r="AT3518">
            <v>99</v>
          </cell>
          <cell r="AU3518">
            <v>59</v>
          </cell>
          <cell r="AV3518">
            <v>1.0469999999999999</v>
          </cell>
          <cell r="AW3518">
            <v>1</v>
          </cell>
          <cell r="BA3518">
            <v>56.35</v>
          </cell>
          <cell r="BB3518">
            <v>54.4</v>
          </cell>
          <cell r="BC3518">
            <v>7.73</v>
          </cell>
          <cell r="BS3518">
            <v>56.35</v>
          </cell>
          <cell r="BZ3518">
            <v>99</v>
          </cell>
          <cell r="CA3518">
            <v>59</v>
          </cell>
        </row>
        <row r="3519">
          <cell r="F3519" t="str">
            <v>1.3-2-97</v>
          </cell>
          <cell r="H3519" t="str">
            <v>кг</v>
          </cell>
          <cell r="I3519">
            <v>277.68</v>
          </cell>
          <cell r="O3519">
            <v>3443.23</v>
          </cell>
          <cell r="R3519">
            <v>0</v>
          </cell>
          <cell r="X3519">
            <v>0</v>
          </cell>
          <cell r="Y3519">
            <v>0</v>
          </cell>
          <cell r="AK3519">
            <v>12.4</v>
          </cell>
        </row>
        <row r="3520">
          <cell r="O3520">
            <v>16286.48</v>
          </cell>
          <cell r="R3520">
            <v>0</v>
          </cell>
          <cell r="X3520">
            <v>0</v>
          </cell>
          <cell r="Y3520">
            <v>0</v>
          </cell>
          <cell r="AW3520">
            <v>1</v>
          </cell>
          <cell r="BC3520">
            <v>4.7300000000000004</v>
          </cell>
        </row>
        <row r="3521">
          <cell r="F3521" t="str">
            <v>3.70-198-7</v>
          </cell>
          <cell r="H3521" t="str">
            <v>100 м2</v>
          </cell>
          <cell r="I3521">
            <v>0.89</v>
          </cell>
          <cell r="P3521">
            <v>8.2100000000000009</v>
          </cell>
          <cell r="Q3521">
            <v>113.3</v>
          </cell>
          <cell r="R3521">
            <v>19.93</v>
          </cell>
          <cell r="S3521">
            <v>1659.33</v>
          </cell>
          <cell r="U3521">
            <v>100.43077373999998</v>
          </cell>
          <cell r="X3521">
            <v>1696.05</v>
          </cell>
          <cell r="Y3521">
            <v>923.59</v>
          </cell>
          <cell r="AL3521">
            <v>9.2200000000000006</v>
          </cell>
          <cell r="AM3521">
            <v>81.06</v>
          </cell>
          <cell r="AN3521">
            <v>14.26</v>
          </cell>
          <cell r="AO3521">
            <v>1290.3800000000001</v>
          </cell>
          <cell r="AQ3521">
            <v>78.099999999999994</v>
          </cell>
        </row>
        <row r="3522">
          <cell r="P3522">
            <v>37.770000000000003</v>
          </cell>
          <cell r="Q3522">
            <v>2143.64</v>
          </cell>
          <cell r="R3522">
            <v>1123.06</v>
          </cell>
          <cell r="S3522">
            <v>93503.25</v>
          </cell>
          <cell r="X3522">
            <v>95572.57</v>
          </cell>
          <cell r="Y3522">
            <v>52044.47</v>
          </cell>
          <cell r="AT3522">
            <v>101</v>
          </cell>
          <cell r="AU3522">
            <v>55</v>
          </cell>
          <cell r="AV3522">
            <v>1.0469999999999999</v>
          </cell>
          <cell r="AW3522">
            <v>1</v>
          </cell>
          <cell r="BA3522">
            <v>56.35</v>
          </cell>
          <cell r="BB3522">
            <v>18.920000000000002</v>
          </cell>
          <cell r="BC3522">
            <v>4.5999999999999996</v>
          </cell>
          <cell r="BS3522">
            <v>56.35</v>
          </cell>
          <cell r="BZ3522">
            <v>101</v>
          </cell>
          <cell r="CA3522">
            <v>55</v>
          </cell>
        </row>
        <row r="3523">
          <cell r="F3523" t="str">
            <v>1.1-1-8205</v>
          </cell>
          <cell r="H3523" t="str">
            <v>100 шт.</v>
          </cell>
          <cell r="I3523">
            <v>6.0964999999999998</v>
          </cell>
          <cell r="O3523">
            <v>25.97</v>
          </cell>
          <cell r="R3523">
            <v>0</v>
          </cell>
          <cell r="X3523">
            <v>0</v>
          </cell>
          <cell r="Y3523">
            <v>0</v>
          </cell>
          <cell r="AK3523">
            <v>4.26</v>
          </cell>
        </row>
        <row r="3524">
          <cell r="O3524">
            <v>259.44</v>
          </cell>
          <cell r="R3524">
            <v>0</v>
          </cell>
          <cell r="X3524">
            <v>0</v>
          </cell>
          <cell r="Y3524">
            <v>0</v>
          </cell>
          <cell r="AW3524">
            <v>1</v>
          </cell>
          <cell r="BC3524">
            <v>9.99</v>
          </cell>
        </row>
        <row r="3525">
          <cell r="F3525" t="str">
            <v>1.1-1-3257</v>
          </cell>
          <cell r="H3525" t="str">
            <v>кг</v>
          </cell>
          <cell r="I3525">
            <v>12.46</v>
          </cell>
          <cell r="O3525">
            <v>215.56</v>
          </cell>
          <cell r="R3525">
            <v>0</v>
          </cell>
          <cell r="X3525">
            <v>0</v>
          </cell>
          <cell r="Y3525">
            <v>0</v>
          </cell>
          <cell r="AK3525">
            <v>17.3</v>
          </cell>
        </row>
        <row r="3526">
          <cell r="O3526">
            <v>1278.27</v>
          </cell>
          <cell r="R3526">
            <v>0</v>
          </cell>
          <cell r="X3526">
            <v>0</v>
          </cell>
          <cell r="Y3526">
            <v>0</v>
          </cell>
          <cell r="AW3526">
            <v>1</v>
          </cell>
          <cell r="BC3526">
            <v>5.93</v>
          </cell>
        </row>
        <row r="3527">
          <cell r="F3527" t="str">
            <v>1.3-2-50</v>
          </cell>
          <cell r="H3527" t="str">
            <v>т</v>
          </cell>
          <cell r="I3527">
            <v>3.56E-2</v>
          </cell>
          <cell r="O3527">
            <v>212.82</v>
          </cell>
          <cell r="R3527">
            <v>0</v>
          </cell>
          <cell r="X3527">
            <v>0</v>
          </cell>
          <cell r="Y3527">
            <v>0</v>
          </cell>
          <cell r="AK3527">
            <v>5978.05</v>
          </cell>
        </row>
        <row r="3528">
          <cell r="O3528">
            <v>3258.27</v>
          </cell>
          <cell r="R3528">
            <v>0</v>
          </cell>
          <cell r="X3528">
            <v>0</v>
          </cell>
          <cell r="Y3528">
            <v>0</v>
          </cell>
          <cell r="AW3528">
            <v>1</v>
          </cell>
          <cell r="BC3528">
            <v>15.31</v>
          </cell>
        </row>
        <row r="3529">
          <cell r="F3529" t="str">
            <v>1.3-2-35</v>
          </cell>
          <cell r="H3529" t="str">
            <v>т</v>
          </cell>
          <cell r="I3529">
            <v>0.641459</v>
          </cell>
          <cell r="O3529">
            <v>1071.04</v>
          </cell>
          <cell r="R3529">
            <v>0</v>
          </cell>
          <cell r="X3529">
            <v>0</v>
          </cell>
          <cell r="Y3529">
            <v>0</v>
          </cell>
          <cell r="AK3529">
            <v>1669.7</v>
          </cell>
        </row>
        <row r="3530">
          <cell r="O3530">
            <v>8568.32</v>
          </cell>
          <cell r="R3530">
            <v>0</v>
          </cell>
          <cell r="X3530">
            <v>0</v>
          </cell>
          <cell r="Y3530">
            <v>0</v>
          </cell>
          <cell r="AW3530">
            <v>1</v>
          </cell>
          <cell r="BC3530">
            <v>8</v>
          </cell>
        </row>
        <row r="3531">
          <cell r="F3531" t="str">
            <v>1.1-1-8134</v>
          </cell>
          <cell r="H3531" t="str">
            <v>м2</v>
          </cell>
          <cell r="I3531">
            <v>98.79</v>
          </cell>
          <cell r="O3531">
            <v>12632.28</v>
          </cell>
          <cell r="R3531">
            <v>0</v>
          </cell>
          <cell r="X3531">
            <v>0</v>
          </cell>
          <cell r="Y3531">
            <v>0</v>
          </cell>
          <cell r="AK3531">
            <v>127.87</v>
          </cell>
        </row>
        <row r="3532">
          <cell r="O3532">
            <v>103837.34</v>
          </cell>
          <cell r="R3532">
            <v>0</v>
          </cell>
          <cell r="X3532">
            <v>0</v>
          </cell>
          <cell r="Y3532">
            <v>0</v>
          </cell>
          <cell r="AW3532">
            <v>1</v>
          </cell>
          <cell r="BC3532">
            <v>8.2200000000000006</v>
          </cell>
        </row>
        <row r="3534">
          <cell r="G3534" t="str">
            <v>Подвал. Керамогранит 1195х600 мм</v>
          </cell>
        </row>
        <row r="3564">
          <cell r="G3564" t="str">
            <v>Подвал. Керамогранит 600х600+звукоизоляционная лента по периметру</v>
          </cell>
        </row>
        <row r="3568">
          <cell r="F3568" t="str">
            <v>3.70-159-1</v>
          </cell>
          <cell r="H3568" t="str">
            <v>100 м2 стяжки</v>
          </cell>
          <cell r="I3568">
            <v>3.09</v>
          </cell>
          <cell r="P3568">
            <v>76.48</v>
          </cell>
          <cell r="Q3568">
            <v>8.74</v>
          </cell>
          <cell r="R3568">
            <v>0</v>
          </cell>
          <cell r="S3568">
            <v>1453.01</v>
          </cell>
          <cell r="U3568">
            <v>104.15952394199998</v>
          </cell>
          <cell r="X3568">
            <v>1467.54</v>
          </cell>
          <cell r="Y3568">
            <v>799.16</v>
          </cell>
          <cell r="AL3568">
            <v>24.75</v>
          </cell>
          <cell r="AM3568">
            <v>1.8</v>
          </cell>
          <cell r="AO3568">
            <v>325.45</v>
          </cell>
          <cell r="AQ3568">
            <v>23.33</v>
          </cell>
        </row>
        <row r="3569">
          <cell r="P3569">
            <v>592.72</v>
          </cell>
          <cell r="Q3569">
            <v>102.17</v>
          </cell>
          <cell r="R3569">
            <v>0</v>
          </cell>
          <cell r="S3569">
            <v>81877.11</v>
          </cell>
          <cell r="X3569">
            <v>82695.88</v>
          </cell>
          <cell r="Y3569">
            <v>45032.41</v>
          </cell>
          <cell r="AT3569">
            <v>101</v>
          </cell>
          <cell r="AU3569">
            <v>55</v>
          </cell>
          <cell r="AV3569">
            <v>1.0469999999999999</v>
          </cell>
          <cell r="AW3569">
            <v>1</v>
          </cell>
          <cell r="BA3569">
            <v>56.35</v>
          </cell>
          <cell r="BB3569">
            <v>11.69</v>
          </cell>
          <cell r="BC3569">
            <v>7.75</v>
          </cell>
          <cell r="BZ3569">
            <v>101</v>
          </cell>
          <cell r="CA3569">
            <v>55</v>
          </cell>
        </row>
        <row r="3570">
          <cell r="F3570" t="str">
            <v>1.3-2-6</v>
          </cell>
          <cell r="H3570" t="str">
            <v>м3</v>
          </cell>
          <cell r="I3570">
            <v>6.3035999999999994</v>
          </cell>
          <cell r="O3570">
            <v>2945.8</v>
          </cell>
          <cell r="R3570">
            <v>0</v>
          </cell>
          <cell r="X3570">
            <v>0</v>
          </cell>
          <cell r="Y3570">
            <v>0</v>
          </cell>
          <cell r="AK3570">
            <v>467.32</v>
          </cell>
        </row>
        <row r="3571">
          <cell r="O3571">
            <v>32610.01</v>
          </cell>
          <cell r="R3571">
            <v>0</v>
          </cell>
          <cell r="X3571">
            <v>0</v>
          </cell>
          <cell r="Y3571">
            <v>0</v>
          </cell>
          <cell r="AW3571">
            <v>1</v>
          </cell>
          <cell r="BC3571">
            <v>11.07</v>
          </cell>
        </row>
        <row r="3572">
          <cell r="F3572" t="str">
            <v>3.70-159-2</v>
          </cell>
          <cell r="H3572" t="str">
            <v>100 м2 стяжки</v>
          </cell>
          <cell r="I3572">
            <v>3.09</v>
          </cell>
          <cell r="Q3572">
            <v>23.66</v>
          </cell>
          <cell r="R3572">
            <v>0</v>
          </cell>
          <cell r="S3572">
            <v>285.37</v>
          </cell>
          <cell r="U3572">
            <v>20.822975553599996</v>
          </cell>
          <cell r="X3572">
            <v>288.22000000000003</v>
          </cell>
          <cell r="Y3572">
            <v>156.94999999999999</v>
          </cell>
          <cell r="AM3572">
            <v>0.46</v>
          </cell>
          <cell r="AO3572">
            <v>6.03</v>
          </cell>
          <cell r="AQ3572">
            <v>0.44</v>
          </cell>
        </row>
        <row r="3573">
          <cell r="Q3573">
            <v>276.82</v>
          </cell>
          <cell r="R3573">
            <v>0</v>
          </cell>
          <cell r="S3573">
            <v>16080.6</v>
          </cell>
          <cell r="X3573">
            <v>16241.41</v>
          </cell>
          <cell r="Y3573">
            <v>8844.33</v>
          </cell>
          <cell r="AT3573">
            <v>101</v>
          </cell>
          <cell r="AU3573">
            <v>55</v>
          </cell>
          <cell r="AV3573">
            <v>1.0469999999999999</v>
          </cell>
          <cell r="BA3573">
            <v>56.35</v>
          </cell>
          <cell r="BB3573">
            <v>11.7</v>
          </cell>
          <cell r="BZ3573">
            <v>101</v>
          </cell>
          <cell r="CA3573">
            <v>55</v>
          </cell>
        </row>
        <row r="3574">
          <cell r="F3574" t="str">
            <v>1.3-2-6</v>
          </cell>
          <cell r="H3574" t="str">
            <v>м3</v>
          </cell>
          <cell r="I3574">
            <v>16.704540000000001</v>
          </cell>
          <cell r="O3574">
            <v>7806.37</v>
          </cell>
          <cell r="R3574">
            <v>0</v>
          </cell>
          <cell r="X3574">
            <v>0</v>
          </cell>
          <cell r="Y3574">
            <v>0</v>
          </cell>
          <cell r="AK3574">
            <v>467.32</v>
          </cell>
        </row>
        <row r="3575">
          <cell r="O3575">
            <v>86416.52</v>
          </cell>
          <cell r="R3575">
            <v>0</v>
          </cell>
          <cell r="X3575">
            <v>0</v>
          </cell>
          <cell r="Y3575">
            <v>0</v>
          </cell>
          <cell r="AW3575">
            <v>1</v>
          </cell>
          <cell r="BC3575">
            <v>11.07</v>
          </cell>
        </row>
        <row r="3576">
          <cell r="F3576" t="str">
            <v>3.70-43-6</v>
          </cell>
          <cell r="H3576" t="str">
            <v>1 Т</v>
          </cell>
          <cell r="I3576">
            <v>0.84975000000000001</v>
          </cell>
          <cell r="P3576">
            <v>224.64</v>
          </cell>
          <cell r="Q3576">
            <v>58.05</v>
          </cell>
          <cell r="R3576">
            <v>6.75</v>
          </cell>
          <cell r="S3576">
            <v>221.58</v>
          </cell>
          <cell r="U3576">
            <v>14.242129505999994</v>
          </cell>
          <cell r="X3576">
            <v>210.06</v>
          </cell>
          <cell r="Y3576">
            <v>111.88</v>
          </cell>
          <cell r="AL3576">
            <v>258.67</v>
          </cell>
          <cell r="AM3576">
            <v>43.5</v>
          </cell>
          <cell r="AN3576">
            <v>5.0599999999999996</v>
          </cell>
          <cell r="AO3576">
            <v>180.47</v>
          </cell>
          <cell r="AQ3576">
            <v>11.6</v>
          </cell>
        </row>
        <row r="3577">
          <cell r="P3577">
            <v>1684.8</v>
          </cell>
          <cell r="Q3577">
            <v>896.29</v>
          </cell>
          <cell r="R3577">
            <v>380.36</v>
          </cell>
          <cell r="S3577">
            <v>12486.03</v>
          </cell>
          <cell r="X3577">
            <v>11837.08</v>
          </cell>
          <cell r="Y3577">
            <v>6304.53</v>
          </cell>
          <cell r="AT3577">
            <v>92</v>
          </cell>
          <cell r="AU3577">
            <v>49</v>
          </cell>
          <cell r="AV3577">
            <v>1.0469999999999999</v>
          </cell>
          <cell r="AW3577">
            <v>1.022</v>
          </cell>
          <cell r="BA3577">
            <v>56.35</v>
          </cell>
          <cell r="BB3577">
            <v>15.44</v>
          </cell>
          <cell r="BC3577">
            <v>7.5</v>
          </cell>
          <cell r="BS3577">
            <v>56.35</v>
          </cell>
          <cell r="BZ3577">
            <v>92</v>
          </cell>
          <cell r="CA3577">
            <v>49</v>
          </cell>
        </row>
        <row r="3578">
          <cell r="F3578" t="str">
            <v>1.3-4-75</v>
          </cell>
          <cell r="H3578" t="str">
            <v>т</v>
          </cell>
          <cell r="I3578">
            <v>0.84975000000000001</v>
          </cell>
          <cell r="O3578">
            <v>8445.35</v>
          </cell>
          <cell r="R3578">
            <v>0</v>
          </cell>
          <cell r="X3578">
            <v>0</v>
          </cell>
          <cell r="Y3578">
            <v>0</v>
          </cell>
          <cell r="AK3578">
            <v>9724.69</v>
          </cell>
        </row>
        <row r="3579">
          <cell r="O3579">
            <v>32767.96</v>
          </cell>
          <cell r="R3579">
            <v>0</v>
          </cell>
          <cell r="X3579">
            <v>0</v>
          </cell>
          <cell r="Y3579">
            <v>0</v>
          </cell>
          <cell r="AW3579">
            <v>1.022</v>
          </cell>
          <cell r="BC3579">
            <v>3.88</v>
          </cell>
        </row>
        <row r="3580">
          <cell r="F3580" t="str">
            <v>3.70-2-1</v>
          </cell>
          <cell r="H3580" t="str">
            <v>100 м2</v>
          </cell>
          <cell r="I3580">
            <v>3.09</v>
          </cell>
          <cell r="P3580">
            <v>2.41</v>
          </cell>
          <cell r="Q3580">
            <v>45.67</v>
          </cell>
          <cell r="R3580">
            <v>39.07</v>
          </cell>
          <cell r="S3580">
            <v>6365.52</v>
          </cell>
          <cell r="U3580">
            <v>380.5639871759999</v>
          </cell>
          <cell r="X3580">
            <v>6340.54</v>
          </cell>
          <cell r="Y3580">
            <v>3778.71</v>
          </cell>
          <cell r="AL3580">
            <v>0.78</v>
          </cell>
          <cell r="AM3580">
            <v>9.41</v>
          </cell>
          <cell r="AN3580">
            <v>8.0500000000000007</v>
          </cell>
          <cell r="AO3580">
            <v>1425.77</v>
          </cell>
          <cell r="AQ3580">
            <v>85.24</v>
          </cell>
        </row>
        <row r="3581">
          <cell r="P3581">
            <v>18.63</v>
          </cell>
          <cell r="Q3581">
            <v>2484.4499999999998</v>
          </cell>
          <cell r="R3581">
            <v>2201.59</v>
          </cell>
          <cell r="S3581">
            <v>358697.05</v>
          </cell>
          <cell r="X3581">
            <v>357289.65</v>
          </cell>
          <cell r="Y3581">
            <v>212930.2</v>
          </cell>
          <cell r="AT3581">
            <v>99</v>
          </cell>
          <cell r="AU3581">
            <v>59</v>
          </cell>
          <cell r="AV3581">
            <v>1.0469999999999999</v>
          </cell>
          <cell r="AW3581">
            <v>1</v>
          </cell>
          <cell r="BA3581">
            <v>56.35</v>
          </cell>
          <cell r="BB3581">
            <v>54.4</v>
          </cell>
          <cell r="BC3581">
            <v>7.73</v>
          </cell>
          <cell r="BS3581">
            <v>56.35</v>
          </cell>
          <cell r="BZ3581">
            <v>99</v>
          </cell>
          <cell r="CA3581">
            <v>59</v>
          </cell>
        </row>
        <row r="3582">
          <cell r="F3582" t="str">
            <v>1.3-2-97</v>
          </cell>
          <cell r="H3582" t="str">
            <v>кг</v>
          </cell>
          <cell r="I3582">
            <v>964.07999999999993</v>
          </cell>
          <cell r="O3582">
            <v>11954.59</v>
          </cell>
          <cell r="R3582">
            <v>0</v>
          </cell>
          <cell r="X3582">
            <v>0</v>
          </cell>
          <cell r="Y3582">
            <v>0</v>
          </cell>
          <cell r="AK3582">
            <v>12.4</v>
          </cell>
        </row>
        <row r="3583">
          <cell r="O3583">
            <v>56545.21</v>
          </cell>
          <cell r="R3583">
            <v>0</v>
          </cell>
          <cell r="X3583">
            <v>0</v>
          </cell>
          <cell r="Y3583">
            <v>0</v>
          </cell>
          <cell r="AW3583">
            <v>1</v>
          </cell>
          <cell r="BC3583">
            <v>4.7300000000000004</v>
          </cell>
        </row>
        <row r="3584">
          <cell r="F3584" t="str">
            <v>3.70-165-1</v>
          </cell>
          <cell r="H3584" t="str">
            <v>100 м2</v>
          </cell>
          <cell r="I3584">
            <v>0.98</v>
          </cell>
          <cell r="P3584">
            <v>98.78</v>
          </cell>
          <cell r="Q3584">
            <v>2.5499999999999998</v>
          </cell>
          <cell r="R3584">
            <v>0.38</v>
          </cell>
          <cell r="S3584">
            <v>83.13</v>
          </cell>
          <cell r="U3584">
            <v>5.2957008719999994</v>
          </cell>
          <cell r="X3584">
            <v>84.35</v>
          </cell>
          <cell r="Y3584">
            <v>45.93</v>
          </cell>
          <cell r="AL3584">
            <v>100.8</v>
          </cell>
          <cell r="AM3584">
            <v>1.66</v>
          </cell>
          <cell r="AN3584">
            <v>0.25</v>
          </cell>
          <cell r="AO3584">
            <v>58.71</v>
          </cell>
          <cell r="AQ3584">
            <v>3.74</v>
          </cell>
        </row>
        <row r="3585">
          <cell r="P3585">
            <v>852.47</v>
          </cell>
          <cell r="Q3585">
            <v>43.58</v>
          </cell>
          <cell r="R3585">
            <v>21.41</v>
          </cell>
          <cell r="S3585">
            <v>4684.38</v>
          </cell>
          <cell r="X3585">
            <v>4752.8500000000004</v>
          </cell>
          <cell r="Y3585">
            <v>2588.1799999999998</v>
          </cell>
          <cell r="AT3585">
            <v>101</v>
          </cell>
          <cell r="AU3585">
            <v>55</v>
          </cell>
          <cell r="AV3585">
            <v>1.0469999999999999</v>
          </cell>
          <cell r="AW3585">
            <v>1</v>
          </cell>
          <cell r="BA3585">
            <v>56.35</v>
          </cell>
          <cell r="BB3585">
            <v>17.09</v>
          </cell>
          <cell r="BC3585">
            <v>8.6300000000000008</v>
          </cell>
          <cell r="BS3585">
            <v>56.35</v>
          </cell>
          <cell r="BZ3585">
            <v>101</v>
          </cell>
          <cell r="CA3585">
            <v>55</v>
          </cell>
        </row>
        <row r="3586">
          <cell r="F3586" t="str">
            <v>1.1-1-4083</v>
          </cell>
          <cell r="H3586" t="str">
            <v>м2</v>
          </cell>
          <cell r="I3586">
            <v>100.94</v>
          </cell>
          <cell r="O3586">
            <v>662.17</v>
          </cell>
          <cell r="R3586">
            <v>0</v>
          </cell>
          <cell r="X3586">
            <v>0</v>
          </cell>
          <cell r="Y3586">
            <v>0</v>
          </cell>
          <cell r="AK3586">
            <v>6.56</v>
          </cell>
        </row>
        <row r="3587">
          <cell r="O3587">
            <v>9528.6299999999992</v>
          </cell>
          <cell r="R3587">
            <v>0</v>
          </cell>
          <cell r="X3587">
            <v>0</v>
          </cell>
          <cell r="Y3587">
            <v>0</v>
          </cell>
          <cell r="AW3587">
            <v>1</v>
          </cell>
          <cell r="BC3587">
            <v>14.39</v>
          </cell>
        </row>
        <row r="3588">
          <cell r="F3588" t="str">
            <v>3.70-198-6</v>
          </cell>
          <cell r="H3588" t="str">
            <v>100 м2</v>
          </cell>
          <cell r="I3588">
            <v>3.09</v>
          </cell>
          <cell r="P3588">
            <v>22.25</v>
          </cell>
          <cell r="Q3588">
            <v>376</v>
          </cell>
          <cell r="R3588">
            <v>66.14</v>
          </cell>
          <cell r="S3588">
            <v>4522.88</v>
          </cell>
          <cell r="U3588">
            <v>275.0204318399999</v>
          </cell>
          <cell r="X3588">
            <v>4634.91</v>
          </cell>
          <cell r="Y3588">
            <v>2523.96</v>
          </cell>
          <cell r="AL3588">
            <v>7.2</v>
          </cell>
          <cell r="AM3588">
            <v>77.48</v>
          </cell>
          <cell r="AN3588">
            <v>13.63</v>
          </cell>
          <cell r="AO3588">
            <v>1013.05</v>
          </cell>
          <cell r="AQ3588">
            <v>61.6</v>
          </cell>
        </row>
        <row r="3589">
          <cell r="P3589">
            <v>112.81</v>
          </cell>
          <cell r="Q3589">
            <v>7110.16</v>
          </cell>
          <cell r="R3589">
            <v>3726.99</v>
          </cell>
          <cell r="S3589">
            <v>254864.29</v>
          </cell>
          <cell r="X3589">
            <v>261177.19</v>
          </cell>
          <cell r="Y3589">
            <v>142225.20000000001</v>
          </cell>
          <cell r="AT3589">
            <v>101</v>
          </cell>
          <cell r="AU3589">
            <v>55</v>
          </cell>
          <cell r="AV3589">
            <v>1.0469999999999999</v>
          </cell>
          <cell r="AW3589">
            <v>1</v>
          </cell>
          <cell r="BA3589">
            <v>56.35</v>
          </cell>
          <cell r="BB3589">
            <v>18.91</v>
          </cell>
          <cell r="BC3589">
            <v>5.07</v>
          </cell>
          <cell r="BS3589">
            <v>56.35</v>
          </cell>
          <cell r="BZ3589">
            <v>101</v>
          </cell>
          <cell r="CA3589">
            <v>55</v>
          </cell>
        </row>
        <row r="3590">
          <cell r="F3590" t="str">
            <v>1.1-1-8205</v>
          </cell>
          <cell r="H3590" t="str">
            <v>100 шт.</v>
          </cell>
          <cell r="I3590">
            <v>35.813099999999999</v>
          </cell>
          <cell r="O3590">
            <v>152.56</v>
          </cell>
          <cell r="R3590">
            <v>0</v>
          </cell>
          <cell r="X3590">
            <v>0</v>
          </cell>
          <cell r="Y3590">
            <v>0</v>
          </cell>
          <cell r="AK3590">
            <v>4.26</v>
          </cell>
        </row>
        <row r="3591">
          <cell r="O3591">
            <v>1524.07</v>
          </cell>
          <cell r="R3591">
            <v>0</v>
          </cell>
          <cell r="X3591">
            <v>0</v>
          </cell>
          <cell r="Y3591">
            <v>0</v>
          </cell>
          <cell r="AW3591">
            <v>1</v>
          </cell>
          <cell r="BC3591">
            <v>9.99</v>
          </cell>
        </row>
        <row r="3592">
          <cell r="F3592" t="str">
            <v>1.1-1-3257</v>
          </cell>
          <cell r="H3592" t="str">
            <v>кг</v>
          </cell>
          <cell r="I3592">
            <v>43.26</v>
          </cell>
          <cell r="O3592">
            <v>748.4</v>
          </cell>
          <cell r="R3592">
            <v>0</v>
          </cell>
          <cell r="X3592">
            <v>0</v>
          </cell>
          <cell r="Y3592">
            <v>0</v>
          </cell>
          <cell r="AK3592">
            <v>17.3</v>
          </cell>
        </row>
        <row r="3593">
          <cell r="O3593">
            <v>4438.01</v>
          </cell>
          <cell r="R3593">
            <v>0</v>
          </cell>
          <cell r="X3593">
            <v>0</v>
          </cell>
          <cell r="Y3593">
            <v>0</v>
          </cell>
          <cell r="AW3593">
            <v>1</v>
          </cell>
          <cell r="BC3593">
            <v>5.93</v>
          </cell>
        </row>
        <row r="3594">
          <cell r="F3594" t="str">
            <v>1.3-2-50</v>
          </cell>
          <cell r="H3594" t="str">
            <v>т</v>
          </cell>
          <cell r="I3594">
            <v>0.1236</v>
          </cell>
          <cell r="O3594">
            <v>738.89</v>
          </cell>
          <cell r="R3594">
            <v>0</v>
          </cell>
          <cell r="X3594">
            <v>0</v>
          </cell>
          <cell r="Y3594">
            <v>0</v>
          </cell>
          <cell r="AK3594">
            <v>5978.05</v>
          </cell>
        </row>
        <row r="3595">
          <cell r="O3595">
            <v>11312.41</v>
          </cell>
          <cell r="R3595">
            <v>0</v>
          </cell>
          <cell r="X3595">
            <v>0</v>
          </cell>
          <cell r="Y3595">
            <v>0</v>
          </cell>
          <cell r="AW3595">
            <v>1</v>
          </cell>
          <cell r="BC3595">
            <v>15.31</v>
          </cell>
        </row>
        <row r="3596">
          <cell r="F3596" t="str">
            <v>1.3-2-35</v>
          </cell>
          <cell r="H3596" t="str">
            <v>т</v>
          </cell>
          <cell r="I3596">
            <v>2.227087</v>
          </cell>
          <cell r="O3596">
            <v>3718.57</v>
          </cell>
          <cell r="R3596">
            <v>0</v>
          </cell>
          <cell r="X3596">
            <v>0</v>
          </cell>
          <cell r="Y3596">
            <v>0</v>
          </cell>
          <cell r="AK3596">
            <v>1669.7</v>
          </cell>
        </row>
        <row r="3597">
          <cell r="O3597">
            <v>29748.560000000001</v>
          </cell>
          <cell r="R3597">
            <v>0</v>
          </cell>
          <cell r="X3597">
            <v>0</v>
          </cell>
          <cell r="Y3597">
            <v>0</v>
          </cell>
          <cell r="AW3597">
            <v>1</v>
          </cell>
          <cell r="BC3597">
            <v>8</v>
          </cell>
        </row>
        <row r="3598">
          <cell r="F3598" t="str">
            <v>1.1-1-3225</v>
          </cell>
          <cell r="H3598" t="str">
            <v>м2</v>
          </cell>
          <cell r="I3598">
            <v>333.72</v>
          </cell>
          <cell r="O3598">
            <v>41571.5</v>
          </cell>
          <cell r="R3598">
            <v>0</v>
          </cell>
          <cell r="X3598">
            <v>0</v>
          </cell>
          <cell r="Y3598">
            <v>0</v>
          </cell>
          <cell r="AK3598">
            <v>124.57</v>
          </cell>
        </row>
        <row r="3599">
          <cell r="O3599">
            <v>275619.05</v>
          </cell>
          <cell r="R3599">
            <v>0</v>
          </cell>
          <cell r="X3599">
            <v>0</v>
          </cell>
          <cell r="Y3599">
            <v>0</v>
          </cell>
          <cell r="AW3599">
            <v>1</v>
          </cell>
          <cell r="BC3599">
            <v>6.63</v>
          </cell>
        </row>
        <row r="3601">
          <cell r="G3601" t="str">
            <v>Подвал. Керамогранит 600х600+звукоизоляционная лента по периметру</v>
          </cell>
        </row>
        <row r="3631">
          <cell r="G3631" t="str">
            <v>Подвал.  Паркетная доска</v>
          </cell>
        </row>
        <row r="3635">
          <cell r="F3635" t="str">
            <v>3.70-159-1</v>
          </cell>
          <cell r="H3635" t="str">
            <v>100 м2 стяжки</v>
          </cell>
          <cell r="I3635">
            <v>1.25</v>
          </cell>
          <cell r="P3635">
            <v>30.94</v>
          </cell>
          <cell r="Q3635">
            <v>3.53</v>
          </cell>
          <cell r="R3635">
            <v>0</v>
          </cell>
          <cell r="S3635">
            <v>587.79</v>
          </cell>
          <cell r="U3635">
            <v>42.135729749999989</v>
          </cell>
          <cell r="X3635">
            <v>593.66999999999996</v>
          </cell>
          <cell r="Y3635">
            <v>323.27999999999997</v>
          </cell>
          <cell r="AL3635">
            <v>24.75</v>
          </cell>
          <cell r="AM3635">
            <v>1.8</v>
          </cell>
          <cell r="AO3635">
            <v>325.45</v>
          </cell>
          <cell r="AQ3635">
            <v>23.33</v>
          </cell>
        </row>
        <row r="3636">
          <cell r="P3636">
            <v>239.79</v>
          </cell>
          <cell r="Q3636">
            <v>41.27</v>
          </cell>
          <cell r="R3636">
            <v>0</v>
          </cell>
          <cell r="S3636">
            <v>33121.97</v>
          </cell>
          <cell r="X3636">
            <v>33453.19</v>
          </cell>
          <cell r="Y3636">
            <v>18217.080000000002</v>
          </cell>
          <cell r="AT3636">
            <v>101</v>
          </cell>
          <cell r="AU3636">
            <v>55</v>
          </cell>
          <cell r="AV3636">
            <v>1.0469999999999999</v>
          </cell>
          <cell r="AW3636">
            <v>1</v>
          </cell>
          <cell r="BA3636">
            <v>56.35</v>
          </cell>
          <cell r="BB3636">
            <v>11.69</v>
          </cell>
          <cell r="BC3636">
            <v>7.75</v>
          </cell>
          <cell r="BZ3636">
            <v>101</v>
          </cell>
          <cell r="CA3636">
            <v>55</v>
          </cell>
        </row>
        <row r="3637">
          <cell r="F3637" t="str">
            <v>1.3-2-7</v>
          </cell>
          <cell r="H3637" t="str">
            <v>м3</v>
          </cell>
          <cell r="I3637">
            <v>2.5499999999999998</v>
          </cell>
          <cell r="O3637">
            <v>1295.32</v>
          </cell>
          <cell r="R3637">
            <v>0</v>
          </cell>
          <cell r="X3637">
            <v>0</v>
          </cell>
          <cell r="Y3637">
            <v>0</v>
          </cell>
          <cell r="AK3637">
            <v>507.97</v>
          </cell>
        </row>
        <row r="3638">
          <cell r="O3638">
            <v>14222.61</v>
          </cell>
          <cell r="R3638">
            <v>0</v>
          </cell>
          <cell r="X3638">
            <v>0</v>
          </cell>
          <cell r="Y3638">
            <v>0</v>
          </cell>
          <cell r="AW3638">
            <v>1</v>
          </cell>
          <cell r="BC3638">
            <v>10.98</v>
          </cell>
        </row>
        <row r="3639">
          <cell r="F3639" t="str">
            <v>3.70-164-1</v>
          </cell>
          <cell r="H3639" t="str">
            <v>100 м2</v>
          </cell>
          <cell r="I3639">
            <v>1.25</v>
          </cell>
          <cell r="P3639">
            <v>135.46</v>
          </cell>
          <cell r="Q3639">
            <v>85.3</v>
          </cell>
          <cell r="R3639">
            <v>1.49</v>
          </cell>
          <cell r="S3639">
            <v>2432.86</v>
          </cell>
          <cell r="U3639">
            <v>149.97646799999998</v>
          </cell>
          <cell r="X3639">
            <v>2458.69</v>
          </cell>
          <cell r="Y3639">
            <v>1338.89</v>
          </cell>
          <cell r="AL3639">
            <v>108.37</v>
          </cell>
          <cell r="AM3639">
            <v>43.45</v>
          </cell>
          <cell r="AN3639">
            <v>0.76</v>
          </cell>
          <cell r="AO3639">
            <v>1347.04</v>
          </cell>
          <cell r="AQ3639">
            <v>83.04</v>
          </cell>
        </row>
        <row r="3640">
          <cell r="P3640">
            <v>1911.34</v>
          </cell>
          <cell r="Q3640">
            <v>930.62</v>
          </cell>
          <cell r="R3640">
            <v>83.96</v>
          </cell>
          <cell r="S3640">
            <v>137091.66</v>
          </cell>
          <cell r="X3640">
            <v>138547.38</v>
          </cell>
          <cell r="Y3640">
            <v>75446.59</v>
          </cell>
          <cell r="AT3640">
            <v>101</v>
          </cell>
          <cell r="AU3640">
            <v>55</v>
          </cell>
          <cell r="AV3640">
            <v>1.0469999999999999</v>
          </cell>
          <cell r="AW3640">
            <v>1</v>
          </cell>
          <cell r="BA3640">
            <v>56.35</v>
          </cell>
          <cell r="BB3640">
            <v>10.91</v>
          </cell>
          <cell r="BC3640">
            <v>14.11</v>
          </cell>
          <cell r="BS3640">
            <v>56.35</v>
          </cell>
          <cell r="BZ3640">
            <v>101</v>
          </cell>
          <cell r="CA3640">
            <v>55</v>
          </cell>
        </row>
        <row r="3641">
          <cell r="F3641" t="str">
            <v>1.1-1-3383</v>
          </cell>
          <cell r="H3641" t="str">
            <v>100 шт.</v>
          </cell>
          <cell r="I3641">
            <v>19</v>
          </cell>
          <cell r="O3641">
            <v>1803.67</v>
          </cell>
          <cell r="R3641">
            <v>0</v>
          </cell>
          <cell r="X3641">
            <v>0</v>
          </cell>
          <cell r="Y3641">
            <v>0</v>
          </cell>
          <cell r="AK3641">
            <v>94.93</v>
          </cell>
        </row>
        <row r="3642">
          <cell r="O3642">
            <v>6673.58</v>
          </cell>
          <cell r="R3642">
            <v>0</v>
          </cell>
          <cell r="X3642">
            <v>0</v>
          </cell>
          <cell r="Y3642">
            <v>0</v>
          </cell>
          <cell r="AW3642">
            <v>1</v>
          </cell>
          <cell r="BC3642">
            <v>3.7</v>
          </cell>
        </row>
        <row r="3643">
          <cell r="F3643" t="str">
            <v>1.1-1-394</v>
          </cell>
          <cell r="H3643" t="str">
            <v>кг</v>
          </cell>
          <cell r="I3643">
            <v>100</v>
          </cell>
          <cell r="O3643">
            <v>998</v>
          </cell>
          <cell r="R3643">
            <v>0</v>
          </cell>
          <cell r="X3643">
            <v>0</v>
          </cell>
          <cell r="Y3643">
            <v>0</v>
          </cell>
          <cell r="AK3643">
            <v>9.98</v>
          </cell>
        </row>
        <row r="3644">
          <cell r="O3644">
            <v>8473.02</v>
          </cell>
          <cell r="R3644">
            <v>0</v>
          </cell>
          <cell r="X3644">
            <v>0</v>
          </cell>
          <cell r="Y3644">
            <v>0</v>
          </cell>
          <cell r="AW3644">
            <v>1</v>
          </cell>
          <cell r="BC3644">
            <v>8.49</v>
          </cell>
        </row>
        <row r="3645">
          <cell r="F3645" t="str">
            <v>1.1-1-1308</v>
          </cell>
          <cell r="H3645" t="str">
            <v>м3</v>
          </cell>
          <cell r="I3645">
            <v>1.5</v>
          </cell>
          <cell r="P3645">
            <v>3780.63</v>
          </cell>
          <cell r="R3645">
            <v>0</v>
          </cell>
          <cell r="X3645">
            <v>0</v>
          </cell>
          <cell r="Y3645">
            <v>0</v>
          </cell>
          <cell r="AL3645">
            <v>2520.42</v>
          </cell>
        </row>
        <row r="3646">
          <cell r="P3646">
            <v>77540.72</v>
          </cell>
          <cell r="R3646">
            <v>0</v>
          </cell>
          <cell r="X3646">
            <v>0</v>
          </cell>
          <cell r="Y3646">
            <v>0</v>
          </cell>
          <cell r="AW3646">
            <v>1</v>
          </cell>
          <cell r="BC3646">
            <v>20.51</v>
          </cell>
        </row>
        <row r="3647">
          <cell r="F3647" t="str">
            <v>3.70-164-1</v>
          </cell>
          <cell r="H3647" t="str">
            <v>100 м2</v>
          </cell>
          <cell r="I3647">
            <v>1.25</v>
          </cell>
          <cell r="P3647">
            <v>135.46</v>
          </cell>
          <cell r="Q3647">
            <v>85.3</v>
          </cell>
          <cell r="R3647">
            <v>1.49</v>
          </cell>
          <cell r="S3647">
            <v>2432.86</v>
          </cell>
          <cell r="U3647">
            <v>149.97646799999998</v>
          </cell>
          <cell r="X3647">
            <v>2458.69</v>
          </cell>
          <cell r="Y3647">
            <v>1338.89</v>
          </cell>
          <cell r="AL3647">
            <v>108.37</v>
          </cell>
          <cell r="AM3647">
            <v>43.45</v>
          </cell>
          <cell r="AN3647">
            <v>0.76</v>
          </cell>
          <cell r="AO3647">
            <v>1347.04</v>
          </cell>
          <cell r="AQ3647">
            <v>83.04</v>
          </cell>
        </row>
        <row r="3648">
          <cell r="P3648">
            <v>1911.34</v>
          </cell>
          <cell r="Q3648">
            <v>930.62</v>
          </cell>
          <cell r="R3648">
            <v>83.96</v>
          </cell>
          <cell r="S3648">
            <v>137091.66</v>
          </cell>
          <cell r="X3648">
            <v>138547.38</v>
          </cell>
          <cell r="Y3648">
            <v>75446.59</v>
          </cell>
          <cell r="AT3648">
            <v>101</v>
          </cell>
          <cell r="AU3648">
            <v>55</v>
          </cell>
          <cell r="AV3648">
            <v>1.0469999999999999</v>
          </cell>
          <cell r="AW3648">
            <v>1</v>
          </cell>
          <cell r="BA3648">
            <v>56.35</v>
          </cell>
          <cell r="BB3648">
            <v>10.91</v>
          </cell>
          <cell r="BC3648">
            <v>14.11</v>
          </cell>
          <cell r="BS3648">
            <v>56.35</v>
          </cell>
          <cell r="BZ3648">
            <v>101</v>
          </cell>
          <cell r="CA3648">
            <v>55</v>
          </cell>
        </row>
        <row r="3649">
          <cell r="F3649" t="str">
            <v>1.1-1-3383</v>
          </cell>
          <cell r="H3649" t="str">
            <v>100 шт.</v>
          </cell>
          <cell r="I3649">
            <v>19</v>
          </cell>
          <cell r="O3649">
            <v>1803.67</v>
          </cell>
          <cell r="R3649">
            <v>0</v>
          </cell>
          <cell r="X3649">
            <v>0</v>
          </cell>
          <cell r="Y3649">
            <v>0</v>
          </cell>
          <cell r="AK3649">
            <v>94.93</v>
          </cell>
        </row>
        <row r="3650">
          <cell r="O3650">
            <v>6673.58</v>
          </cell>
          <cell r="R3650">
            <v>0</v>
          </cell>
          <cell r="X3650">
            <v>0</v>
          </cell>
          <cell r="Y3650">
            <v>0</v>
          </cell>
          <cell r="AW3650">
            <v>1</v>
          </cell>
          <cell r="BC3650">
            <v>3.7</v>
          </cell>
        </row>
        <row r="3651">
          <cell r="F3651" t="str">
            <v>1.1-1-394</v>
          </cell>
          <cell r="H3651" t="str">
            <v>кг</v>
          </cell>
          <cell r="I3651">
            <v>100</v>
          </cell>
          <cell r="O3651">
            <v>998</v>
          </cell>
          <cell r="R3651">
            <v>0</v>
          </cell>
          <cell r="X3651">
            <v>0</v>
          </cell>
          <cell r="Y3651">
            <v>0</v>
          </cell>
          <cell r="AK3651">
            <v>9.98</v>
          </cell>
        </row>
        <row r="3652">
          <cell r="O3652">
            <v>8473.02</v>
          </cell>
          <cell r="R3652">
            <v>0</v>
          </cell>
          <cell r="X3652">
            <v>0</v>
          </cell>
          <cell r="Y3652">
            <v>0</v>
          </cell>
          <cell r="AW3652">
            <v>1</v>
          </cell>
          <cell r="BC3652">
            <v>8.49</v>
          </cell>
        </row>
        <row r="3653">
          <cell r="F3653" t="str">
            <v>1.1-1-1308</v>
          </cell>
          <cell r="H3653" t="str">
            <v>м3</v>
          </cell>
          <cell r="I3653">
            <v>1.5</v>
          </cell>
          <cell r="O3653">
            <v>3780.63</v>
          </cell>
          <cell r="R3653">
            <v>0</v>
          </cell>
          <cell r="X3653">
            <v>0</v>
          </cell>
          <cell r="Y3653">
            <v>0</v>
          </cell>
          <cell r="AK3653">
            <v>2520.42</v>
          </cell>
        </row>
        <row r="3654">
          <cell r="O3654">
            <v>77540.72</v>
          </cell>
          <cell r="R3654">
            <v>0</v>
          </cell>
          <cell r="X3654">
            <v>0</v>
          </cell>
          <cell r="Y3654">
            <v>0</v>
          </cell>
          <cell r="AW3654">
            <v>1</v>
          </cell>
          <cell r="BC3654">
            <v>20.51</v>
          </cell>
        </row>
        <row r="3655">
          <cell r="F3655" t="str">
            <v>3.11-24-1</v>
          </cell>
          <cell r="H3655" t="str">
            <v>100 м2 покрытия</v>
          </cell>
          <cell r="I3655">
            <v>1.25</v>
          </cell>
          <cell r="P3655">
            <v>309.55</v>
          </cell>
          <cell r="Q3655">
            <v>130.41</v>
          </cell>
          <cell r="R3655">
            <v>15.12</v>
          </cell>
          <cell r="S3655">
            <v>705.92</v>
          </cell>
          <cell r="U3655">
            <v>57.252577499999987</v>
          </cell>
          <cell r="X3655">
            <v>728.25</v>
          </cell>
          <cell r="Y3655">
            <v>396.57</v>
          </cell>
          <cell r="AL3655">
            <v>247.64</v>
          </cell>
          <cell r="AM3655">
            <v>66.430000000000007</v>
          </cell>
          <cell r="AN3655">
            <v>7.7</v>
          </cell>
          <cell r="AO3655">
            <v>390.86</v>
          </cell>
          <cell r="AQ3655">
            <v>31.7</v>
          </cell>
        </row>
        <row r="3656">
          <cell r="P3656">
            <v>3909.62</v>
          </cell>
          <cell r="Q3656">
            <v>1992.66</v>
          </cell>
          <cell r="R3656">
            <v>852.01</v>
          </cell>
          <cell r="S3656">
            <v>39778.589999999997</v>
          </cell>
          <cell r="X3656">
            <v>41036.910000000003</v>
          </cell>
          <cell r="Y3656">
            <v>22346.83</v>
          </cell>
          <cell r="AT3656">
            <v>101</v>
          </cell>
          <cell r="AU3656">
            <v>55</v>
          </cell>
          <cell r="AV3656">
            <v>1.0469999999999999</v>
          </cell>
          <cell r="AW3656">
            <v>1</v>
          </cell>
          <cell r="BA3656">
            <v>56.35</v>
          </cell>
          <cell r="BB3656">
            <v>15.28</v>
          </cell>
          <cell r="BC3656">
            <v>12.63</v>
          </cell>
          <cell r="BS3656">
            <v>56.35</v>
          </cell>
          <cell r="BZ3656">
            <v>101</v>
          </cell>
          <cell r="CA3656">
            <v>55</v>
          </cell>
        </row>
        <row r="3657">
          <cell r="F3657" t="str">
            <v>КА-187</v>
          </cell>
          <cell r="H3657" t="str">
            <v>ШТ</v>
          </cell>
          <cell r="I3657">
            <v>2125</v>
          </cell>
          <cell r="O3657">
            <v>10837.5</v>
          </cell>
          <cell r="R3657">
            <v>0</v>
          </cell>
          <cell r="X3657">
            <v>0</v>
          </cell>
          <cell r="Y3657">
            <v>0</v>
          </cell>
          <cell r="AK3657">
            <v>5.0999999999999996</v>
          </cell>
        </row>
        <row r="3658">
          <cell r="O3658">
            <v>106641</v>
          </cell>
          <cell r="R3658">
            <v>0</v>
          </cell>
          <cell r="X3658">
            <v>0</v>
          </cell>
          <cell r="Y3658">
            <v>0</v>
          </cell>
          <cell r="AW3658">
            <v>1</v>
          </cell>
          <cell r="BC3658">
            <v>9.84</v>
          </cell>
        </row>
        <row r="3659">
          <cell r="F3659" t="str">
            <v>1.1-1-746</v>
          </cell>
          <cell r="H3659" t="str">
            <v>м2</v>
          </cell>
          <cell r="I3659">
            <v>130</v>
          </cell>
          <cell r="P3659">
            <v>68029</v>
          </cell>
          <cell r="R3659">
            <v>0</v>
          </cell>
          <cell r="X3659">
            <v>0</v>
          </cell>
          <cell r="Y3659">
            <v>0</v>
          </cell>
          <cell r="AL3659">
            <v>523.29999999999995</v>
          </cell>
        </row>
        <row r="3660">
          <cell r="P3660">
            <v>572123.89</v>
          </cell>
          <cell r="R3660">
            <v>0</v>
          </cell>
          <cell r="X3660">
            <v>0</v>
          </cell>
          <cell r="Y3660">
            <v>0</v>
          </cell>
          <cell r="AW3660">
            <v>1</v>
          </cell>
          <cell r="BC3660">
            <v>8.41</v>
          </cell>
        </row>
        <row r="3662">
          <cell r="G3662" t="str">
            <v>Подвал.  Паркетная доска</v>
          </cell>
        </row>
        <row r="3692">
          <cell r="G3692" t="str">
            <v>Подвал. Керамогранит 600х600 мм</v>
          </cell>
        </row>
        <row r="3696">
          <cell r="F3696" t="str">
            <v>3.70-159-1</v>
          </cell>
          <cell r="H3696" t="str">
            <v>100 м2 стяжки</v>
          </cell>
          <cell r="I3696">
            <v>6.47</v>
          </cell>
          <cell r="P3696">
            <v>160.13</v>
          </cell>
          <cell r="Q3696">
            <v>18.29</v>
          </cell>
          <cell r="R3696">
            <v>0</v>
          </cell>
          <cell r="S3696">
            <v>3042.39</v>
          </cell>
          <cell r="U3696">
            <v>218.09453718599994</v>
          </cell>
          <cell r="X3696">
            <v>3072.81</v>
          </cell>
          <cell r="Y3696">
            <v>1673.31</v>
          </cell>
          <cell r="AL3696">
            <v>24.75</v>
          </cell>
          <cell r="AM3696">
            <v>1.8</v>
          </cell>
          <cell r="AO3696">
            <v>325.45</v>
          </cell>
          <cell r="AQ3696">
            <v>23.33</v>
          </cell>
        </row>
        <row r="3697">
          <cell r="P3697">
            <v>1241.01</v>
          </cell>
          <cell r="Q3697">
            <v>213.81</v>
          </cell>
          <cell r="R3697">
            <v>0</v>
          </cell>
          <cell r="S3697">
            <v>171438.68</v>
          </cell>
          <cell r="X3697">
            <v>173153.07</v>
          </cell>
          <cell r="Y3697">
            <v>94291.27</v>
          </cell>
          <cell r="AT3697">
            <v>101</v>
          </cell>
          <cell r="AU3697">
            <v>55</v>
          </cell>
          <cell r="AV3697">
            <v>1.0469999999999999</v>
          </cell>
          <cell r="AW3697">
            <v>1</v>
          </cell>
          <cell r="BA3697">
            <v>56.35</v>
          </cell>
          <cell r="BB3697">
            <v>11.69</v>
          </cell>
          <cell r="BC3697">
            <v>7.75</v>
          </cell>
          <cell r="BZ3697">
            <v>101</v>
          </cell>
          <cell r="CA3697">
            <v>55</v>
          </cell>
        </row>
        <row r="3698">
          <cell r="F3698" t="str">
            <v>1.3-2-6</v>
          </cell>
          <cell r="H3698" t="str">
            <v>м3</v>
          </cell>
          <cell r="I3698">
            <v>13.1988</v>
          </cell>
          <cell r="O3698">
            <v>6168.06</v>
          </cell>
          <cell r="R3698">
            <v>0</v>
          </cell>
          <cell r="X3698">
            <v>0</v>
          </cell>
          <cell r="Y3698">
            <v>0</v>
          </cell>
          <cell r="AK3698">
            <v>467.32</v>
          </cell>
        </row>
        <row r="3699">
          <cell r="O3699">
            <v>68280.42</v>
          </cell>
          <cell r="R3699">
            <v>0</v>
          </cell>
          <cell r="X3699">
            <v>0</v>
          </cell>
          <cell r="Y3699">
            <v>0</v>
          </cell>
          <cell r="AW3699">
            <v>1</v>
          </cell>
          <cell r="BC3699">
            <v>11.07</v>
          </cell>
        </row>
        <row r="3700">
          <cell r="F3700" t="str">
            <v>3.70-159-2</v>
          </cell>
          <cell r="H3700" t="str">
            <v>100 м2 стяжки</v>
          </cell>
          <cell r="I3700">
            <v>6.47</v>
          </cell>
          <cell r="Q3700">
            <v>37.39</v>
          </cell>
          <cell r="R3700">
            <v>0</v>
          </cell>
          <cell r="S3700">
            <v>450.96</v>
          </cell>
          <cell r="U3700">
            <v>32.905819583999993</v>
          </cell>
          <cell r="X3700">
            <v>455.47</v>
          </cell>
          <cell r="Y3700">
            <v>248.03</v>
          </cell>
          <cell r="AM3700">
            <v>0.46</v>
          </cell>
          <cell r="AO3700">
            <v>6.03</v>
          </cell>
          <cell r="AQ3700">
            <v>0.44</v>
          </cell>
        </row>
        <row r="3701">
          <cell r="Q3701">
            <v>437.46</v>
          </cell>
          <cell r="R3701">
            <v>0</v>
          </cell>
          <cell r="S3701">
            <v>25411.599999999999</v>
          </cell>
          <cell r="X3701">
            <v>25665.72</v>
          </cell>
          <cell r="Y3701">
            <v>13976.38</v>
          </cell>
          <cell r="AT3701">
            <v>101</v>
          </cell>
          <cell r="AU3701">
            <v>55</v>
          </cell>
          <cell r="AV3701">
            <v>1.0469999999999999</v>
          </cell>
          <cell r="BA3701">
            <v>56.35</v>
          </cell>
          <cell r="BB3701">
            <v>11.7</v>
          </cell>
          <cell r="BZ3701">
            <v>101</v>
          </cell>
          <cell r="CA3701">
            <v>55</v>
          </cell>
        </row>
        <row r="3702">
          <cell r="F3702" t="str">
            <v>1.3-2-6</v>
          </cell>
          <cell r="H3702" t="str">
            <v>м3</v>
          </cell>
          <cell r="I3702">
            <v>26.397600000000001</v>
          </cell>
          <cell r="O3702">
            <v>12336.13</v>
          </cell>
          <cell r="R3702">
            <v>0</v>
          </cell>
          <cell r="X3702">
            <v>0</v>
          </cell>
          <cell r="Y3702">
            <v>0</v>
          </cell>
          <cell r="AK3702">
            <v>467.32</v>
          </cell>
        </row>
        <row r="3703">
          <cell r="O3703">
            <v>136560.95999999999</v>
          </cell>
          <cell r="R3703">
            <v>0</v>
          </cell>
          <cell r="X3703">
            <v>0</v>
          </cell>
          <cell r="Y3703">
            <v>0</v>
          </cell>
          <cell r="AW3703">
            <v>1</v>
          </cell>
          <cell r="BC3703">
            <v>11.07</v>
          </cell>
        </row>
        <row r="3704">
          <cell r="F3704" t="str">
            <v>3.70-43-6</v>
          </cell>
          <cell r="H3704" t="str">
            <v>1 Т</v>
          </cell>
          <cell r="I3704">
            <v>1.77925</v>
          </cell>
          <cell r="P3704">
            <v>470.36</v>
          </cell>
          <cell r="Q3704">
            <v>121.55</v>
          </cell>
          <cell r="R3704">
            <v>14.14</v>
          </cell>
          <cell r="S3704">
            <v>463.95</v>
          </cell>
          <cell r="U3704">
            <v>29.82089899799999</v>
          </cell>
          <cell r="X3704">
            <v>439.84</v>
          </cell>
          <cell r="Y3704">
            <v>234.26</v>
          </cell>
          <cell r="AL3704">
            <v>258.67</v>
          </cell>
          <cell r="AM3704">
            <v>43.5</v>
          </cell>
          <cell r="AN3704">
            <v>5.0599999999999996</v>
          </cell>
          <cell r="AO3704">
            <v>180.47</v>
          </cell>
          <cell r="AQ3704">
            <v>11.6</v>
          </cell>
        </row>
        <row r="3705">
          <cell r="P3705">
            <v>3527.7</v>
          </cell>
          <cell r="Q3705">
            <v>1876.73</v>
          </cell>
          <cell r="R3705">
            <v>796.79</v>
          </cell>
          <cell r="S3705">
            <v>26143.58</v>
          </cell>
          <cell r="X3705">
            <v>24785.14</v>
          </cell>
          <cell r="Y3705">
            <v>13200.78</v>
          </cell>
          <cell r="AT3705">
            <v>92</v>
          </cell>
          <cell r="AU3705">
            <v>49</v>
          </cell>
          <cell r="AV3705">
            <v>1.0469999999999999</v>
          </cell>
          <cell r="AW3705">
            <v>1.022</v>
          </cell>
          <cell r="BA3705">
            <v>56.35</v>
          </cell>
          <cell r="BB3705">
            <v>15.44</v>
          </cell>
          <cell r="BC3705">
            <v>7.5</v>
          </cell>
          <cell r="BS3705">
            <v>56.35</v>
          </cell>
          <cell r="BZ3705">
            <v>92</v>
          </cell>
          <cell r="CA3705">
            <v>49</v>
          </cell>
        </row>
        <row r="3706">
          <cell r="F3706" t="str">
            <v>1.3-4-75</v>
          </cell>
          <cell r="H3706" t="str">
            <v>т</v>
          </cell>
          <cell r="I3706">
            <v>1.77925</v>
          </cell>
          <cell r="O3706">
            <v>17683.310000000001</v>
          </cell>
          <cell r="R3706">
            <v>0</v>
          </cell>
          <cell r="X3706">
            <v>0</v>
          </cell>
          <cell r="Y3706">
            <v>0</v>
          </cell>
          <cell r="AK3706">
            <v>9724.69</v>
          </cell>
        </row>
        <row r="3707">
          <cell r="O3707">
            <v>68611.240000000005</v>
          </cell>
          <cell r="R3707">
            <v>0</v>
          </cell>
          <cell r="X3707">
            <v>0</v>
          </cell>
          <cell r="Y3707">
            <v>0</v>
          </cell>
          <cell r="AW3707">
            <v>1.022</v>
          </cell>
          <cell r="BC3707">
            <v>3.88</v>
          </cell>
        </row>
        <row r="3708">
          <cell r="F3708" t="str">
            <v>3.70-2-1</v>
          </cell>
          <cell r="H3708" t="str">
            <v>100 м2</v>
          </cell>
          <cell r="I3708">
            <v>4.0999999999999996</v>
          </cell>
          <cell r="P3708">
            <v>3.2</v>
          </cell>
          <cell r="Q3708">
            <v>60.59</v>
          </cell>
          <cell r="R3708">
            <v>51.83</v>
          </cell>
          <cell r="S3708">
            <v>8446.16</v>
          </cell>
          <cell r="U3708">
            <v>504.95545223999983</v>
          </cell>
          <cell r="X3708">
            <v>8413.01</v>
          </cell>
          <cell r="Y3708">
            <v>5013.8100000000004</v>
          </cell>
          <cell r="AL3708">
            <v>0.78</v>
          </cell>
          <cell r="AM3708">
            <v>9.41</v>
          </cell>
          <cell r="AN3708">
            <v>8.0500000000000007</v>
          </cell>
          <cell r="AO3708">
            <v>1425.77</v>
          </cell>
          <cell r="AQ3708">
            <v>85.24</v>
          </cell>
        </row>
        <row r="3709">
          <cell r="P3709">
            <v>24.74</v>
          </cell>
          <cell r="Q3709">
            <v>3296.1</v>
          </cell>
          <cell r="R3709">
            <v>2920.62</v>
          </cell>
          <cell r="S3709">
            <v>475941.12</v>
          </cell>
          <cell r="X3709">
            <v>474073.12</v>
          </cell>
          <cell r="Y3709">
            <v>282528.43</v>
          </cell>
          <cell r="AT3709">
            <v>99</v>
          </cell>
          <cell r="AU3709">
            <v>59</v>
          </cell>
          <cell r="AV3709">
            <v>1.0469999999999999</v>
          </cell>
          <cell r="AW3709">
            <v>1</v>
          </cell>
          <cell r="BA3709">
            <v>56.35</v>
          </cell>
          <cell r="BB3709">
            <v>54.4</v>
          </cell>
          <cell r="BC3709">
            <v>7.73</v>
          </cell>
          <cell r="BS3709">
            <v>56.35</v>
          </cell>
          <cell r="BZ3709">
            <v>99</v>
          </cell>
          <cell r="CA3709">
            <v>59</v>
          </cell>
        </row>
        <row r="3710">
          <cell r="F3710" t="str">
            <v>1.3-2-97</v>
          </cell>
          <cell r="H3710" t="str">
            <v>кг</v>
          </cell>
          <cell r="I3710">
            <v>1279.2</v>
          </cell>
          <cell r="O3710">
            <v>15862.08</v>
          </cell>
          <cell r="R3710">
            <v>0</v>
          </cell>
          <cell r="X3710">
            <v>0</v>
          </cell>
          <cell r="Y3710">
            <v>0</v>
          </cell>
          <cell r="AK3710">
            <v>12.4</v>
          </cell>
        </row>
        <row r="3711">
          <cell r="O3711">
            <v>75027.64</v>
          </cell>
          <cell r="R3711">
            <v>0</v>
          </cell>
          <cell r="X3711">
            <v>0</v>
          </cell>
          <cell r="Y3711">
            <v>0</v>
          </cell>
          <cell r="AW3711">
            <v>1</v>
          </cell>
          <cell r="BC3711">
            <v>4.7300000000000004</v>
          </cell>
        </row>
        <row r="3712">
          <cell r="F3712" t="str">
            <v>3.70-198-6</v>
          </cell>
          <cell r="H3712" t="str">
            <v>100 м2</v>
          </cell>
          <cell r="I3712">
            <v>6.47</v>
          </cell>
          <cell r="P3712">
            <v>46.58</v>
          </cell>
          <cell r="Q3712">
            <v>787.28</v>
          </cell>
          <cell r="R3712">
            <v>138.5</v>
          </cell>
          <cell r="S3712">
            <v>9470.24</v>
          </cell>
          <cell r="U3712">
            <v>575.85184271999981</v>
          </cell>
          <cell r="X3712">
            <v>9704.83</v>
          </cell>
          <cell r="Y3712">
            <v>5284.81</v>
          </cell>
          <cell r="AL3712">
            <v>7.2</v>
          </cell>
          <cell r="AM3712">
            <v>77.48</v>
          </cell>
          <cell r="AN3712">
            <v>13.63</v>
          </cell>
          <cell r="AO3712">
            <v>1013.05</v>
          </cell>
          <cell r="AQ3712">
            <v>61.6</v>
          </cell>
        </row>
        <row r="3713">
          <cell r="P3713">
            <v>236.16</v>
          </cell>
          <cell r="Q3713">
            <v>14887.46</v>
          </cell>
          <cell r="R3713">
            <v>7804.48</v>
          </cell>
          <cell r="S3713">
            <v>533648.02</v>
          </cell>
          <cell r="X3713">
            <v>546867.03</v>
          </cell>
          <cell r="Y3713">
            <v>297798.88</v>
          </cell>
          <cell r="AT3713">
            <v>101</v>
          </cell>
          <cell r="AU3713">
            <v>55</v>
          </cell>
          <cell r="AV3713">
            <v>1.0469999999999999</v>
          </cell>
          <cell r="AW3713">
            <v>1</v>
          </cell>
          <cell r="BA3713">
            <v>56.35</v>
          </cell>
          <cell r="BB3713">
            <v>18.91</v>
          </cell>
          <cell r="BC3713">
            <v>5.07</v>
          </cell>
          <cell r="BS3713">
            <v>56.35</v>
          </cell>
          <cell r="BZ3713">
            <v>101</v>
          </cell>
          <cell r="CA3713">
            <v>55</v>
          </cell>
        </row>
        <row r="3714">
          <cell r="F3714" t="str">
            <v>1.1-1-8205</v>
          </cell>
          <cell r="H3714" t="str">
            <v>100 шт.</v>
          </cell>
          <cell r="I3714">
            <v>74.987300000000005</v>
          </cell>
          <cell r="O3714">
            <v>319.45</v>
          </cell>
          <cell r="R3714">
            <v>0</v>
          </cell>
          <cell r="X3714">
            <v>0</v>
          </cell>
          <cell r="Y3714">
            <v>0</v>
          </cell>
          <cell r="AK3714">
            <v>4.26</v>
          </cell>
        </row>
        <row r="3715">
          <cell r="O3715">
            <v>3191.31</v>
          </cell>
          <cell r="R3715">
            <v>0</v>
          </cell>
          <cell r="X3715">
            <v>0</v>
          </cell>
          <cell r="Y3715">
            <v>0</v>
          </cell>
          <cell r="AW3715">
            <v>1</v>
          </cell>
          <cell r="BC3715">
            <v>9.99</v>
          </cell>
        </row>
        <row r="3716">
          <cell r="F3716" t="str">
            <v>1.1-1-3257</v>
          </cell>
          <cell r="H3716" t="str">
            <v>кг</v>
          </cell>
          <cell r="I3716">
            <v>90.58</v>
          </cell>
          <cell r="O3716">
            <v>1567.03</v>
          </cell>
          <cell r="R3716">
            <v>0</v>
          </cell>
          <cell r="X3716">
            <v>0</v>
          </cell>
          <cell r="Y3716">
            <v>0</v>
          </cell>
          <cell r="AK3716">
            <v>17.3</v>
          </cell>
        </row>
        <row r="3717">
          <cell r="O3717">
            <v>9292.49</v>
          </cell>
          <cell r="R3717">
            <v>0</v>
          </cell>
          <cell r="X3717">
            <v>0</v>
          </cell>
          <cell r="Y3717">
            <v>0</v>
          </cell>
          <cell r="AW3717">
            <v>1</v>
          </cell>
          <cell r="BC3717">
            <v>5.93</v>
          </cell>
        </row>
        <row r="3718">
          <cell r="F3718" t="str">
            <v>1.3-2-50</v>
          </cell>
          <cell r="H3718" t="str">
            <v>т</v>
          </cell>
          <cell r="I3718">
            <v>0.25879999999999997</v>
          </cell>
          <cell r="O3718">
            <v>1547.12</v>
          </cell>
          <cell r="R3718">
            <v>0</v>
          </cell>
          <cell r="X3718">
            <v>0</v>
          </cell>
          <cell r="Y3718">
            <v>0</v>
          </cell>
          <cell r="AK3718">
            <v>5978.05</v>
          </cell>
        </row>
        <row r="3719">
          <cell r="O3719">
            <v>23686.41</v>
          </cell>
          <cell r="R3719">
            <v>0</v>
          </cell>
          <cell r="X3719">
            <v>0</v>
          </cell>
          <cell r="Y3719">
            <v>0</v>
          </cell>
          <cell r="AW3719">
            <v>1</v>
          </cell>
          <cell r="BC3719">
            <v>15.31</v>
          </cell>
        </row>
        <row r="3720">
          <cell r="F3720" t="str">
            <v>1.3-2-35</v>
          </cell>
          <cell r="H3720" t="str">
            <v>т</v>
          </cell>
          <cell r="I3720">
            <v>4.6631879999999999</v>
          </cell>
          <cell r="O3720">
            <v>7786.13</v>
          </cell>
          <cell r="R3720">
            <v>0</v>
          </cell>
          <cell r="X3720">
            <v>0</v>
          </cell>
          <cell r="Y3720">
            <v>0</v>
          </cell>
          <cell r="AK3720">
            <v>1669.7</v>
          </cell>
        </row>
        <row r="3721">
          <cell r="O3721">
            <v>62289.04</v>
          </cell>
          <cell r="R3721">
            <v>0</v>
          </cell>
          <cell r="X3721">
            <v>0</v>
          </cell>
          <cell r="Y3721">
            <v>0</v>
          </cell>
          <cell r="AW3721">
            <v>1</v>
          </cell>
          <cell r="BC3721">
            <v>8</v>
          </cell>
        </row>
        <row r="3722">
          <cell r="F3722" t="str">
            <v>1.1-1-3225</v>
          </cell>
          <cell r="H3722" t="str">
            <v>м2</v>
          </cell>
          <cell r="I3722">
            <v>698.76</v>
          </cell>
          <cell r="O3722">
            <v>87044.53</v>
          </cell>
          <cell r="R3722">
            <v>0</v>
          </cell>
          <cell r="X3722">
            <v>0</v>
          </cell>
          <cell r="Y3722">
            <v>0</v>
          </cell>
          <cell r="AK3722">
            <v>124.57</v>
          </cell>
        </row>
        <row r="3723">
          <cell r="O3723">
            <v>577105.23</v>
          </cell>
          <cell r="R3723">
            <v>0</v>
          </cell>
          <cell r="X3723">
            <v>0</v>
          </cell>
          <cell r="Y3723">
            <v>0</v>
          </cell>
          <cell r="AW3723">
            <v>1</v>
          </cell>
          <cell r="BC3723">
            <v>6.63</v>
          </cell>
        </row>
        <row r="3725">
          <cell r="G3725" t="str">
            <v>Подвал. Керамогранит 600х600 мм</v>
          </cell>
        </row>
        <row r="3755">
          <cell r="G3755" t="str">
            <v>Подвал. Кварц-виниловая плитка.</v>
          </cell>
        </row>
        <row r="3759">
          <cell r="F3759" t="str">
            <v>3.70-159-1</v>
          </cell>
          <cell r="H3759" t="str">
            <v>100 м2 стяжки</v>
          </cell>
          <cell r="I3759">
            <v>3.28</v>
          </cell>
          <cell r="P3759">
            <v>81.180000000000007</v>
          </cell>
          <cell r="Q3759">
            <v>9.27</v>
          </cell>
          <cell r="R3759">
            <v>0</v>
          </cell>
          <cell r="S3759">
            <v>1542.35</v>
          </cell>
          <cell r="U3759">
            <v>110.56415486399997</v>
          </cell>
          <cell r="X3759">
            <v>1557.77</v>
          </cell>
          <cell r="Y3759">
            <v>848.29</v>
          </cell>
          <cell r="AL3759">
            <v>24.75</v>
          </cell>
          <cell r="AM3759">
            <v>1.8</v>
          </cell>
          <cell r="AO3759">
            <v>325.45</v>
          </cell>
          <cell r="AQ3759">
            <v>23.33</v>
          </cell>
        </row>
        <row r="3760">
          <cell r="P3760">
            <v>629.15</v>
          </cell>
          <cell r="Q3760">
            <v>108.37</v>
          </cell>
          <cell r="R3760">
            <v>0</v>
          </cell>
          <cell r="S3760">
            <v>86911.42</v>
          </cell>
          <cell r="X3760">
            <v>87780.53</v>
          </cell>
          <cell r="Y3760">
            <v>47801.279999999999</v>
          </cell>
          <cell r="AT3760">
            <v>101</v>
          </cell>
          <cell r="AU3760">
            <v>55</v>
          </cell>
          <cell r="AV3760">
            <v>1.0469999999999999</v>
          </cell>
          <cell r="AW3760">
            <v>1</v>
          </cell>
          <cell r="BA3760">
            <v>56.35</v>
          </cell>
          <cell r="BB3760">
            <v>11.69</v>
          </cell>
          <cell r="BC3760">
            <v>7.75</v>
          </cell>
          <cell r="BZ3760">
            <v>101</v>
          </cell>
          <cell r="CA3760">
            <v>55</v>
          </cell>
        </row>
        <row r="3761">
          <cell r="F3761" t="str">
            <v>1.3-2-6</v>
          </cell>
          <cell r="H3761" t="str">
            <v>м3</v>
          </cell>
          <cell r="I3761">
            <v>6.6911999999999994</v>
          </cell>
          <cell r="O3761">
            <v>3126.93</v>
          </cell>
          <cell r="R3761">
            <v>0</v>
          </cell>
          <cell r="X3761">
            <v>0</v>
          </cell>
          <cell r="Y3761">
            <v>0</v>
          </cell>
          <cell r="AK3761">
            <v>467.32</v>
          </cell>
        </row>
        <row r="3762">
          <cell r="O3762">
            <v>34615.120000000003</v>
          </cell>
          <cell r="R3762">
            <v>0</v>
          </cell>
          <cell r="X3762">
            <v>0</v>
          </cell>
          <cell r="Y3762">
            <v>0</v>
          </cell>
          <cell r="AW3762">
            <v>1</v>
          </cell>
          <cell r="BC3762">
            <v>11.07</v>
          </cell>
        </row>
        <row r="3763">
          <cell r="F3763" t="str">
            <v>3.70-159-2</v>
          </cell>
          <cell r="H3763" t="str">
            <v>100 м2 стяжки</v>
          </cell>
          <cell r="I3763">
            <v>3.28</v>
          </cell>
          <cell r="Q3763">
            <v>20.38</v>
          </cell>
          <cell r="R3763">
            <v>0</v>
          </cell>
          <cell r="S3763">
            <v>245.76</v>
          </cell>
          <cell r="U3763">
            <v>17.932908787199995</v>
          </cell>
          <cell r="X3763">
            <v>248.22</v>
          </cell>
          <cell r="Y3763">
            <v>135.16999999999999</v>
          </cell>
          <cell r="AM3763">
            <v>0.46</v>
          </cell>
          <cell r="AO3763">
            <v>6.03</v>
          </cell>
          <cell r="AQ3763">
            <v>0.44</v>
          </cell>
        </row>
        <row r="3764">
          <cell r="Q3764">
            <v>238.45</v>
          </cell>
          <cell r="R3764">
            <v>0</v>
          </cell>
          <cell r="S3764">
            <v>13848.58</v>
          </cell>
          <cell r="X3764">
            <v>13987.07</v>
          </cell>
          <cell r="Y3764">
            <v>7616.72</v>
          </cell>
          <cell r="AT3764">
            <v>101</v>
          </cell>
          <cell r="AU3764">
            <v>55</v>
          </cell>
          <cell r="AV3764">
            <v>1.0469999999999999</v>
          </cell>
          <cell r="BA3764">
            <v>56.35</v>
          </cell>
          <cell r="BB3764">
            <v>11.7</v>
          </cell>
          <cell r="BZ3764">
            <v>101</v>
          </cell>
          <cell r="CA3764">
            <v>55</v>
          </cell>
        </row>
        <row r="3765">
          <cell r="F3765" t="str">
            <v>1.3-2-6</v>
          </cell>
          <cell r="H3765" t="str">
            <v>м3</v>
          </cell>
          <cell r="I3765">
            <v>14.38608</v>
          </cell>
          <cell r="O3765">
            <v>6722.9</v>
          </cell>
          <cell r="R3765">
            <v>0</v>
          </cell>
          <cell r="X3765">
            <v>0</v>
          </cell>
          <cell r="Y3765">
            <v>0</v>
          </cell>
          <cell r="AK3765">
            <v>467.32</v>
          </cell>
        </row>
        <row r="3766">
          <cell r="O3766">
            <v>74422.5</v>
          </cell>
          <cell r="R3766">
            <v>0</v>
          </cell>
          <cell r="X3766">
            <v>0</v>
          </cell>
          <cell r="Y3766">
            <v>0</v>
          </cell>
          <cell r="AW3766">
            <v>1</v>
          </cell>
          <cell r="BC3766">
            <v>11.07</v>
          </cell>
        </row>
        <row r="3767">
          <cell r="F3767" t="str">
            <v>3.70-43-6</v>
          </cell>
          <cell r="H3767" t="str">
            <v>1 Т</v>
          </cell>
          <cell r="I3767">
            <v>0.90200000000000002</v>
          </cell>
          <cell r="P3767">
            <v>238.45</v>
          </cell>
          <cell r="Q3767">
            <v>61.62</v>
          </cell>
          <cell r="R3767">
            <v>7.17</v>
          </cell>
          <cell r="S3767">
            <v>235.2</v>
          </cell>
          <cell r="U3767">
            <v>15.117859151999994</v>
          </cell>
          <cell r="X3767">
            <v>222.98</v>
          </cell>
          <cell r="Y3767">
            <v>118.76</v>
          </cell>
          <cell r="AL3767">
            <v>258.67</v>
          </cell>
          <cell r="AM3767">
            <v>43.5</v>
          </cell>
          <cell r="AN3767">
            <v>5.0599999999999996</v>
          </cell>
          <cell r="AO3767">
            <v>180.47</v>
          </cell>
          <cell r="AQ3767">
            <v>11.6</v>
          </cell>
        </row>
        <row r="3768">
          <cell r="P3768">
            <v>1788.38</v>
          </cell>
          <cell r="Q3768">
            <v>951.41</v>
          </cell>
          <cell r="R3768">
            <v>404.03</v>
          </cell>
          <cell r="S3768">
            <v>13253.52</v>
          </cell>
          <cell r="X3768">
            <v>12564.95</v>
          </cell>
          <cell r="Y3768">
            <v>6692.2</v>
          </cell>
          <cell r="AT3768">
            <v>92</v>
          </cell>
          <cell r="AU3768">
            <v>49</v>
          </cell>
          <cell r="AV3768">
            <v>1.0469999999999999</v>
          </cell>
          <cell r="AW3768">
            <v>1.022</v>
          </cell>
          <cell r="BA3768">
            <v>56.35</v>
          </cell>
          <cell r="BB3768">
            <v>15.44</v>
          </cell>
          <cell r="BC3768">
            <v>7.5</v>
          </cell>
          <cell r="BS3768">
            <v>56.35</v>
          </cell>
          <cell r="BZ3768">
            <v>92</v>
          </cell>
          <cell r="CA3768">
            <v>49</v>
          </cell>
        </row>
        <row r="3769">
          <cell r="F3769" t="str">
            <v>1.3-4-75</v>
          </cell>
          <cell r="H3769" t="str">
            <v>т</v>
          </cell>
          <cell r="I3769">
            <v>0.90200000000000002</v>
          </cell>
          <cell r="O3769">
            <v>8964.65</v>
          </cell>
          <cell r="R3769">
            <v>0</v>
          </cell>
          <cell r="X3769">
            <v>0</v>
          </cell>
          <cell r="Y3769">
            <v>0</v>
          </cell>
          <cell r="AK3769">
            <v>9724.69</v>
          </cell>
        </row>
        <row r="3770">
          <cell r="O3770">
            <v>34782.839999999997</v>
          </cell>
          <cell r="R3770">
            <v>0</v>
          </cell>
          <cell r="X3770">
            <v>0</v>
          </cell>
          <cell r="Y3770">
            <v>0</v>
          </cell>
          <cell r="AW3770">
            <v>1.022</v>
          </cell>
          <cell r="BC3770">
            <v>3.88</v>
          </cell>
        </row>
        <row r="3771">
          <cell r="F3771" t="str">
            <v>3.70-2-1</v>
          </cell>
          <cell r="H3771" t="str">
            <v>100 м2</v>
          </cell>
          <cell r="I3771">
            <v>3.28</v>
          </cell>
          <cell r="P3771">
            <v>2.56</v>
          </cell>
          <cell r="Q3771">
            <v>48.47</v>
          </cell>
          <cell r="R3771">
            <v>41.47</v>
          </cell>
          <cell r="S3771">
            <v>6756.92</v>
          </cell>
          <cell r="U3771">
            <v>403.96436179199986</v>
          </cell>
          <cell r="X3771">
            <v>6730.41</v>
          </cell>
          <cell r="Y3771">
            <v>4011.05</v>
          </cell>
          <cell r="AL3771">
            <v>0.78</v>
          </cell>
          <cell r="AM3771">
            <v>9.41</v>
          </cell>
          <cell r="AN3771">
            <v>8.0500000000000007</v>
          </cell>
          <cell r="AO3771">
            <v>1425.77</v>
          </cell>
          <cell r="AQ3771">
            <v>85.24</v>
          </cell>
        </row>
        <row r="3772">
          <cell r="P3772">
            <v>19.79</v>
          </cell>
          <cell r="Q3772">
            <v>2636.77</v>
          </cell>
          <cell r="R3772">
            <v>2336.83</v>
          </cell>
          <cell r="S3772">
            <v>380752.44</v>
          </cell>
          <cell r="X3772">
            <v>379258.38</v>
          </cell>
          <cell r="Y3772">
            <v>226022.67</v>
          </cell>
          <cell r="AT3772">
            <v>99</v>
          </cell>
          <cell r="AU3772">
            <v>59</v>
          </cell>
          <cell r="AV3772">
            <v>1.0469999999999999</v>
          </cell>
          <cell r="AW3772">
            <v>1</v>
          </cell>
          <cell r="BA3772">
            <v>56.35</v>
          </cell>
          <cell r="BB3772">
            <v>54.4</v>
          </cell>
          <cell r="BC3772">
            <v>7.73</v>
          </cell>
          <cell r="BS3772">
            <v>56.35</v>
          </cell>
          <cell r="BZ3772">
            <v>99</v>
          </cell>
          <cell r="CA3772">
            <v>59</v>
          </cell>
        </row>
        <row r="3773">
          <cell r="F3773" t="str">
            <v>1.3-2-97</v>
          </cell>
          <cell r="H3773" t="str">
            <v>кг</v>
          </cell>
          <cell r="I3773">
            <v>1023.3599999999999</v>
          </cell>
          <cell r="O3773">
            <v>12689.66</v>
          </cell>
          <cell r="R3773">
            <v>0</v>
          </cell>
          <cell r="X3773">
            <v>0</v>
          </cell>
          <cell r="Y3773">
            <v>0</v>
          </cell>
          <cell r="AK3773">
            <v>12.4</v>
          </cell>
        </row>
        <row r="3774">
          <cell r="O3774">
            <v>60022.09</v>
          </cell>
          <cell r="R3774">
            <v>0</v>
          </cell>
          <cell r="X3774">
            <v>0</v>
          </cell>
          <cell r="Y3774">
            <v>0</v>
          </cell>
          <cell r="AW3774">
            <v>1</v>
          </cell>
          <cell r="BC3774">
            <v>4.7300000000000004</v>
          </cell>
        </row>
        <row r="3775">
          <cell r="F3775" t="str">
            <v>3.70-202-1</v>
          </cell>
          <cell r="H3775" t="str">
            <v>100 м2 покрытия</v>
          </cell>
          <cell r="I3775">
            <v>3.28</v>
          </cell>
          <cell r="P3775">
            <v>2.66</v>
          </cell>
          <cell r="Q3775">
            <v>286.82</v>
          </cell>
          <cell r="R3775">
            <v>43.58</v>
          </cell>
          <cell r="S3775">
            <v>2886.8</v>
          </cell>
          <cell r="U3775">
            <v>181.03517855999999</v>
          </cell>
          <cell r="X3775">
            <v>2959.68</v>
          </cell>
          <cell r="Y3775">
            <v>1611.71</v>
          </cell>
          <cell r="AL3775">
            <v>0.81</v>
          </cell>
          <cell r="AM3775">
            <v>55.68</v>
          </cell>
          <cell r="AN3775">
            <v>8.4600000000000009</v>
          </cell>
          <cell r="AO3775">
            <v>609.14</v>
          </cell>
          <cell r="AQ3775">
            <v>38.200000000000003</v>
          </cell>
        </row>
        <row r="3776">
          <cell r="P3776">
            <v>38.76</v>
          </cell>
          <cell r="Q3776">
            <v>4896.0200000000004</v>
          </cell>
          <cell r="R3776">
            <v>2455.73</v>
          </cell>
          <cell r="S3776">
            <v>162671.18</v>
          </cell>
          <cell r="X3776">
            <v>166778.18</v>
          </cell>
          <cell r="Y3776">
            <v>90819.8</v>
          </cell>
          <cell r="AT3776">
            <v>101</v>
          </cell>
          <cell r="AU3776">
            <v>55</v>
          </cell>
          <cell r="AV3776">
            <v>1.0469999999999999</v>
          </cell>
          <cell r="AW3776">
            <v>1</v>
          </cell>
          <cell r="BA3776">
            <v>56.35</v>
          </cell>
          <cell r="BB3776">
            <v>17.07</v>
          </cell>
          <cell r="BC3776">
            <v>14.57</v>
          </cell>
          <cell r="BS3776">
            <v>56.35</v>
          </cell>
          <cell r="BZ3776">
            <v>101</v>
          </cell>
          <cell r="CA3776">
            <v>55</v>
          </cell>
        </row>
        <row r="3777">
          <cell r="F3777" t="str">
            <v>1.1-1-389</v>
          </cell>
          <cell r="H3777" t="str">
            <v>т</v>
          </cell>
          <cell r="I3777">
            <v>0.16400000000000001</v>
          </cell>
          <cell r="O3777">
            <v>7103.63</v>
          </cell>
          <cell r="R3777">
            <v>0</v>
          </cell>
          <cell r="X3777">
            <v>0</v>
          </cell>
          <cell r="Y3777">
            <v>0</v>
          </cell>
          <cell r="AK3777">
            <v>43314.81</v>
          </cell>
        </row>
        <row r="3778">
          <cell r="O3778">
            <v>14988.66</v>
          </cell>
          <cell r="R3778">
            <v>0</v>
          </cell>
          <cell r="X3778">
            <v>0</v>
          </cell>
          <cell r="Y3778">
            <v>0</v>
          </cell>
          <cell r="AW3778">
            <v>1</v>
          </cell>
          <cell r="BC3778">
            <v>2.11</v>
          </cell>
        </row>
        <row r="3779">
          <cell r="F3779" t="str">
            <v>КА-188</v>
          </cell>
          <cell r="H3779" t="str">
            <v>м2</v>
          </cell>
          <cell r="I3779">
            <v>350.96</v>
          </cell>
          <cell r="O3779">
            <v>70465.75</v>
          </cell>
          <cell r="R3779">
            <v>0</v>
          </cell>
          <cell r="X3779">
            <v>0</v>
          </cell>
          <cell r="Y3779">
            <v>0</v>
          </cell>
          <cell r="AK3779">
            <v>200.78</v>
          </cell>
        </row>
        <row r="3780">
          <cell r="O3780">
            <v>693382.98</v>
          </cell>
          <cell r="R3780">
            <v>0</v>
          </cell>
          <cell r="X3780">
            <v>0</v>
          </cell>
          <cell r="Y3780">
            <v>0</v>
          </cell>
          <cell r="AW3780">
            <v>1</v>
          </cell>
          <cell r="BC3780">
            <v>9.84</v>
          </cell>
        </row>
        <row r="3782">
          <cell r="G3782" t="str">
            <v>Подвал. Кварц-виниловая плитка.</v>
          </cell>
        </row>
        <row r="3812">
          <cell r="G3812" t="str">
            <v>Подвал. Линолеум</v>
          </cell>
        </row>
        <row r="3816">
          <cell r="F3816" t="str">
            <v>3.70-159-1</v>
          </cell>
          <cell r="H3816" t="str">
            <v>100 м2 стяжки</v>
          </cell>
          <cell r="I3816">
            <v>0.46</v>
          </cell>
          <cell r="P3816">
            <v>11.39</v>
          </cell>
          <cell r="Q3816">
            <v>1.3</v>
          </cell>
          <cell r="R3816">
            <v>0</v>
          </cell>
          <cell r="S3816">
            <v>216.31</v>
          </cell>
          <cell r="U3816">
            <v>15.505948547999997</v>
          </cell>
          <cell r="X3816">
            <v>218.47</v>
          </cell>
          <cell r="Y3816">
            <v>118.97</v>
          </cell>
          <cell r="AL3816">
            <v>24.75</v>
          </cell>
          <cell r="AM3816">
            <v>1.8</v>
          </cell>
          <cell r="AO3816">
            <v>325.45</v>
          </cell>
          <cell r="AQ3816">
            <v>23.33</v>
          </cell>
        </row>
        <row r="3817">
          <cell r="P3817">
            <v>88.27</v>
          </cell>
          <cell r="Q3817">
            <v>15.2</v>
          </cell>
          <cell r="R3817">
            <v>0</v>
          </cell>
          <cell r="S3817">
            <v>12189.07</v>
          </cell>
          <cell r="X3817">
            <v>12310.96</v>
          </cell>
          <cell r="Y3817">
            <v>6703.99</v>
          </cell>
          <cell r="AT3817">
            <v>101</v>
          </cell>
          <cell r="AU3817">
            <v>55</v>
          </cell>
          <cell r="AV3817">
            <v>1.0469999999999999</v>
          </cell>
          <cell r="AW3817">
            <v>1</v>
          </cell>
          <cell r="BA3817">
            <v>56.35</v>
          </cell>
          <cell r="BB3817">
            <v>11.69</v>
          </cell>
          <cell r="BC3817">
            <v>7.75</v>
          </cell>
          <cell r="BZ3817">
            <v>101</v>
          </cell>
          <cell r="CA3817">
            <v>55</v>
          </cell>
        </row>
        <row r="3818">
          <cell r="F3818" t="str">
            <v>1.3-2-6</v>
          </cell>
          <cell r="H3818" t="str">
            <v>м3</v>
          </cell>
          <cell r="I3818">
            <v>0.93840000000000001</v>
          </cell>
          <cell r="O3818">
            <v>438.53</v>
          </cell>
          <cell r="R3818">
            <v>0</v>
          </cell>
          <cell r="X3818">
            <v>0</v>
          </cell>
          <cell r="Y3818">
            <v>0</v>
          </cell>
          <cell r="AK3818">
            <v>467.32</v>
          </cell>
        </row>
        <row r="3819">
          <cell r="O3819">
            <v>4854.53</v>
          </cell>
          <cell r="R3819">
            <v>0</v>
          </cell>
          <cell r="X3819">
            <v>0</v>
          </cell>
          <cell r="Y3819">
            <v>0</v>
          </cell>
          <cell r="AW3819">
            <v>1</v>
          </cell>
          <cell r="BC3819">
            <v>11.07</v>
          </cell>
        </row>
        <row r="3820">
          <cell r="F3820" t="str">
            <v>3.70-159-2</v>
          </cell>
          <cell r="H3820" t="str">
            <v>100 м2 стяжки</v>
          </cell>
          <cell r="I3820">
            <v>0.46</v>
          </cell>
          <cell r="Q3820">
            <v>2.86</v>
          </cell>
          <cell r="R3820">
            <v>0</v>
          </cell>
          <cell r="S3820">
            <v>34.47</v>
          </cell>
          <cell r="U3820">
            <v>2.5149811103999995</v>
          </cell>
          <cell r="X3820">
            <v>34.81</v>
          </cell>
          <cell r="Y3820">
            <v>18.96</v>
          </cell>
          <cell r="AM3820">
            <v>0.46</v>
          </cell>
          <cell r="AO3820">
            <v>6.03</v>
          </cell>
          <cell r="AQ3820">
            <v>0.44</v>
          </cell>
        </row>
        <row r="3821">
          <cell r="Q3821">
            <v>33.46</v>
          </cell>
          <cell r="R3821">
            <v>0</v>
          </cell>
          <cell r="S3821">
            <v>1942.38</v>
          </cell>
          <cell r="X3821">
            <v>1961.8</v>
          </cell>
          <cell r="Y3821">
            <v>1068.31</v>
          </cell>
          <cell r="AT3821">
            <v>101</v>
          </cell>
          <cell r="AU3821">
            <v>55</v>
          </cell>
          <cell r="AV3821">
            <v>1.0469999999999999</v>
          </cell>
          <cell r="BA3821">
            <v>56.35</v>
          </cell>
          <cell r="BB3821">
            <v>11.7</v>
          </cell>
          <cell r="BZ3821">
            <v>101</v>
          </cell>
          <cell r="CA3821">
            <v>55</v>
          </cell>
        </row>
        <row r="3822">
          <cell r="F3822" t="str">
            <v>1.3-2-6</v>
          </cell>
          <cell r="H3822" t="str">
            <v>м3</v>
          </cell>
          <cell r="I3822">
            <v>2.01756</v>
          </cell>
          <cell r="O3822">
            <v>942.85</v>
          </cell>
          <cell r="R3822">
            <v>0</v>
          </cell>
          <cell r="X3822">
            <v>0</v>
          </cell>
          <cell r="Y3822">
            <v>0</v>
          </cell>
          <cell r="AK3822">
            <v>467.32</v>
          </cell>
        </row>
        <row r="3823">
          <cell r="O3823">
            <v>10437.35</v>
          </cell>
          <cell r="R3823">
            <v>0</v>
          </cell>
          <cell r="X3823">
            <v>0</v>
          </cell>
          <cell r="Y3823">
            <v>0</v>
          </cell>
          <cell r="AW3823">
            <v>1</v>
          </cell>
          <cell r="BC3823">
            <v>11.07</v>
          </cell>
        </row>
        <row r="3824">
          <cell r="F3824" t="str">
            <v>3.70-43-6</v>
          </cell>
          <cell r="H3824" t="str">
            <v>1 Т</v>
          </cell>
          <cell r="I3824">
            <v>0.1265</v>
          </cell>
          <cell r="P3824">
            <v>33.44</v>
          </cell>
          <cell r="Q3824">
            <v>8.64</v>
          </cell>
          <cell r="R3824">
            <v>1.01</v>
          </cell>
          <cell r="S3824">
            <v>32.99</v>
          </cell>
          <cell r="U3824">
            <v>2.1201875639999992</v>
          </cell>
          <cell r="X3824">
            <v>31.28</v>
          </cell>
          <cell r="Y3824">
            <v>16.66</v>
          </cell>
          <cell r="AL3824">
            <v>258.67</v>
          </cell>
          <cell r="AM3824">
            <v>43.5</v>
          </cell>
          <cell r="AN3824">
            <v>5.0599999999999996</v>
          </cell>
          <cell r="AO3824">
            <v>180.47</v>
          </cell>
          <cell r="AQ3824">
            <v>11.6</v>
          </cell>
        </row>
        <row r="3825">
          <cell r="P3825">
            <v>250.8</v>
          </cell>
          <cell r="Q3825">
            <v>133.4</v>
          </cell>
          <cell r="R3825">
            <v>56.91</v>
          </cell>
          <cell r="S3825">
            <v>1858.99</v>
          </cell>
          <cell r="X3825">
            <v>1762.63</v>
          </cell>
          <cell r="Y3825">
            <v>938.79</v>
          </cell>
          <cell r="AT3825">
            <v>92</v>
          </cell>
          <cell r="AU3825">
            <v>49</v>
          </cell>
          <cell r="AV3825">
            <v>1.0469999999999999</v>
          </cell>
          <cell r="AW3825">
            <v>1.022</v>
          </cell>
          <cell r="BA3825">
            <v>56.35</v>
          </cell>
          <cell r="BB3825">
            <v>15.44</v>
          </cell>
          <cell r="BC3825">
            <v>7.5</v>
          </cell>
          <cell r="BS3825">
            <v>56.35</v>
          </cell>
          <cell r="BZ3825">
            <v>92</v>
          </cell>
          <cell r="CA3825">
            <v>49</v>
          </cell>
        </row>
        <row r="3826">
          <cell r="F3826" t="str">
            <v>1.3-4-75</v>
          </cell>
          <cell r="H3826" t="str">
            <v>т</v>
          </cell>
          <cell r="I3826">
            <v>0.1265</v>
          </cell>
          <cell r="O3826">
            <v>1257.24</v>
          </cell>
          <cell r="R3826">
            <v>0</v>
          </cell>
          <cell r="X3826">
            <v>0</v>
          </cell>
          <cell r="Y3826">
            <v>0</v>
          </cell>
          <cell r="AK3826">
            <v>9724.69</v>
          </cell>
        </row>
        <row r="3827">
          <cell r="O3827">
            <v>4878.09</v>
          </cell>
          <cell r="R3827">
            <v>0</v>
          </cell>
          <cell r="X3827">
            <v>0</v>
          </cell>
          <cell r="Y3827">
            <v>0</v>
          </cell>
          <cell r="AW3827">
            <v>1.022</v>
          </cell>
          <cell r="BC3827">
            <v>3.88</v>
          </cell>
        </row>
        <row r="3828">
          <cell r="F3828" t="str">
            <v>3.70-2-1</v>
          </cell>
          <cell r="H3828" t="str">
            <v>100 м2</v>
          </cell>
          <cell r="I3828">
            <v>0.46</v>
          </cell>
          <cell r="P3828">
            <v>0.36</v>
          </cell>
          <cell r="Q3828">
            <v>6.8</v>
          </cell>
          <cell r="R3828">
            <v>5.82</v>
          </cell>
          <cell r="S3828">
            <v>947.62</v>
          </cell>
          <cell r="U3828">
            <v>56.653538543999986</v>
          </cell>
          <cell r="X3828">
            <v>943.91</v>
          </cell>
          <cell r="Y3828">
            <v>562.53</v>
          </cell>
          <cell r="AL3828">
            <v>0.78</v>
          </cell>
          <cell r="AM3828">
            <v>9.41</v>
          </cell>
          <cell r="AN3828">
            <v>8.0500000000000007</v>
          </cell>
          <cell r="AO3828">
            <v>1425.77</v>
          </cell>
          <cell r="AQ3828">
            <v>85.24</v>
          </cell>
        </row>
        <row r="3829">
          <cell r="P3829">
            <v>2.78</v>
          </cell>
          <cell r="Q3829">
            <v>369.92</v>
          </cell>
          <cell r="R3829">
            <v>327.96</v>
          </cell>
          <cell r="S3829">
            <v>53398.39</v>
          </cell>
          <cell r="X3829">
            <v>53189.09</v>
          </cell>
          <cell r="Y3829">
            <v>31698.55</v>
          </cell>
          <cell r="AT3829">
            <v>99</v>
          </cell>
          <cell r="AU3829">
            <v>59</v>
          </cell>
          <cell r="AV3829">
            <v>1.0469999999999999</v>
          </cell>
          <cell r="AW3829">
            <v>1</v>
          </cell>
          <cell r="BA3829">
            <v>56.35</v>
          </cell>
          <cell r="BB3829">
            <v>54.4</v>
          </cell>
          <cell r="BC3829">
            <v>7.73</v>
          </cell>
          <cell r="BS3829">
            <v>56.35</v>
          </cell>
          <cell r="BZ3829">
            <v>99</v>
          </cell>
          <cell r="CA3829">
            <v>59</v>
          </cell>
        </row>
        <row r="3830">
          <cell r="F3830" t="str">
            <v>1.3-2-97</v>
          </cell>
          <cell r="H3830" t="str">
            <v>кг</v>
          </cell>
          <cell r="I3830">
            <v>143.52000000000001</v>
          </cell>
          <cell r="O3830">
            <v>1779.65</v>
          </cell>
          <cell r="R3830">
            <v>0</v>
          </cell>
          <cell r="X3830">
            <v>0</v>
          </cell>
          <cell r="Y3830">
            <v>0</v>
          </cell>
          <cell r="AK3830">
            <v>12.4</v>
          </cell>
        </row>
        <row r="3831">
          <cell r="O3831">
            <v>8417.74</v>
          </cell>
          <cell r="R3831">
            <v>0</v>
          </cell>
          <cell r="X3831">
            <v>0</v>
          </cell>
          <cell r="Y3831">
            <v>0</v>
          </cell>
          <cell r="AW3831">
            <v>1</v>
          </cell>
          <cell r="BC3831">
            <v>4.7300000000000004</v>
          </cell>
        </row>
        <row r="3832">
          <cell r="F3832" t="str">
            <v>3.70-202-1</v>
          </cell>
          <cell r="H3832" t="str">
            <v>100 м2 покрытия</v>
          </cell>
          <cell r="I3832">
            <v>0.46</v>
          </cell>
          <cell r="P3832">
            <v>0.37</v>
          </cell>
          <cell r="Q3832">
            <v>40.22</v>
          </cell>
          <cell r="R3832">
            <v>6.11</v>
          </cell>
          <cell r="S3832">
            <v>404.86</v>
          </cell>
          <cell r="U3832">
            <v>25.38907992</v>
          </cell>
          <cell r="X3832">
            <v>415.08</v>
          </cell>
          <cell r="Y3832">
            <v>226.03</v>
          </cell>
          <cell r="AL3832">
            <v>0.81</v>
          </cell>
          <cell r="AM3832">
            <v>55.68</v>
          </cell>
          <cell r="AN3832">
            <v>8.4600000000000009</v>
          </cell>
          <cell r="AO3832">
            <v>609.14</v>
          </cell>
          <cell r="AQ3832">
            <v>38.200000000000003</v>
          </cell>
        </row>
        <row r="3833">
          <cell r="P3833">
            <v>5.39</v>
          </cell>
          <cell r="Q3833">
            <v>686.56</v>
          </cell>
          <cell r="R3833">
            <v>344.3</v>
          </cell>
          <cell r="S3833">
            <v>22813.86</v>
          </cell>
          <cell r="X3833">
            <v>23389.74</v>
          </cell>
          <cell r="Y3833">
            <v>12736.99</v>
          </cell>
          <cell r="AT3833">
            <v>101</v>
          </cell>
          <cell r="AU3833">
            <v>55</v>
          </cell>
          <cell r="AV3833">
            <v>1.0469999999999999</v>
          </cell>
          <cell r="AW3833">
            <v>1</v>
          </cell>
          <cell r="BA3833">
            <v>56.35</v>
          </cell>
          <cell r="BB3833">
            <v>17.07</v>
          </cell>
          <cell r="BC3833">
            <v>14.57</v>
          </cell>
          <cell r="BS3833">
            <v>56.35</v>
          </cell>
          <cell r="BZ3833">
            <v>101</v>
          </cell>
          <cell r="CA3833">
            <v>55</v>
          </cell>
        </row>
        <row r="3834">
          <cell r="F3834" t="str">
            <v>1.1-1-389</v>
          </cell>
          <cell r="H3834" t="str">
            <v>т</v>
          </cell>
          <cell r="I3834">
            <v>2.3E-2</v>
          </cell>
          <cell r="O3834">
            <v>996.24</v>
          </cell>
          <cell r="R3834">
            <v>0</v>
          </cell>
          <cell r="X3834">
            <v>0</v>
          </cell>
          <cell r="Y3834">
            <v>0</v>
          </cell>
          <cell r="AK3834">
            <v>43314.81</v>
          </cell>
        </row>
        <row r="3835">
          <cell r="O3835">
            <v>2102.0700000000002</v>
          </cell>
          <cell r="R3835">
            <v>0</v>
          </cell>
          <cell r="X3835">
            <v>0</v>
          </cell>
          <cell r="Y3835">
            <v>0</v>
          </cell>
          <cell r="AW3835">
            <v>1</v>
          </cell>
          <cell r="BC3835">
            <v>2.11</v>
          </cell>
        </row>
        <row r="3836">
          <cell r="F3836" t="str">
            <v>1.1-1-3320</v>
          </cell>
          <cell r="H3836" t="str">
            <v>м2</v>
          </cell>
          <cell r="I3836">
            <v>49.22</v>
          </cell>
          <cell r="O3836">
            <v>15982.72</v>
          </cell>
          <cell r="R3836">
            <v>0</v>
          </cell>
          <cell r="X3836">
            <v>0</v>
          </cell>
          <cell r="Y3836">
            <v>0</v>
          </cell>
          <cell r="AK3836">
            <v>324.72000000000003</v>
          </cell>
        </row>
        <row r="3837">
          <cell r="O3837">
            <v>35002.160000000003</v>
          </cell>
          <cell r="R3837">
            <v>0</v>
          </cell>
          <cell r="X3837">
            <v>0</v>
          </cell>
          <cell r="Y3837">
            <v>0</v>
          </cell>
          <cell r="AW3837">
            <v>1</v>
          </cell>
          <cell r="BC3837">
            <v>2.19</v>
          </cell>
        </row>
        <row r="3839">
          <cell r="G3839" t="str">
            <v>Подвал. Линолеум</v>
          </cell>
        </row>
        <row r="3869">
          <cell r="G3869" t="str">
            <v>Пятый этаж. Керамогранит 600х600 мм</v>
          </cell>
        </row>
        <row r="3873">
          <cell r="F3873" t="str">
            <v>3.70-159-1</v>
          </cell>
          <cell r="H3873" t="str">
            <v>100 м2 стяжки</v>
          </cell>
          <cell r="I3873">
            <v>0.46</v>
          </cell>
          <cell r="P3873">
            <v>11.39</v>
          </cell>
          <cell r="Q3873">
            <v>1.3</v>
          </cell>
          <cell r="R3873">
            <v>0</v>
          </cell>
          <cell r="S3873">
            <v>216.31</v>
          </cell>
          <cell r="U3873">
            <v>15.505948547999997</v>
          </cell>
          <cell r="X3873">
            <v>218.47</v>
          </cell>
          <cell r="Y3873">
            <v>118.97</v>
          </cell>
          <cell r="AL3873">
            <v>24.75</v>
          </cell>
          <cell r="AM3873">
            <v>1.8</v>
          </cell>
          <cell r="AO3873">
            <v>325.45</v>
          </cell>
          <cell r="AQ3873">
            <v>23.33</v>
          </cell>
        </row>
        <row r="3874">
          <cell r="P3874">
            <v>88.27</v>
          </cell>
          <cell r="Q3874">
            <v>15.2</v>
          </cell>
          <cell r="R3874">
            <v>0</v>
          </cell>
          <cell r="S3874">
            <v>12189.07</v>
          </cell>
          <cell r="X3874">
            <v>12310.96</v>
          </cell>
          <cell r="Y3874">
            <v>6703.99</v>
          </cell>
          <cell r="AT3874">
            <v>101</v>
          </cell>
          <cell r="AU3874">
            <v>55</v>
          </cell>
          <cell r="AV3874">
            <v>1.0469999999999999</v>
          </cell>
          <cell r="AW3874">
            <v>1</v>
          </cell>
          <cell r="BA3874">
            <v>56.35</v>
          </cell>
          <cell r="BB3874">
            <v>11.69</v>
          </cell>
          <cell r="BC3874">
            <v>7.75</v>
          </cell>
          <cell r="BZ3874">
            <v>101</v>
          </cell>
          <cell r="CA3874">
            <v>55</v>
          </cell>
        </row>
        <row r="3875">
          <cell r="F3875" t="str">
            <v>1.3-2-7</v>
          </cell>
          <cell r="H3875" t="str">
            <v>м3</v>
          </cell>
          <cell r="I3875">
            <v>0.93840000000000001</v>
          </cell>
          <cell r="O3875">
            <v>476.68</v>
          </cell>
          <cell r="R3875">
            <v>0</v>
          </cell>
          <cell r="X3875">
            <v>0</v>
          </cell>
          <cell r="Y3875">
            <v>0</v>
          </cell>
          <cell r="AK3875">
            <v>507.97</v>
          </cell>
        </row>
        <row r="3876">
          <cell r="O3876">
            <v>5233.95</v>
          </cell>
          <cell r="R3876">
            <v>0</v>
          </cell>
          <cell r="X3876">
            <v>0</v>
          </cell>
          <cell r="Y3876">
            <v>0</v>
          </cell>
          <cell r="AW3876">
            <v>1</v>
          </cell>
          <cell r="BC3876">
            <v>10.98</v>
          </cell>
        </row>
        <row r="3877">
          <cell r="F3877" t="str">
            <v>3.70-159-2</v>
          </cell>
          <cell r="H3877" t="str">
            <v>100 м2 стяжки</v>
          </cell>
          <cell r="I3877">
            <v>0.46</v>
          </cell>
          <cell r="Q3877">
            <v>2.86</v>
          </cell>
          <cell r="R3877">
            <v>0</v>
          </cell>
          <cell r="S3877">
            <v>34.47</v>
          </cell>
          <cell r="U3877">
            <v>2.5149811103999995</v>
          </cell>
          <cell r="X3877">
            <v>34.81</v>
          </cell>
          <cell r="Y3877">
            <v>18.96</v>
          </cell>
          <cell r="AM3877">
            <v>0.46</v>
          </cell>
          <cell r="AO3877">
            <v>6.03</v>
          </cell>
          <cell r="AQ3877">
            <v>0.44</v>
          </cell>
        </row>
        <row r="3878">
          <cell r="Q3878">
            <v>33.46</v>
          </cell>
          <cell r="R3878">
            <v>0</v>
          </cell>
          <cell r="S3878">
            <v>1942.38</v>
          </cell>
          <cell r="X3878">
            <v>1961.8</v>
          </cell>
          <cell r="Y3878">
            <v>1068.31</v>
          </cell>
          <cell r="AT3878">
            <v>101</v>
          </cell>
          <cell r="AU3878">
            <v>55</v>
          </cell>
          <cell r="AV3878">
            <v>1.0469999999999999</v>
          </cell>
          <cell r="BA3878">
            <v>56.35</v>
          </cell>
          <cell r="BB3878">
            <v>11.7</v>
          </cell>
          <cell r="BZ3878">
            <v>101</v>
          </cell>
          <cell r="CA3878">
            <v>55</v>
          </cell>
        </row>
        <row r="3879">
          <cell r="F3879" t="str">
            <v>1.3-2-7</v>
          </cell>
          <cell r="H3879" t="str">
            <v>м3</v>
          </cell>
          <cell r="I3879">
            <v>2.01756</v>
          </cell>
          <cell r="O3879">
            <v>1024.8599999999999</v>
          </cell>
          <cell r="R3879">
            <v>0</v>
          </cell>
          <cell r="X3879">
            <v>0</v>
          </cell>
          <cell r="Y3879">
            <v>0</v>
          </cell>
          <cell r="AK3879">
            <v>507.97</v>
          </cell>
        </row>
        <row r="3880">
          <cell r="O3880">
            <v>11252.96</v>
          </cell>
          <cell r="R3880">
            <v>0</v>
          </cell>
          <cell r="X3880">
            <v>0</v>
          </cell>
          <cell r="Y3880">
            <v>0</v>
          </cell>
          <cell r="AW3880">
            <v>1</v>
          </cell>
          <cell r="BC3880">
            <v>10.98</v>
          </cell>
        </row>
        <row r="3881">
          <cell r="F3881" t="str">
            <v>3.70-43-6</v>
          </cell>
          <cell r="H3881" t="str">
            <v>1 Т</v>
          </cell>
          <cell r="I3881">
            <v>0.1265</v>
          </cell>
          <cell r="P3881">
            <v>33.44</v>
          </cell>
          <cell r="Q3881">
            <v>8.64</v>
          </cell>
          <cell r="R3881">
            <v>1.01</v>
          </cell>
          <cell r="S3881">
            <v>32.99</v>
          </cell>
          <cell r="U3881">
            <v>2.1201875639999992</v>
          </cell>
          <cell r="X3881">
            <v>31.28</v>
          </cell>
          <cell r="Y3881">
            <v>16.66</v>
          </cell>
          <cell r="AL3881">
            <v>258.67</v>
          </cell>
          <cell r="AM3881">
            <v>43.5</v>
          </cell>
          <cell r="AN3881">
            <v>5.0599999999999996</v>
          </cell>
          <cell r="AO3881">
            <v>180.47</v>
          </cell>
          <cell r="AQ3881">
            <v>11.6</v>
          </cell>
        </row>
        <row r="3882">
          <cell r="P3882">
            <v>250.8</v>
          </cell>
          <cell r="Q3882">
            <v>133.4</v>
          </cell>
          <cell r="R3882">
            <v>56.91</v>
          </cell>
          <cell r="S3882">
            <v>1858.99</v>
          </cell>
          <cell r="X3882">
            <v>1762.63</v>
          </cell>
          <cell r="Y3882">
            <v>938.79</v>
          </cell>
          <cell r="AT3882">
            <v>92</v>
          </cell>
          <cell r="AU3882">
            <v>49</v>
          </cell>
          <cell r="AV3882">
            <v>1.0469999999999999</v>
          </cell>
          <cell r="AW3882">
            <v>1.022</v>
          </cell>
          <cell r="BA3882">
            <v>56.35</v>
          </cell>
          <cell r="BB3882">
            <v>15.44</v>
          </cell>
          <cell r="BC3882">
            <v>7.5</v>
          </cell>
          <cell r="BS3882">
            <v>56.35</v>
          </cell>
          <cell r="BZ3882">
            <v>92</v>
          </cell>
          <cell r="CA3882">
            <v>49</v>
          </cell>
        </row>
        <row r="3883">
          <cell r="F3883" t="str">
            <v>1.3-4-75</v>
          </cell>
          <cell r="H3883" t="str">
            <v>т</v>
          </cell>
          <cell r="I3883">
            <v>0.1265</v>
          </cell>
          <cell r="O3883">
            <v>1257.24</v>
          </cell>
          <cell r="R3883">
            <v>0</v>
          </cell>
          <cell r="X3883">
            <v>0</v>
          </cell>
          <cell r="Y3883">
            <v>0</v>
          </cell>
          <cell r="AK3883">
            <v>9724.69</v>
          </cell>
        </row>
        <row r="3884">
          <cell r="O3884">
            <v>4878.09</v>
          </cell>
          <cell r="R3884">
            <v>0</v>
          </cell>
          <cell r="X3884">
            <v>0</v>
          </cell>
          <cell r="Y3884">
            <v>0</v>
          </cell>
          <cell r="AW3884">
            <v>1.022</v>
          </cell>
          <cell r="BC3884">
            <v>3.88</v>
          </cell>
        </row>
        <row r="3885">
          <cell r="F3885" t="str">
            <v>3.70-2-1</v>
          </cell>
          <cell r="H3885" t="str">
            <v>100 м2</v>
          </cell>
          <cell r="I3885">
            <v>0.46</v>
          </cell>
          <cell r="P3885">
            <v>0.36</v>
          </cell>
          <cell r="Q3885">
            <v>6.8</v>
          </cell>
          <cell r="R3885">
            <v>5.82</v>
          </cell>
          <cell r="S3885">
            <v>947.62</v>
          </cell>
          <cell r="U3885">
            <v>56.653538543999986</v>
          </cell>
          <cell r="X3885">
            <v>943.91</v>
          </cell>
          <cell r="Y3885">
            <v>562.53</v>
          </cell>
          <cell r="AL3885">
            <v>0.78</v>
          </cell>
          <cell r="AM3885">
            <v>9.41</v>
          </cell>
          <cell r="AN3885">
            <v>8.0500000000000007</v>
          </cell>
          <cell r="AO3885">
            <v>1425.77</v>
          </cell>
          <cell r="AQ3885">
            <v>85.24</v>
          </cell>
        </row>
        <row r="3886">
          <cell r="P3886">
            <v>2.78</v>
          </cell>
          <cell r="Q3886">
            <v>369.92</v>
          </cell>
          <cell r="R3886">
            <v>327.96</v>
          </cell>
          <cell r="S3886">
            <v>53398.39</v>
          </cell>
          <cell r="X3886">
            <v>53189.09</v>
          </cell>
          <cell r="Y3886">
            <v>31698.55</v>
          </cell>
          <cell r="AT3886">
            <v>99</v>
          </cell>
          <cell r="AU3886">
            <v>59</v>
          </cell>
          <cell r="AV3886">
            <v>1.0469999999999999</v>
          </cell>
          <cell r="AW3886">
            <v>1</v>
          </cell>
          <cell r="BA3886">
            <v>56.35</v>
          </cell>
          <cell r="BB3886">
            <v>54.4</v>
          </cell>
          <cell r="BC3886">
            <v>7.73</v>
          </cell>
          <cell r="BS3886">
            <v>56.35</v>
          </cell>
          <cell r="BZ3886">
            <v>99</v>
          </cell>
          <cell r="CA3886">
            <v>59</v>
          </cell>
        </row>
        <row r="3887">
          <cell r="F3887" t="str">
            <v>1.3-2-97</v>
          </cell>
          <cell r="H3887" t="str">
            <v>кг</v>
          </cell>
          <cell r="I3887">
            <v>143.52000000000001</v>
          </cell>
          <cell r="O3887">
            <v>1779.65</v>
          </cell>
          <cell r="R3887">
            <v>0</v>
          </cell>
          <cell r="X3887">
            <v>0</v>
          </cell>
          <cell r="Y3887">
            <v>0</v>
          </cell>
          <cell r="AK3887">
            <v>12.4</v>
          </cell>
        </row>
        <row r="3888">
          <cell r="O3888">
            <v>8417.74</v>
          </cell>
          <cell r="R3888">
            <v>0</v>
          </cell>
          <cell r="X3888">
            <v>0</v>
          </cell>
          <cell r="Y3888">
            <v>0</v>
          </cell>
          <cell r="AW3888">
            <v>1</v>
          </cell>
          <cell r="BC3888">
            <v>4.7300000000000004</v>
          </cell>
        </row>
        <row r="3889">
          <cell r="F3889" t="str">
            <v>3.70-198-6</v>
          </cell>
          <cell r="H3889" t="str">
            <v>100 м2</v>
          </cell>
          <cell r="I3889">
            <v>0.46</v>
          </cell>
          <cell r="P3889">
            <v>3.31</v>
          </cell>
          <cell r="Q3889">
            <v>55.97</v>
          </cell>
          <cell r="R3889">
            <v>9.85</v>
          </cell>
          <cell r="S3889">
            <v>673.31</v>
          </cell>
          <cell r="U3889">
            <v>40.941552959999989</v>
          </cell>
          <cell r="X3889">
            <v>689.99</v>
          </cell>
          <cell r="Y3889">
            <v>375.74</v>
          </cell>
          <cell r="AL3889">
            <v>7.2</v>
          </cell>
          <cell r="AM3889">
            <v>77.48</v>
          </cell>
          <cell r="AN3889">
            <v>13.63</v>
          </cell>
          <cell r="AO3889">
            <v>1013.05</v>
          </cell>
          <cell r="AQ3889">
            <v>61.6</v>
          </cell>
        </row>
        <row r="3890">
          <cell r="P3890">
            <v>16.78</v>
          </cell>
          <cell r="Q3890">
            <v>1058.3900000000001</v>
          </cell>
          <cell r="R3890">
            <v>555.04999999999995</v>
          </cell>
          <cell r="S3890">
            <v>37941.019999999997</v>
          </cell>
          <cell r="X3890">
            <v>38881.03</v>
          </cell>
          <cell r="Y3890">
            <v>21172.84</v>
          </cell>
          <cell r="AT3890">
            <v>101</v>
          </cell>
          <cell r="AU3890">
            <v>55</v>
          </cell>
          <cell r="AV3890">
            <v>1.0469999999999999</v>
          </cell>
          <cell r="AW3890">
            <v>1</v>
          </cell>
          <cell r="BA3890">
            <v>56.35</v>
          </cell>
          <cell r="BB3890">
            <v>18.91</v>
          </cell>
          <cell r="BC3890">
            <v>5.07</v>
          </cell>
          <cell r="BS3890">
            <v>56.35</v>
          </cell>
          <cell r="BZ3890">
            <v>101</v>
          </cell>
          <cell r="CA3890">
            <v>55</v>
          </cell>
        </row>
        <row r="3891">
          <cell r="F3891" t="str">
            <v>1.1-1-8205</v>
          </cell>
          <cell r="H3891" t="str">
            <v>100 шт.</v>
          </cell>
          <cell r="I3891">
            <v>5.3314000000000004</v>
          </cell>
          <cell r="O3891">
            <v>22.71</v>
          </cell>
          <cell r="R3891">
            <v>0</v>
          </cell>
          <cell r="X3891">
            <v>0</v>
          </cell>
          <cell r="Y3891">
            <v>0</v>
          </cell>
          <cell r="AK3891">
            <v>4.26</v>
          </cell>
        </row>
        <row r="3892">
          <cell r="O3892">
            <v>226.87</v>
          </cell>
          <cell r="R3892">
            <v>0</v>
          </cell>
          <cell r="X3892">
            <v>0</v>
          </cell>
          <cell r="Y3892">
            <v>0</v>
          </cell>
          <cell r="AW3892">
            <v>1</v>
          </cell>
          <cell r="BC3892">
            <v>9.99</v>
          </cell>
        </row>
        <row r="3893">
          <cell r="F3893" t="str">
            <v>1.1-1-3257</v>
          </cell>
          <cell r="H3893" t="str">
            <v>кг</v>
          </cell>
          <cell r="I3893">
            <v>6.44</v>
          </cell>
          <cell r="O3893">
            <v>111.41</v>
          </cell>
          <cell r="R3893">
            <v>0</v>
          </cell>
          <cell r="X3893">
            <v>0</v>
          </cell>
          <cell r="Y3893">
            <v>0</v>
          </cell>
          <cell r="AK3893">
            <v>17.3</v>
          </cell>
        </row>
        <row r="3894">
          <cell r="O3894">
            <v>660.66</v>
          </cell>
          <cell r="R3894">
            <v>0</v>
          </cell>
          <cell r="X3894">
            <v>0</v>
          </cell>
          <cell r="Y3894">
            <v>0</v>
          </cell>
          <cell r="AW3894">
            <v>1</v>
          </cell>
          <cell r="BC3894">
            <v>5.93</v>
          </cell>
        </row>
        <row r="3895">
          <cell r="F3895" t="str">
            <v>1.3-2-50</v>
          </cell>
          <cell r="H3895" t="str">
            <v>т</v>
          </cell>
          <cell r="I3895">
            <v>1.84E-2</v>
          </cell>
          <cell r="O3895">
            <v>110</v>
          </cell>
          <cell r="R3895">
            <v>0</v>
          </cell>
          <cell r="X3895">
            <v>0</v>
          </cell>
          <cell r="Y3895">
            <v>0</v>
          </cell>
          <cell r="AK3895">
            <v>5978.05</v>
          </cell>
        </row>
        <row r="3896">
          <cell r="O3896">
            <v>1684.1</v>
          </cell>
          <cell r="R3896">
            <v>0</v>
          </cell>
          <cell r="X3896">
            <v>0</v>
          </cell>
          <cell r="Y3896">
            <v>0</v>
          </cell>
          <cell r="AW3896">
            <v>1</v>
          </cell>
          <cell r="BC3896">
            <v>15.31</v>
          </cell>
        </row>
        <row r="3897">
          <cell r="F3897" t="str">
            <v>1.3-2-35</v>
          </cell>
          <cell r="H3897" t="str">
            <v>т</v>
          </cell>
          <cell r="I3897">
            <v>0.33154</v>
          </cell>
          <cell r="O3897">
            <v>553.57000000000005</v>
          </cell>
          <cell r="R3897">
            <v>0</v>
          </cell>
          <cell r="X3897">
            <v>0</v>
          </cell>
          <cell r="Y3897">
            <v>0</v>
          </cell>
          <cell r="AK3897">
            <v>1669.7</v>
          </cell>
        </row>
        <row r="3898">
          <cell r="O3898">
            <v>4428.5600000000004</v>
          </cell>
          <cell r="R3898">
            <v>0</v>
          </cell>
          <cell r="X3898">
            <v>0</v>
          </cell>
          <cell r="Y3898">
            <v>0</v>
          </cell>
          <cell r="AW3898">
            <v>1</v>
          </cell>
          <cell r="BC3898">
            <v>8</v>
          </cell>
        </row>
        <row r="3899">
          <cell r="F3899" t="str">
            <v>1.1-1-3225</v>
          </cell>
          <cell r="H3899" t="str">
            <v>м2</v>
          </cell>
          <cell r="I3899">
            <v>49.68</v>
          </cell>
          <cell r="O3899">
            <v>6188.64</v>
          </cell>
          <cell r="R3899">
            <v>0</v>
          </cell>
          <cell r="X3899">
            <v>0</v>
          </cell>
          <cell r="Y3899">
            <v>0</v>
          </cell>
          <cell r="AK3899">
            <v>124.57</v>
          </cell>
        </row>
        <row r="3900">
          <cell r="O3900">
            <v>41030.68</v>
          </cell>
          <cell r="R3900">
            <v>0</v>
          </cell>
          <cell r="X3900">
            <v>0</v>
          </cell>
          <cell r="Y3900">
            <v>0</v>
          </cell>
          <cell r="AW3900">
            <v>1</v>
          </cell>
          <cell r="BC3900">
            <v>6.63</v>
          </cell>
        </row>
        <row r="3902">
          <cell r="G3902" t="str">
            <v>Пятый этаж. Керамогранит 600х600 мм</v>
          </cell>
        </row>
        <row r="3932">
          <cell r="G3932" t="str">
            <v>Пятый этаж. Кварц-виниловая дизайн-плитка 500х500 мм</v>
          </cell>
        </row>
        <row r="3936">
          <cell r="F3936" t="str">
            <v>3.70-159-1</v>
          </cell>
          <cell r="H3936" t="str">
            <v>100 м2 стяжки</v>
          </cell>
          <cell r="I3936">
            <v>7.3</v>
          </cell>
          <cell r="P3936">
            <v>180.68</v>
          </cell>
          <cell r="Q3936">
            <v>20.64</v>
          </cell>
          <cell r="R3936">
            <v>0</v>
          </cell>
          <cell r="S3936">
            <v>3432.68</v>
          </cell>
          <cell r="U3936">
            <v>246.07266173999994</v>
          </cell>
          <cell r="X3936">
            <v>3467.01</v>
          </cell>
          <cell r="Y3936">
            <v>1887.97</v>
          </cell>
          <cell r="AL3936">
            <v>24.75</v>
          </cell>
          <cell r="AM3936">
            <v>1.8</v>
          </cell>
          <cell r="AO3936">
            <v>325.45</v>
          </cell>
          <cell r="AQ3936">
            <v>23.33</v>
          </cell>
        </row>
        <row r="3937">
          <cell r="P3937">
            <v>1400.27</v>
          </cell>
          <cell r="Q3937">
            <v>241.28</v>
          </cell>
          <cell r="R3937">
            <v>0</v>
          </cell>
          <cell r="S3937">
            <v>193431.52</v>
          </cell>
          <cell r="X3937">
            <v>195365.84</v>
          </cell>
          <cell r="Y3937">
            <v>106387.34</v>
          </cell>
          <cell r="AT3937">
            <v>101</v>
          </cell>
          <cell r="AU3937">
            <v>55</v>
          </cell>
          <cell r="AV3937">
            <v>1.0469999999999999</v>
          </cell>
          <cell r="AW3937">
            <v>1</v>
          </cell>
          <cell r="BA3937">
            <v>56.35</v>
          </cell>
          <cell r="BB3937">
            <v>11.69</v>
          </cell>
          <cell r="BC3937">
            <v>7.75</v>
          </cell>
          <cell r="BZ3937">
            <v>101</v>
          </cell>
          <cell r="CA3937">
            <v>55</v>
          </cell>
        </row>
        <row r="3938">
          <cell r="F3938" t="str">
            <v>1.3-2-7</v>
          </cell>
          <cell r="H3938" t="str">
            <v>м3</v>
          </cell>
          <cell r="I3938">
            <v>14.891999999999999</v>
          </cell>
          <cell r="O3938">
            <v>7564.69</v>
          </cell>
          <cell r="R3938">
            <v>0</v>
          </cell>
          <cell r="X3938">
            <v>0</v>
          </cell>
          <cell r="Y3938">
            <v>0</v>
          </cell>
          <cell r="AK3938">
            <v>507.97</v>
          </cell>
        </row>
        <row r="3939">
          <cell r="O3939">
            <v>83060.3</v>
          </cell>
          <cell r="R3939">
            <v>0</v>
          </cell>
          <cell r="X3939">
            <v>0</v>
          </cell>
          <cell r="Y3939">
            <v>0</v>
          </cell>
          <cell r="AW3939">
            <v>1</v>
          </cell>
          <cell r="BC3939">
            <v>10.98</v>
          </cell>
        </row>
        <row r="3940">
          <cell r="F3940" t="str">
            <v>3.70-159-2</v>
          </cell>
          <cell r="H3940" t="str">
            <v>100 м2 стяжки</v>
          </cell>
          <cell r="I3940">
            <v>7.3</v>
          </cell>
          <cell r="Q3940">
            <v>55.9</v>
          </cell>
          <cell r="R3940">
            <v>0</v>
          </cell>
          <cell r="S3940">
            <v>674.17</v>
          </cell>
          <cell r="U3940">
            <v>49.193437391999986</v>
          </cell>
          <cell r="X3940">
            <v>680.91</v>
          </cell>
          <cell r="Y3940">
            <v>370.79</v>
          </cell>
          <cell r="AM3940">
            <v>0.46</v>
          </cell>
          <cell r="AO3940">
            <v>6.03</v>
          </cell>
          <cell r="AQ3940">
            <v>0.44</v>
          </cell>
        </row>
        <row r="3941">
          <cell r="Q3941">
            <v>654.03</v>
          </cell>
          <cell r="R3941">
            <v>0</v>
          </cell>
          <cell r="S3941">
            <v>37989.480000000003</v>
          </cell>
          <cell r="X3941">
            <v>38369.370000000003</v>
          </cell>
          <cell r="Y3941">
            <v>20894.21</v>
          </cell>
          <cell r="AT3941">
            <v>101</v>
          </cell>
          <cell r="AU3941">
            <v>55</v>
          </cell>
          <cell r="AV3941">
            <v>1.0469999999999999</v>
          </cell>
          <cell r="BA3941">
            <v>56.35</v>
          </cell>
          <cell r="BB3941">
            <v>11.7</v>
          </cell>
          <cell r="BZ3941">
            <v>101</v>
          </cell>
          <cell r="CA3941">
            <v>55</v>
          </cell>
        </row>
        <row r="3942">
          <cell r="F3942" t="str">
            <v>1.3-2-7</v>
          </cell>
          <cell r="H3942" t="str">
            <v>м3</v>
          </cell>
          <cell r="I3942">
            <v>39.463799999999999</v>
          </cell>
          <cell r="O3942">
            <v>20046.43</v>
          </cell>
          <cell r="R3942">
            <v>0</v>
          </cell>
          <cell r="X3942">
            <v>0</v>
          </cell>
          <cell r="Y3942">
            <v>0</v>
          </cell>
          <cell r="AK3942">
            <v>507.97</v>
          </cell>
        </row>
        <row r="3943">
          <cell r="O3943">
            <v>220109.8</v>
          </cell>
          <cell r="R3943">
            <v>0</v>
          </cell>
          <cell r="X3943">
            <v>0</v>
          </cell>
          <cell r="Y3943">
            <v>0</v>
          </cell>
          <cell r="AW3943">
            <v>1</v>
          </cell>
          <cell r="BC3943">
            <v>10.98</v>
          </cell>
        </row>
        <row r="3944">
          <cell r="F3944" t="str">
            <v>3.70-43-6</v>
          </cell>
          <cell r="H3944" t="str">
            <v>1 Т</v>
          </cell>
          <cell r="I3944">
            <v>2.0074999999999998</v>
          </cell>
          <cell r="P3944">
            <v>530.70000000000005</v>
          </cell>
          <cell r="Q3944">
            <v>137.15</v>
          </cell>
          <cell r="R3944">
            <v>15.95</v>
          </cell>
          <cell r="S3944">
            <v>523.46</v>
          </cell>
          <cell r="U3944">
            <v>33.646454819999988</v>
          </cell>
          <cell r="X3944">
            <v>496.26</v>
          </cell>
          <cell r="Y3944">
            <v>264.31</v>
          </cell>
          <cell r="AL3944">
            <v>258.67</v>
          </cell>
          <cell r="AM3944">
            <v>43.5</v>
          </cell>
          <cell r="AN3944">
            <v>5.0599999999999996</v>
          </cell>
          <cell r="AO3944">
            <v>180.47</v>
          </cell>
          <cell r="AQ3944">
            <v>11.6</v>
          </cell>
        </row>
        <row r="3945">
          <cell r="P3945">
            <v>3980.25</v>
          </cell>
          <cell r="Q3945">
            <v>2117.6</v>
          </cell>
          <cell r="R3945">
            <v>898.78</v>
          </cell>
          <cell r="S3945">
            <v>29496.97</v>
          </cell>
          <cell r="X3945">
            <v>27964.09</v>
          </cell>
          <cell r="Y3945">
            <v>14893.92</v>
          </cell>
          <cell r="AT3945">
            <v>92</v>
          </cell>
          <cell r="AU3945">
            <v>49</v>
          </cell>
          <cell r="AV3945">
            <v>1.0469999999999999</v>
          </cell>
          <cell r="AW3945">
            <v>1.022</v>
          </cell>
          <cell r="BA3945">
            <v>56.35</v>
          </cell>
          <cell r="BB3945">
            <v>15.44</v>
          </cell>
          <cell r="BC3945">
            <v>7.5</v>
          </cell>
          <cell r="BS3945">
            <v>56.35</v>
          </cell>
          <cell r="BZ3945">
            <v>92</v>
          </cell>
          <cell r="CA3945">
            <v>49</v>
          </cell>
        </row>
        <row r="3946">
          <cell r="F3946" t="str">
            <v>1.3-4-75</v>
          </cell>
          <cell r="H3946" t="str">
            <v>т</v>
          </cell>
          <cell r="I3946">
            <v>2.0074999999999998</v>
          </cell>
          <cell r="O3946">
            <v>19951.810000000001</v>
          </cell>
          <cell r="R3946">
            <v>0</v>
          </cell>
          <cell r="X3946">
            <v>0</v>
          </cell>
          <cell r="Y3946">
            <v>0</v>
          </cell>
          <cell r="AK3946">
            <v>9724.69</v>
          </cell>
        </row>
        <row r="3947">
          <cell r="O3947">
            <v>77413.02</v>
          </cell>
          <cell r="R3947">
            <v>0</v>
          </cell>
          <cell r="X3947">
            <v>0</v>
          </cell>
          <cell r="Y3947">
            <v>0</v>
          </cell>
          <cell r="AW3947">
            <v>1.022</v>
          </cell>
          <cell r="BC3947">
            <v>3.88</v>
          </cell>
        </row>
        <row r="3948">
          <cell r="F3948" t="str">
            <v>3.70-202-1</v>
          </cell>
          <cell r="H3948" t="str">
            <v>100 м2 покрытия</v>
          </cell>
          <cell r="I3948">
            <v>7.3</v>
          </cell>
          <cell r="P3948">
            <v>5.91</v>
          </cell>
          <cell r="Q3948">
            <v>638.35</v>
          </cell>
          <cell r="R3948">
            <v>96.99</v>
          </cell>
          <cell r="S3948">
            <v>6424.89</v>
          </cell>
          <cell r="U3948">
            <v>402.91365960000002</v>
          </cell>
          <cell r="X3948">
            <v>6587.1</v>
          </cell>
          <cell r="Y3948">
            <v>3587.03</v>
          </cell>
          <cell r="AL3948">
            <v>0.81</v>
          </cell>
          <cell r="AM3948">
            <v>55.68</v>
          </cell>
          <cell r="AN3948">
            <v>8.4600000000000009</v>
          </cell>
          <cell r="AO3948">
            <v>609.14</v>
          </cell>
          <cell r="AQ3948">
            <v>38.200000000000003</v>
          </cell>
        </row>
        <row r="3949">
          <cell r="P3949">
            <v>86.11</v>
          </cell>
          <cell r="Q3949">
            <v>10896.63</v>
          </cell>
          <cell r="R3949">
            <v>5465.39</v>
          </cell>
          <cell r="S3949">
            <v>362042.55</v>
          </cell>
          <cell r="X3949">
            <v>371183.02</v>
          </cell>
          <cell r="Y3949">
            <v>202129.37</v>
          </cell>
          <cell r="AT3949">
            <v>101</v>
          </cell>
          <cell r="AU3949">
            <v>55</v>
          </cell>
          <cell r="AV3949">
            <v>1.0469999999999999</v>
          </cell>
          <cell r="AW3949">
            <v>1</v>
          </cell>
          <cell r="BA3949">
            <v>56.35</v>
          </cell>
          <cell r="BB3949">
            <v>17.07</v>
          </cell>
          <cell r="BC3949">
            <v>14.57</v>
          </cell>
          <cell r="BS3949">
            <v>56.35</v>
          </cell>
          <cell r="BZ3949">
            <v>101</v>
          </cell>
          <cell r="CA3949">
            <v>55</v>
          </cell>
        </row>
        <row r="3950">
          <cell r="F3950" t="str">
            <v>1.1-1-389</v>
          </cell>
          <cell r="H3950" t="str">
            <v>т</v>
          </cell>
          <cell r="I3950">
            <v>0.36499999999999999</v>
          </cell>
          <cell r="O3950">
            <v>15809.91</v>
          </cell>
          <cell r="R3950">
            <v>0</v>
          </cell>
          <cell r="X3950">
            <v>0</v>
          </cell>
          <cell r="Y3950">
            <v>0</v>
          </cell>
          <cell r="AK3950">
            <v>43314.81</v>
          </cell>
        </row>
        <row r="3951">
          <cell r="O3951">
            <v>33358.910000000003</v>
          </cell>
          <cell r="R3951">
            <v>0</v>
          </cell>
          <cell r="X3951">
            <v>0</v>
          </cell>
          <cell r="Y3951">
            <v>0</v>
          </cell>
          <cell r="AW3951">
            <v>1</v>
          </cell>
          <cell r="BC3951">
            <v>2.11</v>
          </cell>
        </row>
        <row r="3952">
          <cell r="F3952" t="str">
            <v>КА-188</v>
          </cell>
          <cell r="H3952" t="str">
            <v>м2</v>
          </cell>
          <cell r="I3952">
            <v>781.1</v>
          </cell>
          <cell r="O3952">
            <v>156829.26</v>
          </cell>
          <cell r="R3952">
            <v>0</v>
          </cell>
          <cell r="X3952">
            <v>0</v>
          </cell>
          <cell r="Y3952">
            <v>0</v>
          </cell>
          <cell r="AK3952">
            <v>200.78</v>
          </cell>
        </row>
        <row r="3953">
          <cell r="O3953">
            <v>1543199.92</v>
          </cell>
          <cell r="R3953">
            <v>0</v>
          </cell>
          <cell r="X3953">
            <v>0</v>
          </cell>
          <cell r="Y3953">
            <v>0</v>
          </cell>
          <cell r="AW3953">
            <v>1</v>
          </cell>
          <cell r="BC3953">
            <v>9.84</v>
          </cell>
        </row>
        <row r="3955">
          <cell r="G3955" t="str">
            <v>Пятый этаж. Кварц-виниловая дизайн-плитка 500х500 мм</v>
          </cell>
        </row>
        <row r="3985">
          <cell r="G3985" t="str">
            <v>Второй этаж. Кварц-виниловая дизайн-плитка 500х500 мм</v>
          </cell>
        </row>
        <row r="3989">
          <cell r="F3989" t="str">
            <v>3.70-159-1</v>
          </cell>
          <cell r="H3989" t="str">
            <v>100 м2 стяжки</v>
          </cell>
          <cell r="I3989">
            <v>7.71</v>
          </cell>
          <cell r="P3989">
            <v>190.82</v>
          </cell>
          <cell r="Q3989">
            <v>21.8</v>
          </cell>
          <cell r="R3989">
            <v>0</v>
          </cell>
          <cell r="S3989">
            <v>3625.47</v>
          </cell>
          <cell r="U3989">
            <v>259.89318109799996</v>
          </cell>
          <cell r="X3989">
            <v>3661.72</v>
          </cell>
          <cell r="Y3989">
            <v>1994.01</v>
          </cell>
          <cell r="AL3989">
            <v>24.75</v>
          </cell>
          <cell r="AM3989">
            <v>1.8</v>
          </cell>
          <cell r="AO3989">
            <v>325.45</v>
          </cell>
          <cell r="AQ3989">
            <v>23.33</v>
          </cell>
        </row>
        <row r="3990">
          <cell r="P3990">
            <v>1478.86</v>
          </cell>
          <cell r="Q3990">
            <v>254.84</v>
          </cell>
          <cell r="R3990">
            <v>0</v>
          </cell>
          <cell r="S3990">
            <v>204295.23</v>
          </cell>
          <cell r="X3990">
            <v>206338.18</v>
          </cell>
          <cell r="Y3990">
            <v>112362.38</v>
          </cell>
          <cell r="AT3990">
            <v>101</v>
          </cell>
          <cell r="AU3990">
            <v>55</v>
          </cell>
          <cell r="AV3990">
            <v>1.0469999999999999</v>
          </cell>
          <cell r="AW3990">
            <v>1</v>
          </cell>
          <cell r="BA3990">
            <v>56.35</v>
          </cell>
          <cell r="BB3990">
            <v>11.69</v>
          </cell>
          <cell r="BC3990">
            <v>7.75</v>
          </cell>
          <cell r="BZ3990">
            <v>101</v>
          </cell>
          <cell r="CA3990">
            <v>55</v>
          </cell>
        </row>
        <row r="3991">
          <cell r="F3991" t="str">
            <v>1.3-2-7</v>
          </cell>
          <cell r="H3991" t="str">
            <v>м3</v>
          </cell>
          <cell r="I3991">
            <v>15.728400000000001</v>
          </cell>
          <cell r="O3991">
            <v>7989.56</v>
          </cell>
          <cell r="R3991">
            <v>0</v>
          </cell>
          <cell r="X3991">
            <v>0</v>
          </cell>
          <cell r="Y3991">
            <v>0</v>
          </cell>
          <cell r="AK3991">
            <v>507.97</v>
          </cell>
        </row>
        <row r="3992">
          <cell r="O3992">
            <v>87725.37</v>
          </cell>
          <cell r="R3992">
            <v>0</v>
          </cell>
          <cell r="X3992">
            <v>0</v>
          </cell>
          <cell r="Y3992">
            <v>0</v>
          </cell>
          <cell r="AW3992">
            <v>1</v>
          </cell>
          <cell r="BC3992">
            <v>10.98</v>
          </cell>
        </row>
        <row r="3993">
          <cell r="F3993" t="str">
            <v>3.70-159-2</v>
          </cell>
          <cell r="H3993" t="str">
            <v>100 м2 стяжки</v>
          </cell>
          <cell r="I3993">
            <v>9.68</v>
          </cell>
          <cell r="Q3993">
            <v>60.14</v>
          </cell>
          <cell r="R3993">
            <v>0</v>
          </cell>
          <cell r="S3993">
            <v>725.3</v>
          </cell>
          <cell r="U3993">
            <v>52.923950323199989</v>
          </cell>
          <cell r="X3993">
            <v>732.55</v>
          </cell>
          <cell r="Y3993">
            <v>398.92</v>
          </cell>
          <cell r="AM3993">
            <v>0.46</v>
          </cell>
          <cell r="AO3993">
            <v>6.03</v>
          </cell>
          <cell r="AQ3993">
            <v>0.44</v>
          </cell>
        </row>
        <row r="3994">
          <cell r="Q3994">
            <v>703.64</v>
          </cell>
          <cell r="R3994">
            <v>0</v>
          </cell>
          <cell r="S3994">
            <v>40870.660000000003</v>
          </cell>
          <cell r="X3994">
            <v>41279.370000000003</v>
          </cell>
          <cell r="Y3994">
            <v>22478.86</v>
          </cell>
          <cell r="AT3994">
            <v>101</v>
          </cell>
          <cell r="AU3994">
            <v>55</v>
          </cell>
          <cell r="AV3994">
            <v>1.0469999999999999</v>
          </cell>
          <cell r="BA3994">
            <v>56.35</v>
          </cell>
          <cell r="BB3994">
            <v>11.7</v>
          </cell>
          <cell r="BZ3994">
            <v>101</v>
          </cell>
          <cell r="CA3994">
            <v>55</v>
          </cell>
        </row>
        <row r="3995">
          <cell r="F3995" t="str">
            <v>1.3-2-7</v>
          </cell>
          <cell r="H3995" t="str">
            <v>м3</v>
          </cell>
          <cell r="I3995">
            <v>42.456479999999999</v>
          </cell>
          <cell r="O3995">
            <v>21566.62</v>
          </cell>
          <cell r="R3995">
            <v>0</v>
          </cell>
          <cell r="X3995">
            <v>0</v>
          </cell>
          <cell r="Y3995">
            <v>0</v>
          </cell>
          <cell r="AK3995">
            <v>507.97</v>
          </cell>
        </row>
        <row r="3996">
          <cell r="O3996">
            <v>236801.49</v>
          </cell>
          <cell r="R3996">
            <v>0</v>
          </cell>
          <cell r="X3996">
            <v>0</v>
          </cell>
          <cell r="Y3996">
            <v>0</v>
          </cell>
          <cell r="AW3996">
            <v>1</v>
          </cell>
          <cell r="BC3996">
            <v>10.98</v>
          </cell>
        </row>
        <row r="3997">
          <cell r="F3997" t="str">
            <v>3.70-43-6</v>
          </cell>
          <cell r="H3997" t="str">
            <v>1 Т</v>
          </cell>
          <cell r="I3997">
            <v>2.12025</v>
          </cell>
          <cell r="P3997">
            <v>560.51</v>
          </cell>
          <cell r="Q3997">
            <v>144.85</v>
          </cell>
          <cell r="R3997">
            <v>16.850000000000001</v>
          </cell>
          <cell r="S3997">
            <v>552.86</v>
          </cell>
          <cell r="U3997">
            <v>35.536187213999987</v>
          </cell>
          <cell r="X3997">
            <v>524.13</v>
          </cell>
          <cell r="Y3997">
            <v>279.16000000000003</v>
          </cell>
          <cell r="AL3997">
            <v>258.67</v>
          </cell>
          <cell r="AM3997">
            <v>43.5</v>
          </cell>
          <cell r="AN3997">
            <v>5.0599999999999996</v>
          </cell>
          <cell r="AO3997">
            <v>180.47</v>
          </cell>
          <cell r="AQ3997">
            <v>11.6</v>
          </cell>
        </row>
        <row r="3998">
          <cell r="P3998">
            <v>4203.83</v>
          </cell>
          <cell r="Q3998">
            <v>2236.48</v>
          </cell>
          <cell r="R3998">
            <v>949.5</v>
          </cell>
          <cell r="S3998">
            <v>31153.66</v>
          </cell>
          <cell r="X3998">
            <v>29534.91</v>
          </cell>
          <cell r="Y3998">
            <v>15730.55</v>
          </cell>
          <cell r="AT3998">
            <v>92</v>
          </cell>
          <cell r="AU3998">
            <v>49</v>
          </cell>
          <cell r="AV3998">
            <v>1.0469999999999999</v>
          </cell>
          <cell r="AW3998">
            <v>1.022</v>
          </cell>
          <cell r="BA3998">
            <v>56.35</v>
          </cell>
          <cell r="BB3998">
            <v>15.44</v>
          </cell>
          <cell r="BC3998">
            <v>7.5</v>
          </cell>
          <cell r="BS3998">
            <v>56.35</v>
          </cell>
          <cell r="BZ3998">
            <v>92</v>
          </cell>
          <cell r="CA3998">
            <v>49</v>
          </cell>
        </row>
        <row r="3999">
          <cell r="F3999" t="str">
            <v>1.3-4-75</v>
          </cell>
          <cell r="H3999" t="str">
            <v>т</v>
          </cell>
          <cell r="I3999">
            <v>2.12025</v>
          </cell>
          <cell r="O3999">
            <v>21072.39</v>
          </cell>
          <cell r="R3999">
            <v>0</v>
          </cell>
          <cell r="X3999">
            <v>0</v>
          </cell>
          <cell r="Y3999">
            <v>0</v>
          </cell>
          <cell r="AK3999">
            <v>9724.69</v>
          </cell>
        </row>
        <row r="4000">
          <cell r="O4000">
            <v>81760.87</v>
          </cell>
          <cell r="R4000">
            <v>0</v>
          </cell>
          <cell r="X4000">
            <v>0</v>
          </cell>
          <cell r="Y4000">
            <v>0</v>
          </cell>
          <cell r="AW4000">
            <v>1.022</v>
          </cell>
          <cell r="BC4000">
            <v>3.88</v>
          </cell>
        </row>
        <row r="4001">
          <cell r="F4001" t="str">
            <v>3.70-202-1</v>
          </cell>
          <cell r="H4001" t="str">
            <v>100 м2 покрытия</v>
          </cell>
          <cell r="I4001">
            <v>7.71</v>
          </cell>
          <cell r="P4001">
            <v>6.25</v>
          </cell>
          <cell r="Q4001">
            <v>674.2</v>
          </cell>
          <cell r="R4001">
            <v>102.44</v>
          </cell>
          <cell r="S4001">
            <v>6785.74</v>
          </cell>
          <cell r="U4001">
            <v>425.54305692000003</v>
          </cell>
          <cell r="X4001">
            <v>6957.06</v>
          </cell>
          <cell r="Y4001">
            <v>3788.5</v>
          </cell>
          <cell r="AL4001">
            <v>0.81</v>
          </cell>
          <cell r="AM4001">
            <v>55.68</v>
          </cell>
          <cell r="AN4001">
            <v>8.4600000000000009</v>
          </cell>
          <cell r="AO4001">
            <v>609.14</v>
          </cell>
          <cell r="AQ4001">
            <v>38.200000000000003</v>
          </cell>
        </row>
        <row r="4002">
          <cell r="P4002">
            <v>91.06</v>
          </cell>
          <cell r="Q4002">
            <v>11508.59</v>
          </cell>
          <cell r="R4002">
            <v>5772.49</v>
          </cell>
          <cell r="S4002">
            <v>382376.45</v>
          </cell>
          <cell r="X4002">
            <v>392030.43</v>
          </cell>
          <cell r="Y4002">
            <v>213481.92</v>
          </cell>
          <cell r="AT4002">
            <v>101</v>
          </cell>
          <cell r="AU4002">
            <v>55</v>
          </cell>
          <cell r="AV4002">
            <v>1.0469999999999999</v>
          </cell>
          <cell r="AW4002">
            <v>1</v>
          </cell>
          <cell r="BA4002">
            <v>56.35</v>
          </cell>
          <cell r="BB4002">
            <v>17.07</v>
          </cell>
          <cell r="BC4002">
            <v>14.57</v>
          </cell>
          <cell r="BS4002">
            <v>56.35</v>
          </cell>
          <cell r="BZ4002">
            <v>101</v>
          </cell>
          <cell r="CA4002">
            <v>55</v>
          </cell>
        </row>
        <row r="4003">
          <cell r="F4003" t="str">
            <v>1.1-1-389</v>
          </cell>
          <cell r="H4003" t="str">
            <v>т</v>
          </cell>
          <cell r="I4003">
            <v>0.38550000000000001</v>
          </cell>
          <cell r="O4003">
            <v>16697.86</v>
          </cell>
          <cell r="R4003">
            <v>0</v>
          </cell>
          <cell r="X4003">
            <v>0</v>
          </cell>
          <cell r="Y4003">
            <v>0</v>
          </cell>
          <cell r="AK4003">
            <v>43314.81</v>
          </cell>
        </row>
        <row r="4004">
          <cell r="O4004">
            <v>35232.480000000003</v>
          </cell>
          <cell r="R4004">
            <v>0</v>
          </cell>
          <cell r="X4004">
            <v>0</v>
          </cell>
          <cell r="Y4004">
            <v>0</v>
          </cell>
          <cell r="AW4004">
            <v>1</v>
          </cell>
          <cell r="BC4004">
            <v>2.11</v>
          </cell>
        </row>
        <row r="4005">
          <cell r="F4005" t="str">
            <v>КА-188</v>
          </cell>
          <cell r="H4005" t="str">
            <v>м2</v>
          </cell>
          <cell r="I4005">
            <v>824.97</v>
          </cell>
          <cell r="O4005">
            <v>165637.48000000001</v>
          </cell>
          <cell r="R4005">
            <v>0</v>
          </cell>
          <cell r="X4005">
            <v>0</v>
          </cell>
          <cell r="Y4005">
            <v>0</v>
          </cell>
          <cell r="AK4005">
            <v>200.78</v>
          </cell>
        </row>
        <row r="4006">
          <cell r="O4006">
            <v>1629872.8</v>
          </cell>
          <cell r="R4006">
            <v>0</v>
          </cell>
          <cell r="X4006">
            <v>0</v>
          </cell>
          <cell r="Y4006">
            <v>0</v>
          </cell>
          <cell r="AW4006">
            <v>1</v>
          </cell>
          <cell r="BC4006">
            <v>9.84</v>
          </cell>
        </row>
        <row r="4008">
          <cell r="G4008" t="str">
            <v>Второй этаж. Кварц-виниловая дизайн-плитка 500х500 мм</v>
          </cell>
        </row>
        <row r="4038">
          <cell r="G4038" t="str">
            <v>Второй этаж. Керамогранит 600х600 мм</v>
          </cell>
        </row>
        <row r="4042">
          <cell r="F4042" t="str">
            <v>3.70-159-1</v>
          </cell>
          <cell r="H4042" t="str">
            <v>100 м2 стяжки</v>
          </cell>
          <cell r="I4042">
            <v>0.62</v>
          </cell>
          <cell r="P4042">
            <v>15.35</v>
          </cell>
          <cell r="Q4042">
            <v>1.75</v>
          </cell>
          <cell r="R4042">
            <v>0</v>
          </cell>
          <cell r="S4042">
            <v>291.54000000000002</v>
          </cell>
          <cell r="U4042">
            <v>20.899321955999994</v>
          </cell>
          <cell r="X4042">
            <v>294.45999999999998</v>
          </cell>
          <cell r="Y4042">
            <v>160.35</v>
          </cell>
          <cell r="AL4042">
            <v>24.75</v>
          </cell>
          <cell r="AM4042">
            <v>1.8</v>
          </cell>
          <cell r="AO4042">
            <v>325.45</v>
          </cell>
          <cell r="AQ4042">
            <v>23.33</v>
          </cell>
        </row>
        <row r="4043">
          <cell r="P4043">
            <v>118.96</v>
          </cell>
          <cell r="Q4043">
            <v>20.46</v>
          </cell>
          <cell r="R4043">
            <v>0</v>
          </cell>
          <cell r="S4043">
            <v>16428.28</v>
          </cell>
          <cell r="X4043">
            <v>16592.560000000001</v>
          </cell>
          <cell r="Y4043">
            <v>9035.5499999999993</v>
          </cell>
          <cell r="AT4043">
            <v>101</v>
          </cell>
          <cell r="AU4043">
            <v>55</v>
          </cell>
          <cell r="AV4043">
            <v>1.0469999999999999</v>
          </cell>
          <cell r="AW4043">
            <v>1</v>
          </cell>
          <cell r="BA4043">
            <v>56.35</v>
          </cell>
          <cell r="BB4043">
            <v>11.69</v>
          </cell>
          <cell r="BC4043">
            <v>7.75</v>
          </cell>
          <cell r="BZ4043">
            <v>101</v>
          </cell>
          <cell r="CA4043">
            <v>55</v>
          </cell>
        </row>
        <row r="4044">
          <cell r="F4044" t="str">
            <v>1.3-2-7</v>
          </cell>
          <cell r="H4044" t="str">
            <v>м3</v>
          </cell>
          <cell r="I4044">
            <v>1.2647999999999999</v>
          </cell>
          <cell r="O4044">
            <v>642.48</v>
          </cell>
          <cell r="R4044">
            <v>0</v>
          </cell>
          <cell r="X4044">
            <v>0</v>
          </cell>
          <cell r="Y4044">
            <v>0</v>
          </cell>
          <cell r="AK4044">
            <v>507.97</v>
          </cell>
        </row>
        <row r="4045">
          <cell r="O4045">
            <v>7054.43</v>
          </cell>
          <cell r="R4045">
            <v>0</v>
          </cell>
          <cell r="X4045">
            <v>0</v>
          </cell>
          <cell r="Y4045">
            <v>0</v>
          </cell>
          <cell r="AW4045">
            <v>1</v>
          </cell>
          <cell r="BC4045">
            <v>10.98</v>
          </cell>
        </row>
        <row r="4046">
          <cell r="F4046" t="str">
            <v>3.70-159-2</v>
          </cell>
          <cell r="H4046" t="str">
            <v>100 м2 стяжки</v>
          </cell>
          <cell r="I4046">
            <v>0.62</v>
          </cell>
          <cell r="Q4046">
            <v>3.85</v>
          </cell>
          <cell r="R4046">
            <v>0</v>
          </cell>
          <cell r="S4046">
            <v>46.46</v>
          </cell>
          <cell r="U4046">
            <v>3.3897571487999993</v>
          </cell>
          <cell r="X4046">
            <v>46.92</v>
          </cell>
          <cell r="Y4046">
            <v>25.55</v>
          </cell>
          <cell r="AM4046">
            <v>0.46</v>
          </cell>
          <cell r="AO4046">
            <v>6.03</v>
          </cell>
          <cell r="AQ4046">
            <v>0.44</v>
          </cell>
        </row>
        <row r="4047">
          <cell r="Q4047">
            <v>45.05</v>
          </cell>
          <cell r="R4047">
            <v>0</v>
          </cell>
          <cell r="S4047">
            <v>2618.02</v>
          </cell>
          <cell r="X4047">
            <v>2644.2</v>
          </cell>
          <cell r="Y4047">
            <v>1439.91</v>
          </cell>
          <cell r="AT4047">
            <v>101</v>
          </cell>
          <cell r="AU4047">
            <v>55</v>
          </cell>
          <cell r="AV4047">
            <v>1.0469999999999999</v>
          </cell>
          <cell r="BA4047">
            <v>56.35</v>
          </cell>
          <cell r="BB4047">
            <v>11.7</v>
          </cell>
          <cell r="BZ4047">
            <v>101</v>
          </cell>
          <cell r="CA4047">
            <v>55</v>
          </cell>
        </row>
        <row r="4048">
          <cell r="F4048" t="str">
            <v>1.3-2-7</v>
          </cell>
          <cell r="H4048" t="str">
            <v>м3</v>
          </cell>
          <cell r="I4048">
            <v>2.7193200000000002</v>
          </cell>
          <cell r="O4048">
            <v>1381.33</v>
          </cell>
          <cell r="R4048">
            <v>0</v>
          </cell>
          <cell r="X4048">
            <v>0</v>
          </cell>
          <cell r="Y4048">
            <v>0</v>
          </cell>
          <cell r="AK4048">
            <v>507.97</v>
          </cell>
        </row>
        <row r="4049">
          <cell r="O4049">
            <v>15167</v>
          </cell>
          <cell r="R4049">
            <v>0</v>
          </cell>
          <cell r="X4049">
            <v>0</v>
          </cell>
          <cell r="Y4049">
            <v>0</v>
          </cell>
          <cell r="AW4049">
            <v>1</v>
          </cell>
          <cell r="BC4049">
            <v>10.98</v>
          </cell>
        </row>
        <row r="4050">
          <cell r="F4050" t="str">
            <v>3.70-43-6</v>
          </cell>
          <cell r="H4050" t="str">
            <v>1 Т</v>
          </cell>
          <cell r="I4050">
            <v>0.17050000000000001</v>
          </cell>
          <cell r="P4050">
            <v>45.07</v>
          </cell>
          <cell r="Q4050">
            <v>11.65</v>
          </cell>
          <cell r="R4050">
            <v>1.35</v>
          </cell>
          <cell r="S4050">
            <v>44.46</v>
          </cell>
          <cell r="U4050">
            <v>2.8576441079999992</v>
          </cell>
          <cell r="X4050">
            <v>42.15</v>
          </cell>
          <cell r="Y4050">
            <v>22.45</v>
          </cell>
          <cell r="AL4050">
            <v>258.67</v>
          </cell>
          <cell r="AM4050">
            <v>43.5</v>
          </cell>
          <cell r="AN4050">
            <v>5.0599999999999996</v>
          </cell>
          <cell r="AO4050">
            <v>180.47</v>
          </cell>
          <cell r="AQ4050">
            <v>11.6</v>
          </cell>
        </row>
        <row r="4051">
          <cell r="P4051">
            <v>338.03</v>
          </cell>
          <cell r="Q4051">
            <v>179.88</v>
          </cell>
          <cell r="R4051">
            <v>76.069999999999993</v>
          </cell>
          <cell r="S4051">
            <v>2505.3200000000002</v>
          </cell>
          <cell r="X4051">
            <v>2374.88</v>
          </cell>
          <cell r="Y4051">
            <v>1264.8800000000001</v>
          </cell>
          <cell r="AT4051">
            <v>92</v>
          </cell>
          <cell r="AU4051">
            <v>49</v>
          </cell>
          <cell r="AV4051">
            <v>1.0469999999999999</v>
          </cell>
          <cell r="AW4051">
            <v>1.022</v>
          </cell>
          <cell r="BA4051">
            <v>56.35</v>
          </cell>
          <cell r="BB4051">
            <v>15.44</v>
          </cell>
          <cell r="BC4051">
            <v>7.5</v>
          </cell>
          <cell r="BS4051">
            <v>56.35</v>
          </cell>
          <cell r="BZ4051">
            <v>92</v>
          </cell>
          <cell r="CA4051">
            <v>49</v>
          </cell>
        </row>
        <row r="4052">
          <cell r="F4052" t="str">
            <v>1.3-4-75</v>
          </cell>
          <cell r="H4052" t="str">
            <v>т</v>
          </cell>
          <cell r="I4052">
            <v>0.17050000000000001</v>
          </cell>
          <cell r="O4052">
            <v>1694.54</v>
          </cell>
          <cell r="R4052">
            <v>0</v>
          </cell>
          <cell r="X4052">
            <v>0</v>
          </cell>
          <cell r="Y4052">
            <v>0</v>
          </cell>
          <cell r="AK4052">
            <v>9724.69</v>
          </cell>
        </row>
        <row r="4053">
          <cell r="O4053">
            <v>6574.82</v>
          </cell>
          <cell r="R4053">
            <v>0</v>
          </cell>
          <cell r="X4053">
            <v>0</v>
          </cell>
          <cell r="Y4053">
            <v>0</v>
          </cell>
          <cell r="AW4053">
            <v>1.022</v>
          </cell>
          <cell r="BC4053">
            <v>3.88</v>
          </cell>
        </row>
        <row r="4054">
          <cell r="F4054" t="str">
            <v>3.70-2-1</v>
          </cell>
          <cell r="H4054" t="str">
            <v>100 м2</v>
          </cell>
          <cell r="I4054">
            <v>0.62</v>
          </cell>
          <cell r="P4054">
            <v>0.48</v>
          </cell>
          <cell r="Q4054">
            <v>9.16</v>
          </cell>
          <cell r="R4054">
            <v>7.84</v>
          </cell>
          <cell r="S4054">
            <v>1277.22</v>
          </cell>
          <cell r="U4054">
            <v>76.359117167999983</v>
          </cell>
          <cell r="X4054">
            <v>1272.21</v>
          </cell>
          <cell r="Y4054">
            <v>758.19</v>
          </cell>
          <cell r="AL4054">
            <v>0.78</v>
          </cell>
          <cell r="AM4054">
            <v>9.41</v>
          </cell>
          <cell r="AN4054">
            <v>8.0500000000000007</v>
          </cell>
          <cell r="AO4054">
            <v>1425.77</v>
          </cell>
          <cell r="AQ4054">
            <v>85.24</v>
          </cell>
        </row>
        <row r="4055">
          <cell r="P4055">
            <v>3.71</v>
          </cell>
          <cell r="Q4055">
            <v>498.3</v>
          </cell>
          <cell r="R4055">
            <v>441.78</v>
          </cell>
          <cell r="S4055">
            <v>71971.350000000006</v>
          </cell>
          <cell r="X4055">
            <v>71689</v>
          </cell>
          <cell r="Y4055">
            <v>42723.75</v>
          </cell>
          <cell r="AT4055">
            <v>99</v>
          </cell>
          <cell r="AU4055">
            <v>59</v>
          </cell>
          <cell r="AV4055">
            <v>1.0469999999999999</v>
          </cell>
          <cell r="AW4055">
            <v>1</v>
          </cell>
          <cell r="BA4055">
            <v>56.35</v>
          </cell>
          <cell r="BB4055">
            <v>54.4</v>
          </cell>
          <cell r="BC4055">
            <v>7.73</v>
          </cell>
          <cell r="BS4055">
            <v>56.35</v>
          </cell>
          <cell r="BZ4055">
            <v>99</v>
          </cell>
          <cell r="CA4055">
            <v>59</v>
          </cell>
        </row>
        <row r="4056">
          <cell r="F4056" t="str">
            <v>1.3-2-97</v>
          </cell>
          <cell r="H4056" t="str">
            <v>кг</v>
          </cell>
          <cell r="I4056">
            <v>193.44</v>
          </cell>
          <cell r="O4056">
            <v>2398.66</v>
          </cell>
          <cell r="R4056">
            <v>0</v>
          </cell>
          <cell r="X4056">
            <v>0</v>
          </cell>
          <cell r="Y4056">
            <v>0</v>
          </cell>
          <cell r="AK4056">
            <v>12.4</v>
          </cell>
        </row>
        <row r="4057">
          <cell r="O4057">
            <v>11345.66</v>
          </cell>
          <cell r="R4057">
            <v>0</v>
          </cell>
          <cell r="X4057">
            <v>0</v>
          </cell>
          <cell r="Y4057">
            <v>0</v>
          </cell>
          <cell r="AW4057">
            <v>1</v>
          </cell>
          <cell r="BC4057">
            <v>4.7300000000000004</v>
          </cell>
        </row>
        <row r="4058">
          <cell r="F4058" t="str">
            <v>3.70-198-6</v>
          </cell>
          <cell r="H4058" t="str">
            <v>100 м2</v>
          </cell>
          <cell r="I4058">
            <v>0.62</v>
          </cell>
          <cell r="P4058">
            <v>4.46</v>
          </cell>
          <cell r="Q4058">
            <v>75.44</v>
          </cell>
          <cell r="R4058">
            <v>13.27</v>
          </cell>
          <cell r="S4058">
            <v>907.5</v>
          </cell>
          <cell r="U4058">
            <v>55.182093119999983</v>
          </cell>
          <cell r="X4058">
            <v>929.98</v>
          </cell>
          <cell r="Y4058">
            <v>506.42</v>
          </cell>
          <cell r="AL4058">
            <v>7.2</v>
          </cell>
          <cell r="AM4058">
            <v>77.48</v>
          </cell>
          <cell r="AN4058">
            <v>13.63</v>
          </cell>
          <cell r="AO4058">
            <v>1013.05</v>
          </cell>
          <cell r="AQ4058">
            <v>61.6</v>
          </cell>
        </row>
        <row r="4059">
          <cell r="P4059">
            <v>22.61</v>
          </cell>
          <cell r="Q4059">
            <v>1426.57</v>
          </cell>
          <cell r="R4059">
            <v>747.76</v>
          </cell>
          <cell r="S4059">
            <v>51137.63</v>
          </cell>
          <cell r="X4059">
            <v>52404.24</v>
          </cell>
          <cell r="Y4059">
            <v>28536.959999999999</v>
          </cell>
          <cell r="AT4059">
            <v>101</v>
          </cell>
          <cell r="AU4059">
            <v>55</v>
          </cell>
          <cell r="AV4059">
            <v>1.0469999999999999</v>
          </cell>
          <cell r="AW4059">
            <v>1</v>
          </cell>
          <cell r="BA4059">
            <v>56.35</v>
          </cell>
          <cell r="BB4059">
            <v>18.91</v>
          </cell>
          <cell r="BC4059">
            <v>5.07</v>
          </cell>
          <cell r="BS4059">
            <v>56.35</v>
          </cell>
          <cell r="BZ4059">
            <v>101</v>
          </cell>
          <cell r="CA4059">
            <v>55</v>
          </cell>
        </row>
        <row r="4060">
          <cell r="F4060" t="str">
            <v>1.1-1-8205</v>
          </cell>
          <cell r="H4060" t="str">
            <v>100 шт.</v>
          </cell>
          <cell r="I4060">
            <v>7.1857999999999995</v>
          </cell>
          <cell r="O4060">
            <v>30.61</v>
          </cell>
          <cell r="R4060">
            <v>0</v>
          </cell>
          <cell r="X4060">
            <v>0</v>
          </cell>
          <cell r="Y4060">
            <v>0</v>
          </cell>
          <cell r="AK4060">
            <v>4.26</v>
          </cell>
        </row>
        <row r="4061">
          <cell r="O4061">
            <v>305.79000000000002</v>
          </cell>
          <cell r="R4061">
            <v>0</v>
          </cell>
          <cell r="X4061">
            <v>0</v>
          </cell>
          <cell r="Y4061">
            <v>0</v>
          </cell>
          <cell r="AW4061">
            <v>1</v>
          </cell>
          <cell r="BC4061">
            <v>9.99</v>
          </cell>
        </row>
        <row r="4062">
          <cell r="F4062" t="str">
            <v>1.1-1-3257</v>
          </cell>
          <cell r="H4062" t="str">
            <v>кг</v>
          </cell>
          <cell r="I4062">
            <v>8.68</v>
          </cell>
          <cell r="O4062">
            <v>150.16</v>
          </cell>
          <cell r="R4062">
            <v>0</v>
          </cell>
          <cell r="X4062">
            <v>0</v>
          </cell>
          <cell r="Y4062">
            <v>0</v>
          </cell>
          <cell r="AK4062">
            <v>17.3</v>
          </cell>
        </row>
        <row r="4063">
          <cell r="O4063">
            <v>890.45</v>
          </cell>
          <cell r="R4063">
            <v>0</v>
          </cell>
          <cell r="X4063">
            <v>0</v>
          </cell>
          <cell r="Y4063">
            <v>0</v>
          </cell>
          <cell r="AW4063">
            <v>1</v>
          </cell>
          <cell r="BC4063">
            <v>5.93</v>
          </cell>
        </row>
        <row r="4064">
          <cell r="F4064" t="str">
            <v>1.3-2-50</v>
          </cell>
          <cell r="H4064" t="str">
            <v>т</v>
          </cell>
          <cell r="I4064">
            <v>2.4799999999999999E-2</v>
          </cell>
          <cell r="O4064">
            <v>148.26</v>
          </cell>
          <cell r="R4064">
            <v>0</v>
          </cell>
          <cell r="X4064">
            <v>0</v>
          </cell>
          <cell r="Y4064">
            <v>0</v>
          </cell>
          <cell r="AK4064">
            <v>5978.05</v>
          </cell>
        </row>
        <row r="4065">
          <cell r="O4065">
            <v>2269.86</v>
          </cell>
          <cell r="R4065">
            <v>0</v>
          </cell>
          <cell r="X4065">
            <v>0</v>
          </cell>
          <cell r="Y4065">
            <v>0</v>
          </cell>
          <cell r="AW4065">
            <v>1</v>
          </cell>
          <cell r="BC4065">
            <v>15.31</v>
          </cell>
        </row>
        <row r="4066">
          <cell r="F4066" t="str">
            <v>1.3-2-35</v>
          </cell>
          <cell r="H4066" t="str">
            <v>т</v>
          </cell>
          <cell r="I4066">
            <v>0.44685900000000001</v>
          </cell>
          <cell r="O4066">
            <v>746.12</v>
          </cell>
          <cell r="R4066">
            <v>0</v>
          </cell>
          <cell r="X4066">
            <v>0</v>
          </cell>
          <cell r="Y4066">
            <v>0</v>
          </cell>
          <cell r="AK4066">
            <v>1669.7</v>
          </cell>
        </row>
        <row r="4067">
          <cell r="O4067">
            <v>5968.96</v>
          </cell>
          <cell r="R4067">
            <v>0</v>
          </cell>
          <cell r="X4067">
            <v>0</v>
          </cell>
          <cell r="Y4067">
            <v>0</v>
          </cell>
          <cell r="AW4067">
            <v>1</v>
          </cell>
          <cell r="BC4067">
            <v>8</v>
          </cell>
        </row>
        <row r="4068">
          <cell r="F4068" t="str">
            <v>1.1-1-3225</v>
          </cell>
          <cell r="H4068" t="str">
            <v>м2</v>
          </cell>
          <cell r="I4068">
            <v>66.959999999999994</v>
          </cell>
          <cell r="O4068">
            <v>8341.2099999999991</v>
          </cell>
          <cell r="R4068">
            <v>0</v>
          </cell>
          <cell r="X4068">
            <v>0</v>
          </cell>
          <cell r="Y4068">
            <v>0</v>
          </cell>
          <cell r="AK4068">
            <v>124.57</v>
          </cell>
        </row>
        <row r="4069">
          <cell r="O4069">
            <v>55302.22</v>
          </cell>
          <cell r="R4069">
            <v>0</v>
          </cell>
          <cell r="X4069">
            <v>0</v>
          </cell>
          <cell r="Y4069">
            <v>0</v>
          </cell>
          <cell r="AW4069">
            <v>1</v>
          </cell>
          <cell r="BC4069">
            <v>6.63</v>
          </cell>
        </row>
        <row r="4071">
          <cell r="G4071" t="str">
            <v>Второй этаж. Керамогранит 600х600 мм</v>
          </cell>
        </row>
        <row r="4101">
          <cell r="G4101" t="str">
            <v>Второй этаж. Паркетная доска</v>
          </cell>
        </row>
        <row r="4105">
          <cell r="F4105" t="str">
            <v>3.70-159-1</v>
          </cell>
          <cell r="H4105" t="str">
            <v>100 м2 стяжки</v>
          </cell>
          <cell r="I4105">
            <v>2.65</v>
          </cell>
          <cell r="P4105">
            <v>65.59</v>
          </cell>
          <cell r="Q4105">
            <v>7.49</v>
          </cell>
          <cell r="R4105">
            <v>0</v>
          </cell>
          <cell r="S4105">
            <v>1246.1099999999999</v>
          </cell>
          <cell r="U4105">
            <v>89.327747069999972</v>
          </cell>
          <cell r="X4105">
            <v>1258.57</v>
          </cell>
          <cell r="Y4105">
            <v>685.36</v>
          </cell>
          <cell r="AL4105">
            <v>24.75</v>
          </cell>
          <cell r="AM4105">
            <v>1.8</v>
          </cell>
          <cell r="AO4105">
            <v>325.45</v>
          </cell>
          <cell r="AQ4105">
            <v>23.33</v>
          </cell>
        </row>
        <row r="4106">
          <cell r="P4106">
            <v>508.32</v>
          </cell>
          <cell r="Q4106">
            <v>87.56</v>
          </cell>
          <cell r="R4106">
            <v>0</v>
          </cell>
          <cell r="S4106">
            <v>70218.3</v>
          </cell>
          <cell r="X4106">
            <v>70920.479999999996</v>
          </cell>
          <cell r="Y4106">
            <v>38620.07</v>
          </cell>
          <cell r="AT4106">
            <v>101</v>
          </cell>
          <cell r="AU4106">
            <v>55</v>
          </cell>
          <cell r="AV4106">
            <v>1.0469999999999999</v>
          </cell>
          <cell r="AW4106">
            <v>1</v>
          </cell>
          <cell r="BA4106">
            <v>56.35</v>
          </cell>
          <cell r="BB4106">
            <v>11.69</v>
          </cell>
          <cell r="BC4106">
            <v>7.75</v>
          </cell>
          <cell r="BZ4106">
            <v>101</v>
          </cell>
          <cell r="CA4106">
            <v>55</v>
          </cell>
        </row>
        <row r="4107">
          <cell r="F4107" t="str">
            <v>1.3-2-7</v>
          </cell>
          <cell r="H4107" t="str">
            <v>м3</v>
          </cell>
          <cell r="I4107">
            <v>5.4059999999999997</v>
          </cell>
          <cell r="O4107">
            <v>2746.09</v>
          </cell>
          <cell r="R4107">
            <v>0</v>
          </cell>
          <cell r="X4107">
            <v>0</v>
          </cell>
          <cell r="Y4107">
            <v>0</v>
          </cell>
          <cell r="AK4107">
            <v>507.97</v>
          </cell>
        </row>
        <row r="4108">
          <cell r="O4108">
            <v>30152.07</v>
          </cell>
          <cell r="R4108">
            <v>0</v>
          </cell>
          <cell r="X4108">
            <v>0</v>
          </cell>
          <cell r="Y4108">
            <v>0</v>
          </cell>
          <cell r="AW4108">
            <v>1</v>
          </cell>
          <cell r="BC4108">
            <v>10.98</v>
          </cell>
        </row>
        <row r="4109">
          <cell r="F4109" t="str">
            <v>3.70-164-1</v>
          </cell>
          <cell r="H4109" t="str">
            <v>100 м2</v>
          </cell>
          <cell r="I4109">
            <v>2.65</v>
          </cell>
          <cell r="P4109">
            <v>287.18</v>
          </cell>
          <cell r="Q4109">
            <v>180.83</v>
          </cell>
          <cell r="R4109">
            <v>3.16</v>
          </cell>
          <cell r="S4109">
            <v>5157.6499999999996</v>
          </cell>
          <cell r="U4109">
            <v>317.95011215999995</v>
          </cell>
          <cell r="X4109">
            <v>5212.42</v>
          </cell>
          <cell r="Y4109">
            <v>2838.45</v>
          </cell>
          <cell r="AL4109">
            <v>108.37</v>
          </cell>
          <cell r="AM4109">
            <v>43.45</v>
          </cell>
          <cell r="AN4109">
            <v>0.76</v>
          </cell>
          <cell r="AO4109">
            <v>1347.04</v>
          </cell>
          <cell r="AQ4109">
            <v>83.04</v>
          </cell>
        </row>
        <row r="4110">
          <cell r="P4110">
            <v>4052.11</v>
          </cell>
          <cell r="Q4110">
            <v>1972.86</v>
          </cell>
          <cell r="R4110">
            <v>178.07</v>
          </cell>
          <cell r="S4110">
            <v>290633.58</v>
          </cell>
          <cell r="X4110">
            <v>293719.77</v>
          </cell>
          <cell r="Y4110">
            <v>159946.41</v>
          </cell>
          <cell r="AT4110">
            <v>101</v>
          </cell>
          <cell r="AU4110">
            <v>55</v>
          </cell>
          <cell r="AV4110">
            <v>1.0469999999999999</v>
          </cell>
          <cell r="AW4110">
            <v>1</v>
          </cell>
          <cell r="BA4110">
            <v>56.35</v>
          </cell>
          <cell r="BB4110">
            <v>10.91</v>
          </cell>
          <cell r="BC4110">
            <v>14.11</v>
          </cell>
          <cell r="BS4110">
            <v>56.35</v>
          </cell>
          <cell r="BZ4110">
            <v>101</v>
          </cell>
          <cell r="CA4110">
            <v>55</v>
          </cell>
        </row>
        <row r="4111">
          <cell r="F4111" t="str">
            <v>1.1-1-3383</v>
          </cell>
          <cell r="H4111" t="str">
            <v>100 шт.</v>
          </cell>
          <cell r="I4111">
            <v>40.28</v>
          </cell>
          <cell r="O4111">
            <v>3823.78</v>
          </cell>
          <cell r="R4111">
            <v>0</v>
          </cell>
          <cell r="X4111">
            <v>0</v>
          </cell>
          <cell r="Y4111">
            <v>0</v>
          </cell>
          <cell r="AK4111">
            <v>94.93</v>
          </cell>
        </row>
        <row r="4112">
          <cell r="O4112">
            <v>14147.99</v>
          </cell>
          <cell r="R4112">
            <v>0</v>
          </cell>
          <cell r="X4112">
            <v>0</v>
          </cell>
          <cell r="Y4112">
            <v>0</v>
          </cell>
          <cell r="AW4112">
            <v>1</v>
          </cell>
          <cell r="BC4112">
            <v>3.7</v>
          </cell>
        </row>
        <row r="4113">
          <cell r="F4113" t="str">
            <v>1.1-1-394</v>
          </cell>
          <cell r="H4113" t="str">
            <v>кг</v>
          </cell>
          <cell r="I4113">
            <v>212</v>
          </cell>
          <cell r="O4113">
            <v>2115.7600000000002</v>
          </cell>
          <cell r="R4113">
            <v>0</v>
          </cell>
          <cell r="X4113">
            <v>0</v>
          </cell>
          <cell r="Y4113">
            <v>0</v>
          </cell>
          <cell r="AK4113">
            <v>9.98</v>
          </cell>
        </row>
        <row r="4114">
          <cell r="O4114">
            <v>17962.8</v>
          </cell>
          <cell r="R4114">
            <v>0</v>
          </cell>
          <cell r="X4114">
            <v>0</v>
          </cell>
          <cell r="Y4114">
            <v>0</v>
          </cell>
          <cell r="AW4114">
            <v>1</v>
          </cell>
          <cell r="BC4114">
            <v>8.49</v>
          </cell>
        </row>
        <row r="4115">
          <cell r="F4115" t="str">
            <v>1.1-1-1308</v>
          </cell>
          <cell r="H4115" t="str">
            <v>м3</v>
          </cell>
          <cell r="I4115">
            <v>1.5</v>
          </cell>
          <cell r="P4115">
            <v>3780.63</v>
          </cell>
          <cell r="R4115">
            <v>0</v>
          </cell>
          <cell r="X4115">
            <v>0</v>
          </cell>
          <cell r="Y4115">
            <v>0</v>
          </cell>
          <cell r="AL4115">
            <v>2520.42</v>
          </cell>
        </row>
        <row r="4116">
          <cell r="P4116">
            <v>77540.72</v>
          </cell>
          <cell r="R4116">
            <v>0</v>
          </cell>
          <cell r="X4116">
            <v>0</v>
          </cell>
          <cell r="Y4116">
            <v>0</v>
          </cell>
          <cell r="AW4116">
            <v>1</v>
          </cell>
          <cell r="BC4116">
            <v>20.51</v>
          </cell>
        </row>
        <row r="4117">
          <cell r="F4117" t="str">
            <v>3.70-164-1</v>
          </cell>
          <cell r="H4117" t="str">
            <v>100 м2</v>
          </cell>
          <cell r="I4117">
            <v>2.65</v>
          </cell>
          <cell r="P4117">
            <v>287.18</v>
          </cell>
          <cell r="Q4117">
            <v>180.83</v>
          </cell>
          <cell r="R4117">
            <v>3.16</v>
          </cell>
          <cell r="S4117">
            <v>5157.6499999999996</v>
          </cell>
          <cell r="U4117">
            <v>317.95011215999995</v>
          </cell>
          <cell r="X4117">
            <v>5212.42</v>
          </cell>
          <cell r="Y4117">
            <v>2838.45</v>
          </cell>
          <cell r="AL4117">
            <v>108.37</v>
          </cell>
          <cell r="AM4117">
            <v>43.45</v>
          </cell>
          <cell r="AN4117">
            <v>0.76</v>
          </cell>
          <cell r="AO4117">
            <v>1347.04</v>
          </cell>
          <cell r="AQ4117">
            <v>83.04</v>
          </cell>
        </row>
        <row r="4118">
          <cell r="P4118">
            <v>4052.11</v>
          </cell>
          <cell r="Q4118">
            <v>1972.86</v>
          </cell>
          <cell r="R4118">
            <v>178.07</v>
          </cell>
          <cell r="S4118">
            <v>290633.58</v>
          </cell>
          <cell r="X4118">
            <v>293719.77</v>
          </cell>
          <cell r="Y4118">
            <v>159946.41</v>
          </cell>
          <cell r="AT4118">
            <v>101</v>
          </cell>
          <cell r="AU4118">
            <v>55</v>
          </cell>
          <cell r="AV4118">
            <v>1.0469999999999999</v>
          </cell>
          <cell r="AW4118">
            <v>1</v>
          </cell>
          <cell r="BA4118">
            <v>56.35</v>
          </cell>
          <cell r="BB4118">
            <v>10.91</v>
          </cell>
          <cell r="BC4118">
            <v>14.11</v>
          </cell>
          <cell r="BS4118">
            <v>56.35</v>
          </cell>
          <cell r="BZ4118">
            <v>101</v>
          </cell>
          <cell r="CA4118">
            <v>55</v>
          </cell>
        </row>
        <row r="4119">
          <cell r="F4119" t="str">
            <v>1.1-1-3383</v>
          </cell>
          <cell r="H4119" t="str">
            <v>100 шт.</v>
          </cell>
          <cell r="I4119">
            <v>40.28</v>
          </cell>
          <cell r="O4119">
            <v>3823.78</v>
          </cell>
          <cell r="R4119">
            <v>0</v>
          </cell>
          <cell r="X4119">
            <v>0</v>
          </cell>
          <cell r="Y4119">
            <v>0</v>
          </cell>
          <cell r="AK4119">
            <v>94.93</v>
          </cell>
        </row>
        <row r="4120">
          <cell r="O4120">
            <v>14147.99</v>
          </cell>
          <cell r="R4120">
            <v>0</v>
          </cell>
          <cell r="X4120">
            <v>0</v>
          </cell>
          <cell r="Y4120">
            <v>0</v>
          </cell>
          <cell r="AW4120">
            <v>1</v>
          </cell>
          <cell r="BC4120">
            <v>3.7</v>
          </cell>
        </row>
        <row r="4121">
          <cell r="F4121" t="str">
            <v>1.1-1-394</v>
          </cell>
          <cell r="H4121" t="str">
            <v>кг</v>
          </cell>
          <cell r="I4121">
            <v>212</v>
          </cell>
          <cell r="O4121">
            <v>2115.7600000000002</v>
          </cell>
          <cell r="R4121">
            <v>0</v>
          </cell>
          <cell r="X4121">
            <v>0</v>
          </cell>
          <cell r="Y4121">
            <v>0</v>
          </cell>
          <cell r="AK4121">
            <v>9.98</v>
          </cell>
        </row>
        <row r="4122">
          <cell r="O4122">
            <v>17962.8</v>
          </cell>
          <cell r="R4122">
            <v>0</v>
          </cell>
          <cell r="X4122">
            <v>0</v>
          </cell>
          <cell r="Y4122">
            <v>0</v>
          </cell>
          <cell r="AW4122">
            <v>1</v>
          </cell>
          <cell r="BC4122">
            <v>8.49</v>
          </cell>
        </row>
        <row r="4123">
          <cell r="F4123" t="str">
            <v>1.1-1-1308</v>
          </cell>
          <cell r="H4123" t="str">
            <v>м3</v>
          </cell>
          <cell r="I4123">
            <v>3.18</v>
          </cell>
          <cell r="O4123">
            <v>8014.94</v>
          </cell>
          <cell r="R4123">
            <v>0</v>
          </cell>
          <cell r="X4123">
            <v>0</v>
          </cell>
          <cell r="Y4123">
            <v>0</v>
          </cell>
          <cell r="AK4123">
            <v>2520.42</v>
          </cell>
        </row>
        <row r="4124">
          <cell r="O4124">
            <v>164386.42000000001</v>
          </cell>
          <cell r="R4124">
            <v>0</v>
          </cell>
          <cell r="X4124">
            <v>0</v>
          </cell>
          <cell r="Y4124">
            <v>0</v>
          </cell>
          <cell r="AW4124">
            <v>1</v>
          </cell>
          <cell r="BC4124">
            <v>20.51</v>
          </cell>
        </row>
        <row r="4125">
          <cell r="F4125" t="str">
            <v>3.11-24-1</v>
          </cell>
          <cell r="H4125" t="str">
            <v>100 м2 покрытия</v>
          </cell>
          <cell r="I4125">
            <v>2.65</v>
          </cell>
          <cell r="P4125">
            <v>656.25</v>
          </cell>
          <cell r="Q4125">
            <v>276.47000000000003</v>
          </cell>
          <cell r="R4125">
            <v>32.049999999999997</v>
          </cell>
          <cell r="S4125">
            <v>1496.56</v>
          </cell>
          <cell r="U4125">
            <v>121.37546429999998</v>
          </cell>
          <cell r="X4125">
            <v>1543.9</v>
          </cell>
          <cell r="Y4125">
            <v>840.74</v>
          </cell>
          <cell r="AL4125">
            <v>247.64</v>
          </cell>
          <cell r="AM4125">
            <v>66.430000000000007</v>
          </cell>
          <cell r="AN4125">
            <v>7.7</v>
          </cell>
          <cell r="AO4125">
            <v>390.86</v>
          </cell>
          <cell r="AQ4125">
            <v>31.7</v>
          </cell>
        </row>
        <row r="4126">
          <cell r="P4126">
            <v>8288.44</v>
          </cell>
          <cell r="Q4126">
            <v>4224.46</v>
          </cell>
          <cell r="R4126">
            <v>1806.02</v>
          </cell>
          <cell r="S4126">
            <v>84331.16</v>
          </cell>
          <cell r="X4126">
            <v>86998.55</v>
          </cell>
          <cell r="Y4126">
            <v>47375.45</v>
          </cell>
          <cell r="AT4126">
            <v>101</v>
          </cell>
          <cell r="AU4126">
            <v>55</v>
          </cell>
          <cell r="AV4126">
            <v>1.0469999999999999</v>
          </cell>
          <cell r="AW4126">
            <v>1</v>
          </cell>
          <cell r="BA4126">
            <v>56.35</v>
          </cell>
          <cell r="BB4126">
            <v>15.28</v>
          </cell>
          <cell r="BC4126">
            <v>12.63</v>
          </cell>
          <cell r="BS4126">
            <v>56.35</v>
          </cell>
          <cell r="BZ4126">
            <v>101</v>
          </cell>
          <cell r="CA4126">
            <v>55</v>
          </cell>
        </row>
        <row r="4127">
          <cell r="F4127" t="str">
            <v>КА-187</v>
          </cell>
          <cell r="H4127" t="str">
            <v>ШТ</v>
          </cell>
          <cell r="I4127">
            <v>4505</v>
          </cell>
          <cell r="O4127">
            <v>22975.5</v>
          </cell>
          <cell r="R4127">
            <v>0</v>
          </cell>
          <cell r="X4127">
            <v>0</v>
          </cell>
          <cell r="Y4127">
            <v>0</v>
          </cell>
          <cell r="AK4127">
            <v>5.0999999999999996</v>
          </cell>
        </row>
        <row r="4128">
          <cell r="O4128">
            <v>226078.92</v>
          </cell>
          <cell r="R4128">
            <v>0</v>
          </cell>
          <cell r="X4128">
            <v>0</v>
          </cell>
          <cell r="Y4128">
            <v>0</v>
          </cell>
          <cell r="AW4128">
            <v>1</v>
          </cell>
          <cell r="BC4128">
            <v>9.84</v>
          </cell>
        </row>
        <row r="4129">
          <cell r="F4129" t="str">
            <v>1.1-1-746</v>
          </cell>
          <cell r="H4129" t="str">
            <v>м2</v>
          </cell>
          <cell r="I4129">
            <v>275.60000000000002</v>
          </cell>
          <cell r="P4129">
            <v>144221.48000000001</v>
          </cell>
          <cell r="R4129">
            <v>0</v>
          </cell>
          <cell r="X4129">
            <v>0</v>
          </cell>
          <cell r="Y4129">
            <v>0</v>
          </cell>
          <cell r="AL4129">
            <v>523.29999999999995</v>
          </cell>
        </row>
        <row r="4130">
          <cell r="P4130">
            <v>1212902.6499999999</v>
          </cell>
          <cell r="R4130">
            <v>0</v>
          </cell>
          <cell r="X4130">
            <v>0</v>
          </cell>
          <cell r="Y4130">
            <v>0</v>
          </cell>
          <cell r="AW4130">
            <v>1</v>
          </cell>
          <cell r="BC4130">
            <v>8.41</v>
          </cell>
        </row>
        <row r="4132">
          <cell r="G4132" t="str">
            <v>Второй этаж. Паркетная доска</v>
          </cell>
        </row>
        <row r="4162">
          <cell r="G4162" t="str">
            <v>Третий  этаж. Кварц-виниловая дизайн-плитка 500х500 мм</v>
          </cell>
        </row>
        <row r="4166">
          <cell r="F4166" t="str">
            <v>3.70-159-1</v>
          </cell>
          <cell r="H4166" t="str">
            <v>100 м2 стяжки</v>
          </cell>
          <cell r="I4166">
            <v>6.86</v>
          </cell>
          <cell r="P4166">
            <v>169.79</v>
          </cell>
          <cell r="Q4166">
            <v>19.39</v>
          </cell>
          <cell r="R4166">
            <v>0</v>
          </cell>
          <cell r="S4166">
            <v>3225.78</v>
          </cell>
          <cell r="U4166">
            <v>231.24088486799997</v>
          </cell>
          <cell r="X4166">
            <v>3258.04</v>
          </cell>
          <cell r="Y4166">
            <v>1774.18</v>
          </cell>
          <cell r="AL4166">
            <v>24.75</v>
          </cell>
          <cell r="AM4166">
            <v>1.8</v>
          </cell>
          <cell r="AO4166">
            <v>325.45</v>
          </cell>
          <cell r="AQ4166">
            <v>23.33</v>
          </cell>
        </row>
        <row r="4167">
          <cell r="P4167">
            <v>1315.87</v>
          </cell>
          <cell r="Q4167">
            <v>226.67</v>
          </cell>
          <cell r="R4167">
            <v>0</v>
          </cell>
          <cell r="S4167">
            <v>181772.7</v>
          </cell>
          <cell r="X4167">
            <v>183590.43</v>
          </cell>
          <cell r="Y4167">
            <v>99974.99</v>
          </cell>
          <cell r="AT4167">
            <v>101</v>
          </cell>
          <cell r="AU4167">
            <v>55</v>
          </cell>
          <cell r="AV4167">
            <v>1.0469999999999999</v>
          </cell>
          <cell r="AW4167">
            <v>1</v>
          </cell>
          <cell r="BA4167">
            <v>56.35</v>
          </cell>
          <cell r="BB4167">
            <v>11.69</v>
          </cell>
          <cell r="BC4167">
            <v>7.75</v>
          </cell>
          <cell r="BZ4167">
            <v>101</v>
          </cell>
          <cell r="CA4167">
            <v>55</v>
          </cell>
        </row>
        <row r="4168">
          <cell r="F4168" t="str">
            <v>1.3-2-7</v>
          </cell>
          <cell r="H4168" t="str">
            <v>м3</v>
          </cell>
          <cell r="I4168">
            <v>13.994400000000001</v>
          </cell>
          <cell r="O4168">
            <v>7108.74</v>
          </cell>
          <cell r="R4168">
            <v>0</v>
          </cell>
          <cell r="X4168">
            <v>0</v>
          </cell>
          <cell r="Y4168">
            <v>0</v>
          </cell>
          <cell r="AK4168">
            <v>507.97</v>
          </cell>
        </row>
        <row r="4169">
          <cell r="O4169">
            <v>78053.97</v>
          </cell>
          <cell r="R4169">
            <v>0</v>
          </cell>
          <cell r="X4169">
            <v>0</v>
          </cell>
          <cell r="Y4169">
            <v>0</v>
          </cell>
          <cell r="AW4169">
            <v>1</v>
          </cell>
          <cell r="BC4169">
            <v>10.98</v>
          </cell>
        </row>
        <row r="4170">
          <cell r="F4170" t="str">
            <v>3.70-159-2</v>
          </cell>
          <cell r="H4170" t="str">
            <v>100 м2 стяжки</v>
          </cell>
          <cell r="I4170">
            <v>6.86</v>
          </cell>
          <cell r="Q4170">
            <v>52.53</v>
          </cell>
          <cell r="R4170">
            <v>0</v>
          </cell>
          <cell r="S4170">
            <v>633.54</v>
          </cell>
          <cell r="U4170">
            <v>46.22835349439999</v>
          </cell>
          <cell r="X4170">
            <v>639.88</v>
          </cell>
          <cell r="Y4170">
            <v>348.45</v>
          </cell>
          <cell r="AM4170">
            <v>0.46</v>
          </cell>
          <cell r="AO4170">
            <v>6.03</v>
          </cell>
          <cell r="AQ4170">
            <v>0.44</v>
          </cell>
        </row>
        <row r="4171">
          <cell r="Q4171">
            <v>614.6</v>
          </cell>
          <cell r="R4171">
            <v>0</v>
          </cell>
          <cell r="S4171">
            <v>35699.980000000003</v>
          </cell>
          <cell r="X4171">
            <v>36056.980000000003</v>
          </cell>
          <cell r="Y4171">
            <v>19634.990000000002</v>
          </cell>
          <cell r="AT4171">
            <v>101</v>
          </cell>
          <cell r="AU4171">
            <v>55</v>
          </cell>
          <cell r="AV4171">
            <v>1.0469999999999999</v>
          </cell>
          <cell r="BA4171">
            <v>56.35</v>
          </cell>
          <cell r="BB4171">
            <v>11.7</v>
          </cell>
          <cell r="BZ4171">
            <v>101</v>
          </cell>
          <cell r="CA4171">
            <v>55</v>
          </cell>
        </row>
        <row r="4172">
          <cell r="F4172" t="str">
            <v>1.3-2-7</v>
          </cell>
          <cell r="H4172" t="str">
            <v>м3</v>
          </cell>
          <cell r="I4172">
            <v>37.085160000000002</v>
          </cell>
          <cell r="O4172">
            <v>18838.150000000001</v>
          </cell>
          <cell r="R4172">
            <v>0</v>
          </cell>
          <cell r="X4172">
            <v>0</v>
          </cell>
          <cell r="Y4172">
            <v>0</v>
          </cell>
          <cell r="AK4172">
            <v>507.97</v>
          </cell>
        </row>
        <row r="4173">
          <cell r="O4173">
            <v>206842.89</v>
          </cell>
          <cell r="R4173">
            <v>0</v>
          </cell>
          <cell r="X4173">
            <v>0</v>
          </cell>
          <cell r="Y4173">
            <v>0</v>
          </cell>
          <cell r="AW4173">
            <v>1</v>
          </cell>
          <cell r="BC4173">
            <v>10.98</v>
          </cell>
        </row>
        <row r="4174">
          <cell r="F4174" t="str">
            <v>3.70-43-6</v>
          </cell>
          <cell r="H4174" t="str">
            <v>1 Т</v>
          </cell>
          <cell r="I4174">
            <v>1.8865000000000001</v>
          </cell>
          <cell r="P4174">
            <v>498.72</v>
          </cell>
          <cell r="Q4174">
            <v>128.88</v>
          </cell>
          <cell r="R4174">
            <v>14.99</v>
          </cell>
          <cell r="S4174">
            <v>491.91</v>
          </cell>
          <cell r="U4174">
            <v>31.61844932399999</v>
          </cell>
          <cell r="X4174">
            <v>466.35</v>
          </cell>
          <cell r="Y4174">
            <v>248.38</v>
          </cell>
          <cell r="AL4174">
            <v>258.67</v>
          </cell>
          <cell r="AM4174">
            <v>43.5</v>
          </cell>
          <cell r="AN4174">
            <v>5.0599999999999996</v>
          </cell>
          <cell r="AO4174">
            <v>180.47</v>
          </cell>
          <cell r="AQ4174">
            <v>11.6</v>
          </cell>
        </row>
        <row r="4175">
          <cell r="P4175">
            <v>3740.4</v>
          </cell>
          <cell r="Q4175">
            <v>1989.91</v>
          </cell>
          <cell r="R4175">
            <v>844.69</v>
          </cell>
          <cell r="S4175">
            <v>27719.13</v>
          </cell>
          <cell r="X4175">
            <v>26278.71</v>
          </cell>
          <cell r="Y4175">
            <v>13996.27</v>
          </cell>
          <cell r="AT4175">
            <v>92</v>
          </cell>
          <cell r="AU4175">
            <v>49</v>
          </cell>
          <cell r="AV4175">
            <v>1.0469999999999999</v>
          </cell>
          <cell r="AW4175">
            <v>1.022</v>
          </cell>
          <cell r="BA4175">
            <v>56.35</v>
          </cell>
          <cell r="BB4175">
            <v>15.44</v>
          </cell>
          <cell r="BC4175">
            <v>7.5</v>
          </cell>
          <cell r="BS4175">
            <v>56.35</v>
          </cell>
          <cell r="BZ4175">
            <v>92</v>
          </cell>
          <cell r="CA4175">
            <v>49</v>
          </cell>
        </row>
        <row r="4176">
          <cell r="F4176" t="str">
            <v>1.3-4-75</v>
          </cell>
          <cell r="H4176" t="str">
            <v>т</v>
          </cell>
          <cell r="I4176">
            <v>1.8865000000000001</v>
          </cell>
          <cell r="O4176">
            <v>18749.23</v>
          </cell>
          <cell r="R4176">
            <v>0</v>
          </cell>
          <cell r="X4176">
            <v>0</v>
          </cell>
          <cell r="Y4176">
            <v>0</v>
          </cell>
          <cell r="AK4176">
            <v>9724.69</v>
          </cell>
        </row>
        <row r="4177">
          <cell r="O4177">
            <v>72747.009999999995</v>
          </cell>
          <cell r="R4177">
            <v>0</v>
          </cell>
          <cell r="X4177">
            <v>0</v>
          </cell>
          <cell r="Y4177">
            <v>0</v>
          </cell>
          <cell r="AW4177">
            <v>1.022</v>
          </cell>
          <cell r="BC4177">
            <v>3.88</v>
          </cell>
        </row>
        <row r="4178">
          <cell r="F4178" t="str">
            <v>3.70-202-1</v>
          </cell>
          <cell r="H4178" t="str">
            <v>100 м2 покрытия</v>
          </cell>
          <cell r="I4178">
            <v>6.86</v>
          </cell>
          <cell r="P4178">
            <v>5.56</v>
          </cell>
          <cell r="Q4178">
            <v>599.88</v>
          </cell>
          <cell r="R4178">
            <v>91.14</v>
          </cell>
          <cell r="S4178">
            <v>6037.64</v>
          </cell>
          <cell r="U4178">
            <v>378.62845272000004</v>
          </cell>
          <cell r="X4178">
            <v>6190.07</v>
          </cell>
          <cell r="Y4178">
            <v>3370.83</v>
          </cell>
          <cell r="AL4178">
            <v>0.81</v>
          </cell>
          <cell r="AM4178">
            <v>55.68</v>
          </cell>
          <cell r="AN4178">
            <v>8.4600000000000009</v>
          </cell>
          <cell r="AO4178">
            <v>609.14</v>
          </cell>
          <cell r="AQ4178">
            <v>38.200000000000003</v>
          </cell>
        </row>
        <row r="4179">
          <cell r="P4179">
            <v>81.010000000000005</v>
          </cell>
          <cell r="Q4179">
            <v>10239.950000000001</v>
          </cell>
          <cell r="R4179">
            <v>5135.74</v>
          </cell>
          <cell r="S4179">
            <v>340221.01</v>
          </cell>
          <cell r="X4179">
            <v>348810.32</v>
          </cell>
          <cell r="Y4179">
            <v>189946.21</v>
          </cell>
          <cell r="AT4179">
            <v>101</v>
          </cell>
          <cell r="AU4179">
            <v>55</v>
          </cell>
          <cell r="AV4179">
            <v>1.0469999999999999</v>
          </cell>
          <cell r="AW4179">
            <v>1</v>
          </cell>
          <cell r="BA4179">
            <v>56.35</v>
          </cell>
          <cell r="BB4179">
            <v>17.07</v>
          </cell>
          <cell r="BC4179">
            <v>14.57</v>
          </cell>
          <cell r="BS4179">
            <v>56.35</v>
          </cell>
          <cell r="BZ4179">
            <v>101</v>
          </cell>
          <cell r="CA4179">
            <v>55</v>
          </cell>
        </row>
        <row r="4180">
          <cell r="F4180" t="str">
            <v>1.1-1-389</v>
          </cell>
          <cell r="H4180" t="str">
            <v>т</v>
          </cell>
          <cell r="I4180">
            <v>0.34300000000000003</v>
          </cell>
          <cell r="O4180">
            <v>14856.98</v>
          </cell>
          <cell r="R4180">
            <v>0</v>
          </cell>
          <cell r="X4180">
            <v>0</v>
          </cell>
          <cell r="Y4180">
            <v>0</v>
          </cell>
          <cell r="AK4180">
            <v>43314.81</v>
          </cell>
        </row>
        <row r="4181">
          <cell r="O4181">
            <v>31348.23</v>
          </cell>
          <cell r="R4181">
            <v>0</v>
          </cell>
          <cell r="X4181">
            <v>0</v>
          </cell>
          <cell r="Y4181">
            <v>0</v>
          </cell>
          <cell r="AW4181">
            <v>1</v>
          </cell>
          <cell r="BC4181">
            <v>2.11</v>
          </cell>
        </row>
        <row r="4182">
          <cell r="F4182" t="str">
            <v>КА-188</v>
          </cell>
          <cell r="H4182" t="str">
            <v>м2</v>
          </cell>
          <cell r="I4182">
            <v>734.02</v>
          </cell>
          <cell r="O4182">
            <v>147376.54</v>
          </cell>
          <cell r="R4182">
            <v>0</v>
          </cell>
          <cell r="X4182">
            <v>0</v>
          </cell>
          <cell r="Y4182">
            <v>0</v>
          </cell>
          <cell r="AK4182">
            <v>200.78</v>
          </cell>
        </row>
        <row r="4183">
          <cell r="O4183">
            <v>1450185.15</v>
          </cell>
          <cell r="R4183">
            <v>0</v>
          </cell>
          <cell r="X4183">
            <v>0</v>
          </cell>
          <cell r="Y4183">
            <v>0</v>
          </cell>
          <cell r="AW4183">
            <v>1</v>
          </cell>
          <cell r="BC4183">
            <v>9.84</v>
          </cell>
        </row>
        <row r="4185">
          <cell r="G4185" t="str">
            <v>Третий  этаж. Кварц-виниловая дизайн-плитка 500х500 мм</v>
          </cell>
        </row>
        <row r="4215">
          <cell r="G4215" t="str">
            <v>Третий  этаж. Керамогранит 600х600 мм</v>
          </cell>
        </row>
        <row r="4219">
          <cell r="F4219" t="str">
            <v>3.70-159-1</v>
          </cell>
          <cell r="H4219" t="str">
            <v>100 м2 стяжки</v>
          </cell>
          <cell r="I4219">
            <v>0.7</v>
          </cell>
          <cell r="P4219">
            <v>17.329999999999998</v>
          </cell>
          <cell r="Q4219">
            <v>1.98</v>
          </cell>
          <cell r="R4219">
            <v>0</v>
          </cell>
          <cell r="S4219">
            <v>329.16</v>
          </cell>
          <cell r="U4219">
            <v>23.596008659999992</v>
          </cell>
          <cell r="X4219">
            <v>332.45</v>
          </cell>
          <cell r="Y4219">
            <v>181.04</v>
          </cell>
          <cell r="AL4219">
            <v>24.75</v>
          </cell>
          <cell r="AM4219">
            <v>1.8</v>
          </cell>
          <cell r="AO4219">
            <v>325.45</v>
          </cell>
          <cell r="AQ4219">
            <v>23.33</v>
          </cell>
        </row>
        <row r="4220">
          <cell r="P4220">
            <v>134.31</v>
          </cell>
          <cell r="Q4220">
            <v>23.15</v>
          </cell>
          <cell r="R4220">
            <v>0</v>
          </cell>
          <cell r="S4220">
            <v>18548.169999999998</v>
          </cell>
          <cell r="X4220">
            <v>18733.650000000001</v>
          </cell>
          <cell r="Y4220">
            <v>10201.49</v>
          </cell>
          <cell r="AT4220">
            <v>101</v>
          </cell>
          <cell r="AU4220">
            <v>55</v>
          </cell>
          <cell r="AV4220">
            <v>1.0469999999999999</v>
          </cell>
          <cell r="AW4220">
            <v>1</v>
          </cell>
          <cell r="BA4220">
            <v>56.35</v>
          </cell>
          <cell r="BB4220">
            <v>11.69</v>
          </cell>
          <cell r="BC4220">
            <v>7.75</v>
          </cell>
          <cell r="BZ4220">
            <v>101</v>
          </cell>
          <cell r="CA4220">
            <v>55</v>
          </cell>
        </row>
        <row r="4221">
          <cell r="F4221" t="str">
            <v>1.3-2-7</v>
          </cell>
          <cell r="H4221" t="str">
            <v>м3</v>
          </cell>
          <cell r="I4221">
            <v>1.4279999999999999</v>
          </cell>
          <cell r="O4221">
            <v>725.38</v>
          </cell>
          <cell r="R4221">
            <v>0</v>
          </cell>
          <cell r="X4221">
            <v>0</v>
          </cell>
          <cell r="Y4221">
            <v>0</v>
          </cell>
          <cell r="AK4221">
            <v>507.97</v>
          </cell>
        </row>
        <row r="4222">
          <cell r="O4222">
            <v>7964.67</v>
          </cell>
          <cell r="R4222">
            <v>0</v>
          </cell>
          <cell r="X4222">
            <v>0</v>
          </cell>
          <cell r="Y4222">
            <v>0</v>
          </cell>
          <cell r="AW4222">
            <v>1</v>
          </cell>
          <cell r="BC4222">
            <v>10.98</v>
          </cell>
        </row>
        <row r="4223">
          <cell r="F4223" t="str">
            <v>3.70-159-2</v>
          </cell>
          <cell r="H4223" t="str">
            <v>100 м2 стяжки</v>
          </cell>
          <cell r="I4223">
            <v>0.7</v>
          </cell>
          <cell r="Q4223">
            <v>2.02</v>
          </cell>
          <cell r="R4223">
            <v>0</v>
          </cell>
          <cell r="S4223">
            <v>24.4</v>
          </cell>
          <cell r="U4223">
            <v>1.7800675199999996</v>
          </cell>
          <cell r="X4223">
            <v>24.64</v>
          </cell>
          <cell r="Y4223">
            <v>13.42</v>
          </cell>
          <cell r="AM4223">
            <v>0.46</v>
          </cell>
          <cell r="AO4223">
            <v>6.03</v>
          </cell>
          <cell r="AQ4223">
            <v>0.44</v>
          </cell>
        </row>
        <row r="4224">
          <cell r="Q4224">
            <v>23.63</v>
          </cell>
          <cell r="R4224">
            <v>0</v>
          </cell>
          <cell r="S4224">
            <v>1374.94</v>
          </cell>
          <cell r="X4224">
            <v>1388.69</v>
          </cell>
          <cell r="Y4224">
            <v>756.22</v>
          </cell>
          <cell r="AT4224">
            <v>101</v>
          </cell>
          <cell r="AU4224">
            <v>55</v>
          </cell>
          <cell r="AV4224">
            <v>1.0469999999999999</v>
          </cell>
          <cell r="BA4224">
            <v>56.35</v>
          </cell>
          <cell r="BB4224">
            <v>11.7</v>
          </cell>
          <cell r="BZ4224">
            <v>101</v>
          </cell>
          <cell r="CA4224">
            <v>55</v>
          </cell>
        </row>
        <row r="4225">
          <cell r="F4225" t="str">
            <v>1.3-2-7</v>
          </cell>
          <cell r="H4225" t="str">
            <v>м3</v>
          </cell>
          <cell r="I4225">
            <v>1.4279999999999999</v>
          </cell>
          <cell r="O4225">
            <v>725.38</v>
          </cell>
          <cell r="R4225">
            <v>0</v>
          </cell>
          <cell r="X4225">
            <v>0</v>
          </cell>
          <cell r="Y4225">
            <v>0</v>
          </cell>
          <cell r="AK4225">
            <v>507.97</v>
          </cell>
        </row>
        <row r="4226">
          <cell r="O4226">
            <v>7964.67</v>
          </cell>
          <cell r="R4226">
            <v>0</v>
          </cell>
          <cell r="X4226">
            <v>0</v>
          </cell>
          <cell r="Y4226">
            <v>0</v>
          </cell>
          <cell r="AW4226">
            <v>1</v>
          </cell>
          <cell r="BC4226">
            <v>10.98</v>
          </cell>
        </row>
        <row r="4227">
          <cell r="F4227" t="str">
            <v>3.70-43-6</v>
          </cell>
          <cell r="H4227" t="str">
            <v>1 Т</v>
          </cell>
          <cell r="I4227">
            <v>0.1925</v>
          </cell>
          <cell r="P4227">
            <v>50.89</v>
          </cell>
          <cell r="Q4227">
            <v>13.15</v>
          </cell>
          <cell r="R4227">
            <v>1.53</v>
          </cell>
          <cell r="S4227">
            <v>50.2</v>
          </cell>
          <cell r="U4227">
            <v>3.226372379999999</v>
          </cell>
          <cell r="X4227">
            <v>47.59</v>
          </cell>
          <cell r="Y4227">
            <v>25.35</v>
          </cell>
          <cell r="AL4227">
            <v>258.67</v>
          </cell>
          <cell r="AM4227">
            <v>43.5</v>
          </cell>
          <cell r="AN4227">
            <v>5.0599999999999996</v>
          </cell>
          <cell r="AO4227">
            <v>180.47</v>
          </cell>
          <cell r="AQ4227">
            <v>11.6</v>
          </cell>
        </row>
        <row r="4228">
          <cell r="P4228">
            <v>381.68</v>
          </cell>
          <cell r="Q4228">
            <v>203.04</v>
          </cell>
          <cell r="R4228">
            <v>86.22</v>
          </cell>
          <cell r="S4228">
            <v>2828.77</v>
          </cell>
          <cell r="X4228">
            <v>2681.79</v>
          </cell>
          <cell r="Y4228">
            <v>1428.35</v>
          </cell>
          <cell r="AT4228">
            <v>92</v>
          </cell>
          <cell r="AU4228">
            <v>49</v>
          </cell>
          <cell r="AV4228">
            <v>1.0469999999999999</v>
          </cell>
          <cell r="AW4228">
            <v>1.022</v>
          </cell>
          <cell r="BA4228">
            <v>56.35</v>
          </cell>
          <cell r="BB4228">
            <v>15.44</v>
          </cell>
          <cell r="BC4228">
            <v>7.5</v>
          </cell>
          <cell r="BS4228">
            <v>56.35</v>
          </cell>
          <cell r="BZ4228">
            <v>92</v>
          </cell>
          <cell r="CA4228">
            <v>49</v>
          </cell>
        </row>
        <row r="4229">
          <cell r="F4229" t="str">
            <v>1.3-4-75</v>
          </cell>
          <cell r="H4229" t="str">
            <v>т</v>
          </cell>
          <cell r="I4229">
            <v>0.1925</v>
          </cell>
          <cell r="O4229">
            <v>1913.19</v>
          </cell>
          <cell r="R4229">
            <v>0</v>
          </cell>
          <cell r="X4229">
            <v>0</v>
          </cell>
          <cell r="Y4229">
            <v>0</v>
          </cell>
          <cell r="AK4229">
            <v>9724.69</v>
          </cell>
        </row>
        <row r="4230">
          <cell r="O4230">
            <v>7423.18</v>
          </cell>
          <cell r="R4230">
            <v>0</v>
          </cell>
          <cell r="X4230">
            <v>0</v>
          </cell>
          <cell r="Y4230">
            <v>0</v>
          </cell>
          <cell r="AW4230">
            <v>1.022</v>
          </cell>
          <cell r="BC4230">
            <v>3.88</v>
          </cell>
        </row>
        <row r="4231">
          <cell r="F4231" t="str">
            <v>3.70-2-1</v>
          </cell>
          <cell r="H4231" t="str">
            <v>100 м2</v>
          </cell>
          <cell r="I4231">
            <v>0.7</v>
          </cell>
          <cell r="P4231">
            <v>0.55000000000000004</v>
          </cell>
          <cell r="Q4231">
            <v>10.34</v>
          </cell>
          <cell r="R4231">
            <v>8.85</v>
          </cell>
          <cell r="S4231">
            <v>1442.03</v>
          </cell>
          <cell r="U4231">
            <v>86.211906479999968</v>
          </cell>
          <cell r="X4231">
            <v>1436.37</v>
          </cell>
          <cell r="Y4231">
            <v>856.02</v>
          </cell>
          <cell r="AL4231">
            <v>0.78</v>
          </cell>
          <cell r="AM4231">
            <v>9.41</v>
          </cell>
          <cell r="AN4231">
            <v>8.0500000000000007</v>
          </cell>
          <cell r="AO4231">
            <v>1425.77</v>
          </cell>
          <cell r="AQ4231">
            <v>85.24</v>
          </cell>
        </row>
        <row r="4232">
          <cell r="P4232">
            <v>4.25</v>
          </cell>
          <cell r="Q4232">
            <v>562.5</v>
          </cell>
          <cell r="R4232">
            <v>498.7</v>
          </cell>
          <cell r="S4232">
            <v>81258.39</v>
          </cell>
          <cell r="X4232">
            <v>80939.520000000004</v>
          </cell>
          <cell r="Y4232">
            <v>48236.68</v>
          </cell>
          <cell r="AT4232">
            <v>99</v>
          </cell>
          <cell r="AU4232">
            <v>59</v>
          </cell>
          <cell r="AV4232">
            <v>1.0469999999999999</v>
          </cell>
          <cell r="AW4232">
            <v>1</v>
          </cell>
          <cell r="BA4232">
            <v>56.35</v>
          </cell>
          <cell r="BB4232">
            <v>54.4</v>
          </cell>
          <cell r="BC4232">
            <v>7.73</v>
          </cell>
          <cell r="BS4232">
            <v>56.35</v>
          </cell>
          <cell r="BZ4232">
            <v>99</v>
          </cell>
          <cell r="CA4232">
            <v>59</v>
          </cell>
        </row>
        <row r="4233">
          <cell r="F4233" t="str">
            <v>1.3-2-97</v>
          </cell>
          <cell r="H4233" t="str">
            <v>кг</v>
          </cell>
          <cell r="I4233">
            <v>218.39999999999998</v>
          </cell>
          <cell r="O4233">
            <v>2708.16</v>
          </cell>
          <cell r="R4233">
            <v>0</v>
          </cell>
          <cell r="X4233">
            <v>0</v>
          </cell>
          <cell r="Y4233">
            <v>0</v>
          </cell>
          <cell r="AK4233">
            <v>12.4</v>
          </cell>
        </row>
        <row r="4234">
          <cell r="O4234">
            <v>12809.6</v>
          </cell>
          <cell r="R4234">
            <v>0</v>
          </cell>
          <cell r="X4234">
            <v>0</v>
          </cell>
          <cell r="Y4234">
            <v>0</v>
          </cell>
          <cell r="AW4234">
            <v>1</v>
          </cell>
          <cell r="BC4234">
            <v>4.7300000000000004</v>
          </cell>
        </row>
        <row r="4235">
          <cell r="F4235" t="str">
            <v>3.70-198-6</v>
          </cell>
          <cell r="H4235" t="str">
            <v>100 м2</v>
          </cell>
          <cell r="I4235">
            <v>0.7</v>
          </cell>
          <cell r="P4235">
            <v>5.04</v>
          </cell>
          <cell r="Q4235">
            <v>85.18</v>
          </cell>
          <cell r="R4235">
            <v>14.98</v>
          </cell>
          <cell r="S4235">
            <v>1024.5999999999999</v>
          </cell>
          <cell r="U4235">
            <v>62.302363199999981</v>
          </cell>
          <cell r="X4235">
            <v>1049.98</v>
          </cell>
          <cell r="Y4235">
            <v>571.77</v>
          </cell>
          <cell r="AL4235">
            <v>7.2</v>
          </cell>
          <cell r="AM4235">
            <v>77.48</v>
          </cell>
          <cell r="AN4235">
            <v>13.63</v>
          </cell>
          <cell r="AO4235">
            <v>1013.05</v>
          </cell>
          <cell r="AQ4235">
            <v>61.6</v>
          </cell>
        </row>
        <row r="4236">
          <cell r="P4236">
            <v>25.55</v>
          </cell>
          <cell r="Q4236">
            <v>1610.75</v>
          </cell>
          <cell r="R4236">
            <v>844.12</v>
          </cell>
          <cell r="S4236">
            <v>57736.21</v>
          </cell>
          <cell r="X4236">
            <v>59166.13</v>
          </cell>
          <cell r="Y4236">
            <v>32219.18</v>
          </cell>
          <cell r="AT4236">
            <v>101</v>
          </cell>
          <cell r="AU4236">
            <v>55</v>
          </cell>
          <cell r="AV4236">
            <v>1.0469999999999999</v>
          </cell>
          <cell r="AW4236">
            <v>1</v>
          </cell>
          <cell r="BA4236">
            <v>56.35</v>
          </cell>
          <cell r="BB4236">
            <v>18.91</v>
          </cell>
          <cell r="BC4236">
            <v>5.07</v>
          </cell>
          <cell r="BS4236">
            <v>56.35</v>
          </cell>
          <cell r="BZ4236">
            <v>101</v>
          </cell>
          <cell r="CA4236">
            <v>55</v>
          </cell>
        </row>
        <row r="4237">
          <cell r="F4237" t="str">
            <v>1.1-1-8205</v>
          </cell>
          <cell r="H4237" t="str">
            <v>100 шт.</v>
          </cell>
          <cell r="I4237">
            <v>8.1129999999999995</v>
          </cell>
          <cell r="O4237">
            <v>34.56</v>
          </cell>
          <cell r="R4237">
            <v>0</v>
          </cell>
          <cell r="X4237">
            <v>0</v>
          </cell>
          <cell r="Y4237">
            <v>0</v>
          </cell>
          <cell r="AK4237">
            <v>4.26</v>
          </cell>
        </row>
        <row r="4238">
          <cell r="O4238">
            <v>345.25</v>
          </cell>
          <cell r="R4238">
            <v>0</v>
          </cell>
          <cell r="X4238">
            <v>0</v>
          </cell>
          <cell r="Y4238">
            <v>0</v>
          </cell>
          <cell r="AW4238">
            <v>1</v>
          </cell>
          <cell r="BC4238">
            <v>9.99</v>
          </cell>
        </row>
        <row r="4239">
          <cell r="F4239" t="str">
            <v>1.1-1-3257</v>
          </cell>
          <cell r="H4239" t="str">
            <v>кг</v>
          </cell>
          <cell r="I4239">
            <v>9.8000000000000007</v>
          </cell>
          <cell r="O4239">
            <v>169.54</v>
          </cell>
          <cell r="R4239">
            <v>0</v>
          </cell>
          <cell r="X4239">
            <v>0</v>
          </cell>
          <cell r="Y4239">
            <v>0</v>
          </cell>
          <cell r="AK4239">
            <v>17.3</v>
          </cell>
        </row>
        <row r="4240">
          <cell r="O4240">
            <v>1005.37</v>
          </cell>
          <cell r="R4240">
            <v>0</v>
          </cell>
          <cell r="X4240">
            <v>0</v>
          </cell>
          <cell r="Y4240">
            <v>0</v>
          </cell>
          <cell r="AW4240">
            <v>1</v>
          </cell>
          <cell r="BC4240">
            <v>5.93</v>
          </cell>
        </row>
        <row r="4241">
          <cell r="F4241" t="str">
            <v>1.3-2-50</v>
          </cell>
          <cell r="H4241" t="str">
            <v>т</v>
          </cell>
          <cell r="I4241">
            <v>2.7999999999999997E-2</v>
          </cell>
          <cell r="O4241">
            <v>167.39</v>
          </cell>
          <cell r="R4241">
            <v>0</v>
          </cell>
          <cell r="X4241">
            <v>0</v>
          </cell>
          <cell r="Y4241">
            <v>0</v>
          </cell>
          <cell r="AK4241">
            <v>5978.05</v>
          </cell>
        </row>
        <row r="4242">
          <cell r="O4242">
            <v>2562.7399999999998</v>
          </cell>
          <cell r="R4242">
            <v>0</v>
          </cell>
          <cell r="X4242">
            <v>0</v>
          </cell>
          <cell r="Y4242">
            <v>0</v>
          </cell>
          <cell r="AW4242">
            <v>1</v>
          </cell>
          <cell r="BC4242">
            <v>15.31</v>
          </cell>
        </row>
        <row r="4243">
          <cell r="F4243" t="str">
            <v>1.3-2-35</v>
          </cell>
          <cell r="H4243" t="str">
            <v>т</v>
          </cell>
          <cell r="I4243">
            <v>0.50451800000000002</v>
          </cell>
          <cell r="O4243">
            <v>842.39</v>
          </cell>
          <cell r="R4243">
            <v>0</v>
          </cell>
          <cell r="X4243">
            <v>0</v>
          </cell>
          <cell r="Y4243">
            <v>0</v>
          </cell>
          <cell r="AK4243">
            <v>1669.7</v>
          </cell>
        </row>
        <row r="4244">
          <cell r="O4244">
            <v>6739.12</v>
          </cell>
          <cell r="R4244">
            <v>0</v>
          </cell>
          <cell r="X4244">
            <v>0</v>
          </cell>
          <cell r="Y4244">
            <v>0</v>
          </cell>
          <cell r="AW4244">
            <v>1</v>
          </cell>
          <cell r="BC4244">
            <v>8</v>
          </cell>
        </row>
        <row r="4245">
          <cell r="F4245" t="str">
            <v>1.1-1-3225</v>
          </cell>
          <cell r="H4245" t="str">
            <v>м2</v>
          </cell>
          <cell r="I4245">
            <v>75.599999999999994</v>
          </cell>
          <cell r="O4245">
            <v>9417.49</v>
          </cell>
          <cell r="R4245">
            <v>0</v>
          </cell>
          <cell r="X4245">
            <v>0</v>
          </cell>
          <cell r="Y4245">
            <v>0</v>
          </cell>
          <cell r="AK4245">
            <v>124.57</v>
          </cell>
        </row>
        <row r="4246">
          <cell r="O4246">
            <v>62437.96</v>
          </cell>
          <cell r="R4246">
            <v>0</v>
          </cell>
          <cell r="X4246">
            <v>0</v>
          </cell>
          <cell r="Y4246">
            <v>0</v>
          </cell>
          <cell r="AW4246">
            <v>1</v>
          </cell>
          <cell r="BC4246">
            <v>6.63</v>
          </cell>
        </row>
        <row r="4248">
          <cell r="G4248" t="str">
            <v>Третий  этаж. Керамогранит 600х600 мм</v>
          </cell>
        </row>
        <row r="4278">
          <cell r="G4278" t="str">
            <v>Четвертый  этаж. Кварц-виниловая дизайн-плитка 500х500 мм</v>
          </cell>
        </row>
        <row r="4282">
          <cell r="F4282" t="str">
            <v>3.70-159-1</v>
          </cell>
          <cell r="H4282" t="str">
            <v>100 м2 стяжки</v>
          </cell>
          <cell r="I4282">
            <v>7.18</v>
          </cell>
          <cell r="P4282">
            <v>177.71</v>
          </cell>
          <cell r="Q4282">
            <v>20.3</v>
          </cell>
          <cell r="R4282">
            <v>0</v>
          </cell>
          <cell r="S4282">
            <v>3376.25</v>
          </cell>
          <cell r="U4282">
            <v>242.02763168399994</v>
          </cell>
          <cell r="X4282">
            <v>3410.01</v>
          </cell>
          <cell r="Y4282">
            <v>1856.94</v>
          </cell>
          <cell r="AL4282">
            <v>24.75</v>
          </cell>
          <cell r="AM4282">
            <v>1.8</v>
          </cell>
          <cell r="AO4282">
            <v>325.45</v>
          </cell>
          <cell r="AQ4282">
            <v>23.33</v>
          </cell>
        </row>
        <row r="4283">
          <cell r="P4283">
            <v>1377.25</v>
          </cell>
          <cell r="Q4283">
            <v>237.31</v>
          </cell>
          <cell r="R4283">
            <v>0</v>
          </cell>
          <cell r="S4283">
            <v>190251.69</v>
          </cell>
          <cell r="X4283">
            <v>192154.21</v>
          </cell>
          <cell r="Y4283">
            <v>104638.43</v>
          </cell>
          <cell r="AT4283">
            <v>101</v>
          </cell>
          <cell r="AU4283">
            <v>55</v>
          </cell>
          <cell r="AV4283">
            <v>1.0469999999999999</v>
          </cell>
          <cell r="AW4283">
            <v>1</v>
          </cell>
          <cell r="BA4283">
            <v>56.35</v>
          </cell>
          <cell r="BB4283">
            <v>11.69</v>
          </cell>
          <cell r="BC4283">
            <v>7.75</v>
          </cell>
          <cell r="BZ4283">
            <v>101</v>
          </cell>
          <cell r="CA4283">
            <v>55</v>
          </cell>
        </row>
        <row r="4284">
          <cell r="F4284" t="str">
            <v>1.3-2-7</v>
          </cell>
          <cell r="H4284" t="str">
            <v>м3</v>
          </cell>
          <cell r="I4284">
            <v>14.6472</v>
          </cell>
          <cell r="O4284">
            <v>7440.34</v>
          </cell>
          <cell r="R4284">
            <v>0</v>
          </cell>
          <cell r="X4284">
            <v>0</v>
          </cell>
          <cell r="Y4284">
            <v>0</v>
          </cell>
          <cell r="AK4284">
            <v>507.97</v>
          </cell>
        </row>
        <row r="4285">
          <cell r="O4285">
            <v>81694.929999999993</v>
          </cell>
          <cell r="R4285">
            <v>0</v>
          </cell>
          <cell r="X4285">
            <v>0</v>
          </cell>
          <cell r="Y4285">
            <v>0</v>
          </cell>
          <cell r="AW4285">
            <v>1</v>
          </cell>
          <cell r="BC4285">
            <v>10.98</v>
          </cell>
        </row>
        <row r="4286">
          <cell r="F4286" t="str">
            <v>3.70-159-2</v>
          </cell>
          <cell r="H4286" t="str">
            <v>100 м2 стяжки</v>
          </cell>
          <cell r="I4286">
            <v>7.18</v>
          </cell>
          <cell r="Q4286">
            <v>44.61</v>
          </cell>
          <cell r="R4286">
            <v>0</v>
          </cell>
          <cell r="S4286">
            <v>537.98</v>
          </cell>
          <cell r="U4286">
            <v>39.255574723199992</v>
          </cell>
          <cell r="X4286">
            <v>543.36</v>
          </cell>
          <cell r="Y4286">
            <v>295.89</v>
          </cell>
          <cell r="AM4286">
            <v>0.46</v>
          </cell>
          <cell r="AO4286">
            <v>6.03</v>
          </cell>
          <cell r="AQ4286">
            <v>0.44</v>
          </cell>
        </row>
        <row r="4287">
          <cell r="Q4287">
            <v>521.94000000000005</v>
          </cell>
          <cell r="R4287">
            <v>0</v>
          </cell>
          <cell r="S4287">
            <v>30315.17</v>
          </cell>
          <cell r="X4287">
            <v>30618.32</v>
          </cell>
          <cell r="Y4287">
            <v>16673.34</v>
          </cell>
          <cell r="AT4287">
            <v>101</v>
          </cell>
          <cell r="AU4287">
            <v>55</v>
          </cell>
          <cell r="AV4287">
            <v>1.0469999999999999</v>
          </cell>
          <cell r="BA4287">
            <v>56.35</v>
          </cell>
          <cell r="BB4287">
            <v>11.7</v>
          </cell>
          <cell r="BZ4287">
            <v>101</v>
          </cell>
          <cell r="CA4287">
            <v>55</v>
          </cell>
        </row>
        <row r="4288">
          <cell r="F4288" t="str">
            <v>1.3-2-7</v>
          </cell>
          <cell r="H4288" t="str">
            <v>м3</v>
          </cell>
          <cell r="I4288">
            <v>31.491479999999999</v>
          </cell>
          <cell r="O4288">
            <v>15996.73</v>
          </cell>
          <cell r="R4288">
            <v>0</v>
          </cell>
          <cell r="X4288">
            <v>0</v>
          </cell>
          <cell r="Y4288">
            <v>0</v>
          </cell>
          <cell r="AK4288">
            <v>507.97</v>
          </cell>
        </row>
        <row r="4289">
          <cell r="O4289">
            <v>175644.1</v>
          </cell>
          <cell r="R4289">
            <v>0</v>
          </cell>
          <cell r="X4289">
            <v>0</v>
          </cell>
          <cell r="Y4289">
            <v>0</v>
          </cell>
          <cell r="AW4289">
            <v>1</v>
          </cell>
          <cell r="BC4289">
            <v>10.98</v>
          </cell>
        </row>
        <row r="4290">
          <cell r="F4290" t="str">
            <v>3.70-43-6</v>
          </cell>
          <cell r="H4290" t="str">
            <v>1 Т</v>
          </cell>
          <cell r="I4290">
            <v>1.9744999999999999</v>
          </cell>
          <cell r="P4290">
            <v>521.98</v>
          </cell>
          <cell r="Q4290">
            <v>134.88999999999999</v>
          </cell>
          <cell r="R4290">
            <v>15.69</v>
          </cell>
          <cell r="S4290">
            <v>514.86</v>
          </cell>
          <cell r="U4290">
            <v>33.093362411999983</v>
          </cell>
          <cell r="X4290">
            <v>488.11</v>
          </cell>
          <cell r="Y4290">
            <v>259.97000000000003</v>
          </cell>
          <cell r="AL4290">
            <v>258.67</v>
          </cell>
          <cell r="AM4290">
            <v>43.5</v>
          </cell>
          <cell r="AN4290">
            <v>5.0599999999999996</v>
          </cell>
          <cell r="AO4290">
            <v>180.47</v>
          </cell>
          <cell r="AQ4290">
            <v>11.6</v>
          </cell>
        </row>
        <row r="4291">
          <cell r="P4291">
            <v>3914.85</v>
          </cell>
          <cell r="Q4291">
            <v>2082.6999999999998</v>
          </cell>
          <cell r="R4291">
            <v>884.13</v>
          </cell>
          <cell r="S4291">
            <v>29012.36</v>
          </cell>
          <cell r="X4291">
            <v>27504.77</v>
          </cell>
          <cell r="Y4291">
            <v>14649.28</v>
          </cell>
          <cell r="AT4291">
            <v>92</v>
          </cell>
          <cell r="AU4291">
            <v>49</v>
          </cell>
          <cell r="AV4291">
            <v>1.0469999999999999</v>
          </cell>
          <cell r="AW4291">
            <v>1.022</v>
          </cell>
          <cell r="BA4291">
            <v>56.35</v>
          </cell>
          <cell r="BB4291">
            <v>15.44</v>
          </cell>
          <cell r="BC4291">
            <v>7.5</v>
          </cell>
          <cell r="BS4291">
            <v>56.35</v>
          </cell>
          <cell r="BZ4291">
            <v>92</v>
          </cell>
          <cell r="CA4291">
            <v>49</v>
          </cell>
        </row>
        <row r="4292">
          <cell r="F4292" t="str">
            <v>1.3-4-75</v>
          </cell>
          <cell r="H4292" t="str">
            <v>т</v>
          </cell>
          <cell r="I4292">
            <v>1.9744999999999999</v>
          </cell>
          <cell r="O4292">
            <v>19623.830000000002</v>
          </cell>
          <cell r="R4292">
            <v>0</v>
          </cell>
          <cell r="X4292">
            <v>0</v>
          </cell>
          <cell r="Y4292">
            <v>0</v>
          </cell>
          <cell r="AK4292">
            <v>9724.69</v>
          </cell>
        </row>
        <row r="4293">
          <cell r="O4293">
            <v>76140.460000000006</v>
          </cell>
          <cell r="R4293">
            <v>0</v>
          </cell>
          <cell r="X4293">
            <v>0</v>
          </cell>
          <cell r="Y4293">
            <v>0</v>
          </cell>
          <cell r="AW4293">
            <v>1.022</v>
          </cell>
          <cell r="BC4293">
            <v>3.88</v>
          </cell>
        </row>
        <row r="4294">
          <cell r="F4294" t="str">
            <v>3.70-202-1</v>
          </cell>
          <cell r="H4294" t="str">
            <v>100 м2 покрытия</v>
          </cell>
          <cell r="I4294">
            <v>7.18</v>
          </cell>
          <cell r="P4294">
            <v>5.82</v>
          </cell>
          <cell r="Q4294">
            <v>627.86</v>
          </cell>
          <cell r="R4294">
            <v>95.4</v>
          </cell>
          <cell r="S4294">
            <v>6319.28</v>
          </cell>
          <cell r="U4294">
            <v>396.29042135999998</v>
          </cell>
          <cell r="X4294">
            <v>6478.83</v>
          </cell>
          <cell r="Y4294">
            <v>3528.07</v>
          </cell>
          <cell r="AL4294">
            <v>0.81</v>
          </cell>
          <cell r="AM4294">
            <v>55.68</v>
          </cell>
          <cell r="AN4294">
            <v>8.4600000000000009</v>
          </cell>
          <cell r="AO4294">
            <v>609.14</v>
          </cell>
          <cell r="AQ4294">
            <v>38.200000000000003</v>
          </cell>
        </row>
        <row r="4295">
          <cell r="P4295">
            <v>84.8</v>
          </cell>
          <cell r="Q4295">
            <v>10717.57</v>
          </cell>
          <cell r="R4295">
            <v>5375.79</v>
          </cell>
          <cell r="S4295">
            <v>356091.43</v>
          </cell>
          <cell r="X4295">
            <v>365081.89</v>
          </cell>
          <cell r="Y4295">
            <v>198806.97</v>
          </cell>
          <cell r="AT4295">
            <v>101</v>
          </cell>
          <cell r="AU4295">
            <v>55</v>
          </cell>
          <cell r="AV4295">
            <v>1.0469999999999999</v>
          </cell>
          <cell r="AW4295">
            <v>1</v>
          </cell>
          <cell r="BA4295">
            <v>56.35</v>
          </cell>
          <cell r="BB4295">
            <v>17.07</v>
          </cell>
          <cell r="BC4295">
            <v>14.57</v>
          </cell>
          <cell r="BS4295">
            <v>56.35</v>
          </cell>
          <cell r="BZ4295">
            <v>101</v>
          </cell>
          <cell r="CA4295">
            <v>55</v>
          </cell>
        </row>
        <row r="4296">
          <cell r="F4296" t="str">
            <v>1.1-1-389</v>
          </cell>
          <cell r="H4296" t="str">
            <v>т</v>
          </cell>
          <cell r="I4296">
            <v>0.35899999999999999</v>
          </cell>
          <cell r="O4296">
            <v>15550.02</v>
          </cell>
          <cell r="R4296">
            <v>0</v>
          </cell>
          <cell r="X4296">
            <v>0</v>
          </cell>
          <cell r="Y4296">
            <v>0</v>
          </cell>
          <cell r="AK4296">
            <v>43314.81</v>
          </cell>
        </row>
        <row r="4297">
          <cell r="O4297">
            <v>32810.54</v>
          </cell>
          <cell r="R4297">
            <v>0</v>
          </cell>
          <cell r="X4297">
            <v>0</v>
          </cell>
          <cell r="Y4297">
            <v>0</v>
          </cell>
          <cell r="AW4297">
            <v>1</v>
          </cell>
          <cell r="BC4297">
            <v>2.11</v>
          </cell>
        </row>
        <row r="4298">
          <cell r="F4298" t="str">
            <v>КА-188</v>
          </cell>
          <cell r="H4298" t="str">
            <v>м2</v>
          </cell>
          <cell r="I4298">
            <v>768.26</v>
          </cell>
          <cell r="O4298">
            <v>154251.24</v>
          </cell>
          <cell r="R4298">
            <v>0</v>
          </cell>
          <cell r="X4298">
            <v>0</v>
          </cell>
          <cell r="Y4298">
            <v>0</v>
          </cell>
          <cell r="AK4298">
            <v>200.78</v>
          </cell>
        </row>
        <row r="4299">
          <cell r="O4299">
            <v>1517832.2</v>
          </cell>
          <cell r="R4299">
            <v>0</v>
          </cell>
          <cell r="X4299">
            <v>0</v>
          </cell>
          <cell r="Y4299">
            <v>0</v>
          </cell>
          <cell r="AW4299">
            <v>1</v>
          </cell>
          <cell r="BC4299">
            <v>9.84</v>
          </cell>
        </row>
        <row r="4301">
          <cell r="G4301" t="str">
            <v>Четвертый  этаж. Кварц-виниловая дизайн-плитка 500х500 мм</v>
          </cell>
        </row>
        <row r="4331">
          <cell r="G4331" t="str">
            <v>Четвертый  этаж. Керамогранит 600х600 мм</v>
          </cell>
        </row>
        <row r="4335">
          <cell r="F4335" t="str">
            <v>3.70-159-1</v>
          </cell>
          <cell r="H4335" t="str">
            <v>100 м2 стяжки</v>
          </cell>
          <cell r="I4335">
            <v>0.45</v>
          </cell>
          <cell r="P4335">
            <v>11.14</v>
          </cell>
          <cell r="Q4335">
            <v>1.27</v>
          </cell>
          <cell r="R4335">
            <v>0</v>
          </cell>
          <cell r="S4335">
            <v>211.6</v>
          </cell>
          <cell r="U4335">
            <v>15.168862709999997</v>
          </cell>
          <cell r="X4335">
            <v>213.72</v>
          </cell>
          <cell r="Y4335">
            <v>116.38</v>
          </cell>
          <cell r="AL4335">
            <v>24.75</v>
          </cell>
          <cell r="AM4335">
            <v>1.8</v>
          </cell>
          <cell r="AO4335">
            <v>325.45</v>
          </cell>
          <cell r="AQ4335">
            <v>23.33</v>
          </cell>
        </row>
        <row r="4336">
          <cell r="P4336">
            <v>86.34</v>
          </cell>
          <cell r="Q4336">
            <v>14.85</v>
          </cell>
          <cell r="R4336">
            <v>0</v>
          </cell>
          <cell r="S4336">
            <v>11923.66</v>
          </cell>
          <cell r="X4336">
            <v>12042.9</v>
          </cell>
          <cell r="Y4336">
            <v>6558.01</v>
          </cell>
          <cell r="AT4336">
            <v>101</v>
          </cell>
          <cell r="AU4336">
            <v>55</v>
          </cell>
          <cell r="AV4336">
            <v>1.0469999999999999</v>
          </cell>
          <cell r="AW4336">
            <v>1</v>
          </cell>
          <cell r="BA4336">
            <v>56.35</v>
          </cell>
          <cell r="BB4336">
            <v>11.69</v>
          </cell>
          <cell r="BC4336">
            <v>7.75</v>
          </cell>
          <cell r="BZ4336">
            <v>101</v>
          </cell>
          <cell r="CA4336">
            <v>55</v>
          </cell>
        </row>
        <row r="4337">
          <cell r="F4337" t="str">
            <v>1.3-2-7</v>
          </cell>
          <cell r="H4337" t="str">
            <v>м3</v>
          </cell>
          <cell r="I4337">
            <v>0.91800000000000004</v>
          </cell>
          <cell r="O4337">
            <v>466.32</v>
          </cell>
          <cell r="R4337">
            <v>0</v>
          </cell>
          <cell r="X4337">
            <v>0</v>
          </cell>
          <cell r="Y4337">
            <v>0</v>
          </cell>
          <cell r="AK4337">
            <v>507.97</v>
          </cell>
        </row>
        <row r="4338">
          <cell r="O4338">
            <v>5120.1899999999996</v>
          </cell>
          <cell r="R4338">
            <v>0</v>
          </cell>
          <cell r="X4338">
            <v>0</v>
          </cell>
          <cell r="Y4338">
            <v>0</v>
          </cell>
          <cell r="AW4338">
            <v>1</v>
          </cell>
          <cell r="BC4338">
            <v>10.98</v>
          </cell>
        </row>
        <row r="4339">
          <cell r="F4339" t="str">
            <v>3.70-159-2</v>
          </cell>
          <cell r="H4339" t="str">
            <v>100 м2 стяжки</v>
          </cell>
          <cell r="I4339">
            <v>0.45</v>
          </cell>
          <cell r="Q4339">
            <v>2.6</v>
          </cell>
          <cell r="R4339">
            <v>0</v>
          </cell>
          <cell r="S4339">
            <v>31.37</v>
          </cell>
          <cell r="U4339">
            <v>2.2886582399999997</v>
          </cell>
          <cell r="X4339">
            <v>31.68</v>
          </cell>
          <cell r="Y4339">
            <v>17.25</v>
          </cell>
          <cell r="AM4339">
            <v>0.46</v>
          </cell>
          <cell r="AO4339">
            <v>6.03</v>
          </cell>
          <cell r="AQ4339">
            <v>0.44</v>
          </cell>
        </row>
        <row r="4340">
          <cell r="Q4340">
            <v>30.42</v>
          </cell>
          <cell r="R4340">
            <v>0</v>
          </cell>
          <cell r="S4340">
            <v>1767.7</v>
          </cell>
          <cell r="X4340">
            <v>1785.38</v>
          </cell>
          <cell r="Y4340">
            <v>972.24</v>
          </cell>
          <cell r="AT4340">
            <v>101</v>
          </cell>
          <cell r="AU4340">
            <v>55</v>
          </cell>
          <cell r="AV4340">
            <v>1.0469999999999999</v>
          </cell>
          <cell r="BA4340">
            <v>56.35</v>
          </cell>
          <cell r="BB4340">
            <v>11.7</v>
          </cell>
          <cell r="BZ4340">
            <v>101</v>
          </cell>
          <cell r="CA4340">
            <v>55</v>
          </cell>
        </row>
        <row r="4341">
          <cell r="F4341" t="str">
            <v>1.3-2-7</v>
          </cell>
          <cell r="H4341" t="str">
            <v>м3</v>
          </cell>
          <cell r="I4341">
            <v>1.8360000000000001</v>
          </cell>
          <cell r="O4341">
            <v>932.63</v>
          </cell>
          <cell r="R4341">
            <v>0</v>
          </cell>
          <cell r="X4341">
            <v>0</v>
          </cell>
          <cell r="Y4341">
            <v>0</v>
          </cell>
          <cell r="AK4341">
            <v>507.97</v>
          </cell>
        </row>
        <row r="4342">
          <cell r="O4342">
            <v>10240.280000000001</v>
          </cell>
          <cell r="R4342">
            <v>0</v>
          </cell>
          <cell r="X4342">
            <v>0</v>
          </cell>
          <cell r="Y4342">
            <v>0</v>
          </cell>
          <cell r="AW4342">
            <v>1</v>
          </cell>
          <cell r="BC4342">
            <v>10.98</v>
          </cell>
        </row>
        <row r="4343">
          <cell r="F4343" t="str">
            <v>3.70-43-6</v>
          </cell>
          <cell r="H4343" t="str">
            <v>1 Т</v>
          </cell>
          <cell r="I4343">
            <v>0.12375</v>
          </cell>
          <cell r="P4343">
            <v>32.71</v>
          </cell>
          <cell r="Q4343">
            <v>8.4499999999999993</v>
          </cell>
          <cell r="R4343">
            <v>0.98</v>
          </cell>
          <cell r="S4343">
            <v>32.270000000000003</v>
          </cell>
          <cell r="U4343">
            <v>2.0740965299999994</v>
          </cell>
          <cell r="X4343">
            <v>30.59</v>
          </cell>
          <cell r="Y4343">
            <v>16.29</v>
          </cell>
          <cell r="AL4343">
            <v>258.67</v>
          </cell>
          <cell r="AM4343">
            <v>43.5</v>
          </cell>
          <cell r="AN4343">
            <v>5.0599999999999996</v>
          </cell>
          <cell r="AO4343">
            <v>180.47</v>
          </cell>
          <cell r="AQ4343">
            <v>11.6</v>
          </cell>
        </row>
        <row r="4344">
          <cell r="P4344">
            <v>245.33</v>
          </cell>
          <cell r="Q4344">
            <v>130.47</v>
          </cell>
          <cell r="R4344">
            <v>55.22</v>
          </cell>
          <cell r="S4344">
            <v>1818.41</v>
          </cell>
          <cell r="X4344">
            <v>1723.74</v>
          </cell>
          <cell r="Y4344">
            <v>918.08</v>
          </cell>
          <cell r="AT4344">
            <v>92</v>
          </cell>
          <cell r="AU4344">
            <v>49</v>
          </cell>
          <cell r="AV4344">
            <v>1.0469999999999999</v>
          </cell>
          <cell r="AW4344">
            <v>1.022</v>
          </cell>
          <cell r="BA4344">
            <v>56.35</v>
          </cell>
          <cell r="BB4344">
            <v>15.44</v>
          </cell>
          <cell r="BC4344">
            <v>7.5</v>
          </cell>
          <cell r="BS4344">
            <v>56.35</v>
          </cell>
          <cell r="BZ4344">
            <v>92</v>
          </cell>
          <cell r="CA4344">
            <v>49</v>
          </cell>
        </row>
        <row r="4345">
          <cell r="F4345" t="str">
            <v>1.3-4-75</v>
          </cell>
          <cell r="H4345" t="str">
            <v>т</v>
          </cell>
          <cell r="I4345">
            <v>0.12375</v>
          </cell>
          <cell r="O4345">
            <v>1229.9100000000001</v>
          </cell>
          <cell r="R4345">
            <v>0</v>
          </cell>
          <cell r="X4345">
            <v>0</v>
          </cell>
          <cell r="Y4345">
            <v>0</v>
          </cell>
          <cell r="AK4345">
            <v>9724.69</v>
          </cell>
        </row>
        <row r="4346">
          <cell r="O4346">
            <v>4772.05</v>
          </cell>
          <cell r="R4346">
            <v>0</v>
          </cell>
          <cell r="X4346">
            <v>0</v>
          </cell>
          <cell r="Y4346">
            <v>0</v>
          </cell>
          <cell r="AW4346">
            <v>1.022</v>
          </cell>
          <cell r="BC4346">
            <v>3.88</v>
          </cell>
        </row>
        <row r="4347">
          <cell r="F4347" t="str">
            <v>3.70-2-1</v>
          </cell>
          <cell r="H4347" t="str">
            <v>100 м2</v>
          </cell>
          <cell r="I4347">
            <v>0.45</v>
          </cell>
          <cell r="P4347">
            <v>0.35</v>
          </cell>
          <cell r="Q4347">
            <v>6.65</v>
          </cell>
          <cell r="R4347">
            <v>5.69</v>
          </cell>
          <cell r="S4347">
            <v>927.02</v>
          </cell>
          <cell r="U4347">
            <v>55.421939879999989</v>
          </cell>
          <cell r="X4347">
            <v>923.38</v>
          </cell>
          <cell r="Y4347">
            <v>550.29999999999995</v>
          </cell>
          <cell r="AL4347">
            <v>0.78</v>
          </cell>
          <cell r="AM4347">
            <v>9.41</v>
          </cell>
          <cell r="AN4347">
            <v>8.0500000000000007</v>
          </cell>
          <cell r="AO4347">
            <v>1425.77</v>
          </cell>
          <cell r="AQ4347">
            <v>85.24</v>
          </cell>
        </row>
        <row r="4348">
          <cell r="P4348">
            <v>2.71</v>
          </cell>
          <cell r="Q4348">
            <v>361.76</v>
          </cell>
          <cell r="R4348">
            <v>320.63</v>
          </cell>
          <cell r="S4348">
            <v>52237.58</v>
          </cell>
          <cell r="X4348">
            <v>52032.63</v>
          </cell>
          <cell r="Y4348">
            <v>31009.34</v>
          </cell>
          <cell r="AT4348">
            <v>99</v>
          </cell>
          <cell r="AU4348">
            <v>59</v>
          </cell>
          <cell r="AV4348">
            <v>1.0469999999999999</v>
          </cell>
          <cell r="AW4348">
            <v>1</v>
          </cell>
          <cell r="BA4348">
            <v>56.35</v>
          </cell>
          <cell r="BB4348">
            <v>54.4</v>
          </cell>
          <cell r="BC4348">
            <v>7.73</v>
          </cell>
          <cell r="BS4348">
            <v>56.35</v>
          </cell>
          <cell r="BZ4348">
            <v>99</v>
          </cell>
          <cell r="CA4348">
            <v>59</v>
          </cell>
        </row>
        <row r="4349">
          <cell r="F4349" t="str">
            <v>1.3-2-97</v>
          </cell>
          <cell r="H4349" t="str">
            <v>кг</v>
          </cell>
          <cell r="I4349">
            <v>140.4</v>
          </cell>
          <cell r="O4349">
            <v>1740.96</v>
          </cell>
          <cell r="R4349">
            <v>0</v>
          </cell>
          <cell r="X4349">
            <v>0</v>
          </cell>
          <cell r="Y4349">
            <v>0</v>
          </cell>
          <cell r="AK4349">
            <v>12.4</v>
          </cell>
        </row>
        <row r="4350">
          <cell r="O4350">
            <v>8234.74</v>
          </cell>
          <cell r="R4350">
            <v>0</v>
          </cell>
          <cell r="X4350">
            <v>0</v>
          </cell>
          <cell r="Y4350">
            <v>0</v>
          </cell>
          <cell r="AW4350">
            <v>1</v>
          </cell>
          <cell r="BC4350">
            <v>4.7300000000000004</v>
          </cell>
        </row>
        <row r="4351">
          <cell r="F4351" t="str">
            <v>3.70-198-6</v>
          </cell>
          <cell r="H4351" t="str">
            <v>100 м2</v>
          </cell>
          <cell r="I4351">
            <v>0.45</v>
          </cell>
          <cell r="P4351">
            <v>3.24</v>
          </cell>
          <cell r="Q4351">
            <v>54.76</v>
          </cell>
          <cell r="R4351">
            <v>9.6300000000000008</v>
          </cell>
          <cell r="S4351">
            <v>658.67</v>
          </cell>
          <cell r="U4351">
            <v>40.051519199999987</v>
          </cell>
          <cell r="X4351">
            <v>674.98</v>
          </cell>
          <cell r="Y4351">
            <v>367.57</v>
          </cell>
          <cell r="AL4351">
            <v>7.2</v>
          </cell>
          <cell r="AM4351">
            <v>77.48</v>
          </cell>
          <cell r="AN4351">
            <v>13.63</v>
          </cell>
          <cell r="AO4351">
            <v>1013.05</v>
          </cell>
          <cell r="AQ4351">
            <v>61.6</v>
          </cell>
        </row>
        <row r="4352">
          <cell r="P4352">
            <v>16.43</v>
          </cell>
          <cell r="Q4352">
            <v>1035.51</v>
          </cell>
          <cell r="R4352">
            <v>542.65</v>
          </cell>
          <cell r="S4352">
            <v>37116.050000000003</v>
          </cell>
          <cell r="X4352">
            <v>38035.29</v>
          </cell>
          <cell r="Y4352">
            <v>20712.29</v>
          </cell>
          <cell r="AT4352">
            <v>101</v>
          </cell>
          <cell r="AU4352">
            <v>55</v>
          </cell>
          <cell r="AV4352">
            <v>1.0469999999999999</v>
          </cell>
          <cell r="AW4352">
            <v>1</v>
          </cell>
          <cell r="BA4352">
            <v>56.35</v>
          </cell>
          <cell r="BB4352">
            <v>18.91</v>
          </cell>
          <cell r="BC4352">
            <v>5.07</v>
          </cell>
          <cell r="BS4352">
            <v>56.35</v>
          </cell>
          <cell r="BZ4352">
            <v>101</v>
          </cell>
          <cell r="CA4352">
            <v>55</v>
          </cell>
        </row>
        <row r="4353">
          <cell r="F4353" t="str">
            <v>1.1-1-8205</v>
          </cell>
          <cell r="H4353" t="str">
            <v>100 шт.</v>
          </cell>
          <cell r="I4353">
            <v>5.2154999999999996</v>
          </cell>
          <cell r="O4353">
            <v>22.22</v>
          </cell>
          <cell r="R4353">
            <v>0</v>
          </cell>
          <cell r="X4353">
            <v>0</v>
          </cell>
          <cell r="Y4353">
            <v>0</v>
          </cell>
          <cell r="AK4353">
            <v>4.26</v>
          </cell>
        </row>
        <row r="4354">
          <cell r="O4354">
            <v>221.98</v>
          </cell>
          <cell r="R4354">
            <v>0</v>
          </cell>
          <cell r="X4354">
            <v>0</v>
          </cell>
          <cell r="Y4354">
            <v>0</v>
          </cell>
          <cell r="AW4354">
            <v>1</v>
          </cell>
          <cell r="BC4354">
            <v>9.99</v>
          </cell>
        </row>
        <row r="4355">
          <cell r="F4355" t="str">
            <v>1.1-1-3257</v>
          </cell>
          <cell r="H4355" t="str">
            <v>кг</v>
          </cell>
          <cell r="I4355">
            <v>6.3</v>
          </cell>
          <cell r="O4355">
            <v>108.99</v>
          </cell>
          <cell r="R4355">
            <v>0</v>
          </cell>
          <cell r="X4355">
            <v>0</v>
          </cell>
          <cell r="Y4355">
            <v>0</v>
          </cell>
          <cell r="AK4355">
            <v>17.3</v>
          </cell>
        </row>
        <row r="4356">
          <cell r="O4356">
            <v>646.30999999999995</v>
          </cell>
          <cell r="R4356">
            <v>0</v>
          </cell>
          <cell r="X4356">
            <v>0</v>
          </cell>
          <cell r="Y4356">
            <v>0</v>
          </cell>
          <cell r="AW4356">
            <v>1</v>
          </cell>
          <cell r="BC4356">
            <v>5.93</v>
          </cell>
        </row>
        <row r="4357">
          <cell r="F4357" t="str">
            <v>1.3-2-50</v>
          </cell>
          <cell r="H4357" t="str">
            <v>т</v>
          </cell>
          <cell r="I4357">
            <v>1.7999999999999999E-2</v>
          </cell>
          <cell r="O4357">
            <v>107.6</v>
          </cell>
          <cell r="R4357">
            <v>0</v>
          </cell>
          <cell r="X4357">
            <v>0</v>
          </cell>
          <cell r="Y4357">
            <v>0</v>
          </cell>
          <cell r="AK4357">
            <v>5978.05</v>
          </cell>
        </row>
        <row r="4358">
          <cell r="O4358">
            <v>1647.36</v>
          </cell>
          <cell r="R4358">
            <v>0</v>
          </cell>
          <cell r="X4358">
            <v>0</v>
          </cell>
          <cell r="Y4358">
            <v>0</v>
          </cell>
          <cell r="AW4358">
            <v>1</v>
          </cell>
          <cell r="BC4358">
            <v>15.31</v>
          </cell>
        </row>
        <row r="4359">
          <cell r="F4359" t="str">
            <v>1.3-2-35</v>
          </cell>
          <cell r="H4359" t="str">
            <v>т</v>
          </cell>
          <cell r="I4359">
            <v>0.32433299999999998</v>
          </cell>
          <cell r="O4359">
            <v>541.54</v>
          </cell>
          <cell r="R4359">
            <v>0</v>
          </cell>
          <cell r="X4359">
            <v>0</v>
          </cell>
          <cell r="Y4359">
            <v>0</v>
          </cell>
          <cell r="AK4359">
            <v>1669.7</v>
          </cell>
        </row>
        <row r="4360">
          <cell r="O4360">
            <v>4332.32</v>
          </cell>
          <cell r="R4360">
            <v>0</v>
          </cell>
          <cell r="X4360">
            <v>0</v>
          </cell>
          <cell r="Y4360">
            <v>0</v>
          </cell>
          <cell r="AW4360">
            <v>1</v>
          </cell>
          <cell r="BC4360">
            <v>8</v>
          </cell>
        </row>
        <row r="4361">
          <cell r="F4361" t="str">
            <v>1.1-1-3225</v>
          </cell>
          <cell r="H4361" t="str">
            <v>м2</v>
          </cell>
          <cell r="I4361">
            <v>48.6</v>
          </cell>
          <cell r="O4361">
            <v>6054.1</v>
          </cell>
          <cell r="R4361">
            <v>0</v>
          </cell>
          <cell r="X4361">
            <v>0</v>
          </cell>
          <cell r="Y4361">
            <v>0</v>
          </cell>
          <cell r="AK4361">
            <v>124.57</v>
          </cell>
        </row>
        <row r="4362">
          <cell r="O4362">
            <v>40138.68</v>
          </cell>
          <cell r="R4362">
            <v>0</v>
          </cell>
          <cell r="X4362">
            <v>0</v>
          </cell>
          <cell r="Y4362">
            <v>0</v>
          </cell>
          <cell r="AW4362">
            <v>1</v>
          </cell>
          <cell r="BC4362">
            <v>6.63</v>
          </cell>
        </row>
        <row r="4364">
          <cell r="G4364" t="str">
            <v>Четвертый  этаж. Керамогранит 600х600 мм</v>
          </cell>
        </row>
        <row r="4394">
          <cell r="G4394" t="str">
            <v>Верхнее покрытие</v>
          </cell>
        </row>
        <row r="4398">
          <cell r="F4398" t="str">
            <v>3.70-198-7</v>
          </cell>
          <cell r="H4398" t="str">
            <v>100 м2</v>
          </cell>
          <cell r="I4398">
            <v>3.47</v>
          </cell>
          <cell r="P4398">
            <v>31.99</v>
          </cell>
          <cell r="Q4398">
            <v>441.75</v>
          </cell>
          <cell r="R4398">
            <v>77.709999999999994</v>
          </cell>
          <cell r="S4398">
            <v>6469.53</v>
          </cell>
          <cell r="U4398">
            <v>391.56717401999992</v>
          </cell>
          <cell r="X4398">
            <v>6612.71</v>
          </cell>
          <cell r="Y4398">
            <v>3600.98</v>
          </cell>
          <cell r="AL4398">
            <v>9.2200000000000006</v>
          </cell>
          <cell r="AM4398">
            <v>81.06</v>
          </cell>
          <cell r="AN4398">
            <v>14.26</v>
          </cell>
          <cell r="AO4398">
            <v>1290.3800000000001</v>
          </cell>
          <cell r="AQ4398">
            <v>78.099999999999994</v>
          </cell>
        </row>
        <row r="4399">
          <cell r="P4399">
            <v>147.15</v>
          </cell>
          <cell r="Q4399">
            <v>8357.91</v>
          </cell>
          <cell r="R4399">
            <v>4378.96</v>
          </cell>
          <cell r="S4399">
            <v>364558.02</v>
          </cell>
          <cell r="X4399">
            <v>372626.35</v>
          </cell>
          <cell r="Y4399">
            <v>202915.34</v>
          </cell>
          <cell r="AT4399">
            <v>101</v>
          </cell>
          <cell r="AU4399">
            <v>55</v>
          </cell>
          <cell r="AV4399">
            <v>1.0469999999999999</v>
          </cell>
          <cell r="AW4399">
            <v>1</v>
          </cell>
          <cell r="BA4399">
            <v>56.35</v>
          </cell>
          <cell r="BB4399">
            <v>18.920000000000002</v>
          </cell>
          <cell r="BC4399">
            <v>4.5999999999999996</v>
          </cell>
          <cell r="BS4399">
            <v>56.35</v>
          </cell>
          <cell r="BZ4399">
            <v>101</v>
          </cell>
          <cell r="CA4399">
            <v>55</v>
          </cell>
        </row>
        <row r="4400">
          <cell r="F4400" t="str">
            <v>1.1-1-8205</v>
          </cell>
          <cell r="H4400" t="str">
            <v>100 шт.</v>
          </cell>
          <cell r="I4400">
            <v>23.769500000000001</v>
          </cell>
          <cell r="O4400">
            <v>101.26</v>
          </cell>
          <cell r="R4400">
            <v>0</v>
          </cell>
          <cell r="X4400">
            <v>0</v>
          </cell>
          <cell r="Y4400">
            <v>0</v>
          </cell>
          <cell r="AK4400">
            <v>4.26</v>
          </cell>
        </row>
        <row r="4401">
          <cell r="O4401">
            <v>1011.59</v>
          </cell>
          <cell r="R4401">
            <v>0</v>
          </cell>
          <cell r="X4401">
            <v>0</v>
          </cell>
          <cell r="Y4401">
            <v>0</v>
          </cell>
          <cell r="AW4401">
            <v>1</v>
          </cell>
          <cell r="BC4401">
            <v>9.99</v>
          </cell>
        </row>
        <row r="4402">
          <cell r="F4402" t="str">
            <v>1.1-1-3257</v>
          </cell>
          <cell r="H4402" t="str">
            <v>кг</v>
          </cell>
          <cell r="I4402">
            <v>48.58</v>
          </cell>
          <cell r="O4402">
            <v>840.43</v>
          </cell>
          <cell r="R4402">
            <v>0</v>
          </cell>
          <cell r="X4402">
            <v>0</v>
          </cell>
          <cell r="Y4402">
            <v>0</v>
          </cell>
          <cell r="AK4402">
            <v>17.3</v>
          </cell>
        </row>
        <row r="4403">
          <cell r="O4403">
            <v>4983.75</v>
          </cell>
          <cell r="R4403">
            <v>0</v>
          </cell>
          <cell r="X4403">
            <v>0</v>
          </cell>
          <cell r="Y4403">
            <v>0</v>
          </cell>
          <cell r="AW4403">
            <v>1</v>
          </cell>
          <cell r="BC4403">
            <v>5.93</v>
          </cell>
        </row>
        <row r="4404">
          <cell r="F4404" t="str">
            <v>1.3-2-50</v>
          </cell>
          <cell r="H4404" t="str">
            <v>т</v>
          </cell>
          <cell r="I4404">
            <v>0.13880000000000001</v>
          </cell>
          <cell r="O4404">
            <v>829.75</v>
          </cell>
          <cell r="R4404">
            <v>0</v>
          </cell>
          <cell r="X4404">
            <v>0</v>
          </cell>
          <cell r="Y4404">
            <v>0</v>
          </cell>
          <cell r="AK4404">
            <v>5978.05</v>
          </cell>
        </row>
        <row r="4405">
          <cell r="O4405">
            <v>12703.47</v>
          </cell>
          <cell r="R4405">
            <v>0</v>
          </cell>
          <cell r="X4405">
            <v>0</v>
          </cell>
          <cell r="Y4405">
            <v>0</v>
          </cell>
          <cell r="AW4405">
            <v>1</v>
          </cell>
          <cell r="BC4405">
            <v>15.31</v>
          </cell>
        </row>
        <row r="4406">
          <cell r="F4406" t="str">
            <v>1.3-2-35</v>
          </cell>
          <cell r="H4406" t="str">
            <v>т</v>
          </cell>
          <cell r="I4406">
            <v>2.5009679999999999</v>
          </cell>
          <cell r="O4406">
            <v>4175.87</v>
          </cell>
          <cell r="R4406">
            <v>0</v>
          </cell>
          <cell r="X4406">
            <v>0</v>
          </cell>
          <cell r="Y4406">
            <v>0</v>
          </cell>
          <cell r="AK4406">
            <v>1669.7</v>
          </cell>
        </row>
        <row r="4407">
          <cell r="O4407">
            <v>33406.959999999999</v>
          </cell>
          <cell r="R4407">
            <v>0</v>
          </cell>
          <cell r="X4407">
            <v>0</v>
          </cell>
          <cell r="Y4407">
            <v>0</v>
          </cell>
          <cell r="AW4407">
            <v>1</v>
          </cell>
          <cell r="BC4407">
            <v>8</v>
          </cell>
        </row>
        <row r="4408">
          <cell r="F4408" t="str">
            <v>1.1-1-8134</v>
          </cell>
          <cell r="H4408" t="str">
            <v>м2</v>
          </cell>
          <cell r="I4408">
            <v>385.17</v>
          </cell>
          <cell r="O4408">
            <v>49251.69</v>
          </cell>
          <cell r="R4408">
            <v>0</v>
          </cell>
          <cell r="X4408">
            <v>0</v>
          </cell>
          <cell r="Y4408">
            <v>0</v>
          </cell>
          <cell r="AK4408">
            <v>127.87</v>
          </cell>
        </row>
        <row r="4409">
          <cell r="O4409">
            <v>404848.89</v>
          </cell>
          <cell r="R4409">
            <v>0</v>
          </cell>
          <cell r="X4409">
            <v>0</v>
          </cell>
          <cell r="Y4409">
            <v>0</v>
          </cell>
          <cell r="AW4409">
            <v>1</v>
          </cell>
          <cell r="BC4409">
            <v>8.2200000000000006</v>
          </cell>
        </row>
        <row r="4410">
          <cell r="F4410" t="str">
            <v>3.70-198-6</v>
          </cell>
          <cell r="H4410" t="str">
            <v>100 м2</v>
          </cell>
          <cell r="I4410">
            <v>8.8000000000000007</v>
          </cell>
          <cell r="P4410">
            <v>63.36</v>
          </cell>
          <cell r="Q4410">
            <v>1070.8</v>
          </cell>
          <cell r="R4410">
            <v>188.37</v>
          </cell>
          <cell r="S4410">
            <v>12880.7</v>
          </cell>
          <cell r="U4410">
            <v>783.2297087999998</v>
          </cell>
          <cell r="X4410">
            <v>13199.76</v>
          </cell>
          <cell r="Y4410">
            <v>7187.99</v>
          </cell>
          <cell r="AL4410">
            <v>7.2</v>
          </cell>
          <cell r="AM4410">
            <v>77.48</v>
          </cell>
          <cell r="AN4410">
            <v>13.63</v>
          </cell>
          <cell r="AO4410">
            <v>1013.05</v>
          </cell>
          <cell r="AQ4410">
            <v>61.6</v>
          </cell>
        </row>
        <row r="4411">
          <cell r="P4411">
            <v>321.24</v>
          </cell>
          <cell r="Q4411">
            <v>20248.830000000002</v>
          </cell>
          <cell r="R4411">
            <v>10614.65</v>
          </cell>
          <cell r="S4411">
            <v>725827.45</v>
          </cell>
          <cell r="X4411">
            <v>743806.52</v>
          </cell>
          <cell r="Y4411">
            <v>405043.16</v>
          </cell>
          <cell r="AT4411">
            <v>101</v>
          </cell>
          <cell r="AU4411">
            <v>55</v>
          </cell>
          <cell r="AV4411">
            <v>1.0469999999999999</v>
          </cell>
          <cell r="AW4411">
            <v>1</v>
          </cell>
          <cell r="BA4411">
            <v>56.35</v>
          </cell>
          <cell r="BB4411">
            <v>18.91</v>
          </cell>
          <cell r="BC4411">
            <v>5.07</v>
          </cell>
          <cell r="BS4411">
            <v>56.35</v>
          </cell>
          <cell r="BZ4411">
            <v>101</v>
          </cell>
          <cell r="CA4411">
            <v>55</v>
          </cell>
        </row>
        <row r="4412">
          <cell r="F4412" t="str">
            <v>1.1-1-8205</v>
          </cell>
          <cell r="H4412" t="str">
            <v>100 шт.</v>
          </cell>
          <cell r="I4412">
            <v>101.992</v>
          </cell>
          <cell r="O4412">
            <v>434.49</v>
          </cell>
          <cell r="R4412">
            <v>0</v>
          </cell>
          <cell r="X4412">
            <v>0</v>
          </cell>
          <cell r="Y4412">
            <v>0</v>
          </cell>
          <cell r="AK4412">
            <v>4.26</v>
          </cell>
        </row>
        <row r="4413">
          <cell r="O4413">
            <v>4340.5600000000004</v>
          </cell>
          <cell r="R4413">
            <v>0</v>
          </cell>
          <cell r="X4413">
            <v>0</v>
          </cell>
          <cell r="Y4413">
            <v>0</v>
          </cell>
          <cell r="AW4413">
            <v>1</v>
          </cell>
          <cell r="BC4413">
            <v>9.99</v>
          </cell>
        </row>
        <row r="4414">
          <cell r="F4414" t="str">
            <v>1.1-1-3257</v>
          </cell>
          <cell r="H4414" t="str">
            <v>кг</v>
          </cell>
          <cell r="I4414">
            <v>123.20000000000002</v>
          </cell>
          <cell r="O4414">
            <v>2131.36</v>
          </cell>
          <cell r="R4414">
            <v>0</v>
          </cell>
          <cell r="X4414">
            <v>0</v>
          </cell>
          <cell r="Y4414">
            <v>0</v>
          </cell>
          <cell r="AK4414">
            <v>17.3</v>
          </cell>
        </row>
        <row r="4415">
          <cell r="O4415">
            <v>12638.96</v>
          </cell>
          <cell r="R4415">
            <v>0</v>
          </cell>
          <cell r="X4415">
            <v>0</v>
          </cell>
          <cell r="Y4415">
            <v>0</v>
          </cell>
          <cell r="AW4415">
            <v>1</v>
          </cell>
          <cell r="BC4415">
            <v>5.93</v>
          </cell>
        </row>
        <row r="4416">
          <cell r="F4416" t="str">
            <v>1.3-2-50</v>
          </cell>
          <cell r="H4416" t="str">
            <v>т</v>
          </cell>
          <cell r="I4416">
            <v>0.35199999999999998</v>
          </cell>
          <cell r="O4416">
            <v>2104.27</v>
          </cell>
          <cell r="R4416">
            <v>0</v>
          </cell>
          <cell r="X4416">
            <v>0</v>
          </cell>
          <cell r="Y4416">
            <v>0</v>
          </cell>
          <cell r="AK4416">
            <v>5978.05</v>
          </cell>
        </row>
        <row r="4417">
          <cell r="O4417">
            <v>32216.37</v>
          </cell>
          <cell r="R4417">
            <v>0</v>
          </cell>
          <cell r="X4417">
            <v>0</v>
          </cell>
          <cell r="Y4417">
            <v>0</v>
          </cell>
          <cell r="AW4417">
            <v>1</v>
          </cell>
          <cell r="BC4417">
            <v>15.31</v>
          </cell>
        </row>
        <row r="4418">
          <cell r="F4418" t="str">
            <v>1.3-2-35</v>
          </cell>
          <cell r="H4418" t="str">
            <v>т</v>
          </cell>
          <cell r="I4418">
            <v>6.3425120000000001</v>
          </cell>
          <cell r="O4418">
            <v>10590.09</v>
          </cell>
          <cell r="R4418">
            <v>0</v>
          </cell>
          <cell r="X4418">
            <v>0</v>
          </cell>
          <cell r="Y4418">
            <v>0</v>
          </cell>
          <cell r="AK4418">
            <v>1669.7</v>
          </cell>
        </row>
        <row r="4419">
          <cell r="O4419">
            <v>84720.72</v>
          </cell>
          <cell r="R4419">
            <v>0</v>
          </cell>
          <cell r="X4419">
            <v>0</v>
          </cell>
          <cell r="Y4419">
            <v>0</v>
          </cell>
          <cell r="AW4419">
            <v>1</v>
          </cell>
          <cell r="BC4419">
            <v>8</v>
          </cell>
        </row>
        <row r="4420">
          <cell r="F4420" t="str">
            <v>1.1-1-3225</v>
          </cell>
          <cell r="H4420" t="str">
            <v>м2</v>
          </cell>
          <cell r="I4420">
            <v>950.4</v>
          </cell>
          <cell r="O4420">
            <v>118391.33</v>
          </cell>
          <cell r="R4420">
            <v>0</v>
          </cell>
          <cell r="X4420">
            <v>0</v>
          </cell>
          <cell r="Y4420">
            <v>0</v>
          </cell>
          <cell r="AK4420">
            <v>124.57</v>
          </cell>
        </row>
        <row r="4421">
          <cell r="O4421">
            <v>784934.52</v>
          </cell>
          <cell r="R4421">
            <v>0</v>
          </cell>
          <cell r="X4421">
            <v>0</v>
          </cell>
          <cell r="Y4421">
            <v>0</v>
          </cell>
          <cell r="AW4421">
            <v>1</v>
          </cell>
          <cell r="BC4421">
            <v>6.63</v>
          </cell>
        </row>
        <row r="4423">
          <cell r="G4423" t="str">
            <v>Верхнее покрытие</v>
          </cell>
        </row>
        <row r="4453">
          <cell r="G4453" t="str">
            <v>Полы под номер 2</v>
          </cell>
        </row>
        <row r="4457">
          <cell r="F4457" t="str">
            <v>3.70-198-7</v>
          </cell>
          <cell r="H4457" t="str">
            <v>100 м2</v>
          </cell>
          <cell r="I4457">
            <v>1.69</v>
          </cell>
          <cell r="P4457">
            <v>15.58</v>
          </cell>
          <cell r="Q4457">
            <v>215.14</v>
          </cell>
          <cell r="R4457">
            <v>37.85</v>
          </cell>
          <cell r="S4457">
            <v>3150.87</v>
          </cell>
          <cell r="U4457">
            <v>190.70562653999994</v>
          </cell>
          <cell r="X4457">
            <v>3220.61</v>
          </cell>
          <cell r="Y4457">
            <v>1753.8</v>
          </cell>
          <cell r="AL4457">
            <v>9.2200000000000006</v>
          </cell>
          <cell r="AM4457">
            <v>81.06</v>
          </cell>
          <cell r="AN4457">
            <v>14.26</v>
          </cell>
          <cell r="AO4457">
            <v>1290.3800000000001</v>
          </cell>
          <cell r="AQ4457">
            <v>78.099999999999994</v>
          </cell>
        </row>
        <row r="4458">
          <cell r="P4458">
            <v>71.67</v>
          </cell>
          <cell r="Q4458">
            <v>4070.45</v>
          </cell>
          <cell r="R4458">
            <v>2132.85</v>
          </cell>
          <cell r="S4458">
            <v>177551.52</v>
          </cell>
          <cell r="X4458">
            <v>181481.21</v>
          </cell>
          <cell r="Y4458">
            <v>98826.4</v>
          </cell>
          <cell r="AT4458">
            <v>101</v>
          </cell>
          <cell r="AU4458">
            <v>55</v>
          </cell>
          <cell r="AV4458">
            <v>1.0469999999999999</v>
          </cell>
          <cell r="AW4458">
            <v>1</v>
          </cell>
          <cell r="BA4458">
            <v>56.35</v>
          </cell>
          <cell r="BB4458">
            <v>18.920000000000002</v>
          </cell>
          <cell r="BC4458">
            <v>4.5999999999999996</v>
          </cell>
          <cell r="BS4458">
            <v>56.35</v>
          </cell>
          <cell r="BZ4458">
            <v>101</v>
          </cell>
          <cell r="CA4458">
            <v>55</v>
          </cell>
        </row>
        <row r="4459">
          <cell r="F4459" t="str">
            <v>1.1-1-8205</v>
          </cell>
          <cell r="H4459" t="str">
            <v>100 шт.</v>
          </cell>
          <cell r="I4459">
            <v>11.576499999999999</v>
          </cell>
          <cell r="O4459">
            <v>49.32</v>
          </cell>
          <cell r="R4459">
            <v>0</v>
          </cell>
          <cell r="X4459">
            <v>0</v>
          </cell>
          <cell r="Y4459">
            <v>0</v>
          </cell>
          <cell r="AK4459">
            <v>4.26</v>
          </cell>
        </row>
        <row r="4460">
          <cell r="O4460">
            <v>492.71</v>
          </cell>
          <cell r="R4460">
            <v>0</v>
          </cell>
          <cell r="X4460">
            <v>0</v>
          </cell>
          <cell r="Y4460">
            <v>0</v>
          </cell>
          <cell r="AW4460">
            <v>1</v>
          </cell>
          <cell r="BC4460">
            <v>9.99</v>
          </cell>
        </row>
        <row r="4461">
          <cell r="F4461" t="str">
            <v>1.1-1-3257</v>
          </cell>
          <cell r="H4461" t="str">
            <v>кг</v>
          </cell>
          <cell r="I4461">
            <v>23.66</v>
          </cell>
          <cell r="O4461">
            <v>409.32</v>
          </cell>
          <cell r="R4461">
            <v>0</v>
          </cell>
          <cell r="X4461">
            <v>0</v>
          </cell>
          <cell r="Y4461">
            <v>0</v>
          </cell>
          <cell r="AK4461">
            <v>17.3</v>
          </cell>
        </row>
        <row r="4462">
          <cell r="O4462">
            <v>2427.27</v>
          </cell>
          <cell r="R4462">
            <v>0</v>
          </cell>
          <cell r="X4462">
            <v>0</v>
          </cell>
          <cell r="Y4462">
            <v>0</v>
          </cell>
          <cell r="AW4462">
            <v>1</v>
          </cell>
          <cell r="BC4462">
            <v>5.93</v>
          </cell>
        </row>
        <row r="4463">
          <cell r="F4463" t="str">
            <v>1.3-2-50</v>
          </cell>
          <cell r="H4463" t="str">
            <v>т</v>
          </cell>
          <cell r="I4463">
            <v>6.7599999999999993E-2</v>
          </cell>
          <cell r="O4463">
            <v>404.12</v>
          </cell>
          <cell r="R4463">
            <v>0</v>
          </cell>
          <cell r="X4463">
            <v>0</v>
          </cell>
          <cell r="Y4463">
            <v>0</v>
          </cell>
          <cell r="AK4463">
            <v>5978.05</v>
          </cell>
        </row>
        <row r="4464">
          <cell r="O4464">
            <v>6187.08</v>
          </cell>
          <cell r="R4464">
            <v>0</v>
          </cell>
          <cell r="X4464">
            <v>0</v>
          </cell>
          <cell r="Y4464">
            <v>0</v>
          </cell>
          <cell r="AW4464">
            <v>1</v>
          </cell>
          <cell r="BC4464">
            <v>15.31</v>
          </cell>
        </row>
        <row r="4465">
          <cell r="F4465" t="str">
            <v>1.3-2-35</v>
          </cell>
          <cell r="H4465" t="str">
            <v>т</v>
          </cell>
          <cell r="I4465">
            <v>1.218051</v>
          </cell>
          <cell r="O4465">
            <v>2033.78</v>
          </cell>
          <cell r="R4465">
            <v>0</v>
          </cell>
          <cell r="X4465">
            <v>0</v>
          </cell>
          <cell r="Y4465">
            <v>0</v>
          </cell>
          <cell r="AK4465">
            <v>1669.7</v>
          </cell>
        </row>
        <row r="4466">
          <cell r="O4466">
            <v>16270.24</v>
          </cell>
          <cell r="R4466">
            <v>0</v>
          </cell>
          <cell r="X4466">
            <v>0</v>
          </cell>
          <cell r="Y4466">
            <v>0</v>
          </cell>
          <cell r="AW4466">
            <v>1</v>
          </cell>
          <cell r="BC4466">
            <v>8</v>
          </cell>
        </row>
        <row r="4467">
          <cell r="F4467" t="str">
            <v>1.1-1-8134</v>
          </cell>
          <cell r="H4467" t="str">
            <v>м2</v>
          </cell>
          <cell r="I4467">
            <v>187.59</v>
          </cell>
          <cell r="O4467">
            <v>23987.13</v>
          </cell>
          <cell r="R4467">
            <v>0</v>
          </cell>
          <cell r="X4467">
            <v>0</v>
          </cell>
          <cell r="Y4467">
            <v>0</v>
          </cell>
          <cell r="AK4467">
            <v>127.87</v>
          </cell>
        </row>
        <row r="4468">
          <cell r="O4468">
            <v>197174.21</v>
          </cell>
          <cell r="R4468">
            <v>0</v>
          </cell>
          <cell r="X4468">
            <v>0</v>
          </cell>
          <cell r="Y4468">
            <v>0</v>
          </cell>
          <cell r="AW4468">
            <v>1</v>
          </cell>
          <cell r="BC4468">
            <v>8.2200000000000006</v>
          </cell>
        </row>
        <row r="4469">
          <cell r="F4469" t="str">
            <v>3.70-198-6</v>
          </cell>
          <cell r="H4469" t="str">
            <v>100 м2</v>
          </cell>
          <cell r="I4469">
            <v>5.16</v>
          </cell>
          <cell r="P4469">
            <v>37.15</v>
          </cell>
          <cell r="Q4469">
            <v>627.88</v>
          </cell>
          <cell r="R4469">
            <v>110.45</v>
          </cell>
          <cell r="S4469">
            <v>7552.77</v>
          </cell>
          <cell r="U4469">
            <v>459.25742015999987</v>
          </cell>
          <cell r="X4469">
            <v>7739.85</v>
          </cell>
          <cell r="Y4469">
            <v>4214.7700000000004</v>
          </cell>
          <cell r="AL4469">
            <v>7.2</v>
          </cell>
          <cell r="AM4469">
            <v>77.48</v>
          </cell>
          <cell r="AN4469">
            <v>13.63</v>
          </cell>
          <cell r="AO4469">
            <v>1013.05</v>
          </cell>
          <cell r="AQ4469">
            <v>61.6</v>
          </cell>
        </row>
        <row r="4470">
          <cell r="P4470">
            <v>188.35</v>
          </cell>
          <cell r="Q4470">
            <v>11873.21</v>
          </cell>
          <cell r="R4470">
            <v>6223.86</v>
          </cell>
          <cell r="S4470">
            <v>425598.59</v>
          </cell>
          <cell r="X4470">
            <v>436140.67</v>
          </cell>
          <cell r="Y4470">
            <v>237502.35</v>
          </cell>
          <cell r="AT4470">
            <v>101</v>
          </cell>
          <cell r="AU4470">
            <v>55</v>
          </cell>
          <cell r="AV4470">
            <v>1.0469999999999999</v>
          </cell>
          <cell r="AW4470">
            <v>1</v>
          </cell>
          <cell r="BA4470">
            <v>56.35</v>
          </cell>
          <cell r="BB4470">
            <v>18.91</v>
          </cell>
          <cell r="BC4470">
            <v>5.07</v>
          </cell>
          <cell r="BS4470">
            <v>56.35</v>
          </cell>
          <cell r="BZ4470">
            <v>101</v>
          </cell>
          <cell r="CA4470">
            <v>55</v>
          </cell>
        </row>
        <row r="4471">
          <cell r="F4471" t="str">
            <v>1.1-1-8205</v>
          </cell>
          <cell r="H4471" t="str">
            <v>100 шт.</v>
          </cell>
          <cell r="I4471">
            <v>59.804400000000001</v>
          </cell>
          <cell r="O4471">
            <v>254.77</v>
          </cell>
          <cell r="R4471">
            <v>0</v>
          </cell>
          <cell r="X4471">
            <v>0</v>
          </cell>
          <cell r="Y4471">
            <v>0</v>
          </cell>
          <cell r="AK4471">
            <v>4.26</v>
          </cell>
        </row>
        <row r="4472">
          <cell r="O4472">
            <v>2545.15</v>
          </cell>
          <cell r="R4472">
            <v>0</v>
          </cell>
          <cell r="X4472">
            <v>0</v>
          </cell>
          <cell r="Y4472">
            <v>0</v>
          </cell>
          <cell r="AW4472">
            <v>1</v>
          </cell>
          <cell r="BC4472">
            <v>9.99</v>
          </cell>
        </row>
        <row r="4473">
          <cell r="F4473" t="str">
            <v>1.1-1-3257</v>
          </cell>
          <cell r="H4473" t="str">
            <v>кг</v>
          </cell>
          <cell r="I4473">
            <v>72.239999999999995</v>
          </cell>
          <cell r="O4473">
            <v>1249.75</v>
          </cell>
          <cell r="R4473">
            <v>0</v>
          </cell>
          <cell r="X4473">
            <v>0</v>
          </cell>
          <cell r="Y4473">
            <v>0</v>
          </cell>
          <cell r="AK4473">
            <v>17.3</v>
          </cell>
        </row>
        <row r="4474">
          <cell r="O4474">
            <v>7411.02</v>
          </cell>
          <cell r="R4474">
            <v>0</v>
          </cell>
          <cell r="X4474">
            <v>0</v>
          </cell>
          <cell r="Y4474">
            <v>0</v>
          </cell>
          <cell r="AW4474">
            <v>1</v>
          </cell>
          <cell r="BC4474">
            <v>5.93</v>
          </cell>
        </row>
        <row r="4475">
          <cell r="F4475" t="str">
            <v>1.3-2-50</v>
          </cell>
          <cell r="H4475" t="str">
            <v>т</v>
          </cell>
          <cell r="I4475">
            <v>0.2064</v>
          </cell>
          <cell r="O4475">
            <v>1233.8699999999999</v>
          </cell>
          <cell r="R4475">
            <v>0</v>
          </cell>
          <cell r="X4475">
            <v>0</v>
          </cell>
          <cell r="Y4475">
            <v>0</v>
          </cell>
          <cell r="AK4475">
            <v>5978.05</v>
          </cell>
        </row>
        <row r="4476">
          <cell r="O4476">
            <v>18890.55</v>
          </cell>
          <cell r="R4476">
            <v>0</v>
          </cell>
          <cell r="X4476">
            <v>0</v>
          </cell>
          <cell r="Y4476">
            <v>0</v>
          </cell>
          <cell r="AW4476">
            <v>1</v>
          </cell>
          <cell r="BC4476">
            <v>15.31</v>
          </cell>
        </row>
        <row r="4477">
          <cell r="F4477" t="str">
            <v>1.3-2-35</v>
          </cell>
          <cell r="H4477" t="str">
            <v>т</v>
          </cell>
          <cell r="I4477">
            <v>3.7190180000000002</v>
          </cell>
          <cell r="O4477">
            <v>6209.64</v>
          </cell>
          <cell r="R4477">
            <v>0</v>
          </cell>
          <cell r="X4477">
            <v>0</v>
          </cell>
          <cell r="Y4477">
            <v>0</v>
          </cell>
          <cell r="AK4477">
            <v>1669.7</v>
          </cell>
        </row>
        <row r="4478">
          <cell r="O4478">
            <v>49677.120000000003</v>
          </cell>
          <cell r="R4478">
            <v>0</v>
          </cell>
          <cell r="X4478">
            <v>0</v>
          </cell>
          <cell r="Y4478">
            <v>0</v>
          </cell>
          <cell r="AW4478">
            <v>1</v>
          </cell>
          <cell r="BC4478">
            <v>8</v>
          </cell>
        </row>
        <row r="4479">
          <cell r="F4479" t="str">
            <v>1.1-1-3225</v>
          </cell>
          <cell r="H4479" t="str">
            <v>м2</v>
          </cell>
          <cell r="I4479">
            <v>557.28</v>
          </cell>
          <cell r="O4479">
            <v>69420.37</v>
          </cell>
          <cell r="R4479">
            <v>0</v>
          </cell>
          <cell r="X4479">
            <v>0</v>
          </cell>
          <cell r="Y4479">
            <v>0</v>
          </cell>
          <cell r="AK4479">
            <v>124.57</v>
          </cell>
        </row>
        <row r="4480">
          <cell r="O4480">
            <v>460257.05</v>
          </cell>
          <cell r="R4480">
            <v>0</v>
          </cell>
          <cell r="X4480">
            <v>0</v>
          </cell>
          <cell r="Y4480">
            <v>0</v>
          </cell>
          <cell r="AW4480">
            <v>1</v>
          </cell>
          <cell r="BC4480">
            <v>6.63</v>
          </cell>
        </row>
        <row r="4481">
          <cell r="F4481" t="str">
            <v>3.70-202-1</v>
          </cell>
          <cell r="H4481" t="str">
            <v>100 м2 покрытия</v>
          </cell>
          <cell r="I4481">
            <v>0.46</v>
          </cell>
          <cell r="P4481">
            <v>0.37</v>
          </cell>
          <cell r="Q4481">
            <v>40.22</v>
          </cell>
          <cell r="R4481">
            <v>6.11</v>
          </cell>
          <cell r="S4481">
            <v>404.86</v>
          </cell>
          <cell r="U4481">
            <v>25.38907992</v>
          </cell>
          <cell r="X4481">
            <v>415.08</v>
          </cell>
          <cell r="Y4481">
            <v>226.03</v>
          </cell>
          <cell r="AL4481">
            <v>0.81</v>
          </cell>
          <cell r="AM4481">
            <v>55.68</v>
          </cell>
          <cell r="AN4481">
            <v>8.4600000000000009</v>
          </cell>
          <cell r="AO4481">
            <v>609.14</v>
          </cell>
          <cell r="AQ4481">
            <v>38.200000000000003</v>
          </cell>
        </row>
        <row r="4482">
          <cell r="P4482">
            <v>5.39</v>
          </cell>
          <cell r="Q4482">
            <v>686.56</v>
          </cell>
          <cell r="R4482">
            <v>344.3</v>
          </cell>
          <cell r="S4482">
            <v>22813.86</v>
          </cell>
          <cell r="X4482">
            <v>23389.74</v>
          </cell>
          <cell r="Y4482">
            <v>12736.99</v>
          </cell>
          <cell r="AT4482">
            <v>101</v>
          </cell>
          <cell r="AU4482">
            <v>55</v>
          </cell>
          <cell r="AV4482">
            <v>1.0469999999999999</v>
          </cell>
          <cell r="AW4482">
            <v>1</v>
          </cell>
          <cell r="BA4482">
            <v>56.35</v>
          </cell>
          <cell r="BB4482">
            <v>17.07</v>
          </cell>
          <cell r="BC4482">
            <v>14.57</v>
          </cell>
          <cell r="BS4482">
            <v>56.35</v>
          </cell>
          <cell r="BZ4482">
            <v>101</v>
          </cell>
          <cell r="CA4482">
            <v>55</v>
          </cell>
        </row>
        <row r="4483">
          <cell r="F4483" t="str">
            <v>1.1-1-389</v>
          </cell>
          <cell r="H4483" t="str">
            <v>т</v>
          </cell>
          <cell r="I4483">
            <v>2.3E-2</v>
          </cell>
          <cell r="O4483">
            <v>996.24</v>
          </cell>
          <cell r="R4483">
            <v>0</v>
          </cell>
          <cell r="X4483">
            <v>0</v>
          </cell>
          <cell r="Y4483">
            <v>0</v>
          </cell>
          <cell r="AK4483">
            <v>43314.81</v>
          </cell>
        </row>
        <row r="4484">
          <cell r="O4484">
            <v>2102.0700000000002</v>
          </cell>
          <cell r="R4484">
            <v>0</v>
          </cell>
          <cell r="X4484">
            <v>0</v>
          </cell>
          <cell r="Y4484">
            <v>0</v>
          </cell>
          <cell r="AW4484">
            <v>1</v>
          </cell>
          <cell r="BC4484">
            <v>2.11</v>
          </cell>
        </row>
        <row r="4485">
          <cell r="F4485" t="str">
            <v>1.1-1-3320</v>
          </cell>
          <cell r="H4485" t="str">
            <v>м2</v>
          </cell>
          <cell r="I4485">
            <v>49.22</v>
          </cell>
          <cell r="O4485">
            <v>15982.72</v>
          </cell>
          <cell r="R4485">
            <v>0</v>
          </cell>
          <cell r="X4485">
            <v>0</v>
          </cell>
          <cell r="Y4485">
            <v>0</v>
          </cell>
          <cell r="AK4485">
            <v>324.72000000000003</v>
          </cell>
        </row>
        <row r="4486">
          <cell r="O4486">
            <v>35002.160000000003</v>
          </cell>
          <cell r="R4486">
            <v>0</v>
          </cell>
          <cell r="X4486">
            <v>0</v>
          </cell>
          <cell r="Y4486">
            <v>0</v>
          </cell>
          <cell r="AW4486">
            <v>1</v>
          </cell>
          <cell r="BC4486">
            <v>2.19</v>
          </cell>
        </row>
        <row r="4487">
          <cell r="F4487" t="str">
            <v>3.70-202-1</v>
          </cell>
          <cell r="H4487" t="str">
            <v>100 м2 покрытия</v>
          </cell>
          <cell r="I4487">
            <v>32.35</v>
          </cell>
          <cell r="P4487">
            <v>26.2</v>
          </cell>
          <cell r="Q4487">
            <v>2828.86</v>
          </cell>
          <cell r="R4487">
            <v>429.82</v>
          </cell>
          <cell r="S4487">
            <v>28471.95</v>
          </cell>
          <cell r="U4487">
            <v>1785.5146422</v>
          </cell>
          <cell r="X4487">
            <v>29190.79</v>
          </cell>
          <cell r="Y4487">
            <v>15895.97</v>
          </cell>
          <cell r="AL4487">
            <v>0.81</v>
          </cell>
          <cell r="AM4487">
            <v>55.68</v>
          </cell>
          <cell r="AN4487">
            <v>8.4600000000000009</v>
          </cell>
          <cell r="AO4487">
            <v>609.14</v>
          </cell>
          <cell r="AQ4487">
            <v>38.200000000000003</v>
          </cell>
        </row>
        <row r="4488">
          <cell r="P4488">
            <v>381.73</v>
          </cell>
          <cell r="Q4488">
            <v>48288.639999999999</v>
          </cell>
          <cell r="R4488">
            <v>24220.36</v>
          </cell>
          <cell r="S4488">
            <v>1604394.38</v>
          </cell>
          <cell r="X4488">
            <v>1644900.89</v>
          </cell>
          <cell r="Y4488">
            <v>895738.11</v>
          </cell>
          <cell r="AT4488">
            <v>101</v>
          </cell>
          <cell r="AU4488">
            <v>55</v>
          </cell>
          <cell r="AV4488">
            <v>1.0469999999999999</v>
          </cell>
          <cell r="AW4488">
            <v>1</v>
          </cell>
          <cell r="BA4488">
            <v>56.35</v>
          </cell>
          <cell r="BB4488">
            <v>17.07</v>
          </cell>
          <cell r="BC4488">
            <v>14.57</v>
          </cell>
          <cell r="BS4488">
            <v>56.35</v>
          </cell>
          <cell r="BZ4488">
            <v>101</v>
          </cell>
          <cell r="CA4488">
            <v>55</v>
          </cell>
        </row>
        <row r="4489">
          <cell r="F4489" t="str">
            <v>1.1-1-389</v>
          </cell>
          <cell r="H4489" t="str">
            <v>т</v>
          </cell>
          <cell r="I4489">
            <v>1.6174999999999999</v>
          </cell>
          <cell r="O4489">
            <v>70061.710000000006</v>
          </cell>
          <cell r="R4489">
            <v>0</v>
          </cell>
          <cell r="X4489">
            <v>0</v>
          </cell>
          <cell r="Y4489">
            <v>0</v>
          </cell>
          <cell r="AK4489">
            <v>43314.81</v>
          </cell>
        </row>
        <row r="4490">
          <cell r="O4490">
            <v>147830.21</v>
          </cell>
          <cell r="R4490">
            <v>0</v>
          </cell>
          <cell r="X4490">
            <v>0</v>
          </cell>
          <cell r="Y4490">
            <v>0</v>
          </cell>
          <cell r="AW4490">
            <v>1</v>
          </cell>
          <cell r="BC4490">
            <v>2.11</v>
          </cell>
        </row>
        <row r="4491">
          <cell r="F4491" t="str">
            <v>КА-188</v>
          </cell>
          <cell r="H4491" t="str">
            <v>м2</v>
          </cell>
          <cell r="I4491">
            <v>3461.45</v>
          </cell>
          <cell r="O4491">
            <v>694989.93</v>
          </cell>
          <cell r="R4491">
            <v>0</v>
          </cell>
          <cell r="X4491">
            <v>0</v>
          </cell>
          <cell r="Y4491">
            <v>0</v>
          </cell>
          <cell r="AK4491">
            <v>200.78</v>
          </cell>
        </row>
        <row r="4492">
          <cell r="O4492">
            <v>6838700.9100000001</v>
          </cell>
          <cell r="R4492">
            <v>0</v>
          </cell>
          <cell r="X4492">
            <v>0</v>
          </cell>
          <cell r="Y4492">
            <v>0</v>
          </cell>
          <cell r="AW4492">
            <v>1</v>
          </cell>
          <cell r="BC4492">
            <v>9.84</v>
          </cell>
        </row>
        <row r="4494">
          <cell r="G4494" t="str">
            <v>Полы под номер 2</v>
          </cell>
        </row>
        <row r="4524">
          <cell r="G4524" t="str">
            <v>Полы под номер 5</v>
          </cell>
        </row>
        <row r="4528">
          <cell r="F4528" t="str">
            <v>3.11-24-1</v>
          </cell>
          <cell r="H4528" t="str">
            <v>100 м2 покрытия</v>
          </cell>
          <cell r="I4528">
            <v>3.9</v>
          </cell>
          <cell r="P4528">
            <v>965.8</v>
          </cell>
          <cell r="Q4528">
            <v>406.88</v>
          </cell>
          <cell r="R4528">
            <v>47.16</v>
          </cell>
          <cell r="S4528">
            <v>2202.48</v>
          </cell>
          <cell r="U4528">
            <v>178.62804179999998</v>
          </cell>
          <cell r="X4528">
            <v>2272.14</v>
          </cell>
          <cell r="Y4528">
            <v>1237.3</v>
          </cell>
          <cell r="AL4528">
            <v>247.64</v>
          </cell>
          <cell r="AM4528">
            <v>66.430000000000007</v>
          </cell>
          <cell r="AN4528">
            <v>7.7</v>
          </cell>
          <cell r="AO4528">
            <v>390.86</v>
          </cell>
          <cell r="AQ4528">
            <v>31.7</v>
          </cell>
        </row>
        <row r="4529">
          <cell r="P4529">
            <v>12198.05</v>
          </cell>
          <cell r="Q4529">
            <v>6217.13</v>
          </cell>
          <cell r="R4529">
            <v>2657.47</v>
          </cell>
          <cell r="S4529">
            <v>124109.75</v>
          </cell>
          <cell r="X4529">
            <v>128034.89</v>
          </cell>
          <cell r="Y4529">
            <v>69721.97</v>
          </cell>
          <cell r="AT4529">
            <v>101</v>
          </cell>
          <cell r="AU4529">
            <v>55</v>
          </cell>
          <cell r="AV4529">
            <v>1.0469999999999999</v>
          </cell>
          <cell r="AW4529">
            <v>1</v>
          </cell>
          <cell r="BA4529">
            <v>56.35</v>
          </cell>
          <cell r="BB4529">
            <v>15.28</v>
          </cell>
          <cell r="BC4529">
            <v>12.63</v>
          </cell>
          <cell r="BS4529">
            <v>56.35</v>
          </cell>
          <cell r="BZ4529">
            <v>101</v>
          </cell>
          <cell r="CA4529">
            <v>55</v>
          </cell>
        </row>
        <row r="4530">
          <cell r="F4530" t="str">
            <v>КА-187</v>
          </cell>
          <cell r="H4530" t="str">
            <v>ШТ</v>
          </cell>
          <cell r="I4530">
            <v>6630</v>
          </cell>
          <cell r="O4530">
            <v>33813</v>
          </cell>
          <cell r="R4530">
            <v>0</v>
          </cell>
          <cell r="X4530">
            <v>0</v>
          </cell>
          <cell r="Y4530">
            <v>0</v>
          </cell>
          <cell r="AK4530">
            <v>5.0999999999999996</v>
          </cell>
        </row>
        <row r="4531">
          <cell r="O4531">
            <v>332719.92</v>
          </cell>
          <cell r="R4531">
            <v>0</v>
          </cell>
          <cell r="X4531">
            <v>0</v>
          </cell>
          <cell r="Y4531">
            <v>0</v>
          </cell>
          <cell r="AW4531">
            <v>1</v>
          </cell>
          <cell r="BC4531">
            <v>9.84</v>
          </cell>
        </row>
        <row r="4533">
          <cell r="G4533" t="str">
            <v>Полы под номер 5</v>
          </cell>
        </row>
        <row r="4563">
          <cell r="G4563" t="str">
            <v>Отделка полов</v>
          </cell>
        </row>
        <row r="4593">
          <cell r="G4593" t="str">
            <v>Плинтуса</v>
          </cell>
        </row>
        <row r="4597">
          <cell r="G4597" t="str">
            <v>Демонтажные работы</v>
          </cell>
        </row>
        <row r="4601">
          <cell r="F4601" t="str">
            <v>6.70-64-1</v>
          </cell>
          <cell r="H4601" t="str">
            <v>100 м плинтусов</v>
          </cell>
          <cell r="I4601">
            <v>0.55000000000000004</v>
          </cell>
          <cell r="R4601">
            <v>0</v>
          </cell>
          <cell r="S4601">
            <v>35.68</v>
          </cell>
          <cell r="U4601">
            <v>2.6051454000000001</v>
          </cell>
          <cell r="X4601">
            <v>31.76</v>
          </cell>
          <cell r="Y4601">
            <v>17.48</v>
          </cell>
          <cell r="AO4601">
            <v>51.63</v>
          </cell>
          <cell r="AQ4601">
            <v>3.77</v>
          </cell>
        </row>
        <row r="4602">
          <cell r="R4602">
            <v>0</v>
          </cell>
          <cell r="S4602">
            <v>2010.57</v>
          </cell>
          <cell r="X4602">
            <v>1789.41</v>
          </cell>
          <cell r="Y4602">
            <v>985.18</v>
          </cell>
          <cell r="AT4602">
            <v>89</v>
          </cell>
          <cell r="AU4602">
            <v>49</v>
          </cell>
          <cell r="AV4602">
            <v>1.0469999999999999</v>
          </cell>
          <cell r="BA4602">
            <v>56.35</v>
          </cell>
          <cell r="BZ4602">
            <v>89</v>
          </cell>
          <cell r="CA4602">
            <v>49</v>
          </cell>
        </row>
        <row r="4603">
          <cell r="F4603" t="str">
            <v>6.70-64-1</v>
          </cell>
          <cell r="H4603" t="str">
            <v>100 м плинтусов</v>
          </cell>
          <cell r="I4603">
            <v>21.79</v>
          </cell>
          <cell r="R4603">
            <v>0</v>
          </cell>
          <cell r="S4603">
            <v>1413.47</v>
          </cell>
          <cell r="U4603">
            <v>103.21112411999999</v>
          </cell>
          <cell r="X4603">
            <v>1257.99</v>
          </cell>
          <cell r="Y4603">
            <v>692.6</v>
          </cell>
          <cell r="AO4603">
            <v>51.63</v>
          </cell>
          <cell r="AQ4603">
            <v>3.77</v>
          </cell>
        </row>
        <row r="4604">
          <cell r="R4604">
            <v>0</v>
          </cell>
          <cell r="S4604">
            <v>79649.03</v>
          </cell>
          <cell r="X4604">
            <v>70887.64</v>
          </cell>
          <cell r="Y4604">
            <v>39028.019999999997</v>
          </cell>
          <cell r="AT4604">
            <v>89</v>
          </cell>
          <cell r="AU4604">
            <v>49</v>
          </cell>
          <cell r="AV4604">
            <v>1.0469999999999999</v>
          </cell>
          <cell r="BA4604">
            <v>56.35</v>
          </cell>
          <cell r="BZ4604">
            <v>89</v>
          </cell>
          <cell r="CA4604">
            <v>49</v>
          </cell>
        </row>
        <row r="4605">
          <cell r="F4605" t="str">
            <v>3.70-206-7</v>
          </cell>
          <cell r="H4605" t="str">
            <v>100 м</v>
          </cell>
          <cell r="I4605">
            <v>15.33</v>
          </cell>
          <cell r="Q4605">
            <v>112.17</v>
          </cell>
          <cell r="R4605">
            <v>19.41</v>
          </cell>
          <cell r="S4605">
            <v>2757.81</v>
          </cell>
          <cell r="U4605">
            <v>165.333093408</v>
          </cell>
          <cell r="X4605">
            <v>2804.99</v>
          </cell>
          <cell r="Y4605">
            <v>1527.47</v>
          </cell>
          <cell r="AM4605">
            <v>7.28</v>
          </cell>
          <cell r="AN4605">
            <v>1.26</v>
          </cell>
          <cell r="AO4605">
            <v>178.98</v>
          </cell>
          <cell r="AQ4605">
            <v>10.73</v>
          </cell>
        </row>
        <row r="4606">
          <cell r="Q4606">
            <v>2099.8200000000002</v>
          </cell>
          <cell r="R4606">
            <v>1093.75</v>
          </cell>
          <cell r="S4606">
            <v>155402.59</v>
          </cell>
          <cell r="X4606">
            <v>158061.29999999999</v>
          </cell>
          <cell r="Y4606">
            <v>86072.99</v>
          </cell>
          <cell r="AT4606">
            <v>101</v>
          </cell>
          <cell r="AU4606">
            <v>55</v>
          </cell>
          <cell r="AV4606">
            <v>1.0469999999999999</v>
          </cell>
          <cell r="BA4606">
            <v>56.35</v>
          </cell>
          <cell r="BB4606">
            <v>18.72</v>
          </cell>
          <cell r="BS4606">
            <v>56.35</v>
          </cell>
          <cell r="BZ4606">
            <v>101</v>
          </cell>
          <cell r="CA4606">
            <v>55</v>
          </cell>
        </row>
        <row r="4608">
          <cell r="G4608" t="str">
            <v>Демонтажные работы</v>
          </cell>
        </row>
        <row r="4638">
          <cell r="G4638" t="str">
            <v>Керамогранитный плинтус 95х600 мм</v>
          </cell>
        </row>
        <row r="4642">
          <cell r="F4642" t="str">
            <v>3.70-206-7</v>
          </cell>
          <cell r="H4642" t="str">
            <v>100 м</v>
          </cell>
          <cell r="I4642">
            <v>15.33</v>
          </cell>
          <cell r="P4642">
            <v>3.22</v>
          </cell>
          <cell r="Q4642">
            <v>175.27</v>
          </cell>
          <cell r="R4642">
            <v>30.34</v>
          </cell>
          <cell r="S4642">
            <v>3964.35</v>
          </cell>
          <cell r="U4642">
            <v>237.66632177399995</v>
          </cell>
          <cell r="X4642">
            <v>4034.64</v>
          </cell>
          <cell r="Y4642">
            <v>2197.08</v>
          </cell>
          <cell r="AL4642">
            <v>0.21</v>
          </cell>
          <cell r="AM4642">
            <v>7.28</v>
          </cell>
          <cell r="AN4642">
            <v>1.26</v>
          </cell>
          <cell r="AO4642">
            <v>178.98</v>
          </cell>
          <cell r="AQ4642">
            <v>10.73</v>
          </cell>
        </row>
        <row r="4643">
          <cell r="P4643">
            <v>33.58</v>
          </cell>
          <cell r="Q4643">
            <v>3281.05</v>
          </cell>
          <cell r="R4643">
            <v>1709.66</v>
          </cell>
          <cell r="S4643">
            <v>223391.12</v>
          </cell>
          <cell r="X4643">
            <v>227351.79</v>
          </cell>
          <cell r="Y4643">
            <v>123805.43</v>
          </cell>
          <cell r="AT4643">
            <v>101</v>
          </cell>
          <cell r="AU4643">
            <v>55</v>
          </cell>
          <cell r="AV4643">
            <v>1.0469999999999999</v>
          </cell>
          <cell r="AW4643">
            <v>1</v>
          </cell>
          <cell r="BA4643">
            <v>56.35</v>
          </cell>
          <cell r="BB4643">
            <v>18.72</v>
          </cell>
          <cell r="BC4643">
            <v>10.43</v>
          </cell>
          <cell r="BS4643">
            <v>56.35</v>
          </cell>
          <cell r="BZ4643">
            <v>101</v>
          </cell>
          <cell r="CA4643">
            <v>55</v>
          </cell>
        </row>
        <row r="4644">
          <cell r="F4644" t="str">
            <v>1.1-1-8206</v>
          </cell>
          <cell r="H4644" t="str">
            <v>100 шт.</v>
          </cell>
          <cell r="I4644">
            <v>52.581899999999997</v>
          </cell>
          <cell r="O4644">
            <v>228.21</v>
          </cell>
          <cell r="R4644">
            <v>0</v>
          </cell>
          <cell r="X4644">
            <v>0</v>
          </cell>
          <cell r="Y4644">
            <v>0</v>
          </cell>
          <cell r="AK4644">
            <v>4.34</v>
          </cell>
        </row>
        <row r="4645">
          <cell r="O4645">
            <v>2288.9499999999998</v>
          </cell>
          <cell r="R4645">
            <v>0</v>
          </cell>
          <cell r="X4645">
            <v>0</v>
          </cell>
          <cell r="Y4645">
            <v>0</v>
          </cell>
          <cell r="AW4645">
            <v>1</v>
          </cell>
          <cell r="BC4645">
            <v>10.029999999999999</v>
          </cell>
        </row>
        <row r="4646">
          <cell r="F4646" t="str">
            <v>1.1-1-3257</v>
          </cell>
          <cell r="H4646" t="str">
            <v>кг</v>
          </cell>
          <cell r="I4646">
            <v>21.462</v>
          </cell>
          <cell r="O4646">
            <v>371.29</v>
          </cell>
          <cell r="R4646">
            <v>0</v>
          </cell>
          <cell r="X4646">
            <v>0</v>
          </cell>
          <cell r="Y4646">
            <v>0</v>
          </cell>
          <cell r="AK4646">
            <v>17.3</v>
          </cell>
        </row>
        <row r="4647">
          <cell r="O4647">
            <v>2201.75</v>
          </cell>
          <cell r="R4647">
            <v>0</v>
          </cell>
          <cell r="X4647">
            <v>0</v>
          </cell>
          <cell r="Y4647">
            <v>0</v>
          </cell>
          <cell r="AW4647">
            <v>1</v>
          </cell>
          <cell r="BC4647">
            <v>5.93</v>
          </cell>
        </row>
        <row r="4648">
          <cell r="F4648" t="str">
            <v>1.3-2-50</v>
          </cell>
          <cell r="H4648" t="str">
            <v>т</v>
          </cell>
          <cell r="I4648">
            <v>0.12264</v>
          </cell>
          <cell r="O4648">
            <v>733.15</v>
          </cell>
          <cell r="R4648">
            <v>0</v>
          </cell>
          <cell r="X4648">
            <v>0</v>
          </cell>
          <cell r="Y4648">
            <v>0</v>
          </cell>
          <cell r="AK4648">
            <v>5978.05</v>
          </cell>
        </row>
        <row r="4649">
          <cell r="O4649">
            <v>11224.53</v>
          </cell>
          <cell r="R4649">
            <v>0</v>
          </cell>
          <cell r="X4649">
            <v>0</v>
          </cell>
          <cell r="Y4649">
            <v>0</v>
          </cell>
          <cell r="AW4649">
            <v>1</v>
          </cell>
          <cell r="BC4649">
            <v>15.31</v>
          </cell>
        </row>
        <row r="4650">
          <cell r="F4650" t="str">
            <v>1.3-2-35</v>
          </cell>
          <cell r="H4650" t="str">
            <v>т</v>
          </cell>
          <cell r="I4650">
            <v>1.104833</v>
          </cell>
          <cell r="O4650">
            <v>1844.74</v>
          </cell>
          <cell r="R4650">
            <v>0</v>
          </cell>
          <cell r="X4650">
            <v>0</v>
          </cell>
          <cell r="Y4650">
            <v>0</v>
          </cell>
          <cell r="AK4650">
            <v>1669.7</v>
          </cell>
        </row>
        <row r="4651">
          <cell r="O4651">
            <v>14757.92</v>
          </cell>
          <cell r="R4651">
            <v>0</v>
          </cell>
          <cell r="X4651">
            <v>0</v>
          </cell>
          <cell r="Y4651">
            <v>0</v>
          </cell>
          <cell r="AW4651">
            <v>1</v>
          </cell>
          <cell r="BC4651">
            <v>8</v>
          </cell>
        </row>
        <row r="4652">
          <cell r="F4652" t="str">
            <v>1.1-1-3225</v>
          </cell>
          <cell r="H4652" t="str">
            <v>м2</v>
          </cell>
          <cell r="I4652">
            <v>156.36600000000001</v>
          </cell>
          <cell r="O4652">
            <v>19478.509999999998</v>
          </cell>
          <cell r="R4652">
            <v>0</v>
          </cell>
          <cell r="X4652">
            <v>0</v>
          </cell>
          <cell r="Y4652">
            <v>0</v>
          </cell>
          <cell r="AK4652">
            <v>124.57</v>
          </cell>
        </row>
        <row r="4653">
          <cell r="O4653">
            <v>129142.52</v>
          </cell>
          <cell r="R4653">
            <v>0</v>
          </cell>
          <cell r="X4653">
            <v>0</v>
          </cell>
          <cell r="Y4653">
            <v>0</v>
          </cell>
          <cell r="AW4653">
            <v>1</v>
          </cell>
          <cell r="BC4653">
            <v>6.63</v>
          </cell>
        </row>
        <row r="4655">
          <cell r="G4655" t="str">
            <v>Керамогранитный плинтус 95х600 мм</v>
          </cell>
        </row>
        <row r="4685">
          <cell r="G4685" t="str">
            <v>Коннелюрный плинтус (для завода покрытий на стену) 25х100 мм</v>
          </cell>
        </row>
        <row r="4689">
          <cell r="F4689" t="str">
            <v>3.70-207-1</v>
          </cell>
          <cell r="H4689" t="str">
            <v>100 м плинтусов</v>
          </cell>
          <cell r="I4689">
            <v>0.55000000000000004</v>
          </cell>
          <cell r="Q4689">
            <v>2.15</v>
          </cell>
          <cell r="R4689">
            <v>0.33</v>
          </cell>
          <cell r="S4689">
            <v>122.53</v>
          </cell>
          <cell r="U4689">
            <v>7.1441102699999997</v>
          </cell>
          <cell r="X4689">
            <v>124.09</v>
          </cell>
          <cell r="Y4689">
            <v>67.569999999999993</v>
          </cell>
          <cell r="AM4689">
            <v>2.4900000000000002</v>
          </cell>
          <cell r="AN4689">
            <v>0.38</v>
          </cell>
          <cell r="AO4689">
            <v>154.19</v>
          </cell>
          <cell r="AQ4689">
            <v>8.99</v>
          </cell>
        </row>
        <row r="4690">
          <cell r="Q4690">
            <v>36.74</v>
          </cell>
          <cell r="R4690">
            <v>18.600000000000001</v>
          </cell>
          <cell r="S4690">
            <v>6904.57</v>
          </cell>
          <cell r="X4690">
            <v>6992.4</v>
          </cell>
          <cell r="Y4690">
            <v>3807.74</v>
          </cell>
          <cell r="AT4690">
            <v>101</v>
          </cell>
          <cell r="AU4690">
            <v>55</v>
          </cell>
          <cell r="AV4690">
            <v>1.0469999999999999</v>
          </cell>
          <cell r="BA4690">
            <v>56.35</v>
          </cell>
          <cell r="BB4690">
            <v>17.09</v>
          </cell>
          <cell r="BS4690">
            <v>56.35</v>
          </cell>
          <cell r="BZ4690">
            <v>101</v>
          </cell>
          <cell r="CA4690">
            <v>55</v>
          </cell>
        </row>
        <row r="4691">
          <cell r="F4691" t="str">
            <v>1.1-1-394</v>
          </cell>
          <cell r="H4691" t="str">
            <v>кг</v>
          </cell>
          <cell r="I4691">
            <v>2.8325</v>
          </cell>
          <cell r="O4691">
            <v>28.27</v>
          </cell>
          <cell r="R4691">
            <v>0</v>
          </cell>
          <cell r="X4691">
            <v>0</v>
          </cell>
          <cell r="Y4691">
            <v>0</v>
          </cell>
          <cell r="AK4691">
            <v>9.98</v>
          </cell>
        </row>
        <row r="4692">
          <cell r="O4692">
            <v>240.01</v>
          </cell>
          <cell r="R4692">
            <v>0</v>
          </cell>
          <cell r="X4692">
            <v>0</v>
          </cell>
          <cell r="Y4692">
            <v>0</v>
          </cell>
          <cell r="AW4692">
            <v>1</v>
          </cell>
          <cell r="BC4692">
            <v>8.49</v>
          </cell>
        </row>
        <row r="4693">
          <cell r="F4693" t="str">
            <v>КА-189</v>
          </cell>
          <cell r="H4693" t="str">
            <v>ПМ</v>
          </cell>
          <cell r="I4693">
            <v>55.55</v>
          </cell>
          <cell r="O4693">
            <v>518.84</v>
          </cell>
          <cell r="R4693">
            <v>0</v>
          </cell>
          <cell r="X4693">
            <v>0</v>
          </cell>
          <cell r="Y4693">
            <v>0</v>
          </cell>
          <cell r="AK4693">
            <v>9.34</v>
          </cell>
        </row>
        <row r="4694">
          <cell r="O4694">
            <v>5105.3900000000003</v>
          </cell>
          <cell r="R4694">
            <v>0</v>
          </cell>
          <cell r="X4694">
            <v>0</v>
          </cell>
          <cell r="Y4694">
            <v>0</v>
          </cell>
          <cell r="AW4694">
            <v>1</v>
          </cell>
          <cell r="BC4694">
            <v>9.84</v>
          </cell>
        </row>
        <row r="4695">
          <cell r="F4695" t="str">
            <v>КА-190</v>
          </cell>
          <cell r="H4695" t="str">
            <v>ПМ</v>
          </cell>
          <cell r="I4695">
            <v>55.55</v>
          </cell>
          <cell r="O4695">
            <v>1085.45</v>
          </cell>
          <cell r="R4695">
            <v>0</v>
          </cell>
          <cell r="X4695">
            <v>0</v>
          </cell>
          <cell r="Y4695">
            <v>0</v>
          </cell>
          <cell r="AK4695">
            <v>19.54</v>
          </cell>
        </row>
        <row r="4696">
          <cell r="O4696">
            <v>10680.83</v>
          </cell>
          <cell r="R4696">
            <v>0</v>
          </cell>
          <cell r="X4696">
            <v>0</v>
          </cell>
          <cell r="Y4696">
            <v>0</v>
          </cell>
          <cell r="AW4696">
            <v>1</v>
          </cell>
          <cell r="BC4696">
            <v>9.84</v>
          </cell>
        </row>
        <row r="4698">
          <cell r="G4698" t="str">
            <v>Коннелюрный плинтус (для завода покрытий на стену) 25х100 мм</v>
          </cell>
        </row>
        <row r="4728">
          <cell r="G4728" t="str">
            <v>Плинтус вентилируемый из массива сосны срощенный</v>
          </cell>
        </row>
        <row r="4732">
          <cell r="F4732" t="str">
            <v>3.70-206-1</v>
          </cell>
          <cell r="H4732" t="str">
            <v>100 м плинтусов</v>
          </cell>
          <cell r="I4732">
            <v>2.31</v>
          </cell>
          <cell r="P4732">
            <v>14.74</v>
          </cell>
          <cell r="Q4732">
            <v>24.13</v>
          </cell>
          <cell r="R4732">
            <v>3.66</v>
          </cell>
          <cell r="S4732">
            <v>382.53</v>
          </cell>
          <cell r="U4732">
            <v>25.532843489999998</v>
          </cell>
          <cell r="X4732">
            <v>390.05</v>
          </cell>
          <cell r="Y4732">
            <v>212.4</v>
          </cell>
          <cell r="AL4732">
            <v>6.38</v>
          </cell>
          <cell r="AM4732">
            <v>6.65</v>
          </cell>
          <cell r="AN4732">
            <v>1.01</v>
          </cell>
          <cell r="AO4732">
            <v>114.61</v>
          </cell>
          <cell r="AQ4732">
            <v>7.65</v>
          </cell>
        </row>
        <row r="4733">
          <cell r="P4733">
            <v>147.11000000000001</v>
          </cell>
          <cell r="Q4733">
            <v>411.66</v>
          </cell>
          <cell r="R4733">
            <v>206.24</v>
          </cell>
          <cell r="S4733">
            <v>21555.57</v>
          </cell>
          <cell r="X4733">
            <v>21979.43</v>
          </cell>
          <cell r="Y4733">
            <v>11969</v>
          </cell>
          <cell r="AT4733">
            <v>101</v>
          </cell>
          <cell r="AU4733">
            <v>55</v>
          </cell>
          <cell r="AV4733">
            <v>1.0469999999999999</v>
          </cell>
          <cell r="AW4733">
            <v>1</v>
          </cell>
          <cell r="BA4733">
            <v>56.35</v>
          </cell>
          <cell r="BB4733">
            <v>17.059999999999999</v>
          </cell>
          <cell r="BC4733">
            <v>9.98</v>
          </cell>
          <cell r="BS4733">
            <v>56.35</v>
          </cell>
          <cell r="BZ4733">
            <v>101</v>
          </cell>
          <cell r="CA4733">
            <v>55</v>
          </cell>
        </row>
        <row r="4734">
          <cell r="F4734" t="str">
            <v>КА-191</v>
          </cell>
          <cell r="H4734" t="str">
            <v>ПМ</v>
          </cell>
          <cell r="I4734">
            <v>127.05</v>
          </cell>
          <cell r="O4734">
            <v>2859.9</v>
          </cell>
          <cell r="R4734">
            <v>0</v>
          </cell>
          <cell r="X4734">
            <v>0</v>
          </cell>
          <cell r="Y4734">
            <v>0</v>
          </cell>
          <cell r="AK4734">
            <v>22.51</v>
          </cell>
        </row>
        <row r="4735">
          <cell r="O4735">
            <v>28141.42</v>
          </cell>
          <cell r="R4735">
            <v>0</v>
          </cell>
          <cell r="X4735">
            <v>0</v>
          </cell>
          <cell r="Y4735">
            <v>0</v>
          </cell>
          <cell r="AW4735">
            <v>1</v>
          </cell>
          <cell r="BC4735">
            <v>9.84</v>
          </cell>
        </row>
        <row r="4736">
          <cell r="F4736" t="str">
            <v>КА-192</v>
          </cell>
          <cell r="H4736" t="str">
            <v>ПМ</v>
          </cell>
          <cell r="I4736">
            <v>115.5</v>
          </cell>
          <cell r="P4736">
            <v>2454.38</v>
          </cell>
          <cell r="R4736">
            <v>0</v>
          </cell>
          <cell r="X4736">
            <v>0</v>
          </cell>
          <cell r="Y4736">
            <v>0</v>
          </cell>
          <cell r="AL4736">
            <v>21.25</v>
          </cell>
        </row>
        <row r="4737">
          <cell r="P4737">
            <v>24151.1</v>
          </cell>
          <cell r="R4737">
            <v>0</v>
          </cell>
          <cell r="X4737">
            <v>0</v>
          </cell>
          <cell r="Y4737">
            <v>0</v>
          </cell>
          <cell r="AW4737">
            <v>1</v>
          </cell>
          <cell r="BC4737">
            <v>9.84</v>
          </cell>
        </row>
        <row r="4739">
          <cell r="G4739" t="str">
            <v>Плинтус вентилируемый из массива сосны срощенный</v>
          </cell>
        </row>
        <row r="4769">
          <cell r="G4769" t="str">
            <v>Плинтуса</v>
          </cell>
        </row>
        <row r="4799">
          <cell r="G4799" t="str">
            <v>Прочее</v>
          </cell>
        </row>
        <row r="4803">
          <cell r="F4803" t="str">
            <v>6.59-4-1</v>
          </cell>
          <cell r="H4803" t="str">
            <v>100 м решетки</v>
          </cell>
          <cell r="I4803">
            <v>2.1150000000000002</v>
          </cell>
          <cell r="P4803">
            <v>115.8</v>
          </cell>
          <cell r="Q4803">
            <v>3.51</v>
          </cell>
          <cell r="R4803">
            <v>0</v>
          </cell>
          <cell r="S4803">
            <v>1308.42</v>
          </cell>
          <cell r="U4803">
            <v>125.6896278</v>
          </cell>
          <cell r="X4803">
            <v>1164.49</v>
          </cell>
          <cell r="Y4803">
            <v>588.79</v>
          </cell>
          <cell r="AL4803">
            <v>54.75</v>
          </cell>
          <cell r="AM4803">
            <v>1.32</v>
          </cell>
          <cell r="AO4803">
            <v>492.39</v>
          </cell>
          <cell r="AQ4803">
            <v>47.3</v>
          </cell>
        </row>
        <row r="4804">
          <cell r="P4804">
            <v>1800.69</v>
          </cell>
          <cell r="Q4804">
            <v>32.5</v>
          </cell>
          <cell r="R4804">
            <v>0</v>
          </cell>
          <cell r="S4804">
            <v>73729.47</v>
          </cell>
          <cell r="X4804">
            <v>65619.23</v>
          </cell>
          <cell r="Y4804">
            <v>33178.26</v>
          </cell>
          <cell r="AT4804">
            <v>89</v>
          </cell>
          <cell r="AU4804">
            <v>45</v>
          </cell>
          <cell r="AV4804">
            <v>1.0469999999999999</v>
          </cell>
          <cell r="AW4804">
            <v>1</v>
          </cell>
          <cell r="BA4804">
            <v>56.35</v>
          </cell>
          <cell r="BB4804">
            <v>9.26</v>
          </cell>
          <cell r="BC4804">
            <v>15.55</v>
          </cell>
          <cell r="BZ4804">
            <v>89</v>
          </cell>
          <cell r="CA4804">
            <v>45</v>
          </cell>
        </row>
        <row r="4806">
          <cell r="G4806" t="str">
            <v>Прочее</v>
          </cell>
        </row>
        <row r="4836">
          <cell r="G4836" t="str">
            <v>Трансформируемые перегородки</v>
          </cell>
        </row>
        <row r="4840">
          <cell r="F4840" t="str">
            <v>3.70-51-1</v>
          </cell>
          <cell r="H4840" t="str">
            <v>100 м2</v>
          </cell>
          <cell r="I4840">
            <v>0.59799999999999998</v>
          </cell>
          <cell r="P4840">
            <v>236.01</v>
          </cell>
          <cell r="Q4840">
            <v>577.41999999999996</v>
          </cell>
          <cell r="R4840">
            <v>36.619999999999997</v>
          </cell>
          <cell r="S4840">
            <v>6078.66</v>
          </cell>
          <cell r="U4840">
            <v>348.94695731999997</v>
          </cell>
          <cell r="X4840">
            <v>5136.84</v>
          </cell>
          <cell r="Y4840">
            <v>3241.1</v>
          </cell>
          <cell r="AL4840">
            <v>394.67</v>
          </cell>
          <cell r="AM4840">
            <v>592.20000000000005</v>
          </cell>
          <cell r="AN4840">
            <v>37.56</v>
          </cell>
          <cell r="AO4840">
            <v>6776.38</v>
          </cell>
          <cell r="AQ4840">
            <v>389</v>
          </cell>
        </row>
        <row r="4841">
          <cell r="P4841">
            <v>2395.5</v>
          </cell>
          <cell r="Q4841">
            <v>7546.88</v>
          </cell>
          <cell r="R4841">
            <v>2063.54</v>
          </cell>
          <cell r="S4841">
            <v>342532.49</v>
          </cell>
          <cell r="X4841">
            <v>289460.67</v>
          </cell>
          <cell r="Y4841">
            <v>182635.9</v>
          </cell>
          <cell r="AT4841">
            <v>84</v>
          </cell>
          <cell r="AU4841">
            <v>53</v>
          </cell>
          <cell r="AV4841">
            <v>1.087</v>
          </cell>
          <cell r="AW4841">
            <v>1</v>
          </cell>
          <cell r="BA4841">
            <v>56.35</v>
          </cell>
          <cell r="BB4841">
            <v>13.07</v>
          </cell>
          <cell r="BC4841">
            <v>10.15</v>
          </cell>
          <cell r="BS4841">
            <v>56.35</v>
          </cell>
          <cell r="BZ4841">
            <v>84</v>
          </cell>
          <cell r="CA4841">
            <v>53</v>
          </cell>
        </row>
        <row r="4842">
          <cell r="F4842" t="str">
            <v>КА-193</v>
          </cell>
          <cell r="H4842" t="str">
            <v>м2</v>
          </cell>
          <cell r="I4842">
            <v>34.5</v>
          </cell>
          <cell r="O4842">
            <v>70351.710000000006</v>
          </cell>
          <cell r="R4842">
            <v>0</v>
          </cell>
          <cell r="X4842">
            <v>0</v>
          </cell>
          <cell r="Y4842">
            <v>0</v>
          </cell>
          <cell r="AK4842">
            <v>2039.18</v>
          </cell>
        </row>
        <row r="4843">
          <cell r="O4843">
            <v>692260.83</v>
          </cell>
          <cell r="R4843">
            <v>0</v>
          </cell>
          <cell r="X4843">
            <v>0</v>
          </cell>
          <cell r="Y4843">
            <v>0</v>
          </cell>
          <cell r="AW4843">
            <v>1</v>
          </cell>
          <cell r="BC4843">
            <v>9.84</v>
          </cell>
        </row>
        <row r="4844">
          <cell r="F4844" t="str">
            <v>КА-194</v>
          </cell>
          <cell r="H4844" t="str">
            <v>м2</v>
          </cell>
          <cell r="I4844">
            <v>25.3</v>
          </cell>
          <cell r="P4844">
            <v>51591.25</v>
          </cell>
          <cell r="R4844">
            <v>0</v>
          </cell>
          <cell r="X4844">
            <v>0</v>
          </cell>
          <cell r="Y4844">
            <v>0</v>
          </cell>
          <cell r="AL4844">
            <v>2039.18</v>
          </cell>
        </row>
        <row r="4845">
          <cell r="P4845">
            <v>507657.9</v>
          </cell>
          <cell r="R4845">
            <v>0</v>
          </cell>
          <cell r="X4845">
            <v>0</v>
          </cell>
          <cell r="Y4845">
            <v>0</v>
          </cell>
          <cell r="AW4845">
            <v>1</v>
          </cell>
          <cell r="BC4845">
            <v>9.84</v>
          </cell>
        </row>
        <row r="4847">
          <cell r="G4847" t="str">
            <v>Трансформируемые перегородки</v>
          </cell>
        </row>
        <row r="4877">
          <cell r="G4877" t="str">
            <v>Сантехнические перегородки из HPL-панелей</v>
          </cell>
        </row>
        <row r="4881">
          <cell r="F4881" t="str">
            <v>3.70-51-1</v>
          </cell>
          <cell r="H4881" t="str">
            <v>100 м2</v>
          </cell>
          <cell r="I4881">
            <v>1.516</v>
          </cell>
          <cell r="P4881">
            <v>598.32000000000005</v>
          </cell>
          <cell r="Q4881">
            <v>1463.82</v>
          </cell>
          <cell r="R4881">
            <v>92.84</v>
          </cell>
          <cell r="S4881">
            <v>15410.1</v>
          </cell>
          <cell r="U4881">
            <v>884.62138343999993</v>
          </cell>
          <cell r="X4881">
            <v>13022.47</v>
          </cell>
          <cell r="Y4881">
            <v>8216.56</v>
          </cell>
          <cell r="AL4881">
            <v>394.67</v>
          </cell>
          <cell r="AM4881">
            <v>592.20000000000005</v>
          </cell>
          <cell r="AN4881">
            <v>37.56</v>
          </cell>
          <cell r="AO4881">
            <v>6776.38</v>
          </cell>
          <cell r="AQ4881">
            <v>389</v>
          </cell>
        </row>
        <row r="4882">
          <cell r="P4882">
            <v>6072.95</v>
          </cell>
          <cell r="Q4882">
            <v>19132.13</v>
          </cell>
          <cell r="R4882">
            <v>5231.53</v>
          </cell>
          <cell r="S4882">
            <v>868359.14</v>
          </cell>
          <cell r="X4882">
            <v>733816.16</v>
          </cell>
          <cell r="Y4882">
            <v>463003.06</v>
          </cell>
          <cell r="AT4882">
            <v>84</v>
          </cell>
          <cell r="AU4882">
            <v>53</v>
          </cell>
          <cell r="AV4882">
            <v>1.087</v>
          </cell>
          <cell r="AW4882">
            <v>1</v>
          </cell>
          <cell r="BA4882">
            <v>56.35</v>
          </cell>
          <cell r="BB4882">
            <v>13.07</v>
          </cell>
          <cell r="BC4882">
            <v>10.15</v>
          </cell>
          <cell r="BS4882">
            <v>56.35</v>
          </cell>
          <cell r="BZ4882">
            <v>84</v>
          </cell>
          <cell r="CA4882">
            <v>53</v>
          </cell>
        </row>
        <row r="4883">
          <cell r="F4883" t="str">
            <v>КА-195</v>
          </cell>
          <cell r="H4883" t="str">
            <v>м2</v>
          </cell>
          <cell r="I4883">
            <v>151.6</v>
          </cell>
          <cell r="O4883">
            <v>154569.84</v>
          </cell>
          <cell r="R4883">
            <v>0</v>
          </cell>
          <cell r="X4883">
            <v>0</v>
          </cell>
          <cell r="Y4883">
            <v>0</v>
          </cell>
          <cell r="AK4883">
            <v>1019.59</v>
          </cell>
        </row>
        <row r="4884">
          <cell r="O4884">
            <v>1520967.23</v>
          </cell>
          <cell r="R4884">
            <v>0</v>
          </cell>
          <cell r="X4884">
            <v>0</v>
          </cell>
          <cell r="Y4884">
            <v>0</v>
          </cell>
          <cell r="AW4884">
            <v>1</v>
          </cell>
          <cell r="BC4884">
            <v>9.84</v>
          </cell>
        </row>
        <row r="4886">
          <cell r="G4886" t="str">
            <v>Сантехнические перегородки из HPL-панелей</v>
          </cell>
        </row>
        <row r="4916">
          <cell r="G4916" t="str">
            <v>Ограждения</v>
          </cell>
        </row>
        <row r="4920">
          <cell r="G4920" t="str">
            <v>Демонтажные работы</v>
          </cell>
        </row>
        <row r="4924">
          <cell r="F4924" t="str">
            <v>3.70-27-4</v>
          </cell>
          <cell r="H4924" t="str">
            <v>100 м ограждений</v>
          </cell>
          <cell r="I4924">
            <v>1.905</v>
          </cell>
          <cell r="Q4924">
            <v>83.68</v>
          </cell>
          <cell r="R4924">
            <v>9.75</v>
          </cell>
          <cell r="S4924">
            <v>984.65</v>
          </cell>
          <cell r="U4924">
            <v>59.596705799999988</v>
          </cell>
          <cell r="X4924">
            <v>984.46</v>
          </cell>
          <cell r="Y4924">
            <v>616.53</v>
          </cell>
          <cell r="AM4924">
            <v>58.27</v>
          </cell>
          <cell r="AN4924">
            <v>6.79</v>
          </cell>
          <cell r="AO4924">
            <v>685.66</v>
          </cell>
          <cell r="AQ4924">
            <v>41.5</v>
          </cell>
        </row>
        <row r="4925">
          <cell r="Q4925">
            <v>1292.8599999999999</v>
          </cell>
          <cell r="R4925">
            <v>549.41</v>
          </cell>
          <cell r="S4925">
            <v>55485.03</v>
          </cell>
          <cell r="X4925">
            <v>55474.1</v>
          </cell>
          <cell r="Y4925">
            <v>34741.35</v>
          </cell>
          <cell r="AT4925">
            <v>99</v>
          </cell>
          <cell r="AU4925">
            <v>62</v>
          </cell>
          <cell r="AV4925">
            <v>1.0469999999999999</v>
          </cell>
          <cell r="BA4925">
            <v>56.35</v>
          </cell>
          <cell r="BB4925">
            <v>15.45</v>
          </cell>
          <cell r="BS4925">
            <v>56.35</v>
          </cell>
          <cell r="BZ4925">
            <v>99</v>
          </cell>
          <cell r="CA4925">
            <v>62</v>
          </cell>
        </row>
        <row r="4927">
          <cell r="G4927" t="str">
            <v>Демонтажные работы</v>
          </cell>
        </row>
        <row r="4957">
          <cell r="G4957" t="str">
            <v>Ограждение внутренних лестниц</v>
          </cell>
        </row>
        <row r="4961">
          <cell r="F4961" t="str">
            <v>3.70-27-4</v>
          </cell>
          <cell r="H4961" t="str">
            <v>100 м ограждений</v>
          </cell>
          <cell r="I4961">
            <v>2.16</v>
          </cell>
          <cell r="Q4961">
            <v>197.67</v>
          </cell>
          <cell r="R4961">
            <v>23.03</v>
          </cell>
          <cell r="S4961">
            <v>2139.87</v>
          </cell>
          <cell r="U4961">
            <v>129.51725039999997</v>
          </cell>
          <cell r="X4961">
            <v>2141.27</v>
          </cell>
          <cell r="Y4961">
            <v>1341</v>
          </cell>
          <cell r="AM4961">
            <v>58.27</v>
          </cell>
          <cell r="AN4961">
            <v>6.79</v>
          </cell>
          <cell r="AO4961">
            <v>685.66</v>
          </cell>
          <cell r="AQ4961">
            <v>41.5</v>
          </cell>
        </row>
        <row r="4962">
          <cell r="Q4962">
            <v>3054</v>
          </cell>
          <cell r="R4962">
            <v>1297.74</v>
          </cell>
          <cell r="S4962">
            <v>120581.67</v>
          </cell>
          <cell r="X4962">
            <v>120660.62</v>
          </cell>
          <cell r="Y4962">
            <v>75565.23</v>
          </cell>
          <cell r="AT4962">
            <v>99</v>
          </cell>
          <cell r="AU4962">
            <v>62</v>
          </cell>
          <cell r="AV4962">
            <v>1.0469999999999999</v>
          </cell>
          <cell r="BA4962">
            <v>56.35</v>
          </cell>
          <cell r="BB4962">
            <v>15.45</v>
          </cell>
          <cell r="BS4962">
            <v>56.35</v>
          </cell>
          <cell r="BZ4962">
            <v>99</v>
          </cell>
          <cell r="CA4962">
            <v>62</v>
          </cell>
        </row>
        <row r="4963">
          <cell r="F4963" t="str">
            <v>1.1-1-1328</v>
          </cell>
          <cell r="H4963" t="str">
            <v>т</v>
          </cell>
          <cell r="I4963">
            <v>0.32400000000000001</v>
          </cell>
          <cell r="O4963">
            <v>101.57</v>
          </cell>
          <cell r="R4963">
            <v>0</v>
          </cell>
          <cell r="X4963">
            <v>0</v>
          </cell>
          <cell r="Y4963">
            <v>0</v>
          </cell>
          <cell r="AK4963">
            <v>313.5</v>
          </cell>
        </row>
        <row r="4964">
          <cell r="O4964">
            <v>2364.5500000000002</v>
          </cell>
          <cell r="R4964">
            <v>0</v>
          </cell>
          <cell r="X4964">
            <v>0</v>
          </cell>
          <cell r="Y4964">
            <v>0</v>
          </cell>
          <cell r="AW4964">
            <v>1</v>
          </cell>
          <cell r="BC4964">
            <v>23.28</v>
          </cell>
        </row>
        <row r="4965">
          <cell r="F4965" t="str">
            <v>КА. п. 196</v>
          </cell>
          <cell r="H4965" t="str">
            <v>ПОГ.М</v>
          </cell>
          <cell r="I4965">
            <v>66</v>
          </cell>
          <cell r="P4965">
            <v>49030.74</v>
          </cell>
          <cell r="R4965">
            <v>0</v>
          </cell>
          <cell r="X4965">
            <v>0</v>
          </cell>
          <cell r="Y4965">
            <v>0</v>
          </cell>
          <cell r="AL4965">
            <v>742.8900000000001</v>
          </cell>
        </row>
        <row r="4966">
          <cell r="P4966">
            <v>482462.48</v>
          </cell>
          <cell r="R4966">
            <v>0</v>
          </cell>
          <cell r="X4966">
            <v>0</v>
          </cell>
          <cell r="Y4966">
            <v>0</v>
          </cell>
          <cell r="AW4966">
            <v>1</v>
          </cell>
          <cell r="BC4966">
            <v>9.84</v>
          </cell>
        </row>
        <row r="4967">
          <cell r="F4967" t="str">
            <v>КА. п. 197</v>
          </cell>
          <cell r="H4967" t="str">
            <v>ПОГ.М</v>
          </cell>
          <cell r="I4967">
            <v>15</v>
          </cell>
          <cell r="P4967">
            <v>25785.15</v>
          </cell>
          <cell r="R4967">
            <v>0</v>
          </cell>
          <cell r="X4967">
            <v>0</v>
          </cell>
          <cell r="Y4967">
            <v>0</v>
          </cell>
          <cell r="AL4967">
            <v>1719.01</v>
          </cell>
        </row>
        <row r="4968">
          <cell r="P4968">
            <v>253725.88</v>
          </cell>
          <cell r="R4968">
            <v>0</v>
          </cell>
          <cell r="X4968">
            <v>0</v>
          </cell>
          <cell r="Y4968">
            <v>0</v>
          </cell>
          <cell r="AW4968">
            <v>1</v>
          </cell>
          <cell r="BC4968">
            <v>9.84</v>
          </cell>
        </row>
        <row r="4969">
          <cell r="F4969" t="str">
            <v>КА. п. 198</v>
          </cell>
          <cell r="H4969" t="str">
            <v>ПОГ.М</v>
          </cell>
          <cell r="I4969">
            <v>90</v>
          </cell>
          <cell r="P4969">
            <v>27988.2</v>
          </cell>
          <cell r="R4969">
            <v>0</v>
          </cell>
          <cell r="X4969">
            <v>0</v>
          </cell>
          <cell r="Y4969">
            <v>0</v>
          </cell>
          <cell r="AL4969">
            <v>310.98</v>
          </cell>
        </row>
        <row r="4970">
          <cell r="P4970">
            <v>275403.89</v>
          </cell>
          <cell r="R4970">
            <v>0</v>
          </cell>
          <cell r="X4970">
            <v>0</v>
          </cell>
          <cell r="Y4970">
            <v>0</v>
          </cell>
          <cell r="AW4970">
            <v>1</v>
          </cell>
          <cell r="BC4970">
            <v>9.84</v>
          </cell>
        </row>
        <row r="4971">
          <cell r="F4971" t="str">
            <v>КА. п. 199</v>
          </cell>
          <cell r="H4971" t="str">
            <v>ПОГ.М</v>
          </cell>
          <cell r="I4971">
            <v>25.5</v>
          </cell>
          <cell r="P4971">
            <v>3965</v>
          </cell>
          <cell r="R4971">
            <v>0</v>
          </cell>
          <cell r="X4971">
            <v>0</v>
          </cell>
          <cell r="Y4971">
            <v>0</v>
          </cell>
          <cell r="AL4971">
            <v>155.49</v>
          </cell>
        </row>
        <row r="4972">
          <cell r="P4972">
            <v>39015.599999999999</v>
          </cell>
          <cell r="R4972">
            <v>0</v>
          </cell>
          <cell r="X4972">
            <v>0</v>
          </cell>
          <cell r="Y4972">
            <v>0</v>
          </cell>
          <cell r="AW4972">
            <v>1</v>
          </cell>
          <cell r="BC4972">
            <v>9.84</v>
          </cell>
        </row>
        <row r="4973">
          <cell r="F4973" t="str">
            <v>КА. п. 200</v>
          </cell>
          <cell r="H4973" t="str">
            <v>ПОГ.М</v>
          </cell>
          <cell r="I4973">
            <v>15</v>
          </cell>
          <cell r="P4973">
            <v>5053.3500000000004</v>
          </cell>
          <cell r="R4973">
            <v>0</v>
          </cell>
          <cell r="X4973">
            <v>0</v>
          </cell>
          <cell r="Y4973">
            <v>0</v>
          </cell>
          <cell r="AL4973">
            <v>336.89</v>
          </cell>
        </row>
        <row r="4974">
          <cell r="P4974">
            <v>49724.959999999999</v>
          </cell>
          <cell r="R4974">
            <v>0</v>
          </cell>
          <cell r="X4974">
            <v>0</v>
          </cell>
          <cell r="Y4974">
            <v>0</v>
          </cell>
          <cell r="AW4974">
            <v>1</v>
          </cell>
          <cell r="BC4974">
            <v>9.84</v>
          </cell>
        </row>
        <row r="4975">
          <cell r="F4975" t="str">
            <v>КА. п. 201</v>
          </cell>
          <cell r="H4975" t="str">
            <v>ПОГ.М</v>
          </cell>
          <cell r="I4975">
            <v>4.5</v>
          </cell>
          <cell r="P4975">
            <v>3343.01</v>
          </cell>
          <cell r="R4975">
            <v>0</v>
          </cell>
          <cell r="X4975">
            <v>0</v>
          </cell>
          <cell r="Y4975">
            <v>0</v>
          </cell>
          <cell r="AL4975">
            <v>742.8900000000001</v>
          </cell>
        </row>
        <row r="4976">
          <cell r="P4976">
            <v>32895.22</v>
          </cell>
          <cell r="R4976">
            <v>0</v>
          </cell>
          <cell r="X4976">
            <v>0</v>
          </cell>
          <cell r="Y4976">
            <v>0</v>
          </cell>
          <cell r="AW4976">
            <v>1</v>
          </cell>
          <cell r="BC4976">
            <v>9.84</v>
          </cell>
        </row>
        <row r="4978">
          <cell r="G4978" t="str">
            <v>Ограждение внутренних лестниц</v>
          </cell>
        </row>
        <row r="5008">
          <cell r="G5008" t="str">
            <v>Декоративная перегородка  К-1</v>
          </cell>
        </row>
        <row r="5012">
          <cell r="F5012" t="str">
            <v>3.9-40-1</v>
          </cell>
          <cell r="H5012" t="str">
            <v>100 м2</v>
          </cell>
          <cell r="I5012">
            <v>4.8000000000000001E-2</v>
          </cell>
          <cell r="P5012">
            <v>1.38</v>
          </cell>
          <cell r="Q5012">
            <v>5.65</v>
          </cell>
          <cell r="R5012">
            <v>0.61</v>
          </cell>
          <cell r="S5012">
            <v>45.43</v>
          </cell>
          <cell r="U5012">
            <v>3.4417376639999993</v>
          </cell>
          <cell r="X5012">
            <v>38.67</v>
          </cell>
          <cell r="Y5012">
            <v>24.4</v>
          </cell>
          <cell r="AL5012">
            <v>28.82</v>
          </cell>
          <cell r="AM5012">
            <v>72.16</v>
          </cell>
          <cell r="AN5012">
            <v>7.77</v>
          </cell>
          <cell r="AO5012">
            <v>630.96</v>
          </cell>
          <cell r="AQ5012">
            <v>47.8</v>
          </cell>
        </row>
        <row r="5013">
          <cell r="P5013">
            <v>11.01</v>
          </cell>
          <cell r="Q5013">
            <v>84.98</v>
          </cell>
          <cell r="R5013">
            <v>34.369999999999997</v>
          </cell>
          <cell r="S5013">
            <v>2559.98</v>
          </cell>
          <cell r="X5013">
            <v>2179.25</v>
          </cell>
          <cell r="Y5013">
            <v>1375.01</v>
          </cell>
          <cell r="AT5013">
            <v>84</v>
          </cell>
          <cell r="AU5013">
            <v>53</v>
          </cell>
          <cell r="AV5013">
            <v>1.087</v>
          </cell>
          <cell r="AW5013">
            <v>1</v>
          </cell>
          <cell r="BA5013">
            <v>56.35</v>
          </cell>
          <cell r="BB5013">
            <v>15.04</v>
          </cell>
          <cell r="BC5013">
            <v>7.98</v>
          </cell>
          <cell r="BS5013">
            <v>56.35</v>
          </cell>
          <cell r="BZ5013">
            <v>84</v>
          </cell>
          <cell r="CA5013">
            <v>53</v>
          </cell>
        </row>
        <row r="5014">
          <cell r="F5014" t="str">
            <v>КА. п. 202</v>
          </cell>
          <cell r="H5014" t="str">
            <v>ШТ</v>
          </cell>
          <cell r="I5014">
            <v>15</v>
          </cell>
          <cell r="P5014">
            <v>1611</v>
          </cell>
          <cell r="R5014">
            <v>0</v>
          </cell>
          <cell r="X5014">
            <v>0</v>
          </cell>
          <cell r="Y5014">
            <v>0</v>
          </cell>
          <cell r="AL5014">
            <v>107.4</v>
          </cell>
        </row>
        <row r="5015">
          <cell r="P5015">
            <v>15852.24</v>
          </cell>
          <cell r="R5015">
            <v>0</v>
          </cell>
          <cell r="X5015">
            <v>0</v>
          </cell>
          <cell r="Y5015">
            <v>0</v>
          </cell>
          <cell r="AW5015">
            <v>1</v>
          </cell>
          <cell r="BC5015">
            <v>9.84</v>
          </cell>
        </row>
        <row r="5017">
          <cell r="G5017" t="str">
            <v>Декоративная перегородка  К-1</v>
          </cell>
        </row>
        <row r="5047">
          <cell r="G5047" t="str">
            <v>Ограждения</v>
          </cell>
        </row>
        <row r="5077">
          <cell r="G5077" t="str">
            <v>Архитектурные решения</v>
          </cell>
        </row>
        <row r="5107">
          <cell r="G5107" t="str">
            <v/>
          </cell>
        </row>
        <row r="5116">
          <cell r="F5116">
            <v>0</v>
          </cell>
          <cell r="P5116">
            <v>0</v>
          </cell>
        </row>
        <row r="5121">
          <cell r="F5121">
            <v>87002.13</v>
          </cell>
          <cell r="P5121">
            <v>4902570.03</v>
          </cell>
        </row>
        <row r="5122">
          <cell r="F5122">
            <v>1947210.79</v>
          </cell>
          <cell r="P5122">
            <v>107443567.01000001</v>
          </cell>
        </row>
        <row r="5124">
          <cell r="F5124">
            <v>31451347.280000001</v>
          </cell>
          <cell r="P5124">
            <v>495676010.43000001</v>
          </cell>
        </row>
        <row r="5125">
          <cell r="F5125">
            <v>1462.08</v>
          </cell>
          <cell r="P5125">
            <v>19135.509999999998</v>
          </cell>
        </row>
        <row r="5126">
          <cell r="F5126">
            <v>0</v>
          </cell>
          <cell r="P5126">
            <v>0</v>
          </cell>
        </row>
        <row r="5127">
          <cell r="F5127">
            <v>0</v>
          </cell>
          <cell r="P5127">
            <v>0</v>
          </cell>
        </row>
        <row r="5129">
          <cell r="F5129">
            <v>136317.44786873486</v>
          </cell>
        </row>
      </sheetData>
      <sheetData sheetId="2"/>
      <sheetData sheetId="3"/>
      <sheetData sheetId="4"/>
      <sheetData sheetId="5"/>
      <sheetData sheetId="6"/>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2:AY5135"/>
  <sheetViews>
    <sheetView tabSelected="1" topLeftCell="A1714" zoomScale="65" zoomScaleNormal="65" workbookViewId="0">
      <selection activeCell="BA1733" sqref="BA1733"/>
    </sheetView>
  </sheetViews>
  <sheetFormatPr defaultRowHeight="13.2" x14ac:dyDescent="0.25"/>
  <cols>
    <col min="1" max="1" width="5.6640625" customWidth="1"/>
    <col min="2" max="2" width="5.88671875" customWidth="1"/>
    <col min="3" max="3" width="40.6640625" customWidth="1"/>
    <col min="4" max="5" width="7.21875" customWidth="1"/>
    <col min="6" max="6" width="9.6640625" hidden="1" customWidth="1"/>
    <col min="7" max="7" width="13.109375" hidden="1" customWidth="1"/>
    <col min="8" max="8" width="8.88671875" hidden="1" customWidth="1"/>
    <col min="9" max="10" width="10.77734375" hidden="1" customWidth="1"/>
    <col min="11" max="11" width="13.6640625" bestFit="1" customWidth="1"/>
    <col min="12" max="12" width="13.109375" customWidth="1"/>
    <col min="13" max="13" width="15.21875" customWidth="1"/>
    <col min="14" max="14" width="16.44140625" customWidth="1"/>
    <col min="15" max="41" width="0" hidden="1" customWidth="1"/>
    <col min="42" max="42" width="127.21875" hidden="1" customWidth="1"/>
    <col min="43" max="43" width="95.77734375" hidden="1" customWidth="1"/>
    <col min="44" max="47" width="0" hidden="1" customWidth="1"/>
  </cols>
  <sheetData>
    <row r="2" spans="1:42" x14ac:dyDescent="0.25">
      <c r="A2" s="1" t="s">
        <v>0</v>
      </c>
    </row>
    <row r="3" spans="1:42" ht="13.2" customHeight="1" x14ac:dyDescent="0.25">
      <c r="L3" s="2" t="s">
        <v>1</v>
      </c>
      <c r="M3" s="2" t="s">
        <v>2</v>
      </c>
    </row>
    <row r="4" spans="1:42" ht="40.200000000000003" customHeight="1" x14ac:dyDescent="0.25">
      <c r="A4" s="3"/>
      <c r="L4" s="4"/>
      <c r="M4" s="4"/>
    </row>
    <row r="5" spans="1:42" ht="13.8" hidden="1" x14ac:dyDescent="0.25">
      <c r="A5" s="5"/>
      <c r="B5" s="5"/>
      <c r="C5" s="5"/>
      <c r="D5" s="5"/>
      <c r="E5" s="5"/>
      <c r="F5" s="5"/>
      <c r="G5" s="5"/>
      <c r="H5" s="5"/>
      <c r="I5" s="5"/>
      <c r="J5" s="6" t="s">
        <v>3</v>
      </c>
      <c r="K5" s="6"/>
    </row>
    <row r="6" spans="1:42" ht="31.2" hidden="1" x14ac:dyDescent="0.3">
      <c r="A6" s="7" t="s">
        <v>4</v>
      </c>
      <c r="B6" s="7"/>
      <c r="C6" s="7"/>
      <c r="D6" s="7"/>
      <c r="E6" s="7"/>
      <c r="F6" s="7"/>
      <c r="G6" s="7"/>
      <c r="H6" s="7"/>
      <c r="I6" s="7"/>
      <c r="J6" s="7"/>
      <c r="K6" s="7"/>
      <c r="AP6" s="8" t="s">
        <v>4</v>
      </c>
    </row>
    <row r="7" spans="1:42" hidden="1" x14ac:dyDescent="0.25">
      <c r="A7" s="9" t="s">
        <v>5</v>
      </c>
      <c r="B7" s="9"/>
      <c r="C7" s="9"/>
      <c r="D7" s="9"/>
      <c r="E7" s="9"/>
      <c r="F7" s="9"/>
      <c r="G7" s="9"/>
      <c r="H7" s="9"/>
      <c r="I7" s="9"/>
      <c r="J7" s="9"/>
      <c r="K7" s="9"/>
    </row>
    <row r="8" spans="1:42" ht="13.8" hidden="1" x14ac:dyDescent="0.25">
      <c r="A8" s="5"/>
      <c r="B8" s="5"/>
      <c r="C8" s="5"/>
      <c r="D8" s="5"/>
      <c r="E8" s="5"/>
      <c r="F8" s="5"/>
      <c r="G8" s="5"/>
      <c r="H8" s="5"/>
      <c r="I8" s="5"/>
      <c r="J8" s="5"/>
      <c r="K8" s="5"/>
    </row>
    <row r="9" spans="1:42" ht="15.6" hidden="1" x14ac:dyDescent="0.3">
      <c r="A9" s="7" t="s">
        <v>6</v>
      </c>
      <c r="B9" s="10"/>
      <c r="C9" s="10"/>
      <c r="D9" s="10"/>
      <c r="E9" s="10"/>
      <c r="F9" s="10"/>
      <c r="G9" s="10"/>
      <c r="H9" s="10"/>
      <c r="I9" s="10"/>
      <c r="J9" s="10"/>
      <c r="K9" s="10"/>
    </row>
    <row r="10" spans="1:42" ht="13.8" hidden="1" x14ac:dyDescent="0.25">
      <c r="A10" s="5"/>
      <c r="B10" s="5"/>
      <c r="C10" s="5"/>
      <c r="D10" s="5"/>
      <c r="E10" s="5"/>
      <c r="F10" s="5"/>
      <c r="G10" s="5"/>
      <c r="H10" s="5"/>
      <c r="I10" s="5"/>
      <c r="J10" s="5"/>
      <c r="K10" s="5"/>
    </row>
    <row r="11" spans="1:42" ht="16.8" hidden="1" x14ac:dyDescent="0.25">
      <c r="A11" s="11" t="s">
        <v>7</v>
      </c>
      <c r="B11" s="11"/>
      <c r="C11" s="11"/>
      <c r="D11" s="11"/>
      <c r="E11" s="11"/>
      <c r="F11" s="11"/>
      <c r="G11" s="11"/>
      <c r="H11" s="11"/>
      <c r="I11" s="11"/>
      <c r="J11" s="11"/>
      <c r="K11" s="11"/>
    </row>
    <row r="12" spans="1:42" hidden="1" x14ac:dyDescent="0.25">
      <c r="A12" s="12" t="s">
        <v>8</v>
      </c>
      <c r="B12" s="13"/>
      <c r="C12" s="13"/>
      <c r="D12" s="13"/>
      <c r="E12" s="13"/>
      <c r="F12" s="13"/>
      <c r="G12" s="13"/>
      <c r="H12" s="13"/>
      <c r="I12" s="13"/>
      <c r="J12" s="13"/>
      <c r="K12" s="13"/>
    </row>
    <row r="13" spans="1:42" ht="13.8" hidden="1" x14ac:dyDescent="0.25">
      <c r="A13" s="5"/>
      <c r="B13" s="5"/>
      <c r="C13" s="5"/>
      <c r="D13" s="5"/>
      <c r="E13" s="5"/>
      <c r="F13" s="5"/>
      <c r="G13" s="5"/>
      <c r="H13" s="5"/>
      <c r="I13" s="5"/>
      <c r="J13" s="5"/>
      <c r="K13" s="5"/>
    </row>
    <row r="14" spans="1:42" ht="13.8" hidden="1" x14ac:dyDescent="0.25">
      <c r="A14" s="14" t="str">
        <f>CONCATENATE( "Основание: чертежи № ", [1]Source!J12)</f>
        <v>Основание: чертежи № 2024-00377-01-0-АР, 2024-00377-01-0-ПОС-ТЧ</v>
      </c>
      <c r="B14" s="14"/>
      <c r="C14" s="14"/>
      <c r="D14" s="14"/>
      <c r="E14" s="14"/>
      <c r="F14" s="14"/>
      <c r="G14" s="14"/>
      <c r="H14" s="14"/>
      <c r="I14" s="14"/>
      <c r="J14" s="14"/>
      <c r="K14" s="14"/>
    </row>
    <row r="15" spans="1:42" ht="13.8" hidden="1" x14ac:dyDescent="0.25">
      <c r="A15" s="15"/>
      <c r="B15" s="15"/>
      <c r="C15" s="15"/>
      <c r="D15" s="15"/>
      <c r="E15" s="15"/>
      <c r="F15" s="15"/>
      <c r="G15" s="15"/>
      <c r="H15" s="15"/>
      <c r="I15" s="15"/>
      <c r="J15" s="15"/>
      <c r="K15" s="15"/>
    </row>
    <row r="16" spans="1:42" ht="55.2" hidden="1" x14ac:dyDescent="0.25">
      <c r="A16" s="5"/>
      <c r="B16" s="5"/>
      <c r="C16" s="5"/>
      <c r="D16" s="5"/>
      <c r="E16" s="5"/>
      <c r="F16" s="5"/>
      <c r="G16" s="5"/>
      <c r="H16" s="5"/>
      <c r="I16" s="16" t="s">
        <v>9</v>
      </c>
      <c r="J16" s="16" t="s">
        <v>10</v>
      </c>
      <c r="K16" s="5"/>
    </row>
    <row r="17" spans="1:42" ht="13.8" hidden="1" x14ac:dyDescent="0.25">
      <c r="A17" s="5"/>
      <c r="B17" s="5"/>
      <c r="C17" s="5"/>
      <c r="D17" s="5"/>
      <c r="E17" s="17" t="s">
        <v>11</v>
      </c>
      <c r="F17" s="17"/>
      <c r="G17" s="17"/>
      <c r="H17" s="17"/>
      <c r="I17" s="18">
        <f>I18+I19+I20+I21</f>
        <v>31452.809999999998</v>
      </c>
      <c r="J17" s="18">
        <f>J18+J19+J20+J21</f>
        <v>495695.15</v>
      </c>
      <c r="K17" s="19" t="s">
        <v>12</v>
      </c>
    </row>
    <row r="18" spans="1:42" ht="13.8" hidden="1" x14ac:dyDescent="0.25">
      <c r="A18" s="5"/>
      <c r="B18" s="5"/>
      <c r="C18" s="5"/>
      <c r="D18" s="5"/>
      <c r="E18" s="20" t="s">
        <v>13</v>
      </c>
      <c r="F18" s="20"/>
      <c r="G18" s="20"/>
      <c r="H18" s="20"/>
      <c r="I18" s="21">
        <f>ROUND(([1]Source!F5124)/1000, 2)</f>
        <v>31451.35</v>
      </c>
      <c r="J18" s="21">
        <f>ROUND(([1]Source!P5124)/1000, 2)</f>
        <v>495676.01</v>
      </c>
      <c r="K18" s="5" t="s">
        <v>12</v>
      </c>
    </row>
    <row r="19" spans="1:42" ht="13.8" hidden="1" x14ac:dyDescent="0.25">
      <c r="A19" s="5"/>
      <c r="B19" s="5"/>
      <c r="C19" s="5"/>
      <c r="D19" s="5"/>
      <c r="E19" s="20" t="s">
        <v>14</v>
      </c>
      <c r="F19" s="20"/>
      <c r="G19" s="20"/>
      <c r="H19" s="20"/>
      <c r="I19" s="21">
        <f>ROUND(([1]Source!F5125)/1000, 2)</f>
        <v>1.46</v>
      </c>
      <c r="J19" s="21">
        <f>ROUND(([1]Source!P5125)/1000, 2)</f>
        <v>19.14</v>
      </c>
      <c r="K19" s="5" t="s">
        <v>12</v>
      </c>
    </row>
    <row r="20" spans="1:42" ht="13.8" hidden="1" x14ac:dyDescent="0.25">
      <c r="A20" s="5"/>
      <c r="B20" s="5"/>
      <c r="C20" s="5"/>
      <c r="D20" s="5"/>
      <c r="E20" s="20" t="s">
        <v>15</v>
      </c>
      <c r="F20" s="20"/>
      <c r="G20" s="20"/>
      <c r="H20" s="20"/>
      <c r="I20" s="21">
        <f>ROUND(([1]Source!F5116)/1000, 2)</f>
        <v>0</v>
      </c>
      <c r="J20" s="21">
        <f>ROUND(([1]Source!P5116)/1000, 2)</f>
        <v>0</v>
      </c>
      <c r="K20" s="5" t="s">
        <v>12</v>
      </c>
    </row>
    <row r="21" spans="1:42" ht="13.8" hidden="1" x14ac:dyDescent="0.25">
      <c r="A21" s="5"/>
      <c r="B21" s="5"/>
      <c r="C21" s="5"/>
      <c r="D21" s="5"/>
      <c r="E21" s="20" t="s">
        <v>16</v>
      </c>
      <c r="F21" s="20"/>
      <c r="G21" s="20"/>
      <c r="H21" s="20"/>
      <c r="I21" s="21">
        <f>ROUND(([1]Source!F5126+[1]Source!F5127)/1000, 2)</f>
        <v>0</v>
      </c>
      <c r="J21" s="21">
        <f>ROUND(([1]Source!P5126+[1]Source!P5127)/1000, 2)</f>
        <v>0</v>
      </c>
      <c r="K21" s="5" t="s">
        <v>12</v>
      </c>
    </row>
    <row r="22" spans="1:42" ht="13.8" hidden="1" x14ac:dyDescent="0.25">
      <c r="A22" s="5"/>
      <c r="B22" s="5"/>
      <c r="C22" s="5"/>
      <c r="D22" s="5"/>
      <c r="E22" s="20" t="s">
        <v>17</v>
      </c>
      <c r="F22" s="20"/>
      <c r="G22" s="20"/>
      <c r="H22" s="20"/>
      <c r="I22" s="21">
        <f>([1]Source!F5122+ [1]Source!F5121)/1000</f>
        <v>2034.2129199999999</v>
      </c>
      <c r="J22" s="21">
        <f>(([1]Source!P5122 + [1]Source!P5121)/1000)</f>
        <v>112346.13704</v>
      </c>
      <c r="K22" s="5" t="s">
        <v>12</v>
      </c>
    </row>
    <row r="23" spans="1:42" ht="13.8" hidden="1" x14ac:dyDescent="0.25">
      <c r="A23" s="5"/>
      <c r="B23" s="5"/>
      <c r="C23" s="5"/>
      <c r="D23" s="5"/>
      <c r="E23" s="20" t="s">
        <v>18</v>
      </c>
      <c r="F23" s="20"/>
      <c r="G23" s="20"/>
      <c r="H23" s="20"/>
      <c r="I23" s="21">
        <f>[1]Source!F5129</f>
        <v>136317.44786873486</v>
      </c>
      <c r="J23" s="21"/>
      <c r="K23" s="5" t="s">
        <v>19</v>
      </c>
    </row>
    <row r="24" spans="1:42" ht="13.8" hidden="1" x14ac:dyDescent="0.25">
      <c r="A24" s="5"/>
      <c r="B24" s="5"/>
      <c r="C24" s="5"/>
      <c r="D24" s="5"/>
      <c r="E24" s="20" t="s">
        <v>20</v>
      </c>
      <c r="F24" s="20"/>
      <c r="G24" s="20"/>
      <c r="H24" s="20"/>
      <c r="I24" s="21"/>
      <c r="J24" s="21"/>
      <c r="K24" s="5"/>
    </row>
    <row r="25" spans="1:42" ht="13.8" hidden="1" x14ac:dyDescent="0.25">
      <c r="A25" s="5"/>
      <c r="B25" s="5"/>
      <c r="C25" s="5"/>
      <c r="D25" s="5"/>
      <c r="E25" s="22" t="s">
        <v>21</v>
      </c>
      <c r="F25" s="22"/>
      <c r="G25" s="22"/>
      <c r="H25" s="22"/>
      <c r="I25" s="21">
        <f>SUM(Y4:Y5128)/1000</f>
        <v>0</v>
      </c>
      <c r="J25" s="21">
        <f>SUM(Z4:Z5128)/1000</f>
        <v>0</v>
      </c>
      <c r="K25" s="5" t="s">
        <v>12</v>
      </c>
    </row>
    <row r="26" spans="1:42" ht="13.8" hidden="1" x14ac:dyDescent="0.25">
      <c r="A26" s="5"/>
      <c r="B26" s="5"/>
      <c r="C26" s="5"/>
      <c r="D26" s="5"/>
      <c r="E26" s="5"/>
      <c r="F26" s="23"/>
      <c r="G26" s="23"/>
      <c r="H26" s="23"/>
      <c r="I26" s="21"/>
      <c r="J26" s="21"/>
      <c r="K26" s="5"/>
    </row>
    <row r="27" spans="1:42" ht="13.8" hidden="1" x14ac:dyDescent="0.25">
      <c r="A27" s="5" t="s">
        <v>22</v>
      </c>
      <c r="B27" s="5"/>
      <c r="C27" s="5"/>
      <c r="D27" s="5"/>
      <c r="E27" s="5"/>
      <c r="F27" s="23"/>
      <c r="G27" s="23"/>
      <c r="H27" s="23"/>
      <c r="I27" s="21"/>
      <c r="J27" s="21"/>
      <c r="K27" s="5"/>
    </row>
    <row r="28" spans="1:42" ht="27.6" hidden="1" x14ac:dyDescent="0.25">
      <c r="A28" s="14" t="s">
        <v>23</v>
      </c>
      <c r="B28" s="14"/>
      <c r="C28" s="14"/>
      <c r="D28" s="14"/>
      <c r="E28" s="14"/>
      <c r="F28" s="14"/>
      <c r="G28" s="14"/>
      <c r="H28" s="14"/>
      <c r="I28" s="14"/>
      <c r="J28" s="14"/>
      <c r="K28" s="14"/>
      <c r="AP28" s="24" t="s">
        <v>23</v>
      </c>
    </row>
    <row r="29" spans="1:42" ht="110.4" hidden="1" x14ac:dyDescent="0.25">
      <c r="A29" s="25" t="s">
        <v>24</v>
      </c>
      <c r="B29" s="25" t="s">
        <v>25</v>
      </c>
      <c r="C29" s="25" t="s">
        <v>26</v>
      </c>
      <c r="D29" s="25" t="s">
        <v>27</v>
      </c>
      <c r="E29" s="25" t="s">
        <v>28</v>
      </c>
      <c r="F29" s="25" t="s">
        <v>29</v>
      </c>
      <c r="G29" s="26" t="s">
        <v>30</v>
      </c>
      <c r="H29" s="26" t="s">
        <v>31</v>
      </c>
      <c r="I29" s="25" t="s">
        <v>32</v>
      </c>
      <c r="J29" s="25" t="s">
        <v>33</v>
      </c>
      <c r="K29" s="25" t="s">
        <v>34</v>
      </c>
    </row>
    <row r="30" spans="1:42" ht="13.8" hidden="1" x14ac:dyDescent="0.25">
      <c r="A30" s="25">
        <v>1</v>
      </c>
      <c r="B30" s="25">
        <v>2</v>
      </c>
      <c r="C30" s="25">
        <v>3</v>
      </c>
      <c r="D30" s="25">
        <v>4</v>
      </c>
      <c r="E30" s="25">
        <v>5</v>
      </c>
      <c r="F30" s="25">
        <v>6</v>
      </c>
      <c r="G30" s="25">
        <v>7</v>
      </c>
      <c r="H30" s="25">
        <v>8</v>
      </c>
      <c r="I30" s="25">
        <v>9</v>
      </c>
      <c r="J30" s="25">
        <v>10</v>
      </c>
      <c r="K30" s="25">
        <v>11</v>
      </c>
    </row>
    <row r="31" spans="1:42" hidden="1" x14ac:dyDescent="0.25"/>
    <row r="32" spans="1:42" hidden="1" x14ac:dyDescent="0.25"/>
    <row r="33" spans="1:29" hidden="1" x14ac:dyDescent="0.25"/>
    <row r="34" spans="1:29" ht="16.8" hidden="1" x14ac:dyDescent="0.25">
      <c r="A34" s="11" t="str">
        <f>CONCATENATE("Раздел: ",IF([1]Source!G24&lt;&gt;"Новый раздел", [1]Source!G24, ""))</f>
        <v>Раздел: Леса (2024-00377-01-0-ПОС-ТЧ лист 26)</v>
      </c>
      <c r="B34" s="11"/>
      <c r="C34" s="11"/>
      <c r="D34" s="11"/>
      <c r="E34" s="11"/>
      <c r="F34" s="11"/>
      <c r="G34" s="11"/>
      <c r="H34" s="11"/>
      <c r="I34" s="11"/>
      <c r="J34" s="11"/>
      <c r="K34" s="11"/>
    </row>
    <row r="35" spans="1:29" ht="55.2" hidden="1" x14ac:dyDescent="0.25">
      <c r="A35" s="27">
        <v>1</v>
      </c>
      <c r="B35" s="27" t="str">
        <f>[1]Source!F28</f>
        <v>3.8-27-1</v>
      </c>
      <c r="C35" s="27" t="s">
        <v>35</v>
      </c>
      <c r="D35" s="28" t="str">
        <f>[1]Source!H28</f>
        <v>100 м2</v>
      </c>
      <c r="E35" s="29">
        <f>[1]Source!I28</f>
        <v>48.84</v>
      </c>
      <c r="F35" s="30"/>
      <c r="G35" s="31"/>
      <c r="H35" s="29"/>
      <c r="I35" s="30"/>
      <c r="J35" s="29"/>
      <c r="K35" s="30"/>
      <c r="Q35">
        <f>[1]Source!X28</f>
        <v>36375.93</v>
      </c>
      <c r="R35">
        <f>[1]Source!X29</f>
        <v>2049783.45</v>
      </c>
      <c r="S35">
        <f>[1]Source!Y28</f>
        <v>21678.58</v>
      </c>
      <c r="T35">
        <f>[1]Source!Y29</f>
        <v>1221588.1100000001</v>
      </c>
      <c r="U35">
        <f>ROUND((175/100)*ROUND([1]Source!R28, 2), 2)</f>
        <v>135.57</v>
      </c>
      <c r="V35">
        <f>ROUND((0/100)*ROUND([1]Source!R29, 2), 2)</f>
        <v>0</v>
      </c>
      <c r="AC35">
        <v>0</v>
      </c>
    </row>
    <row r="36" spans="1:29" hidden="1" x14ac:dyDescent="0.25">
      <c r="C36" s="32" t="str">
        <f>"Объем: "&amp;[1]Source!I28&amp;"=4884/"&amp;"100"</f>
        <v>Объем: 48,84=4884/100</v>
      </c>
    </row>
    <row r="37" spans="1:29" ht="14.4" hidden="1" x14ac:dyDescent="0.25">
      <c r="A37" s="27"/>
      <c r="B37" s="27"/>
      <c r="C37" s="27" t="s">
        <v>36</v>
      </c>
      <c r="D37" s="28"/>
      <c r="E37" s="29"/>
      <c r="F37" s="30">
        <f>[1]Source!AO28</f>
        <v>519.59</v>
      </c>
      <c r="G37" s="31" t="s">
        <v>37</v>
      </c>
      <c r="H37" s="29">
        <f>[1]Source!AV29</f>
        <v>1.0469999999999999</v>
      </c>
      <c r="I37" s="30">
        <f>[1]Source!S28</f>
        <v>36665.89</v>
      </c>
      <c r="J37" s="29">
        <f>IF([1]Source!BA29&lt;&gt; 0, [1]Source!BA29, 1)</f>
        <v>56.35</v>
      </c>
      <c r="K37" s="30">
        <f>[1]Source!S29</f>
        <v>2066122.9</v>
      </c>
    </row>
    <row r="38" spans="1:29" ht="14.4" hidden="1" x14ac:dyDescent="0.25">
      <c r="A38" s="27"/>
      <c r="B38" s="27"/>
      <c r="C38" s="27" t="s">
        <v>38</v>
      </c>
      <c r="D38" s="28"/>
      <c r="E38" s="29"/>
      <c r="F38" s="30">
        <f>[1]Source!AM28</f>
        <v>6.65</v>
      </c>
      <c r="G38" s="31" t="s">
        <v>39</v>
      </c>
      <c r="H38" s="29">
        <f>[1]Source!AV29</f>
        <v>1.0469999999999999</v>
      </c>
      <c r="I38" s="30">
        <f>[1]Source!Q28</f>
        <v>510.08</v>
      </c>
      <c r="J38" s="29">
        <f>IF([1]Source!BB29&lt;&gt; 0, [1]Source!BB29, 1)</f>
        <v>17.059999999999999</v>
      </c>
      <c r="K38" s="30">
        <f>[1]Source!Q29</f>
        <v>8701.9599999999991</v>
      </c>
    </row>
    <row r="39" spans="1:29" ht="14.4" hidden="1" x14ac:dyDescent="0.25">
      <c r="A39" s="27"/>
      <c r="B39" s="27"/>
      <c r="C39" s="27" t="s">
        <v>40</v>
      </c>
      <c r="D39" s="28"/>
      <c r="E39" s="29"/>
      <c r="F39" s="30">
        <f>[1]Source!AN28</f>
        <v>1.01</v>
      </c>
      <c r="G39" s="31" t="s">
        <v>39</v>
      </c>
      <c r="H39" s="29">
        <f>[1]Source!AV29</f>
        <v>1.0469999999999999</v>
      </c>
      <c r="I39" s="33">
        <f>[1]Source!R28</f>
        <v>77.47</v>
      </c>
      <c r="J39" s="29">
        <f>IF([1]Source!BS29&lt;&gt; 0, [1]Source!BS29, 1)</f>
        <v>56.35</v>
      </c>
      <c r="K39" s="33">
        <f>[1]Source!R29</f>
        <v>4365.43</v>
      </c>
    </row>
    <row r="40" spans="1:29" ht="14.4" hidden="1" x14ac:dyDescent="0.25">
      <c r="A40" s="27"/>
      <c r="B40" s="27"/>
      <c r="C40" s="27" t="s">
        <v>41</v>
      </c>
      <c r="D40" s="28"/>
      <c r="E40" s="29"/>
      <c r="F40" s="30">
        <f>[1]Source!AL28</f>
        <v>13.66</v>
      </c>
      <c r="G40" s="31"/>
      <c r="H40" s="29">
        <f>[1]Source!AW29</f>
        <v>1</v>
      </c>
      <c r="I40" s="30">
        <f>[1]Source!P28</f>
        <v>667.15</v>
      </c>
      <c r="J40" s="29">
        <f>IF([1]Source!BC29&lt;&gt; 0, [1]Source!BC29, 1)</f>
        <v>5.88</v>
      </c>
      <c r="K40" s="30">
        <f>[1]Source!P29</f>
        <v>3922.84</v>
      </c>
    </row>
    <row r="41" spans="1:29" ht="14.4" hidden="1" x14ac:dyDescent="0.25">
      <c r="A41" s="27"/>
      <c r="B41" s="27"/>
      <c r="C41" s="27" t="s">
        <v>42</v>
      </c>
      <c r="D41" s="28" t="s">
        <v>43</v>
      </c>
      <c r="E41" s="29">
        <f>[1]Source!BZ29</f>
        <v>99</v>
      </c>
      <c r="F41" s="30"/>
      <c r="G41" s="31"/>
      <c r="H41" s="29"/>
      <c r="I41" s="30">
        <f>SUM(Q35:Q40)</f>
        <v>36375.93</v>
      </c>
      <c r="J41" s="29">
        <f>[1]Source!AT29</f>
        <v>99</v>
      </c>
      <c r="K41" s="30">
        <f>SUM(R35:R40)</f>
        <v>2049783.45</v>
      </c>
    </row>
    <row r="42" spans="1:29" ht="14.4" hidden="1" x14ac:dyDescent="0.25">
      <c r="A42" s="27"/>
      <c r="B42" s="27"/>
      <c r="C42" s="27" t="s">
        <v>44</v>
      </c>
      <c r="D42" s="28" t="s">
        <v>43</v>
      </c>
      <c r="E42" s="29">
        <f>[1]Source!CA29</f>
        <v>59</v>
      </c>
      <c r="F42" s="30"/>
      <c r="G42" s="31"/>
      <c r="H42" s="29"/>
      <c r="I42" s="30">
        <f>SUM(S35:S41)</f>
        <v>21678.58</v>
      </c>
      <c r="J42" s="29">
        <f>[1]Source!AU29</f>
        <v>59</v>
      </c>
      <c r="K42" s="30">
        <f>SUM(T35:T41)</f>
        <v>1221588.1100000001</v>
      </c>
    </row>
    <row r="43" spans="1:29" ht="14.4" hidden="1" x14ac:dyDescent="0.25">
      <c r="A43" s="34"/>
      <c r="B43" s="34"/>
      <c r="C43" s="34" t="s">
        <v>45</v>
      </c>
      <c r="D43" s="35" t="s">
        <v>46</v>
      </c>
      <c r="E43" s="36">
        <f>[1]Source!AQ28</f>
        <v>45.9</v>
      </c>
      <c r="F43" s="37"/>
      <c r="G43" s="38" t="s">
        <v>37</v>
      </c>
      <c r="H43" s="36">
        <f>[1]Source!AV29</f>
        <v>1.0469999999999999</v>
      </c>
      <c r="I43" s="37">
        <f>[1]Source!U28</f>
        <v>3239.0235741599995</v>
      </c>
      <c r="J43" s="36"/>
      <c r="K43" s="37"/>
    </row>
    <row r="44" spans="1:29" ht="13.8" hidden="1" x14ac:dyDescent="0.25">
      <c r="C44" s="39" t="s">
        <v>47</v>
      </c>
      <c r="H44" s="40">
        <f>I37+I38+I40+I41+I42+0-0-0</f>
        <v>95897.63</v>
      </c>
      <c r="I44" s="40"/>
      <c r="J44" s="40">
        <f>K37+K38+K40+K41+K42+0-0-0</f>
        <v>5350119.26</v>
      </c>
      <c r="K44" s="40"/>
    </row>
    <row r="45" spans="1:29" ht="13.8" hidden="1" x14ac:dyDescent="0.25">
      <c r="C45" s="39" t="s">
        <v>48</v>
      </c>
      <c r="H45" s="41">
        <f>0+0</f>
        <v>0</v>
      </c>
      <c r="I45" s="41"/>
      <c r="J45" s="41">
        <f>0+0</f>
        <v>0</v>
      </c>
      <c r="K45" s="41"/>
    </row>
    <row r="46" spans="1:29" ht="13.8" hidden="1" x14ac:dyDescent="0.25">
      <c r="C46" s="39" t="s">
        <v>49</v>
      </c>
      <c r="H46" s="41">
        <f>I37+I38+I40+I41+I42+0</f>
        <v>95897.63</v>
      </c>
      <c r="I46" s="41"/>
      <c r="J46" s="41">
        <f>K37+K38+K40+K41+K42+0</f>
        <v>5350119.26</v>
      </c>
      <c r="K46" s="41"/>
      <c r="O46" s="42">
        <f>I37+I38+I40+I41+I42+0</f>
        <v>95897.63</v>
      </c>
      <c r="P46" s="42">
        <f>K37+K38+K40+K41+K42+0</f>
        <v>5350119.26</v>
      </c>
    </row>
    <row r="47" spans="1:29" hidden="1" x14ac:dyDescent="0.25"/>
    <row r="48" spans="1:29" ht="41.4" hidden="1" x14ac:dyDescent="0.25">
      <c r="A48" s="27">
        <v>2</v>
      </c>
      <c r="B48" s="27" t="str">
        <f>[1]Source!F30</f>
        <v>2.1-31-3</v>
      </c>
      <c r="C48" s="27" t="s">
        <v>50</v>
      </c>
      <c r="D48" s="28" t="str">
        <f>[1]Source!H30</f>
        <v>ЧАС</v>
      </c>
      <c r="E48" s="29">
        <f>[1]Source!I30</f>
        <v>992</v>
      </c>
      <c r="F48" s="30"/>
      <c r="G48" s="31"/>
      <c r="H48" s="29"/>
      <c r="I48" s="30"/>
      <c r="J48" s="29"/>
      <c r="K48" s="30"/>
      <c r="Q48">
        <f>[1]Source!X30</f>
        <v>0</v>
      </c>
      <c r="R48">
        <f>[1]Source!X31</f>
        <v>0</v>
      </c>
      <c r="S48">
        <f>[1]Source!Y30</f>
        <v>0</v>
      </c>
      <c r="T48">
        <f>[1]Source!Y31</f>
        <v>0</v>
      </c>
      <c r="U48">
        <f>ROUND((175/100)*ROUND([1]Source!R30, 2), 2)</f>
        <v>0</v>
      </c>
      <c r="V48">
        <f>ROUND((0/100)*ROUND([1]Source!R31, 2), 2)</f>
        <v>0</v>
      </c>
      <c r="AC48">
        <v>2</v>
      </c>
    </row>
    <row r="49" spans="1:29" ht="14.4" hidden="1" x14ac:dyDescent="0.25">
      <c r="A49" s="34"/>
      <c r="B49" s="34"/>
      <c r="C49" s="34" t="s">
        <v>38</v>
      </c>
      <c r="D49" s="35"/>
      <c r="E49" s="36"/>
      <c r="F49" s="37">
        <f>[1]Source!AM30</f>
        <v>0.77</v>
      </c>
      <c r="G49" s="38"/>
      <c r="H49" s="36">
        <f>[1]Source!AV31</f>
        <v>1</v>
      </c>
      <c r="I49" s="37">
        <f>[1]Source!Q30</f>
        <v>763.84</v>
      </c>
      <c r="J49" s="36">
        <f>IF([1]Source!BB31&lt;&gt; 0, [1]Source!BB31, 1)</f>
        <v>11.05</v>
      </c>
      <c r="K49" s="37">
        <f>[1]Source!Q31</f>
        <v>8440.43</v>
      </c>
    </row>
    <row r="50" spans="1:29" ht="13.8" hidden="1" x14ac:dyDescent="0.25">
      <c r="C50" s="39" t="s">
        <v>49</v>
      </c>
      <c r="H50" s="40">
        <f>I49+0</f>
        <v>763.84</v>
      </c>
      <c r="I50" s="40"/>
      <c r="J50" s="40">
        <f>K49+0</f>
        <v>8440.43</v>
      </c>
      <c r="K50" s="40"/>
      <c r="O50" s="42">
        <f>I49+0</f>
        <v>763.84</v>
      </c>
      <c r="P50" s="42">
        <f>K49+0</f>
        <v>8440.43</v>
      </c>
    </row>
    <row r="51" spans="1:29" hidden="1" x14ac:dyDescent="0.25"/>
    <row r="52" spans="1:29" ht="28.8" hidden="1" x14ac:dyDescent="0.25">
      <c r="A52" s="27">
        <v>3</v>
      </c>
      <c r="B52" s="27" t="str">
        <f>[1]Source!F32</f>
        <v>3.8-40-1</v>
      </c>
      <c r="C52" s="27" t="s">
        <v>51</v>
      </c>
      <c r="D52" s="28" t="str">
        <f>[1]Source!H32</f>
        <v>100 м2</v>
      </c>
      <c r="E52" s="29">
        <f>[1]Source!I32</f>
        <v>48.84</v>
      </c>
      <c r="F52" s="30"/>
      <c r="G52" s="31"/>
      <c r="H52" s="29"/>
      <c r="I52" s="30"/>
      <c r="J52" s="29"/>
      <c r="K52" s="30"/>
      <c r="Q52">
        <f>[1]Source!X32</f>
        <v>9283.7999999999993</v>
      </c>
      <c r="R52">
        <f>[1]Source!X33</f>
        <v>523142.37</v>
      </c>
      <c r="S52">
        <f>[1]Source!Y32</f>
        <v>5532.77</v>
      </c>
      <c r="T52">
        <f>[1]Source!Y33</f>
        <v>311771.71999999997</v>
      </c>
      <c r="U52">
        <f>ROUND((175/100)*ROUND([1]Source!R32, 2), 2)</f>
        <v>91.28</v>
      </c>
      <c r="V52">
        <f>ROUND((0/100)*ROUND([1]Source!R33, 2), 2)</f>
        <v>0</v>
      </c>
      <c r="AC52">
        <v>0</v>
      </c>
    </row>
    <row r="53" spans="1:29" hidden="1" x14ac:dyDescent="0.25">
      <c r="C53" s="32" t="str">
        <f>"Объем: "&amp;[1]Source!I32&amp;"=4884/"&amp;"100"</f>
        <v>Объем: 48,84=4884/100</v>
      </c>
    </row>
    <row r="54" spans="1:29" ht="14.4" hidden="1" x14ac:dyDescent="0.25">
      <c r="A54" s="27"/>
      <c r="B54" s="27"/>
      <c r="C54" s="27" t="s">
        <v>36</v>
      </c>
      <c r="D54" s="28"/>
      <c r="E54" s="29"/>
      <c r="F54" s="30">
        <f>[1]Source!AO32</f>
        <v>132.15</v>
      </c>
      <c r="G54" s="31" t="s">
        <v>37</v>
      </c>
      <c r="H54" s="29">
        <f>[1]Source!AV33</f>
        <v>1.0469999999999999</v>
      </c>
      <c r="I54" s="30">
        <f>[1]Source!S32</f>
        <v>9325.42</v>
      </c>
      <c r="J54" s="29">
        <f>IF([1]Source!BA33&lt;&gt; 0, [1]Source!BA33, 1)</f>
        <v>56.35</v>
      </c>
      <c r="K54" s="30">
        <f>[1]Source!S33</f>
        <v>525487.42000000004</v>
      </c>
    </row>
    <row r="55" spans="1:29" ht="14.4" hidden="1" x14ac:dyDescent="0.25">
      <c r="A55" s="27"/>
      <c r="B55" s="27"/>
      <c r="C55" s="27" t="s">
        <v>38</v>
      </c>
      <c r="D55" s="28"/>
      <c r="E55" s="29"/>
      <c r="F55" s="30">
        <f>[1]Source!AM32</f>
        <v>7.17</v>
      </c>
      <c r="G55" s="31" t="s">
        <v>39</v>
      </c>
      <c r="H55" s="29">
        <f>[1]Source!AV33</f>
        <v>1.0469999999999999</v>
      </c>
      <c r="I55" s="30">
        <f>[1]Source!Q32</f>
        <v>549.96</v>
      </c>
      <c r="J55" s="29">
        <f>IF([1]Source!BB33&lt;&gt; 0, [1]Source!BB33, 1)</f>
        <v>14.42</v>
      </c>
      <c r="K55" s="30">
        <f>[1]Source!Q33</f>
        <v>7930.42</v>
      </c>
    </row>
    <row r="56" spans="1:29" ht="14.4" hidden="1" x14ac:dyDescent="0.25">
      <c r="A56" s="27"/>
      <c r="B56" s="27"/>
      <c r="C56" s="27" t="s">
        <v>40</v>
      </c>
      <c r="D56" s="28"/>
      <c r="E56" s="29"/>
      <c r="F56" s="30">
        <f>[1]Source!AN32</f>
        <v>0.68</v>
      </c>
      <c r="G56" s="31" t="s">
        <v>39</v>
      </c>
      <c r="H56" s="29">
        <f>[1]Source!AV33</f>
        <v>1.0469999999999999</v>
      </c>
      <c r="I56" s="33">
        <f>[1]Source!R32</f>
        <v>52.16</v>
      </c>
      <c r="J56" s="29">
        <f>IF([1]Source!BS33&lt;&gt; 0, [1]Source!BS33, 1)</f>
        <v>56.35</v>
      </c>
      <c r="K56" s="33">
        <f>[1]Source!R33</f>
        <v>2939.22</v>
      </c>
    </row>
    <row r="57" spans="1:29" ht="14.4" hidden="1" x14ac:dyDescent="0.25">
      <c r="A57" s="27"/>
      <c r="B57" s="27"/>
      <c r="C57" s="27" t="s">
        <v>41</v>
      </c>
      <c r="D57" s="28"/>
      <c r="E57" s="29"/>
      <c r="F57" s="30">
        <f>[1]Source!AL32</f>
        <v>81.81</v>
      </c>
      <c r="G57" s="31"/>
      <c r="H57" s="29">
        <f>[1]Source!AW33</f>
        <v>1.002</v>
      </c>
      <c r="I57" s="30">
        <f>[1]Source!P32</f>
        <v>4003.59</v>
      </c>
      <c r="J57" s="29">
        <f>IF([1]Source!BC33&lt;&gt; 0, [1]Source!BC33, 1)</f>
        <v>7.92</v>
      </c>
      <c r="K57" s="30">
        <f>[1]Source!P33</f>
        <v>31708.43</v>
      </c>
    </row>
    <row r="58" spans="1:29" ht="27.6" hidden="1" x14ac:dyDescent="0.25">
      <c r="A58" s="27" t="s">
        <v>52</v>
      </c>
      <c r="B58" s="27" t="str">
        <f>[1]Source!F34</f>
        <v>1.1-1-2391</v>
      </c>
      <c r="C58" s="27" t="s">
        <v>53</v>
      </c>
      <c r="D58" s="28" t="str">
        <f>[1]Source!H34</f>
        <v>м2</v>
      </c>
      <c r="E58" s="29">
        <f>[1]Source!I34</f>
        <v>1660.0715999999998</v>
      </c>
      <c r="F58" s="30">
        <f>[1]Source!AK34</f>
        <v>16.02</v>
      </c>
      <c r="G58" s="43" t="s">
        <v>54</v>
      </c>
      <c r="H58" s="29">
        <f>[1]Source!AW35</f>
        <v>1</v>
      </c>
      <c r="I58" s="30">
        <f>[1]Source!O34</f>
        <v>26594.35</v>
      </c>
      <c r="J58" s="29">
        <f>IF([1]Source!BC35&lt;&gt; 0, [1]Source!BC35, 1)</f>
        <v>0.94</v>
      </c>
      <c r="K58" s="30">
        <f>[1]Source!O35</f>
        <v>24998.69</v>
      </c>
      <c r="Q58">
        <f>[1]Source!X34</f>
        <v>0</v>
      </c>
      <c r="R58">
        <f>[1]Source!X35</f>
        <v>0</v>
      </c>
      <c r="S58">
        <f>[1]Source!Y34</f>
        <v>0</v>
      </c>
      <c r="T58">
        <f>[1]Source!Y35</f>
        <v>0</v>
      </c>
      <c r="U58">
        <f>ROUND((175/100)*ROUND([1]Source!R34, 2), 2)</f>
        <v>0</v>
      </c>
      <c r="V58">
        <f>ROUND((0/100)*ROUND([1]Source!R35, 2), 2)</f>
        <v>0</v>
      </c>
      <c r="AC58">
        <v>3</v>
      </c>
    </row>
    <row r="59" spans="1:29" ht="14.4" hidden="1" x14ac:dyDescent="0.25">
      <c r="A59" s="27"/>
      <c r="B59" s="27"/>
      <c r="C59" s="27" t="s">
        <v>42</v>
      </c>
      <c r="D59" s="28" t="s">
        <v>43</v>
      </c>
      <c r="E59" s="29">
        <f>[1]Source!BZ33</f>
        <v>99</v>
      </c>
      <c r="F59" s="30"/>
      <c r="G59" s="31"/>
      <c r="H59" s="29"/>
      <c r="I59" s="30">
        <f>SUM(Q52:Q58)</f>
        <v>9283.7999999999993</v>
      </c>
      <c r="J59" s="29">
        <f>[1]Source!AT33</f>
        <v>99</v>
      </c>
      <c r="K59" s="30">
        <f>SUM(R52:R58)</f>
        <v>523142.37</v>
      </c>
    </row>
    <row r="60" spans="1:29" ht="14.4" hidden="1" x14ac:dyDescent="0.25">
      <c r="A60" s="27"/>
      <c r="B60" s="27"/>
      <c r="C60" s="27" t="s">
        <v>44</v>
      </c>
      <c r="D60" s="28" t="s">
        <v>43</v>
      </c>
      <c r="E60" s="29">
        <f>[1]Source!CA33</f>
        <v>59</v>
      </c>
      <c r="F60" s="30"/>
      <c r="G60" s="31"/>
      <c r="H60" s="29"/>
      <c r="I60" s="30">
        <f>SUM(S52:S59)</f>
        <v>5532.77</v>
      </c>
      <c r="J60" s="29">
        <f>[1]Source!AU33</f>
        <v>59</v>
      </c>
      <c r="K60" s="30">
        <f>SUM(T52:T59)</f>
        <v>311771.71999999997</v>
      </c>
    </row>
    <row r="61" spans="1:29" ht="14.4" hidden="1" x14ac:dyDescent="0.25">
      <c r="A61" s="34"/>
      <c r="B61" s="34"/>
      <c r="C61" s="34" t="s">
        <v>45</v>
      </c>
      <c r="D61" s="35" t="s">
        <v>46</v>
      </c>
      <c r="E61" s="36">
        <f>[1]Source!AQ32</f>
        <v>11.1</v>
      </c>
      <c r="F61" s="37"/>
      <c r="G61" s="38" t="s">
        <v>37</v>
      </c>
      <c r="H61" s="36">
        <f>[1]Source!AV33</f>
        <v>1.0469999999999999</v>
      </c>
      <c r="I61" s="37">
        <f>[1]Source!U32</f>
        <v>783.29328263999992</v>
      </c>
      <c r="J61" s="36"/>
      <c r="K61" s="37"/>
    </row>
    <row r="62" spans="1:29" ht="13.8" hidden="1" x14ac:dyDescent="0.25">
      <c r="C62" s="39" t="s">
        <v>47</v>
      </c>
      <c r="H62" s="40">
        <f>I54+I55+I57+I59+I60+SUM(I58:I58)-SUMIF(AC58:AC58, 5, I58:I58)-SUMIF(AC58:AC58, 6, I58:I58)</f>
        <v>55289.89</v>
      </c>
      <c r="I62" s="40"/>
      <c r="J62" s="40">
        <f>K54+K55+K57+K59+K60+SUM(K58:K58)-SUMIF(AC58:AC58, 5, K58:K58)-SUMIF(AC58:AC58, 6, K58:K58)</f>
        <v>1425039.05</v>
      </c>
      <c r="K62" s="40"/>
    </row>
    <row r="63" spans="1:29" ht="13.8" hidden="1" x14ac:dyDescent="0.25">
      <c r="C63" s="39" t="s">
        <v>48</v>
      </c>
      <c r="H63" s="41">
        <f>SUMIF(AC58:AC58, 5, I58:I58)+SUMIF(AC58:AC58, 6, I58:I58)</f>
        <v>0</v>
      </c>
      <c r="I63" s="41"/>
      <c r="J63" s="41">
        <f>SUMIF(AC58:AC58, 5, K58:K58)+SUMIF(AC58:AC58, 6, K58:K58)</f>
        <v>0</v>
      </c>
      <c r="K63" s="41"/>
    </row>
    <row r="64" spans="1:29" ht="13.8" hidden="1" x14ac:dyDescent="0.25">
      <c r="C64" s="39" t="s">
        <v>49</v>
      </c>
      <c r="H64" s="41">
        <f>I54+I55+I57+I59+I60+SUM(I58:I58)</f>
        <v>55289.89</v>
      </c>
      <c r="I64" s="41"/>
      <c r="J64" s="41">
        <f>K54+K55+K57+K59+K60+SUM(K58:K58)</f>
        <v>1425039.05</v>
      </c>
      <c r="K64" s="41"/>
      <c r="O64" s="42">
        <f>I54+I55+I57+I59+I60+SUM(I58:I58)</f>
        <v>55289.89</v>
      </c>
      <c r="P64" s="42">
        <f>K54+K55+K57+K59+K60+SUM(K58:K58)</f>
        <v>1425039.05</v>
      </c>
    </row>
    <row r="65" spans="1:29" hidden="1" x14ac:dyDescent="0.25"/>
    <row r="66" spans="1:29" hidden="1" x14ac:dyDescent="0.25"/>
    <row r="67" spans="1:29" ht="13.8" hidden="1" x14ac:dyDescent="0.25">
      <c r="A67" s="44" t="str">
        <f>CONCATENATE("Итого по разделу: ",IF([1]Source!G37&lt;&gt;"Новый раздел", [1]Source!G37, ""))</f>
        <v>Итого по разделу: Леса (2024-00377-01-0-ПОС-ТЧ лист 26)</v>
      </c>
      <c r="B67" s="44"/>
      <c r="C67" s="44"/>
      <c r="D67" s="44"/>
      <c r="E67" s="44"/>
      <c r="F67" s="44"/>
      <c r="G67" s="44"/>
      <c r="H67" s="41">
        <f>SUM(O34:O66)</f>
        <v>151951.35999999999</v>
      </c>
      <c r="I67" s="45"/>
      <c r="J67" s="41">
        <f>SUM(P34:P66)</f>
        <v>6783598.7399999993</v>
      </c>
      <c r="K67" s="45"/>
    </row>
    <row r="68" spans="1:29" hidden="1" x14ac:dyDescent="0.25">
      <c r="A68" t="s">
        <v>55</v>
      </c>
      <c r="I68">
        <f>SUM(W34:W67)</f>
        <v>0</v>
      </c>
      <c r="J68">
        <f>SUM(X34:X67)</f>
        <v>0</v>
      </c>
    </row>
    <row r="69" spans="1:29" hidden="1" x14ac:dyDescent="0.25">
      <c r="A69" t="s">
        <v>56</v>
      </c>
      <c r="I69">
        <f>SUM(Y34:Y68)</f>
        <v>0</v>
      </c>
      <c r="J69">
        <f>SUM(Z34:Z68)</f>
        <v>0</v>
      </c>
    </row>
    <row r="70" spans="1:29" hidden="1" x14ac:dyDescent="0.25"/>
    <row r="71" spans="1:29" ht="16.8" hidden="1" x14ac:dyDescent="0.25">
      <c r="A71" s="11" t="str">
        <f>CONCATENATE("Раздел: ",IF([1]Source!G67&lt;&gt;"Новый раздел", [1]Source!G67, ""))</f>
        <v>Раздел: Фасад</v>
      </c>
      <c r="B71" s="11"/>
      <c r="C71" s="11"/>
      <c r="D71" s="11"/>
      <c r="E71" s="11"/>
      <c r="F71" s="11"/>
      <c r="G71" s="11"/>
      <c r="H71" s="11"/>
      <c r="I71" s="11"/>
      <c r="J71" s="11"/>
      <c r="K71" s="11"/>
    </row>
    <row r="72" spans="1:29" hidden="1" x14ac:dyDescent="0.25"/>
    <row r="73" spans="1:29" ht="16.8" hidden="1" x14ac:dyDescent="0.25">
      <c r="A73" s="11" t="str">
        <f>CONCATENATE("Подраздел: ",IF([1]Source!G71&lt;&gt;"Новый подраздел", [1]Source!G71, ""))</f>
        <v>Подраздел: Демонтажные работы</v>
      </c>
      <c r="B73" s="11"/>
      <c r="C73" s="11"/>
      <c r="D73" s="11"/>
      <c r="E73" s="11"/>
      <c r="F73" s="11"/>
      <c r="G73" s="11"/>
      <c r="H73" s="11"/>
      <c r="I73" s="11"/>
      <c r="J73" s="11"/>
      <c r="K73" s="11"/>
    </row>
    <row r="74" spans="1:29" ht="28.8" hidden="1" x14ac:dyDescent="0.25">
      <c r="A74" s="27">
        <v>4</v>
      </c>
      <c r="B74" s="27" t="str">
        <f>[1]Source!F75</f>
        <v>6.62-28-1</v>
      </c>
      <c r="C74" s="27" t="s">
        <v>57</v>
      </c>
      <c r="D74" s="28" t="str">
        <f>[1]Source!H75</f>
        <v>100 м2</v>
      </c>
      <c r="E74" s="29">
        <f>[1]Source!I75</f>
        <v>96.932000000000002</v>
      </c>
      <c r="F74" s="30"/>
      <c r="G74" s="31"/>
      <c r="H74" s="29"/>
      <c r="I74" s="30"/>
      <c r="J74" s="29"/>
      <c r="K74" s="30"/>
      <c r="Q74">
        <f>[1]Source!X75</f>
        <v>19939.669999999998</v>
      </c>
      <c r="R74">
        <f>[1]Source!X76</f>
        <v>1123600.46</v>
      </c>
      <c r="S74">
        <f>[1]Source!Y75</f>
        <v>10191.39</v>
      </c>
      <c r="T74">
        <f>[1]Source!Y76</f>
        <v>574284.68000000005</v>
      </c>
      <c r="U74">
        <f>ROUND((175/100)*ROUND([1]Source!R75, 2), 2)</f>
        <v>0</v>
      </c>
      <c r="V74">
        <f>ROUND((0/100)*ROUND([1]Source!R76, 2), 2)</f>
        <v>0</v>
      </c>
      <c r="AC74">
        <v>0</v>
      </c>
    </row>
    <row r="75" spans="1:29" ht="52.8" hidden="1" x14ac:dyDescent="0.25">
      <c r="C75" s="32" t="str">
        <f>"Объем: "&amp;[1]Source!I75&amp;"=(4846,6+"&amp;"1423,4+"&amp;"1672,5+"&amp;"274,3+"&amp;"139,5+"&amp;"151,9+"&amp;"499,2+"&amp;"90,9+"&amp;"90,8+"&amp;"153,3+"&amp;"68,1+"&amp;"282,7)/"&amp;"100"</f>
        <v>Объем: 96,932=(4846,6+1423,4+1672,5+274,3+139,5+151,9+499,2+90,9+90,8+153,3+68,1+282,7)/100</v>
      </c>
    </row>
    <row r="76" spans="1:29" ht="14.4" hidden="1" x14ac:dyDescent="0.25">
      <c r="A76" s="27"/>
      <c r="B76" s="27"/>
      <c r="C76" s="27" t="s">
        <v>36</v>
      </c>
      <c r="D76" s="28"/>
      <c r="E76" s="29"/>
      <c r="F76" s="30">
        <f>[1]Source!AO75</f>
        <v>181.92</v>
      </c>
      <c r="G76" s="31" t="s">
        <v>58</v>
      </c>
      <c r="H76" s="29">
        <f>[1]Source!AV76</f>
        <v>1.0469999999999999</v>
      </c>
      <c r="I76" s="30">
        <f>[1]Source!S75</f>
        <v>22155.19</v>
      </c>
      <c r="J76" s="29">
        <f>IF([1]Source!BA76&lt;&gt; 0, [1]Source!BA76, 1)</f>
        <v>56.35</v>
      </c>
      <c r="K76" s="30">
        <f>[1]Source!S76</f>
        <v>1248444.96</v>
      </c>
    </row>
    <row r="77" spans="1:29" ht="14.4" hidden="1" x14ac:dyDescent="0.25">
      <c r="A77" s="27"/>
      <c r="B77" s="27"/>
      <c r="C77" s="27" t="s">
        <v>42</v>
      </c>
      <c r="D77" s="28" t="s">
        <v>43</v>
      </c>
      <c r="E77" s="29">
        <f>[1]Source!BZ76</f>
        <v>90</v>
      </c>
      <c r="F77" s="30"/>
      <c r="G77" s="31"/>
      <c r="H77" s="29"/>
      <c r="I77" s="30">
        <f>SUM(Q74:Q76)</f>
        <v>19939.669999999998</v>
      </c>
      <c r="J77" s="29">
        <f>[1]Source!AT76</f>
        <v>90</v>
      </c>
      <c r="K77" s="30">
        <f>SUM(R74:R76)</f>
        <v>1123600.46</v>
      </c>
    </row>
    <row r="78" spans="1:29" ht="14.4" hidden="1" x14ac:dyDescent="0.25">
      <c r="A78" s="27"/>
      <c r="B78" s="27"/>
      <c r="C78" s="27" t="s">
        <v>44</v>
      </c>
      <c r="D78" s="28" t="s">
        <v>43</v>
      </c>
      <c r="E78" s="29">
        <f>[1]Source!CA76</f>
        <v>46</v>
      </c>
      <c r="F78" s="30"/>
      <c r="G78" s="31"/>
      <c r="H78" s="29"/>
      <c r="I78" s="30">
        <f>SUM(S74:S77)</f>
        <v>10191.39</v>
      </c>
      <c r="J78" s="29">
        <f>[1]Source!AU76</f>
        <v>46</v>
      </c>
      <c r="K78" s="30">
        <f>SUM(T74:T77)</f>
        <v>574284.68000000005</v>
      </c>
    </row>
    <row r="79" spans="1:29" ht="14.4" hidden="1" x14ac:dyDescent="0.25">
      <c r="A79" s="34"/>
      <c r="B79" s="34"/>
      <c r="C79" s="34" t="s">
        <v>45</v>
      </c>
      <c r="D79" s="35" t="s">
        <v>46</v>
      </c>
      <c r="E79" s="36">
        <f>[1]Source!AQ75</f>
        <v>17.8</v>
      </c>
      <c r="F79" s="37"/>
      <c r="G79" s="38" t="s">
        <v>58</v>
      </c>
      <c r="H79" s="36">
        <f>[1]Source!AV76</f>
        <v>1.0469999999999999</v>
      </c>
      <c r="I79" s="37">
        <f>[1]Source!U75</f>
        <v>2167.7794934399999</v>
      </c>
      <c r="J79" s="36"/>
      <c r="K79" s="37"/>
    </row>
    <row r="80" spans="1:29" ht="13.8" hidden="1" x14ac:dyDescent="0.25">
      <c r="C80" s="39" t="s">
        <v>47</v>
      </c>
      <c r="H80" s="40">
        <f>I76+I77+I78+0-0-0</f>
        <v>52286.25</v>
      </c>
      <c r="I80" s="40"/>
      <c r="J80" s="40">
        <f>K76+K77+K78+0-0-0</f>
        <v>2946330.1</v>
      </c>
      <c r="K80" s="40"/>
    </row>
    <row r="81" spans="1:29" ht="13.8" hidden="1" x14ac:dyDescent="0.25">
      <c r="C81" s="39" t="s">
        <v>48</v>
      </c>
      <c r="H81" s="41">
        <f>0+0</f>
        <v>0</v>
      </c>
      <c r="I81" s="41"/>
      <c r="J81" s="41">
        <f>0+0</f>
        <v>0</v>
      </c>
      <c r="K81" s="41"/>
    </row>
    <row r="82" spans="1:29" ht="13.8" hidden="1" x14ac:dyDescent="0.25">
      <c r="C82" s="39" t="s">
        <v>49</v>
      </c>
      <c r="H82" s="41">
        <f>I76+I77+I78+0</f>
        <v>52286.25</v>
      </c>
      <c r="I82" s="41"/>
      <c r="J82" s="41">
        <f>K76+K77+K78+0</f>
        <v>2946330.1</v>
      </c>
      <c r="K82" s="41"/>
      <c r="O82" s="42">
        <f>I76+I77+I78+0</f>
        <v>52286.25</v>
      </c>
      <c r="P82" s="42">
        <f>K76+K77+K78+0</f>
        <v>2946330.1</v>
      </c>
    </row>
    <row r="83" spans="1:29" hidden="1" x14ac:dyDescent="0.25"/>
    <row r="84" spans="1:29" ht="55.2" hidden="1" x14ac:dyDescent="0.25">
      <c r="A84" s="27">
        <v>5</v>
      </c>
      <c r="B84" s="27" t="str">
        <f>[1]Source!F77</f>
        <v>3.9-65-3</v>
      </c>
      <c r="C84" s="27" t="s">
        <v>59</v>
      </c>
      <c r="D84" s="28" t="str">
        <f>[1]Source!H77</f>
        <v>1  ШТ.</v>
      </c>
      <c r="E84" s="29">
        <f>[1]Source!I77</f>
        <v>1</v>
      </c>
      <c r="F84" s="30"/>
      <c r="G84" s="31"/>
      <c r="H84" s="29"/>
      <c r="I84" s="30"/>
      <c r="J84" s="29"/>
      <c r="K84" s="30"/>
      <c r="Q84">
        <f>[1]Source!X77</f>
        <v>9.5500000000000007</v>
      </c>
      <c r="R84">
        <f>[1]Source!X78</f>
        <v>538.19000000000005</v>
      </c>
      <c r="S84">
        <f>[1]Source!Y77</f>
        <v>6.03</v>
      </c>
      <c r="T84">
        <f>[1]Source!Y78</f>
        <v>339.57</v>
      </c>
      <c r="U84">
        <f>ROUND((175/100)*ROUND([1]Source!R77, 2), 2)</f>
        <v>0</v>
      </c>
      <c r="V84">
        <f>ROUND((0/100)*ROUND([1]Source!R78, 2), 2)</f>
        <v>0</v>
      </c>
      <c r="AC84">
        <v>0</v>
      </c>
    </row>
    <row r="85" spans="1:29" ht="14.4" hidden="1" x14ac:dyDescent="0.25">
      <c r="A85" s="27"/>
      <c r="B85" s="27"/>
      <c r="C85" s="27" t="s">
        <v>36</v>
      </c>
      <c r="D85" s="28"/>
      <c r="E85" s="29"/>
      <c r="F85" s="30">
        <f>[1]Source!AO77</f>
        <v>10.9</v>
      </c>
      <c r="G85" s="31" t="s">
        <v>60</v>
      </c>
      <c r="H85" s="29">
        <f>[1]Source!AV78</f>
        <v>1.087</v>
      </c>
      <c r="I85" s="30">
        <f>[1]Source!S77</f>
        <v>11.37</v>
      </c>
      <c r="J85" s="29">
        <f>IF([1]Source!BA78&lt;&gt; 0, [1]Source!BA78, 1)</f>
        <v>56.35</v>
      </c>
      <c r="K85" s="30">
        <f>[1]Source!S78</f>
        <v>640.70000000000005</v>
      </c>
    </row>
    <row r="86" spans="1:29" ht="14.4" hidden="1" x14ac:dyDescent="0.25">
      <c r="A86" s="27"/>
      <c r="B86" s="27"/>
      <c r="C86" s="27" t="s">
        <v>42</v>
      </c>
      <c r="D86" s="28" t="s">
        <v>43</v>
      </c>
      <c r="E86" s="29">
        <f>[1]Source!BZ78</f>
        <v>84</v>
      </c>
      <c r="F86" s="30"/>
      <c r="G86" s="31"/>
      <c r="H86" s="29"/>
      <c r="I86" s="30">
        <f>SUM(Q84:Q85)</f>
        <v>9.5500000000000007</v>
      </c>
      <c r="J86" s="29">
        <f>[1]Source!AT78</f>
        <v>84</v>
      </c>
      <c r="K86" s="30">
        <f>SUM(R84:R85)</f>
        <v>538.19000000000005</v>
      </c>
    </row>
    <row r="87" spans="1:29" ht="14.4" hidden="1" x14ac:dyDescent="0.25">
      <c r="A87" s="27"/>
      <c r="B87" s="27"/>
      <c r="C87" s="27" t="s">
        <v>44</v>
      </c>
      <c r="D87" s="28" t="s">
        <v>43</v>
      </c>
      <c r="E87" s="29">
        <f>[1]Source!CA78</f>
        <v>53</v>
      </c>
      <c r="F87" s="30"/>
      <c r="G87" s="31"/>
      <c r="H87" s="29"/>
      <c r="I87" s="30">
        <f>SUM(S84:S86)</f>
        <v>6.03</v>
      </c>
      <c r="J87" s="29">
        <f>[1]Source!AU78</f>
        <v>53</v>
      </c>
      <c r="K87" s="30">
        <f>SUM(T84:T86)</f>
        <v>339.57</v>
      </c>
    </row>
    <row r="88" spans="1:29" ht="14.4" hidden="1" x14ac:dyDescent="0.25">
      <c r="A88" s="34"/>
      <c r="B88" s="34"/>
      <c r="C88" s="34" t="s">
        <v>45</v>
      </c>
      <c r="D88" s="35" t="s">
        <v>46</v>
      </c>
      <c r="E88" s="36">
        <f>[1]Source!AQ77</f>
        <v>0.95</v>
      </c>
      <c r="F88" s="37"/>
      <c r="G88" s="38" t="s">
        <v>60</v>
      </c>
      <c r="H88" s="36">
        <f>[1]Source!AV78</f>
        <v>1.087</v>
      </c>
      <c r="I88" s="37">
        <f>[1]Source!U77</f>
        <v>0.99134399999999989</v>
      </c>
      <c r="J88" s="36"/>
      <c r="K88" s="37"/>
    </row>
    <row r="89" spans="1:29" ht="13.8" hidden="1" x14ac:dyDescent="0.25">
      <c r="C89" s="39" t="s">
        <v>47</v>
      </c>
      <c r="H89" s="40">
        <f>I85+I86+I87+0-0-0</f>
        <v>26.950000000000003</v>
      </c>
      <c r="I89" s="40"/>
      <c r="J89" s="40">
        <f>K85+K86+K87+0-0-0</f>
        <v>1518.46</v>
      </c>
      <c r="K89" s="40"/>
    </row>
    <row r="90" spans="1:29" ht="13.8" hidden="1" x14ac:dyDescent="0.25">
      <c r="C90" s="39" t="s">
        <v>48</v>
      </c>
      <c r="H90" s="41">
        <f>0+0</f>
        <v>0</v>
      </c>
      <c r="I90" s="41"/>
      <c r="J90" s="41">
        <f>0+0</f>
        <v>0</v>
      </c>
      <c r="K90" s="41"/>
    </row>
    <row r="91" spans="1:29" ht="13.8" hidden="1" x14ac:dyDescent="0.25">
      <c r="C91" s="39" t="s">
        <v>49</v>
      </c>
      <c r="H91" s="41">
        <f>I85+I86+I87+0</f>
        <v>26.950000000000003</v>
      </c>
      <c r="I91" s="41"/>
      <c r="J91" s="41">
        <f>K85+K86+K87+0</f>
        <v>1518.46</v>
      </c>
      <c r="K91" s="41"/>
      <c r="O91" s="42">
        <f>I85+I86+I87+0</f>
        <v>26.950000000000003</v>
      </c>
      <c r="P91" s="42">
        <f>K85+K86+K87+0</f>
        <v>1518.46</v>
      </c>
    </row>
    <row r="92" spans="1:29" hidden="1" x14ac:dyDescent="0.25"/>
    <row r="93" spans="1:29" ht="41.4" hidden="1" x14ac:dyDescent="0.25">
      <c r="A93" s="27">
        <v>6</v>
      </c>
      <c r="B93" s="27" t="str">
        <f>[1]Source!F79</f>
        <v>3.9-65-3</v>
      </c>
      <c r="C93" s="27" t="s">
        <v>61</v>
      </c>
      <c r="D93" s="28" t="str">
        <f>[1]Source!H79</f>
        <v>1  ШТ.</v>
      </c>
      <c r="E93" s="29">
        <f>[1]Source!I79</f>
        <v>1</v>
      </c>
      <c r="F93" s="30"/>
      <c r="G93" s="31"/>
      <c r="H93" s="29"/>
      <c r="I93" s="30"/>
      <c r="J93" s="29"/>
      <c r="K93" s="30"/>
      <c r="Q93">
        <f>[1]Source!X79</f>
        <v>9.5500000000000007</v>
      </c>
      <c r="R93">
        <f>[1]Source!X80</f>
        <v>538.19000000000005</v>
      </c>
      <c r="S93">
        <f>[1]Source!Y79</f>
        <v>6.03</v>
      </c>
      <c r="T93">
        <f>[1]Source!Y80</f>
        <v>339.57</v>
      </c>
      <c r="U93">
        <f>ROUND((175/100)*ROUND([1]Source!R79, 2), 2)</f>
        <v>0</v>
      </c>
      <c r="V93">
        <f>ROUND((0/100)*ROUND([1]Source!R80, 2), 2)</f>
        <v>0</v>
      </c>
      <c r="AC93">
        <v>0</v>
      </c>
    </row>
    <row r="94" spans="1:29" ht="14.4" hidden="1" x14ac:dyDescent="0.25">
      <c r="A94" s="27"/>
      <c r="B94" s="27"/>
      <c r="C94" s="27" t="s">
        <v>36</v>
      </c>
      <c r="D94" s="28"/>
      <c r="E94" s="29"/>
      <c r="F94" s="30">
        <f>[1]Source!AO79</f>
        <v>10.9</v>
      </c>
      <c r="G94" s="31" t="s">
        <v>60</v>
      </c>
      <c r="H94" s="29">
        <f>[1]Source!AV80</f>
        <v>1.087</v>
      </c>
      <c r="I94" s="30">
        <f>[1]Source!S79</f>
        <v>11.37</v>
      </c>
      <c r="J94" s="29">
        <f>IF([1]Source!BA80&lt;&gt; 0, [1]Source!BA80, 1)</f>
        <v>56.35</v>
      </c>
      <c r="K94" s="30">
        <f>[1]Source!S80</f>
        <v>640.70000000000005</v>
      </c>
    </row>
    <row r="95" spans="1:29" ht="14.4" hidden="1" x14ac:dyDescent="0.25">
      <c r="A95" s="27"/>
      <c r="B95" s="27"/>
      <c r="C95" s="27" t="s">
        <v>42</v>
      </c>
      <c r="D95" s="28" t="s">
        <v>43</v>
      </c>
      <c r="E95" s="29">
        <f>[1]Source!BZ80</f>
        <v>84</v>
      </c>
      <c r="F95" s="30"/>
      <c r="G95" s="31"/>
      <c r="H95" s="29"/>
      <c r="I95" s="30">
        <f>SUM(Q93:Q94)</f>
        <v>9.5500000000000007</v>
      </c>
      <c r="J95" s="29">
        <f>[1]Source!AT80</f>
        <v>84</v>
      </c>
      <c r="K95" s="30">
        <f>SUM(R93:R94)</f>
        <v>538.19000000000005</v>
      </c>
    </row>
    <row r="96" spans="1:29" ht="14.4" hidden="1" x14ac:dyDescent="0.25">
      <c r="A96" s="27"/>
      <c r="B96" s="27"/>
      <c r="C96" s="27" t="s">
        <v>44</v>
      </c>
      <c r="D96" s="28" t="s">
        <v>43</v>
      </c>
      <c r="E96" s="29">
        <f>[1]Source!CA80</f>
        <v>53</v>
      </c>
      <c r="F96" s="30"/>
      <c r="G96" s="31"/>
      <c r="H96" s="29"/>
      <c r="I96" s="30">
        <f>SUM(S93:S95)</f>
        <v>6.03</v>
      </c>
      <c r="J96" s="29">
        <f>[1]Source!AU80</f>
        <v>53</v>
      </c>
      <c r="K96" s="30">
        <f>SUM(T93:T95)</f>
        <v>339.57</v>
      </c>
    </row>
    <row r="97" spans="1:29" ht="14.4" hidden="1" x14ac:dyDescent="0.25">
      <c r="A97" s="34"/>
      <c r="B97" s="34"/>
      <c r="C97" s="34" t="s">
        <v>45</v>
      </c>
      <c r="D97" s="35" t="s">
        <v>46</v>
      </c>
      <c r="E97" s="36">
        <f>[1]Source!AQ79</f>
        <v>0.95</v>
      </c>
      <c r="F97" s="37"/>
      <c r="G97" s="38" t="s">
        <v>60</v>
      </c>
      <c r="H97" s="36">
        <f>[1]Source!AV80</f>
        <v>1.087</v>
      </c>
      <c r="I97" s="37">
        <f>[1]Source!U79</f>
        <v>0.99134399999999989</v>
      </c>
      <c r="J97" s="36"/>
      <c r="K97" s="37"/>
    </row>
    <row r="98" spans="1:29" ht="13.8" hidden="1" x14ac:dyDescent="0.25">
      <c r="C98" s="39" t="s">
        <v>47</v>
      </c>
      <c r="H98" s="40">
        <f>I94+I95+I96+0-0-0</f>
        <v>26.950000000000003</v>
      </c>
      <c r="I98" s="40"/>
      <c r="J98" s="40">
        <f>K94+K95+K96+0-0-0</f>
        <v>1518.46</v>
      </c>
      <c r="K98" s="40"/>
    </row>
    <row r="99" spans="1:29" ht="13.8" hidden="1" x14ac:dyDescent="0.25">
      <c r="C99" s="39" t="s">
        <v>48</v>
      </c>
      <c r="H99" s="41">
        <f>0+0</f>
        <v>0</v>
      </c>
      <c r="I99" s="41"/>
      <c r="J99" s="41">
        <f>0+0</f>
        <v>0</v>
      </c>
      <c r="K99" s="41"/>
    </row>
    <row r="100" spans="1:29" ht="13.8" hidden="1" x14ac:dyDescent="0.25">
      <c r="C100" s="39" t="s">
        <v>49</v>
      </c>
      <c r="H100" s="41">
        <f>I94+I95+I96+0</f>
        <v>26.950000000000003</v>
      </c>
      <c r="I100" s="41"/>
      <c r="J100" s="41">
        <f>K94+K95+K96+0</f>
        <v>1518.46</v>
      </c>
      <c r="K100" s="41"/>
      <c r="O100" s="42">
        <f>I94+I95+I96+0</f>
        <v>26.950000000000003</v>
      </c>
      <c r="P100" s="42">
        <f>K94+K95+K96+0</f>
        <v>1518.46</v>
      </c>
    </row>
    <row r="101" spans="1:29" hidden="1" x14ac:dyDescent="0.25"/>
    <row r="102" spans="1:29" ht="72" hidden="1" x14ac:dyDescent="0.25">
      <c r="A102" s="27">
        <v>7</v>
      </c>
      <c r="B102" s="27" t="str">
        <f>[1]Source!F81</f>
        <v>3.9-66-1</v>
      </c>
      <c r="C102" s="27" t="s">
        <v>62</v>
      </c>
      <c r="D102" s="28" t="str">
        <f>[1]Source!H81</f>
        <v>1 флагодержатель</v>
      </c>
      <c r="E102" s="29">
        <f>[1]Source!I81</f>
        <v>1</v>
      </c>
      <c r="F102" s="30"/>
      <c r="G102" s="31"/>
      <c r="H102" s="29"/>
      <c r="I102" s="30"/>
      <c r="J102" s="29"/>
      <c r="K102" s="30"/>
      <c r="Q102">
        <f>[1]Source!X81</f>
        <v>3.97</v>
      </c>
      <c r="R102">
        <f>[1]Source!X82</f>
        <v>223.89</v>
      </c>
      <c r="S102">
        <f>[1]Source!Y81</f>
        <v>2.5099999999999998</v>
      </c>
      <c r="T102">
        <f>[1]Source!Y82</f>
        <v>141.27000000000001</v>
      </c>
      <c r="U102">
        <f>ROUND((175/100)*ROUND([1]Source!R81, 2), 2)</f>
        <v>0</v>
      </c>
      <c r="V102">
        <f>ROUND((0/100)*ROUND([1]Source!R82, 2), 2)</f>
        <v>0</v>
      </c>
      <c r="AC102">
        <v>0</v>
      </c>
    </row>
    <row r="103" spans="1:29" ht="14.4" hidden="1" x14ac:dyDescent="0.25">
      <c r="A103" s="27"/>
      <c r="B103" s="27"/>
      <c r="C103" s="27" t="s">
        <v>36</v>
      </c>
      <c r="D103" s="28"/>
      <c r="E103" s="29"/>
      <c r="F103" s="30">
        <f>[1]Source!AO81</f>
        <v>6.04</v>
      </c>
      <c r="G103" s="31" t="s">
        <v>63</v>
      </c>
      <c r="H103" s="29">
        <f>[1]Source!AV82</f>
        <v>1.087</v>
      </c>
      <c r="I103" s="30">
        <f>[1]Source!S81</f>
        <v>4.7300000000000004</v>
      </c>
      <c r="J103" s="29">
        <f>IF([1]Source!BA82&lt;&gt; 0, [1]Source!BA82, 1)</f>
        <v>56.35</v>
      </c>
      <c r="K103" s="30">
        <f>[1]Source!S82</f>
        <v>266.54000000000002</v>
      </c>
    </row>
    <row r="104" spans="1:29" ht="14.4" hidden="1" x14ac:dyDescent="0.25">
      <c r="A104" s="27"/>
      <c r="B104" s="27"/>
      <c r="C104" s="27" t="s">
        <v>41</v>
      </c>
      <c r="D104" s="28"/>
      <c r="E104" s="29"/>
      <c r="F104" s="30">
        <f>[1]Source!AL81</f>
        <v>0.31</v>
      </c>
      <c r="G104" s="31" t="s">
        <v>64</v>
      </c>
      <c r="H104" s="29">
        <f>[1]Source!AW82</f>
        <v>1</v>
      </c>
      <c r="I104" s="30">
        <f>[1]Source!P81</f>
        <v>0.19</v>
      </c>
      <c r="J104" s="29">
        <f>IF([1]Source!BC82&lt;&gt; 0, [1]Source!BC82, 1)</f>
        <v>11.39</v>
      </c>
      <c r="K104" s="30">
        <f>[1]Source!P82</f>
        <v>2.16</v>
      </c>
    </row>
    <row r="105" spans="1:29" ht="14.4" hidden="1" x14ac:dyDescent="0.25">
      <c r="A105" s="27"/>
      <c r="B105" s="27"/>
      <c r="C105" s="27" t="s">
        <v>42</v>
      </c>
      <c r="D105" s="28" t="s">
        <v>43</v>
      </c>
      <c r="E105" s="29">
        <f>[1]Source!BZ82</f>
        <v>84</v>
      </c>
      <c r="F105" s="30"/>
      <c r="G105" s="31"/>
      <c r="H105" s="29"/>
      <c r="I105" s="30">
        <f>SUM(Q102:Q104)</f>
        <v>3.97</v>
      </c>
      <c r="J105" s="29">
        <f>[1]Source!AT82</f>
        <v>84</v>
      </c>
      <c r="K105" s="30">
        <f>SUM(R102:R104)</f>
        <v>223.89</v>
      </c>
    </row>
    <row r="106" spans="1:29" ht="14.4" hidden="1" x14ac:dyDescent="0.25">
      <c r="A106" s="27"/>
      <c r="B106" s="27"/>
      <c r="C106" s="27" t="s">
        <v>44</v>
      </c>
      <c r="D106" s="28" t="s">
        <v>43</v>
      </c>
      <c r="E106" s="29">
        <f>[1]Source!CA82</f>
        <v>53</v>
      </c>
      <c r="F106" s="30"/>
      <c r="G106" s="31"/>
      <c r="H106" s="29"/>
      <c r="I106" s="30">
        <f>SUM(S102:S105)</f>
        <v>2.5099999999999998</v>
      </c>
      <c r="J106" s="29">
        <f>[1]Source!AU82</f>
        <v>53</v>
      </c>
      <c r="K106" s="30">
        <f>SUM(T102:T105)</f>
        <v>141.27000000000001</v>
      </c>
    </row>
    <row r="107" spans="1:29" ht="14.4" hidden="1" x14ac:dyDescent="0.25">
      <c r="A107" s="34"/>
      <c r="B107" s="34"/>
      <c r="C107" s="34" t="s">
        <v>45</v>
      </c>
      <c r="D107" s="35" t="s">
        <v>46</v>
      </c>
      <c r="E107" s="36">
        <f>[1]Source!AQ81</f>
        <v>0.52</v>
      </c>
      <c r="F107" s="37"/>
      <c r="G107" s="38" t="s">
        <v>63</v>
      </c>
      <c r="H107" s="36">
        <f>[1]Source!AV82</f>
        <v>1.087</v>
      </c>
      <c r="I107" s="37">
        <f>[1]Source!U81</f>
        <v>0.40697280000000002</v>
      </c>
      <c r="J107" s="36"/>
      <c r="K107" s="37"/>
    </row>
    <row r="108" spans="1:29" ht="13.8" hidden="1" x14ac:dyDescent="0.25">
      <c r="C108" s="39" t="s">
        <v>47</v>
      </c>
      <c r="H108" s="40">
        <f>I103+I104+I105+I106+0-0-0</f>
        <v>11.4</v>
      </c>
      <c r="I108" s="40"/>
      <c r="J108" s="40">
        <f>K103+K104+K105+K106+0-0-0</f>
        <v>633.86</v>
      </c>
      <c r="K108" s="40"/>
    </row>
    <row r="109" spans="1:29" ht="13.8" hidden="1" x14ac:dyDescent="0.25">
      <c r="C109" s="39" t="s">
        <v>48</v>
      </c>
      <c r="H109" s="41">
        <f>0+0</f>
        <v>0</v>
      </c>
      <c r="I109" s="41"/>
      <c r="J109" s="41">
        <f>0+0</f>
        <v>0</v>
      </c>
      <c r="K109" s="41"/>
    </row>
    <row r="110" spans="1:29" ht="13.8" hidden="1" x14ac:dyDescent="0.25">
      <c r="C110" s="39" t="s">
        <v>49</v>
      </c>
      <c r="H110" s="41">
        <f>I103+I104+I105+I106+0</f>
        <v>11.4</v>
      </c>
      <c r="I110" s="41"/>
      <c r="J110" s="41">
        <f>K103+K104+K105+K106+0</f>
        <v>633.86</v>
      </c>
      <c r="K110" s="41"/>
      <c r="O110" s="42">
        <f>I103+I104+I105+I106+0</f>
        <v>11.4</v>
      </c>
      <c r="P110" s="42">
        <f>K103+K104+K105+K106+0</f>
        <v>633.86</v>
      </c>
    </row>
    <row r="111" spans="1:29" hidden="1" x14ac:dyDescent="0.25"/>
    <row r="112" spans="1:29" hidden="1" x14ac:dyDescent="0.25"/>
    <row r="113" spans="1:29" ht="13.8" hidden="1" x14ac:dyDescent="0.25">
      <c r="A113" s="44" t="str">
        <f>CONCATENATE("Итого по подразделу: ",IF([1]Source!G84&lt;&gt;"Новый подраздел", [1]Source!G84, ""))</f>
        <v>Итого по подразделу: Демонтажные работы</v>
      </c>
      <c r="B113" s="44"/>
      <c r="C113" s="44"/>
      <c r="D113" s="44"/>
      <c r="E113" s="44"/>
      <c r="F113" s="44"/>
      <c r="G113" s="44"/>
      <c r="H113" s="41">
        <f>SUM(O73:O112)</f>
        <v>52351.549999999996</v>
      </c>
      <c r="I113" s="45"/>
      <c r="J113" s="41">
        <f>SUM(P73:P112)</f>
        <v>2950000.88</v>
      </c>
      <c r="K113" s="45"/>
    </row>
    <row r="114" spans="1:29" hidden="1" x14ac:dyDescent="0.25">
      <c r="A114" t="s">
        <v>55</v>
      </c>
      <c r="I114">
        <f>SUM(W73:W113)</f>
        <v>0</v>
      </c>
      <c r="J114">
        <f>SUM(X73:X113)</f>
        <v>0</v>
      </c>
    </row>
    <row r="115" spans="1:29" hidden="1" x14ac:dyDescent="0.25">
      <c r="A115" t="s">
        <v>56</v>
      </c>
      <c r="I115">
        <f>SUM(Y73:Y114)</f>
        <v>0</v>
      </c>
      <c r="J115">
        <f>SUM(Z73:Z114)</f>
        <v>0</v>
      </c>
    </row>
    <row r="116" spans="1:29" hidden="1" x14ac:dyDescent="0.25"/>
    <row r="117" spans="1:29" ht="16.8" hidden="1" x14ac:dyDescent="0.25">
      <c r="A117" s="11" t="str">
        <f>CONCATENATE("Подраздел: ",IF([1]Source!G114&lt;&gt;"Новый подраздел", [1]Source!G114, ""))</f>
        <v>Подраздел: Монтажные работы</v>
      </c>
      <c r="B117" s="11"/>
      <c r="C117" s="11"/>
      <c r="D117" s="11"/>
      <c r="E117" s="11"/>
      <c r="F117" s="11"/>
      <c r="G117" s="11"/>
      <c r="H117" s="11"/>
      <c r="I117" s="11"/>
      <c r="J117" s="11"/>
      <c r="K117" s="11"/>
    </row>
    <row r="118" spans="1:29" hidden="1" x14ac:dyDescent="0.25"/>
    <row r="119" spans="1:29" ht="13.8" hidden="1" x14ac:dyDescent="0.25">
      <c r="A119" s="44" t="str">
        <f>CONCATENATE("Итого по подразделу: ",IF([1]Source!G118&lt;&gt;"Новый подраздел", [1]Source!G118, ""))</f>
        <v>Итого по подразделу: Монтажные работы</v>
      </c>
      <c r="B119" s="44"/>
      <c r="C119" s="44"/>
      <c r="D119" s="44"/>
      <c r="E119" s="44"/>
      <c r="F119" s="44"/>
      <c r="G119" s="44"/>
      <c r="H119" s="41">
        <f>SUM(O117:O118)</f>
        <v>0</v>
      </c>
      <c r="I119" s="45"/>
      <c r="J119" s="41">
        <f>SUM(P117:P118)</f>
        <v>0</v>
      </c>
      <c r="K119" s="45"/>
    </row>
    <row r="120" spans="1:29" hidden="1" x14ac:dyDescent="0.25">
      <c r="A120" t="s">
        <v>55</v>
      </c>
      <c r="I120">
        <f>SUM(W117:W119)</f>
        <v>0</v>
      </c>
      <c r="J120">
        <f>SUM(X117:X119)</f>
        <v>0</v>
      </c>
    </row>
    <row r="121" spans="1:29" hidden="1" x14ac:dyDescent="0.25">
      <c r="A121" t="s">
        <v>56</v>
      </c>
      <c r="I121">
        <f>SUM(Y117:Y120)</f>
        <v>0</v>
      </c>
      <c r="J121">
        <f>SUM(Z117:Z120)</f>
        <v>0</v>
      </c>
    </row>
    <row r="122" spans="1:29" hidden="1" x14ac:dyDescent="0.25"/>
    <row r="123" spans="1:29" ht="16.8" hidden="1" x14ac:dyDescent="0.25">
      <c r="A123" s="11" t="str">
        <f>CONCATENATE("Подраздел: ",IF([1]Source!G148&lt;&gt;"Новый подраздел", [1]Source!G148, ""))</f>
        <v>Подраздел: Фасад</v>
      </c>
      <c r="B123" s="11"/>
      <c r="C123" s="11"/>
      <c r="D123" s="11"/>
      <c r="E123" s="11"/>
      <c r="F123" s="11"/>
      <c r="G123" s="11"/>
      <c r="H123" s="11"/>
      <c r="I123" s="11"/>
      <c r="J123" s="11"/>
      <c r="K123" s="11"/>
    </row>
    <row r="124" spans="1:29" ht="69" hidden="1" x14ac:dyDescent="0.25">
      <c r="A124" s="27">
        <v>8</v>
      </c>
      <c r="B124" s="27" t="str">
        <f>[1]Source!F152</f>
        <v>6.62-40-2</v>
      </c>
      <c r="C124" s="27" t="s">
        <v>65</v>
      </c>
      <c r="D124" s="28" t="str">
        <f>[1]Source!H152</f>
        <v>100 м2</v>
      </c>
      <c r="E124" s="29">
        <f>[1]Source!I152</f>
        <v>48.466000000000001</v>
      </c>
      <c r="F124" s="30"/>
      <c r="G124" s="31"/>
      <c r="H124" s="29"/>
      <c r="I124" s="30"/>
      <c r="J124" s="29"/>
      <c r="K124" s="30"/>
      <c r="Q124">
        <f>[1]Source!X152</f>
        <v>9370.31</v>
      </c>
      <c r="R124">
        <f>[1]Source!X153</f>
        <v>528016.68000000005</v>
      </c>
      <c r="S124">
        <f>[1]Source!Y152</f>
        <v>4789.2700000000004</v>
      </c>
      <c r="T124">
        <f>[1]Source!Y153</f>
        <v>269875.19</v>
      </c>
      <c r="U124">
        <f>ROUND((175/100)*ROUND([1]Source!R152, 2), 2)</f>
        <v>52.17</v>
      </c>
      <c r="V124">
        <f>ROUND((0/100)*ROUND([1]Source!R153, 2), 2)</f>
        <v>0</v>
      </c>
      <c r="AC124">
        <v>0</v>
      </c>
    </row>
    <row r="125" spans="1:29" hidden="1" x14ac:dyDescent="0.25">
      <c r="C125" s="32" t="str">
        <f>"Объем: "&amp;[1]Source!I152&amp;"=4846,6/"&amp;"100"</f>
        <v>Объем: 48,466=4846,6/100</v>
      </c>
    </row>
    <row r="126" spans="1:29" ht="14.4" hidden="1" x14ac:dyDescent="0.25">
      <c r="A126" s="27"/>
      <c r="B126" s="27"/>
      <c r="C126" s="27" t="s">
        <v>36</v>
      </c>
      <c r="D126" s="28"/>
      <c r="E126" s="29"/>
      <c r="F126" s="30">
        <f>[1]Source!AO152</f>
        <v>174.15</v>
      </c>
      <c r="G126" s="31" t="s">
        <v>58</v>
      </c>
      <c r="H126" s="29">
        <f>[1]Source!AV153</f>
        <v>1.0249999999999999</v>
      </c>
      <c r="I126" s="30">
        <f>[1]Source!S152</f>
        <v>10381.64</v>
      </c>
      <c r="J126" s="29">
        <f>IF([1]Source!BA153&lt;&gt; 0, [1]Source!BA153, 1)</f>
        <v>56.35</v>
      </c>
      <c r="K126" s="30">
        <f>[1]Source!S153</f>
        <v>585005.41</v>
      </c>
    </row>
    <row r="127" spans="1:29" ht="14.4" hidden="1" x14ac:dyDescent="0.25">
      <c r="A127" s="27"/>
      <c r="B127" s="27"/>
      <c r="C127" s="27" t="s">
        <v>38</v>
      </c>
      <c r="D127" s="28"/>
      <c r="E127" s="29"/>
      <c r="F127" s="30">
        <f>[1]Source!AM152</f>
        <v>3.32</v>
      </c>
      <c r="G127" s="31" t="s">
        <v>58</v>
      </c>
      <c r="H127" s="29">
        <f>[1]Source!AV153</f>
        <v>1.0249999999999999</v>
      </c>
      <c r="I127" s="30">
        <f>[1]Source!Q152</f>
        <v>197.92</v>
      </c>
      <c r="J127" s="29">
        <f>IF([1]Source!BB153&lt;&gt; 0, [1]Source!BB153, 1)</f>
        <v>17.09</v>
      </c>
      <c r="K127" s="30">
        <f>[1]Source!Q153</f>
        <v>3382.45</v>
      </c>
    </row>
    <row r="128" spans="1:29" ht="14.4" hidden="1" x14ac:dyDescent="0.25">
      <c r="A128" s="27"/>
      <c r="B128" s="27"/>
      <c r="C128" s="27" t="s">
        <v>40</v>
      </c>
      <c r="D128" s="28"/>
      <c r="E128" s="29"/>
      <c r="F128" s="30">
        <f>[1]Source!AN152</f>
        <v>0.5</v>
      </c>
      <c r="G128" s="31" t="s">
        <v>58</v>
      </c>
      <c r="H128" s="29">
        <f>[1]Source!AV153</f>
        <v>1.0249999999999999</v>
      </c>
      <c r="I128" s="33">
        <f>[1]Source!R152</f>
        <v>29.81</v>
      </c>
      <c r="J128" s="29">
        <f>IF([1]Source!BS153&lt;&gt; 0, [1]Source!BS153, 1)</f>
        <v>56.35</v>
      </c>
      <c r="K128" s="33">
        <f>[1]Source!R153</f>
        <v>1679.79</v>
      </c>
    </row>
    <row r="129" spans="1:29" ht="14.4" hidden="1" x14ac:dyDescent="0.25">
      <c r="A129" s="27"/>
      <c r="B129" s="27"/>
      <c r="C129" s="27" t="s">
        <v>41</v>
      </c>
      <c r="D129" s="28"/>
      <c r="E129" s="29"/>
      <c r="F129" s="30">
        <f>[1]Source!AL152</f>
        <v>7.0000000000000007E-2</v>
      </c>
      <c r="G129" s="31"/>
      <c r="H129" s="29">
        <f>[1]Source!AW153</f>
        <v>1</v>
      </c>
      <c r="I129" s="30">
        <f>[1]Source!P152</f>
        <v>3.39</v>
      </c>
      <c r="J129" s="29">
        <f>IF([1]Source!BC153&lt;&gt; 0, [1]Source!BC153, 1)</f>
        <v>7.86</v>
      </c>
      <c r="K129" s="30">
        <f>[1]Source!P153</f>
        <v>26.65</v>
      </c>
    </row>
    <row r="130" spans="1:29" ht="138" hidden="1" x14ac:dyDescent="0.25">
      <c r="A130" s="27" t="s">
        <v>66</v>
      </c>
      <c r="B130" s="27" t="str">
        <f>[1]Source!F154</f>
        <v>1.1-1-2849</v>
      </c>
      <c r="C130" s="27" t="s">
        <v>67</v>
      </c>
      <c r="D130" s="28" t="str">
        <f>[1]Source!H154</f>
        <v>кг</v>
      </c>
      <c r="E130" s="29">
        <f>[1]Source!I154</f>
        <v>1497.5994000000001</v>
      </c>
      <c r="F130" s="30">
        <f>[1]Source!AK154</f>
        <v>41.35</v>
      </c>
      <c r="G130" s="43" t="s">
        <v>54</v>
      </c>
      <c r="H130" s="29">
        <f>[1]Source!AW155</f>
        <v>1</v>
      </c>
      <c r="I130" s="30">
        <f>[1]Source!O154</f>
        <v>61925.74</v>
      </c>
      <c r="J130" s="29">
        <f>IF([1]Source!BC155&lt;&gt; 0, [1]Source!BC155, 1)</f>
        <v>8.86</v>
      </c>
      <c r="K130" s="30">
        <f>[1]Source!O155</f>
        <v>548662.06000000006</v>
      </c>
      <c r="Q130">
        <f>[1]Source!X154</f>
        <v>0</v>
      </c>
      <c r="R130">
        <f>[1]Source!X155</f>
        <v>0</v>
      </c>
      <c r="S130">
        <f>[1]Source!Y154</f>
        <v>0</v>
      </c>
      <c r="T130">
        <f>[1]Source!Y155</f>
        <v>0</v>
      </c>
      <c r="U130">
        <f>ROUND((175/100)*ROUND([1]Source!R154, 2), 2)</f>
        <v>0</v>
      </c>
      <c r="V130">
        <f>ROUND((0/100)*ROUND([1]Source!R155, 2), 2)</f>
        <v>0</v>
      </c>
      <c r="AC130">
        <v>3</v>
      </c>
    </row>
    <row r="131" spans="1:29" ht="14.4" hidden="1" x14ac:dyDescent="0.25">
      <c r="A131" s="27"/>
      <c r="B131" s="27"/>
      <c r="C131" s="27" t="s">
        <v>42</v>
      </c>
      <c r="D131" s="28" t="s">
        <v>43</v>
      </c>
      <c r="E131" s="29">
        <f>[1]Source!BZ153</f>
        <v>90</v>
      </c>
      <c r="F131" s="30"/>
      <c r="G131" s="31"/>
      <c r="H131" s="29"/>
      <c r="I131" s="30">
        <f>SUM(Q124:Q130)</f>
        <v>9370.31</v>
      </c>
      <c r="J131" s="29">
        <f>[1]Source!AT153</f>
        <v>90</v>
      </c>
      <c r="K131" s="30">
        <f>SUM(R124:R130)</f>
        <v>528016.68000000005</v>
      </c>
    </row>
    <row r="132" spans="1:29" ht="14.4" hidden="1" x14ac:dyDescent="0.25">
      <c r="A132" s="27"/>
      <c r="B132" s="27"/>
      <c r="C132" s="27" t="s">
        <v>44</v>
      </c>
      <c r="D132" s="28" t="s">
        <v>43</v>
      </c>
      <c r="E132" s="29">
        <f>[1]Source!CA153</f>
        <v>46</v>
      </c>
      <c r="F132" s="30"/>
      <c r="G132" s="31"/>
      <c r="H132" s="29"/>
      <c r="I132" s="30">
        <f>SUM(S124:S131)</f>
        <v>4789.2700000000004</v>
      </c>
      <c r="J132" s="29">
        <f>[1]Source!AU153</f>
        <v>46</v>
      </c>
      <c r="K132" s="30">
        <f>SUM(T124:T131)</f>
        <v>269875.19</v>
      </c>
    </row>
    <row r="133" spans="1:29" ht="14.4" hidden="1" x14ac:dyDescent="0.25">
      <c r="A133" s="34"/>
      <c r="B133" s="34"/>
      <c r="C133" s="34" t="s">
        <v>45</v>
      </c>
      <c r="D133" s="35" t="s">
        <v>46</v>
      </c>
      <c r="E133" s="36">
        <f>[1]Source!AQ152</f>
        <v>13.91</v>
      </c>
      <c r="F133" s="37"/>
      <c r="G133" s="38" t="s">
        <v>58</v>
      </c>
      <c r="H133" s="36">
        <f>[1]Source!AV153</f>
        <v>1.0249999999999999</v>
      </c>
      <c r="I133" s="37">
        <f>[1]Source!U152</f>
        <v>829.21933379999984</v>
      </c>
      <c r="J133" s="36"/>
      <c r="K133" s="37"/>
    </row>
    <row r="134" spans="1:29" ht="13.8" hidden="1" x14ac:dyDescent="0.25">
      <c r="C134" s="39" t="s">
        <v>47</v>
      </c>
      <c r="H134" s="40">
        <f>I126+I127+I129+I131+I132+SUM(I130:I130)-SUMIF(AC130:AC130, 5, I130:I130)-SUMIF(AC130:AC130, 6, I130:I130)</f>
        <v>86668.26999999999</v>
      </c>
      <c r="I134" s="40"/>
      <c r="J134" s="40">
        <f>K126+K127+K129+K131+K132+SUM(K130:K130)-SUMIF(AC130:AC130, 5, K130:K130)-SUMIF(AC130:AC130, 6, K130:K130)</f>
        <v>1934968.44</v>
      </c>
      <c r="K134" s="40"/>
    </row>
    <row r="135" spans="1:29" ht="13.8" hidden="1" x14ac:dyDescent="0.25">
      <c r="C135" s="39" t="s">
        <v>48</v>
      </c>
      <c r="H135" s="41">
        <f>SUMIF(AC130:AC130, 5, I130:I130)+SUMIF(AC130:AC130, 6, I130:I130)</f>
        <v>0</v>
      </c>
      <c r="I135" s="41"/>
      <c r="J135" s="41">
        <f>SUMIF(AC130:AC130, 5, K130:K130)+SUMIF(AC130:AC130, 6, K130:K130)</f>
        <v>0</v>
      </c>
      <c r="K135" s="41"/>
    </row>
    <row r="136" spans="1:29" ht="13.8" hidden="1" x14ac:dyDescent="0.25">
      <c r="C136" s="39" t="s">
        <v>49</v>
      </c>
      <c r="H136" s="41">
        <f>I126+I127+I129+I131+I132+SUM(I130:I130)</f>
        <v>86668.26999999999</v>
      </c>
      <c r="I136" s="41"/>
      <c r="J136" s="41">
        <f>K126+K127+K129+K131+K132+SUM(K130:K130)</f>
        <v>1934968.44</v>
      </c>
      <c r="K136" s="41"/>
      <c r="O136" s="42">
        <f>I126+I127+I129+I131+I132+SUM(I130:I130)</f>
        <v>86668.26999999999</v>
      </c>
      <c r="P136" s="42">
        <f>K126+K127+K129+K131+K132+SUM(K130:K130)</f>
        <v>1934968.44</v>
      </c>
    </row>
    <row r="137" spans="1:29" hidden="1" x14ac:dyDescent="0.25"/>
    <row r="138" spans="1:29" ht="129.6" hidden="1" x14ac:dyDescent="0.25">
      <c r="A138" s="27">
        <v>9</v>
      </c>
      <c r="B138" s="27" t="str">
        <f>[1]Source!F156</f>
        <v>3.15-41-1</v>
      </c>
      <c r="C138" s="27" t="s">
        <v>68</v>
      </c>
      <c r="D138" s="28" t="str">
        <f>[1]Source!H156</f>
        <v>100 м2 оштукатуриваемой поверхности</v>
      </c>
      <c r="E138" s="29">
        <f>[1]Source!I156</f>
        <v>48.466000000000001</v>
      </c>
      <c r="F138" s="30"/>
      <c r="G138" s="31"/>
      <c r="H138" s="29"/>
      <c r="I138" s="30"/>
      <c r="J138" s="29"/>
      <c r="K138" s="30"/>
      <c r="Q138">
        <f>[1]Source!X156</f>
        <v>60309.69</v>
      </c>
      <c r="R138">
        <f>[1]Source!X157</f>
        <v>3398451.2000000002</v>
      </c>
      <c r="S138">
        <f>[1]Source!Y156</f>
        <v>28144.52</v>
      </c>
      <c r="T138">
        <f>[1]Source!Y157</f>
        <v>1585943.89</v>
      </c>
      <c r="U138">
        <f>ROUND((175/100)*ROUND([1]Source!R156, 2), 2)</f>
        <v>5766.9</v>
      </c>
      <c r="V138">
        <f>ROUND((0/100)*ROUND([1]Source!R157, 2), 2)</f>
        <v>0</v>
      </c>
      <c r="AC138">
        <v>0</v>
      </c>
    </row>
    <row r="139" spans="1:29" hidden="1" x14ac:dyDescent="0.25">
      <c r="C139" s="32" t="str">
        <f>"Объем: "&amp;[1]Source!I156&amp;"=4846,6/"&amp;"100"</f>
        <v>Объем: 48,466=4846,6/100</v>
      </c>
    </row>
    <row r="140" spans="1:29" ht="27.6" hidden="1" x14ac:dyDescent="0.25">
      <c r="A140" s="27"/>
      <c r="B140" s="27"/>
      <c r="C140" s="27" t="s">
        <v>36</v>
      </c>
      <c r="D140" s="28"/>
      <c r="E140" s="29"/>
      <c r="F140" s="30">
        <f>[1]Source!AO156</f>
        <v>771.08</v>
      </c>
      <c r="G140" s="31" t="s">
        <v>69</v>
      </c>
      <c r="H140" s="29">
        <f>[1]Source!AV157</f>
        <v>1.0469999999999999</v>
      </c>
      <c r="I140" s="30">
        <f>[1]Source!S156</f>
        <v>63715.4</v>
      </c>
      <c r="J140" s="29">
        <f>IF([1]Source!BA157&lt;&gt; 0, [1]Source!BA157, 1)</f>
        <v>56.35</v>
      </c>
      <c r="K140" s="30">
        <f>[1]Source!S157</f>
        <v>3590362.79</v>
      </c>
    </row>
    <row r="141" spans="1:29" ht="27.6" hidden="1" x14ac:dyDescent="0.25">
      <c r="A141" s="27"/>
      <c r="B141" s="27"/>
      <c r="C141" s="27" t="s">
        <v>38</v>
      </c>
      <c r="D141" s="28"/>
      <c r="E141" s="29"/>
      <c r="F141" s="30">
        <f>[1]Source!AM156</f>
        <v>79.12</v>
      </c>
      <c r="G141" s="31" t="s">
        <v>70</v>
      </c>
      <c r="H141" s="29">
        <f>[1]Source!AV157</f>
        <v>1.0469999999999999</v>
      </c>
      <c r="I141" s="30">
        <f>[1]Source!Q156</f>
        <v>7106.3</v>
      </c>
      <c r="J141" s="29">
        <f>IF([1]Source!BB157&lt;&gt; 0, [1]Source!BB157, 1)</f>
        <v>34.28</v>
      </c>
      <c r="K141" s="30">
        <f>[1]Source!Q157</f>
        <v>243603.96</v>
      </c>
    </row>
    <row r="142" spans="1:29" ht="27.6" hidden="1" x14ac:dyDescent="0.25">
      <c r="A142" s="27"/>
      <c r="B142" s="27"/>
      <c r="C142" s="27" t="s">
        <v>40</v>
      </c>
      <c r="D142" s="28"/>
      <c r="E142" s="29"/>
      <c r="F142" s="30">
        <f>[1]Source!AN156</f>
        <v>36.69</v>
      </c>
      <c r="G142" s="31" t="s">
        <v>70</v>
      </c>
      <c r="H142" s="29">
        <f>[1]Source!AV157</f>
        <v>1.0469999999999999</v>
      </c>
      <c r="I142" s="33">
        <f>[1]Source!R156</f>
        <v>3295.37</v>
      </c>
      <c r="J142" s="29">
        <f>IF([1]Source!BS157&lt;&gt; 0, [1]Source!BS157, 1)</f>
        <v>56.35</v>
      </c>
      <c r="K142" s="33">
        <f>[1]Source!R157</f>
        <v>185694.1</v>
      </c>
    </row>
    <row r="143" spans="1:29" ht="27.6" hidden="1" x14ac:dyDescent="0.25">
      <c r="A143" s="27" t="s">
        <v>71</v>
      </c>
      <c r="B143" s="27" t="str">
        <f>[1]Source!F158</f>
        <v>1.1-1-118</v>
      </c>
      <c r="C143" s="27" t="s">
        <v>72</v>
      </c>
      <c r="D143" s="28" t="str">
        <f>[1]Source!H158</f>
        <v>м3</v>
      </c>
      <c r="E143" s="29">
        <f>[1]Source!I158</f>
        <v>6.0529770000000003</v>
      </c>
      <c r="F143" s="30">
        <f>[1]Source!AK158</f>
        <v>7.07</v>
      </c>
      <c r="G143" s="43" t="s">
        <v>54</v>
      </c>
      <c r="H143" s="29">
        <f>[1]Source!AW159</f>
        <v>1.0029999999999999</v>
      </c>
      <c r="I143" s="30">
        <f>[1]Source!O158</f>
        <v>42.92</v>
      </c>
      <c r="J143" s="29">
        <f>IF([1]Source!BC159&lt;&gt; 0, [1]Source!BC159, 1)</f>
        <v>7.75</v>
      </c>
      <c r="K143" s="30">
        <f>[1]Source!O159</f>
        <v>332.63</v>
      </c>
      <c r="Q143">
        <f>[1]Source!X158</f>
        <v>0</v>
      </c>
      <c r="R143">
        <f>[1]Source!X159</f>
        <v>0</v>
      </c>
      <c r="S143">
        <f>[1]Source!Y158</f>
        <v>0</v>
      </c>
      <c r="T143">
        <f>[1]Source!Y159</f>
        <v>0</v>
      </c>
      <c r="U143">
        <f>ROUND((175/100)*ROUND([1]Source!R158, 2), 2)</f>
        <v>0</v>
      </c>
      <c r="V143">
        <f>ROUND((0/100)*ROUND([1]Source!R159, 2), 2)</f>
        <v>0</v>
      </c>
      <c r="AC143">
        <v>3</v>
      </c>
    </row>
    <row r="144" spans="1:29" ht="69" hidden="1" x14ac:dyDescent="0.25">
      <c r="A144" s="27" t="s">
        <v>73</v>
      </c>
      <c r="B144" s="27" t="str">
        <f>[1]Source!F160</f>
        <v>1.3-2-24</v>
      </c>
      <c r="C144" s="27" t="s">
        <v>74</v>
      </c>
      <c r="D144" s="28" t="str">
        <f>[1]Source!H160</f>
        <v>т</v>
      </c>
      <c r="E144" s="29">
        <f>[1]Source!I160</f>
        <v>34.588439000000001</v>
      </c>
      <c r="F144" s="30">
        <f>[1]Source!AK160</f>
        <v>788.9</v>
      </c>
      <c r="G144" s="43" t="s">
        <v>54</v>
      </c>
      <c r="H144" s="29">
        <f>[1]Source!AW161</f>
        <v>1.0029999999999999</v>
      </c>
      <c r="I144" s="30">
        <f>[1]Source!O160</f>
        <v>27368.68</v>
      </c>
      <c r="J144" s="29">
        <f>IF([1]Source!BC161&lt;&gt; 0, [1]Source!BC161, 1)</f>
        <v>12.2</v>
      </c>
      <c r="K144" s="30">
        <f>[1]Source!O161</f>
        <v>333897.90000000002</v>
      </c>
      <c r="Q144">
        <f>[1]Source!X160</f>
        <v>0</v>
      </c>
      <c r="R144">
        <f>[1]Source!X161</f>
        <v>0</v>
      </c>
      <c r="S144">
        <f>[1]Source!Y160</f>
        <v>0</v>
      </c>
      <c r="T144">
        <f>[1]Source!Y161</f>
        <v>0</v>
      </c>
      <c r="U144">
        <f>ROUND((175/100)*ROUND([1]Source!R160, 2), 2)</f>
        <v>0</v>
      </c>
      <c r="V144">
        <f>ROUND((0/100)*ROUND([1]Source!R161, 2), 2)</f>
        <v>0</v>
      </c>
      <c r="AC144">
        <v>3</v>
      </c>
    </row>
    <row r="145" spans="1:29" ht="27.6" hidden="1" x14ac:dyDescent="0.25">
      <c r="A145" s="27" t="s">
        <v>75</v>
      </c>
      <c r="B145" s="27" t="str">
        <f>[1]Source!F162</f>
        <v>1.3-2-13</v>
      </c>
      <c r="C145" s="27" t="s">
        <v>76</v>
      </c>
      <c r="D145" s="28" t="str">
        <f>[1]Source!H162</f>
        <v>м3</v>
      </c>
      <c r="E145" s="29">
        <f>[1]Source!I162</f>
        <v>86.471098999999995</v>
      </c>
      <c r="F145" s="30">
        <f>[1]Source!AK162</f>
        <v>470.7</v>
      </c>
      <c r="G145" s="43" t="s">
        <v>54</v>
      </c>
      <c r="H145" s="29">
        <f>[1]Source!AW163</f>
        <v>1.0029999999999999</v>
      </c>
      <c r="I145" s="30">
        <f>[1]Source!O162</f>
        <v>40824.050000000003</v>
      </c>
      <c r="J145" s="29">
        <f>IF([1]Source!BC163&lt;&gt; 0, [1]Source!BC163, 1)</f>
        <v>10.84</v>
      </c>
      <c r="K145" s="30">
        <f>[1]Source!O163</f>
        <v>442532.7</v>
      </c>
      <c r="Q145">
        <f>[1]Source!X162</f>
        <v>0</v>
      </c>
      <c r="R145">
        <f>[1]Source!X163</f>
        <v>0</v>
      </c>
      <c r="S145">
        <f>[1]Source!Y162</f>
        <v>0</v>
      </c>
      <c r="T145">
        <f>[1]Source!Y163</f>
        <v>0</v>
      </c>
      <c r="U145">
        <f>ROUND((175/100)*ROUND([1]Source!R162, 2), 2)</f>
        <v>0</v>
      </c>
      <c r="V145">
        <f>ROUND((0/100)*ROUND([1]Source!R163, 2), 2)</f>
        <v>0</v>
      </c>
      <c r="AC145">
        <v>3</v>
      </c>
    </row>
    <row r="146" spans="1:29" ht="14.4" hidden="1" x14ac:dyDescent="0.25">
      <c r="A146" s="27"/>
      <c r="B146" s="27"/>
      <c r="C146" s="27" t="s">
        <v>42</v>
      </c>
      <c r="D146" s="28" t="s">
        <v>43</v>
      </c>
      <c r="E146" s="29">
        <f>[1]Source!BZ157</f>
        <v>90</v>
      </c>
      <c r="F146" s="30"/>
      <c r="G146" s="31"/>
      <c r="H146" s="29"/>
      <c r="I146" s="30">
        <f>SUM(Q138:Q145)</f>
        <v>60309.69</v>
      </c>
      <c r="J146" s="29">
        <f>[1]Source!AT157</f>
        <v>90</v>
      </c>
      <c r="K146" s="30">
        <f>SUM(R138:R145)</f>
        <v>3398451.2000000002</v>
      </c>
    </row>
    <row r="147" spans="1:29" ht="14.4" hidden="1" x14ac:dyDescent="0.25">
      <c r="A147" s="27"/>
      <c r="B147" s="27"/>
      <c r="C147" s="27" t="s">
        <v>44</v>
      </c>
      <c r="D147" s="28" t="s">
        <v>43</v>
      </c>
      <c r="E147" s="29">
        <f>[1]Source!CA157</f>
        <v>42</v>
      </c>
      <c r="F147" s="30"/>
      <c r="G147" s="31"/>
      <c r="H147" s="29"/>
      <c r="I147" s="30">
        <f>SUM(S138:S146)</f>
        <v>28144.52</v>
      </c>
      <c r="J147" s="29">
        <f>[1]Source!AU157</f>
        <v>42</v>
      </c>
      <c r="K147" s="30">
        <f>SUM(T138:T146)</f>
        <v>1585943.89</v>
      </c>
    </row>
    <row r="148" spans="1:29" ht="27.6" hidden="1" x14ac:dyDescent="0.25">
      <c r="A148" s="34"/>
      <c r="B148" s="34"/>
      <c r="C148" s="34" t="s">
        <v>45</v>
      </c>
      <c r="D148" s="35" t="s">
        <v>46</v>
      </c>
      <c r="E148" s="36">
        <f>[1]Source!AQ156</f>
        <v>61.1</v>
      </c>
      <c r="F148" s="37"/>
      <c r="G148" s="38" t="s">
        <v>69</v>
      </c>
      <c r="H148" s="36">
        <f>[1]Source!AV157</f>
        <v>1.0469999999999999</v>
      </c>
      <c r="I148" s="37">
        <f>[1]Source!U156</f>
        <v>5048.7767080264794</v>
      </c>
      <c r="J148" s="36"/>
      <c r="K148" s="37"/>
    </row>
    <row r="149" spans="1:29" ht="13.8" hidden="1" x14ac:dyDescent="0.25">
      <c r="C149" s="39" t="s">
        <v>47</v>
      </c>
      <c r="H149" s="40">
        <f>I140+I141+I146+I147+SUM(I143:I145)-SUMIF(AC143:AC145, 5, I143:I145)-SUMIF(AC143:AC145, 6, I143:I145)</f>
        <v>227511.56</v>
      </c>
      <c r="I149" s="40"/>
      <c r="J149" s="40">
        <f>K140+K141+K146+K147+SUM(K143:K145)-SUMIF(AC143:AC145, 5, K143:K145)-SUMIF(AC143:AC145, 6, K143:K145)</f>
        <v>9595125.0700000003</v>
      </c>
      <c r="K149" s="40"/>
    </row>
    <row r="150" spans="1:29" ht="13.8" hidden="1" x14ac:dyDescent="0.25">
      <c r="C150" s="39" t="s">
        <v>48</v>
      </c>
      <c r="H150" s="41">
        <f>SUMIF(AC143:AC145, 5, I143:I145)+SUMIF(AC143:AC145, 6, I143:I145)</f>
        <v>0</v>
      </c>
      <c r="I150" s="41"/>
      <c r="J150" s="41">
        <f>SUMIF(AC143:AC145, 5, K143:K145)+SUMIF(AC143:AC145, 6, K143:K145)</f>
        <v>0</v>
      </c>
      <c r="K150" s="41"/>
    </row>
    <row r="151" spans="1:29" ht="13.8" hidden="1" x14ac:dyDescent="0.25">
      <c r="C151" s="39" t="s">
        <v>49</v>
      </c>
      <c r="H151" s="41">
        <f>I140+I141+I146+I147+SUM(I143:I145)</f>
        <v>227511.56</v>
      </c>
      <c r="I151" s="41"/>
      <c r="J151" s="41">
        <f>K140+K141+K146+K147+SUM(K143:K145)</f>
        <v>9595125.0700000003</v>
      </c>
      <c r="K151" s="41"/>
      <c r="O151" s="42">
        <f>I140+I141+I146+I147+SUM(I143:I145)</f>
        <v>227511.56</v>
      </c>
      <c r="P151" s="42">
        <f>K140+K141+K146+K147+SUM(K143:K145)</f>
        <v>9595125.0700000003</v>
      </c>
    </row>
    <row r="152" spans="1:29" hidden="1" x14ac:dyDescent="0.25"/>
    <row r="153" spans="1:29" ht="55.2" hidden="1" x14ac:dyDescent="0.25">
      <c r="A153" s="27">
        <v>10</v>
      </c>
      <c r="B153" s="27" t="str">
        <f>[1]Source!F196</f>
        <v>3.15-138-1</v>
      </c>
      <c r="C153" s="27" t="s">
        <v>77</v>
      </c>
      <c r="D153" s="28" t="str">
        <f>[1]Source!H196</f>
        <v>1 м2</v>
      </c>
      <c r="E153" s="29">
        <f>[1]Source!I196</f>
        <v>2382</v>
      </c>
      <c r="F153" s="30"/>
      <c r="G153" s="31"/>
      <c r="H153" s="29"/>
      <c r="I153" s="30"/>
      <c r="J153" s="29"/>
      <c r="K153" s="30"/>
      <c r="Q153">
        <f>[1]Source!X196</f>
        <v>306139.84000000003</v>
      </c>
      <c r="R153">
        <f>[1]Source!X197</f>
        <v>17250980.09</v>
      </c>
      <c r="S153">
        <f>[1]Source!Y196</f>
        <v>142865.26</v>
      </c>
      <c r="T153">
        <f>[1]Source!Y197</f>
        <v>8050457.3799999999</v>
      </c>
      <c r="U153">
        <f>ROUND((175/100)*ROUND([1]Source!R196, 2), 2)</f>
        <v>14664.46</v>
      </c>
      <c r="V153">
        <f>ROUND((0/100)*ROUND([1]Source!R197, 2), 2)</f>
        <v>0</v>
      </c>
      <c r="AC153">
        <v>0</v>
      </c>
    </row>
    <row r="154" spans="1:29" ht="14.4" hidden="1" x14ac:dyDescent="0.25">
      <c r="A154" s="27"/>
      <c r="B154" s="27"/>
      <c r="C154" s="27" t="s">
        <v>36</v>
      </c>
      <c r="D154" s="28"/>
      <c r="E154" s="29"/>
      <c r="F154" s="30">
        <f>[1]Source!AO196</f>
        <v>96.4</v>
      </c>
      <c r="G154" s="31" t="s">
        <v>37</v>
      </c>
      <c r="H154" s="29">
        <f>[1]Source!AV197</f>
        <v>1.0469999999999999</v>
      </c>
      <c r="I154" s="30">
        <f>[1]Source!S196</f>
        <v>331775.69</v>
      </c>
      <c r="J154" s="29">
        <f>IF([1]Source!BA197&lt;&gt; 0, [1]Source!BA197, 1)</f>
        <v>56.35</v>
      </c>
      <c r="K154" s="30">
        <f>[1]Source!S197</f>
        <v>18695560.129999999</v>
      </c>
    </row>
    <row r="155" spans="1:29" ht="14.4" hidden="1" x14ac:dyDescent="0.25">
      <c r="A155" s="27"/>
      <c r="B155" s="27"/>
      <c r="C155" s="27" t="s">
        <v>38</v>
      </c>
      <c r="D155" s="28"/>
      <c r="E155" s="29"/>
      <c r="F155" s="30">
        <f>[1]Source!AM196</f>
        <v>6.54</v>
      </c>
      <c r="G155" s="31" t="s">
        <v>39</v>
      </c>
      <c r="H155" s="29">
        <f>[1]Source!AV197</f>
        <v>1.0469999999999999</v>
      </c>
      <c r="I155" s="30">
        <f>[1]Source!Q196</f>
        <v>24465.69</v>
      </c>
      <c r="J155" s="29">
        <f>IF([1]Source!BB197&lt;&gt; 0, [1]Source!BB197, 1)</f>
        <v>27.46</v>
      </c>
      <c r="K155" s="30">
        <f>[1]Source!Q197</f>
        <v>671827.85</v>
      </c>
    </row>
    <row r="156" spans="1:29" ht="14.4" hidden="1" x14ac:dyDescent="0.25">
      <c r="A156" s="27"/>
      <c r="B156" s="27"/>
      <c r="C156" s="27" t="s">
        <v>40</v>
      </c>
      <c r="D156" s="28"/>
      <c r="E156" s="29"/>
      <c r="F156" s="30">
        <f>[1]Source!AN196</f>
        <v>2.2400000000000002</v>
      </c>
      <c r="G156" s="31" t="s">
        <v>39</v>
      </c>
      <c r="H156" s="29">
        <f>[1]Source!AV197</f>
        <v>1.0469999999999999</v>
      </c>
      <c r="I156" s="33">
        <f>[1]Source!R196</f>
        <v>8379.69</v>
      </c>
      <c r="J156" s="29">
        <f>IF([1]Source!BS197&lt;&gt; 0, [1]Source!BS197, 1)</f>
        <v>56.35</v>
      </c>
      <c r="K156" s="33">
        <f>[1]Source!R197</f>
        <v>472195.53</v>
      </c>
    </row>
    <row r="157" spans="1:29" ht="14.4" hidden="1" x14ac:dyDescent="0.25">
      <c r="A157" s="27"/>
      <c r="B157" s="27"/>
      <c r="C157" s="27" t="s">
        <v>41</v>
      </c>
      <c r="D157" s="28"/>
      <c r="E157" s="29"/>
      <c r="F157" s="30">
        <f>[1]Source!AL196</f>
        <v>87.43</v>
      </c>
      <c r="G157" s="31"/>
      <c r="H157" s="29">
        <f>[1]Source!AW197</f>
        <v>1.0189999999999999</v>
      </c>
      <c r="I157" s="30">
        <f>[1]Source!P196</f>
        <v>212215.17</v>
      </c>
      <c r="J157" s="29">
        <f>IF([1]Source!BC197&lt;&gt; 0, [1]Source!BC197, 1)</f>
        <v>8.76</v>
      </c>
      <c r="K157" s="30">
        <f>[1]Source!P197</f>
        <v>1859004.89</v>
      </c>
    </row>
    <row r="158" spans="1:29" ht="69" hidden="1" x14ac:dyDescent="0.25">
      <c r="A158" s="27" t="s">
        <v>78</v>
      </c>
      <c r="B158" s="27" t="str">
        <f>[1]Source!F198</f>
        <v>1.1-1-3108</v>
      </c>
      <c r="C158" s="27" t="s">
        <v>79</v>
      </c>
      <c r="D158" s="28" t="str">
        <f>[1]Source!H198</f>
        <v>кг</v>
      </c>
      <c r="E158" s="29">
        <f>[1]Source!I198</f>
        <v>10719</v>
      </c>
      <c r="F158" s="30">
        <f>[1]Source!AK198</f>
        <v>17.649999999999999</v>
      </c>
      <c r="G158" s="43" t="s">
        <v>54</v>
      </c>
      <c r="H158" s="29">
        <f>[1]Source!AW199</f>
        <v>1.0189999999999999</v>
      </c>
      <c r="I158" s="30">
        <f>[1]Source!O198</f>
        <v>192784.97</v>
      </c>
      <c r="J158" s="29">
        <f>IF([1]Source!BC199&lt;&gt; 0, [1]Source!BC199, 1)</f>
        <v>5</v>
      </c>
      <c r="K158" s="30">
        <f>[1]Source!O199</f>
        <v>963924.85</v>
      </c>
      <c r="Q158">
        <f>[1]Source!X198</f>
        <v>0</v>
      </c>
      <c r="R158">
        <f>[1]Source!X199</f>
        <v>0</v>
      </c>
      <c r="S158">
        <f>[1]Source!Y198</f>
        <v>0</v>
      </c>
      <c r="T158">
        <f>[1]Source!Y199</f>
        <v>0</v>
      </c>
      <c r="U158">
        <f>ROUND((175/100)*ROUND([1]Source!R198, 2), 2)</f>
        <v>0</v>
      </c>
      <c r="V158">
        <f>ROUND((0/100)*ROUND([1]Source!R199, 2), 2)</f>
        <v>0</v>
      </c>
      <c r="AC158">
        <v>3</v>
      </c>
    </row>
    <row r="159" spans="1:29" ht="138" hidden="1" x14ac:dyDescent="0.25">
      <c r="A159" s="27" t="s">
        <v>80</v>
      </c>
      <c r="B159" s="27" t="str">
        <f>[1]Source!F200</f>
        <v>1.1-1-2922</v>
      </c>
      <c r="C159" s="27" t="s">
        <v>81</v>
      </c>
      <c r="D159" s="28" t="str">
        <f>[1]Source!H200</f>
        <v>м3</v>
      </c>
      <c r="E159" s="29">
        <f>[1]Source!I200</f>
        <v>314.42399999999992</v>
      </c>
      <c r="F159" s="30">
        <f>[1]Source!AK200</f>
        <v>1245.78</v>
      </c>
      <c r="G159" s="43" t="s">
        <v>54</v>
      </c>
      <c r="H159" s="29">
        <f>[1]Source!AW201</f>
        <v>1.0189999999999999</v>
      </c>
      <c r="I159" s="30">
        <f>[1]Source!O200</f>
        <v>399145.49</v>
      </c>
      <c r="J159" s="29">
        <f>IF([1]Source!BC201&lt;&gt; 0, [1]Source!BC201, 1)</f>
        <v>6.23</v>
      </c>
      <c r="K159" s="30">
        <f>[1]Source!O201</f>
        <v>2486676.4</v>
      </c>
      <c r="Q159">
        <f>[1]Source!X200</f>
        <v>0</v>
      </c>
      <c r="R159">
        <f>[1]Source!X201</f>
        <v>0</v>
      </c>
      <c r="S159">
        <f>[1]Source!Y200</f>
        <v>0</v>
      </c>
      <c r="T159">
        <f>[1]Source!Y201</f>
        <v>0</v>
      </c>
      <c r="U159">
        <f>ROUND((175/100)*ROUND([1]Source!R200, 2), 2)</f>
        <v>0</v>
      </c>
      <c r="V159">
        <f>ROUND((0/100)*ROUND([1]Source!R201, 2), 2)</f>
        <v>0</v>
      </c>
      <c r="AC159">
        <v>3</v>
      </c>
    </row>
    <row r="160" spans="1:29" ht="55.2" hidden="1" x14ac:dyDescent="0.25">
      <c r="A160" s="27" t="s">
        <v>82</v>
      </c>
      <c r="B160" s="27" t="str">
        <f>[1]Source!F202</f>
        <v>1.3-2-151</v>
      </c>
      <c r="C160" s="27" t="s">
        <v>83</v>
      </c>
      <c r="D160" s="28" t="str">
        <f>[1]Source!H202</f>
        <v>т</v>
      </c>
      <c r="E160" s="29">
        <f>[1]Source!I202</f>
        <v>1.1910000000000001</v>
      </c>
      <c r="F160" s="30">
        <f>[1]Source!AK202</f>
        <v>11757.53</v>
      </c>
      <c r="G160" s="43" t="s">
        <v>54</v>
      </c>
      <c r="H160" s="29">
        <f>[1]Source!AW203</f>
        <v>1.0189999999999999</v>
      </c>
      <c r="I160" s="30">
        <f>[1]Source!O202</f>
        <v>14269.28</v>
      </c>
      <c r="J160" s="29">
        <f>IF([1]Source!BC203&lt;&gt; 0, [1]Source!BC203, 1)</f>
        <v>3.48</v>
      </c>
      <c r="K160" s="30">
        <f>[1]Source!O203</f>
        <v>49657.09</v>
      </c>
      <c r="Q160">
        <f>[1]Source!X202</f>
        <v>0</v>
      </c>
      <c r="R160">
        <f>[1]Source!X203</f>
        <v>0</v>
      </c>
      <c r="S160">
        <f>[1]Source!Y202</f>
        <v>0</v>
      </c>
      <c r="T160">
        <f>[1]Source!Y203</f>
        <v>0</v>
      </c>
      <c r="U160">
        <f>ROUND((175/100)*ROUND([1]Source!R202, 2), 2)</f>
        <v>0</v>
      </c>
      <c r="V160">
        <f>ROUND((0/100)*ROUND([1]Source!R203, 2), 2)</f>
        <v>0</v>
      </c>
      <c r="AC160">
        <v>3</v>
      </c>
    </row>
    <row r="161" spans="1:29" ht="27.6" hidden="1" x14ac:dyDescent="0.25">
      <c r="A161" s="27" t="s">
        <v>84</v>
      </c>
      <c r="B161" s="27" t="str">
        <f>[1]Source!F204</f>
        <v>1.1-1-2026</v>
      </c>
      <c r="C161" s="27" t="s">
        <v>85</v>
      </c>
      <c r="D161" s="28" t="str">
        <f>[1]Source!H204</f>
        <v>м2</v>
      </c>
      <c r="E161" s="29">
        <f>[1]Source!I204</f>
        <v>3763.56</v>
      </c>
      <c r="F161" s="30">
        <f>[1]Source!AK204</f>
        <v>115.26</v>
      </c>
      <c r="G161" s="43" t="s">
        <v>54</v>
      </c>
      <c r="H161" s="29">
        <f>[1]Source!AW205</f>
        <v>1.0189999999999999</v>
      </c>
      <c r="I161" s="30">
        <f>[1]Source!O204</f>
        <v>442029.9</v>
      </c>
      <c r="J161" s="29">
        <f>IF([1]Source!BC205&lt;&gt; 0, [1]Source!BC205, 1)</f>
        <v>0.41</v>
      </c>
      <c r="K161" s="30">
        <f>[1]Source!O205</f>
        <v>181232.26</v>
      </c>
      <c r="Q161">
        <f>[1]Source!X204</f>
        <v>0</v>
      </c>
      <c r="R161">
        <f>[1]Source!X205</f>
        <v>0</v>
      </c>
      <c r="S161">
        <f>[1]Source!Y204</f>
        <v>0</v>
      </c>
      <c r="T161">
        <f>[1]Source!Y205</f>
        <v>0</v>
      </c>
      <c r="U161">
        <f>ROUND((175/100)*ROUND([1]Source!R204, 2), 2)</f>
        <v>0</v>
      </c>
      <c r="V161">
        <f>ROUND((0/100)*ROUND([1]Source!R205, 2), 2)</f>
        <v>0</v>
      </c>
      <c r="AC161">
        <v>3</v>
      </c>
    </row>
    <row r="162" spans="1:29" ht="82.8" hidden="1" x14ac:dyDescent="0.25">
      <c r="A162" s="27" t="s">
        <v>86</v>
      </c>
      <c r="B162" s="27" t="str">
        <f>[1]Source!F206</f>
        <v>1.3-2-153</v>
      </c>
      <c r="C162" s="27" t="s">
        <v>87</v>
      </c>
      <c r="D162" s="28" t="str">
        <f>[1]Source!H206</f>
        <v>т</v>
      </c>
      <c r="E162" s="29">
        <f>[1]Source!I206</f>
        <v>38.112000000000002</v>
      </c>
      <c r="F162" s="30">
        <f>[1]Source!AK206</f>
        <v>18730.080000000002</v>
      </c>
      <c r="G162" s="43" t="s">
        <v>54</v>
      </c>
      <c r="H162" s="29">
        <f>[1]Source!AW207</f>
        <v>1.0189999999999999</v>
      </c>
      <c r="I162" s="30">
        <f>[1]Source!O206</f>
        <v>727403.78</v>
      </c>
      <c r="J162" s="29">
        <f>IF([1]Source!BC207&lt;&gt; 0, [1]Source!BC207, 1)</f>
        <v>2.95</v>
      </c>
      <c r="K162" s="30">
        <f>[1]Source!O207</f>
        <v>2145841.15</v>
      </c>
      <c r="Q162">
        <f>[1]Source!X206</f>
        <v>0</v>
      </c>
      <c r="R162">
        <f>[1]Source!X207</f>
        <v>0</v>
      </c>
      <c r="S162">
        <f>[1]Source!Y206</f>
        <v>0</v>
      </c>
      <c r="T162">
        <f>[1]Source!Y207</f>
        <v>0</v>
      </c>
      <c r="U162">
        <f>ROUND((175/100)*ROUND([1]Source!R206, 2), 2)</f>
        <v>0</v>
      </c>
      <c r="V162">
        <f>ROUND((0/100)*ROUND([1]Source!R207, 2), 2)</f>
        <v>0</v>
      </c>
      <c r="AC162">
        <v>3</v>
      </c>
    </row>
    <row r="163" spans="1:29" ht="14.4" hidden="1" x14ac:dyDescent="0.25">
      <c r="A163" s="27"/>
      <c r="B163" s="27"/>
      <c r="C163" s="27" t="s">
        <v>42</v>
      </c>
      <c r="D163" s="28" t="s">
        <v>43</v>
      </c>
      <c r="E163" s="29">
        <f>[1]Source!BZ197</f>
        <v>90</v>
      </c>
      <c r="F163" s="30"/>
      <c r="G163" s="31"/>
      <c r="H163" s="29"/>
      <c r="I163" s="30">
        <f>SUM(Q153:Q162)</f>
        <v>306139.84000000003</v>
      </c>
      <c r="J163" s="29">
        <f>[1]Source!AT197</f>
        <v>90</v>
      </c>
      <c r="K163" s="30">
        <f>SUM(R153:R162)</f>
        <v>17250980.09</v>
      </c>
    </row>
    <row r="164" spans="1:29" ht="14.4" hidden="1" x14ac:dyDescent="0.25">
      <c r="A164" s="27"/>
      <c r="B164" s="27"/>
      <c r="C164" s="27" t="s">
        <v>44</v>
      </c>
      <c r="D164" s="28" t="s">
        <v>43</v>
      </c>
      <c r="E164" s="29">
        <f>[1]Source!CA197</f>
        <v>42</v>
      </c>
      <c r="F164" s="30"/>
      <c r="G164" s="31"/>
      <c r="H164" s="29"/>
      <c r="I164" s="30">
        <f>SUM(S153:S163)</f>
        <v>142865.26</v>
      </c>
      <c r="J164" s="29">
        <f>[1]Source!AU197</f>
        <v>42</v>
      </c>
      <c r="K164" s="30">
        <f>SUM(T153:T163)</f>
        <v>8050457.3799999999</v>
      </c>
    </row>
    <row r="165" spans="1:29" ht="14.4" hidden="1" x14ac:dyDescent="0.25">
      <c r="A165" s="34"/>
      <c r="B165" s="34"/>
      <c r="C165" s="34" t="s">
        <v>45</v>
      </c>
      <c r="D165" s="35" t="s">
        <v>46</v>
      </c>
      <c r="E165" s="36">
        <f>[1]Source!AQ196</f>
        <v>7.94</v>
      </c>
      <c r="F165" s="37"/>
      <c r="G165" s="38" t="s">
        <v>37</v>
      </c>
      <c r="H165" s="36">
        <f>[1]Source!AV197</f>
        <v>1.0469999999999999</v>
      </c>
      <c r="I165" s="37">
        <f>[1]Source!U196</f>
        <v>27326.752768800001</v>
      </c>
      <c r="J165" s="36"/>
      <c r="K165" s="37"/>
    </row>
    <row r="166" spans="1:29" ht="13.8" hidden="1" x14ac:dyDescent="0.25">
      <c r="C166" s="39" t="s">
        <v>47</v>
      </c>
      <c r="H166" s="40">
        <f>I154+I155+I157+I163+I164+SUM(I158:I162)-SUMIF(AC158:AC162, 5, I158:I162)-SUMIF(AC158:AC162, 6, I158:I162)</f>
        <v>2793095.0700000003</v>
      </c>
      <c r="I166" s="40"/>
      <c r="J166" s="40">
        <f>K154+K155+K157+K163+K164+SUM(K158:K162)-SUMIF(AC158:AC162, 5, K158:K162)-SUMIF(AC158:AC162, 6, K158:K162)</f>
        <v>52355162.090000004</v>
      </c>
      <c r="K166" s="40"/>
    </row>
    <row r="167" spans="1:29" ht="13.8" hidden="1" x14ac:dyDescent="0.25">
      <c r="C167" s="39" t="s">
        <v>48</v>
      </c>
      <c r="H167" s="41">
        <f>SUMIF(AC158:AC162, 5, I158:I162)+SUMIF(AC158:AC162, 6, I158:I162)</f>
        <v>0</v>
      </c>
      <c r="I167" s="41"/>
      <c r="J167" s="41">
        <f>SUMIF(AC158:AC162, 5, K158:K162)+SUMIF(AC158:AC162, 6, K158:K162)</f>
        <v>0</v>
      </c>
      <c r="K167" s="41"/>
    </row>
    <row r="168" spans="1:29" ht="13.8" hidden="1" x14ac:dyDescent="0.25">
      <c r="C168" s="39" t="s">
        <v>49</v>
      </c>
      <c r="H168" s="41">
        <f>I154+I155+I157+I163+I164+SUM(I158:I162)</f>
        <v>2793095.0700000003</v>
      </c>
      <c r="I168" s="41"/>
      <c r="J168" s="41">
        <f>K154+K155+K157+K163+K164+SUM(K158:K162)</f>
        <v>52355162.090000004</v>
      </c>
      <c r="K168" s="41"/>
      <c r="O168" s="42">
        <f>I154+I155+I157+I163+I164+SUM(I158:I162)</f>
        <v>2793095.0700000003</v>
      </c>
      <c r="P168" s="42">
        <f>K154+K155+K157+K163+K164+SUM(K158:K162)</f>
        <v>52355162.090000004</v>
      </c>
    </row>
    <row r="169" spans="1:29" hidden="1" x14ac:dyDescent="0.25"/>
    <row r="170" spans="1:29" ht="27.6" hidden="1" x14ac:dyDescent="0.25">
      <c r="A170" s="27">
        <v>11</v>
      </c>
      <c r="B170" s="27" t="str">
        <f>[1]Source!F208</f>
        <v>3.9-65-3</v>
      </c>
      <c r="C170" s="27" t="s">
        <v>88</v>
      </c>
      <c r="D170" s="28" t="str">
        <f>[1]Source!H208</f>
        <v>1ШТ.</v>
      </c>
      <c r="E170" s="29">
        <f>[1]Source!I208</f>
        <v>1</v>
      </c>
      <c r="F170" s="30"/>
      <c r="G170" s="31"/>
      <c r="H170" s="29"/>
      <c r="I170" s="30"/>
      <c r="J170" s="29"/>
      <c r="K170" s="30"/>
      <c r="Q170">
        <f>[1]Source!X208</f>
        <v>13.73</v>
      </c>
      <c r="R170">
        <f>[1]Source!X209</f>
        <v>773.91</v>
      </c>
      <c r="S170">
        <f>[1]Source!Y208</f>
        <v>8.67</v>
      </c>
      <c r="T170">
        <f>[1]Source!Y209</f>
        <v>488.3</v>
      </c>
      <c r="U170">
        <f>ROUND((175/100)*ROUND([1]Source!R208, 2), 2)</f>
        <v>0</v>
      </c>
      <c r="V170">
        <f>ROUND((0/100)*ROUND([1]Source!R209, 2), 2)</f>
        <v>0</v>
      </c>
      <c r="AC170">
        <v>0</v>
      </c>
    </row>
    <row r="171" spans="1:29" ht="14.4" hidden="1" x14ac:dyDescent="0.25">
      <c r="A171" s="27"/>
      <c r="B171" s="27"/>
      <c r="C171" s="27" t="s">
        <v>36</v>
      </c>
      <c r="D171" s="28"/>
      <c r="E171" s="29"/>
      <c r="F171" s="30">
        <f>[1]Source!AO208</f>
        <v>10.9</v>
      </c>
      <c r="G171" s="31" t="s">
        <v>37</v>
      </c>
      <c r="H171" s="29">
        <f>[1]Source!AV209</f>
        <v>1.087</v>
      </c>
      <c r="I171" s="30">
        <f>[1]Source!S208</f>
        <v>16.350000000000001</v>
      </c>
      <c r="J171" s="29">
        <f>IF([1]Source!BA209&lt;&gt; 0, [1]Source!BA209, 1)</f>
        <v>56.35</v>
      </c>
      <c r="K171" s="30">
        <f>[1]Source!S209</f>
        <v>921.32</v>
      </c>
    </row>
    <row r="172" spans="1:29" ht="14.4" hidden="1" x14ac:dyDescent="0.25">
      <c r="A172" s="27"/>
      <c r="B172" s="27"/>
      <c r="C172" s="27" t="s">
        <v>41</v>
      </c>
      <c r="D172" s="28"/>
      <c r="E172" s="29"/>
      <c r="F172" s="30">
        <f>[1]Source!AL208</f>
        <v>1</v>
      </c>
      <c r="G172" s="31"/>
      <c r="H172" s="29">
        <f>[1]Source!AW209</f>
        <v>1</v>
      </c>
      <c r="I172" s="30">
        <f>[1]Source!P208</f>
        <v>1</v>
      </c>
      <c r="J172" s="29">
        <f>IF([1]Source!BC209&lt;&gt; 0, [1]Source!BC209, 1)</f>
        <v>16.420000000000002</v>
      </c>
      <c r="K172" s="30">
        <f>[1]Source!P209</f>
        <v>16.420000000000002</v>
      </c>
    </row>
    <row r="173" spans="1:29" ht="82.8" hidden="1" x14ac:dyDescent="0.25">
      <c r="A173" s="27" t="s">
        <v>89</v>
      </c>
      <c r="B173" s="27" t="str">
        <f>[1]Source!F210</f>
        <v>1.1-1-2638</v>
      </c>
      <c r="C173" s="27" t="s">
        <v>90</v>
      </c>
      <c r="D173" s="28" t="str">
        <f>[1]Source!H210</f>
        <v>шт.</v>
      </c>
      <c r="E173" s="29">
        <f>[1]Source!I210</f>
        <v>1</v>
      </c>
      <c r="F173" s="30">
        <f>[1]Source!AK210</f>
        <v>156.96</v>
      </c>
      <c r="G173" s="43" t="s">
        <v>54</v>
      </c>
      <c r="H173" s="29">
        <f>[1]Source!AW211</f>
        <v>1</v>
      </c>
      <c r="I173" s="30">
        <f>[1]Source!O210</f>
        <v>156.96</v>
      </c>
      <c r="J173" s="29">
        <f>IF([1]Source!BC211&lt;&gt; 0, [1]Source!BC211, 1)</f>
        <v>0.87</v>
      </c>
      <c r="K173" s="30">
        <f>[1]Source!O211</f>
        <v>136.56</v>
      </c>
      <c r="Q173">
        <f>[1]Source!X210</f>
        <v>0</v>
      </c>
      <c r="R173">
        <f>[1]Source!X211</f>
        <v>0</v>
      </c>
      <c r="S173">
        <f>[1]Source!Y210</f>
        <v>0</v>
      </c>
      <c r="T173">
        <f>[1]Source!Y211</f>
        <v>0</v>
      </c>
      <c r="U173">
        <f>ROUND((175/100)*ROUND([1]Source!R210, 2), 2)</f>
        <v>0</v>
      </c>
      <c r="V173">
        <f>ROUND((0/100)*ROUND([1]Source!R211, 2), 2)</f>
        <v>0</v>
      </c>
      <c r="AC173">
        <v>3</v>
      </c>
    </row>
    <row r="174" spans="1:29" ht="14.4" hidden="1" x14ac:dyDescent="0.25">
      <c r="A174" s="27"/>
      <c r="B174" s="27"/>
      <c r="C174" s="27" t="s">
        <v>42</v>
      </c>
      <c r="D174" s="28" t="s">
        <v>43</v>
      </c>
      <c r="E174" s="29">
        <f>[1]Source!BZ209</f>
        <v>84</v>
      </c>
      <c r="F174" s="30"/>
      <c r="G174" s="31"/>
      <c r="H174" s="29"/>
      <c r="I174" s="30">
        <f>SUM(Q170:Q173)</f>
        <v>13.73</v>
      </c>
      <c r="J174" s="29">
        <f>[1]Source!AT209</f>
        <v>84</v>
      </c>
      <c r="K174" s="30">
        <f>SUM(R170:R173)</f>
        <v>773.91</v>
      </c>
    </row>
    <row r="175" spans="1:29" ht="14.4" hidden="1" x14ac:dyDescent="0.25">
      <c r="A175" s="27"/>
      <c r="B175" s="27"/>
      <c r="C175" s="27" t="s">
        <v>44</v>
      </c>
      <c r="D175" s="28" t="s">
        <v>43</v>
      </c>
      <c r="E175" s="29">
        <f>[1]Source!CA209</f>
        <v>53</v>
      </c>
      <c r="F175" s="30"/>
      <c r="G175" s="31"/>
      <c r="H175" s="29"/>
      <c r="I175" s="30">
        <f>SUM(S170:S174)</f>
        <v>8.67</v>
      </c>
      <c r="J175" s="29">
        <f>[1]Source!AU209</f>
        <v>53</v>
      </c>
      <c r="K175" s="30">
        <f>SUM(T170:T174)</f>
        <v>488.3</v>
      </c>
    </row>
    <row r="176" spans="1:29" ht="14.4" hidden="1" x14ac:dyDescent="0.25">
      <c r="A176" s="34"/>
      <c r="B176" s="34"/>
      <c r="C176" s="34" t="s">
        <v>45</v>
      </c>
      <c r="D176" s="35" t="s">
        <v>46</v>
      </c>
      <c r="E176" s="36">
        <f>[1]Source!AQ208</f>
        <v>0.95</v>
      </c>
      <c r="F176" s="37"/>
      <c r="G176" s="38" t="s">
        <v>37</v>
      </c>
      <c r="H176" s="36">
        <f>[1]Source!AV209</f>
        <v>1.087</v>
      </c>
      <c r="I176" s="37">
        <f>[1]Source!U208</f>
        <v>1.4250569999999996</v>
      </c>
      <c r="J176" s="36"/>
      <c r="K176" s="37"/>
    </row>
    <row r="177" spans="1:29" ht="13.8" hidden="1" x14ac:dyDescent="0.25">
      <c r="C177" s="39" t="s">
        <v>47</v>
      </c>
      <c r="H177" s="40">
        <f>I171+I172+I174+I175+SUM(I173:I173)-SUMIF(AC173:AC173, 5, I173:I173)-SUMIF(AC173:AC173, 6, I173:I173)</f>
        <v>196.71</v>
      </c>
      <c r="I177" s="40"/>
      <c r="J177" s="40">
        <f>K171+K172+K174+K175+SUM(K173:K173)-SUMIF(AC173:AC173, 5, K173:K173)-SUMIF(AC173:AC173, 6, K173:K173)</f>
        <v>2336.5100000000002</v>
      </c>
      <c r="K177" s="40"/>
    </row>
    <row r="178" spans="1:29" ht="13.8" hidden="1" x14ac:dyDescent="0.25">
      <c r="C178" s="39" t="s">
        <v>48</v>
      </c>
      <c r="H178" s="41">
        <f>SUMIF(AC173:AC173, 5, I173:I173)+SUMIF(AC173:AC173, 6, I173:I173)</f>
        <v>0</v>
      </c>
      <c r="I178" s="41"/>
      <c r="J178" s="41">
        <f>SUMIF(AC173:AC173, 5, K173:K173)+SUMIF(AC173:AC173, 6, K173:K173)</f>
        <v>0</v>
      </c>
      <c r="K178" s="41"/>
    </row>
    <row r="179" spans="1:29" ht="13.8" hidden="1" x14ac:dyDescent="0.25">
      <c r="C179" s="39" t="s">
        <v>49</v>
      </c>
      <c r="H179" s="41">
        <f>I171+I172+I174+I175+SUM(I173:I173)</f>
        <v>196.71</v>
      </c>
      <c r="I179" s="41"/>
      <c r="J179" s="41">
        <f>K171+K172+K174+K175+SUM(K173:K173)</f>
        <v>2336.5100000000002</v>
      </c>
      <c r="K179" s="41"/>
      <c r="O179" s="42">
        <f>I171+I172+I174+I175+SUM(I173:I173)</f>
        <v>196.71</v>
      </c>
      <c r="P179" s="42">
        <f>K171+K172+K174+K175+SUM(K173:K173)</f>
        <v>2336.5100000000002</v>
      </c>
    </row>
    <row r="180" spans="1:29" hidden="1" x14ac:dyDescent="0.25"/>
    <row r="181" spans="1:29" ht="41.4" hidden="1" x14ac:dyDescent="0.25">
      <c r="A181" s="27">
        <v>12</v>
      </c>
      <c r="B181" s="27" t="str">
        <f>[1]Source!F212</f>
        <v>4.8-245-10</v>
      </c>
      <c r="C181" s="27" t="s">
        <v>91</v>
      </c>
      <c r="D181" s="28" t="str">
        <f>[1]Source!H212</f>
        <v>100 шт.</v>
      </c>
      <c r="E181" s="29">
        <f>[1]Source!I212</f>
        <v>0.01</v>
      </c>
      <c r="F181" s="30"/>
      <c r="G181" s="31"/>
      <c r="H181" s="29"/>
      <c r="I181" s="30"/>
      <c r="J181" s="29"/>
      <c r="K181" s="30"/>
      <c r="Q181">
        <f>[1]Source!X212</f>
        <v>13.56</v>
      </c>
      <c r="R181">
        <f>[1]Source!X213</f>
        <v>764.15</v>
      </c>
      <c r="S181">
        <f>[1]Source!Y212</f>
        <v>7.13</v>
      </c>
      <c r="T181">
        <f>[1]Source!Y213</f>
        <v>401.77</v>
      </c>
      <c r="U181">
        <f>ROUND((175/100)*ROUND([1]Source!R212, 2), 2)</f>
        <v>0.28000000000000003</v>
      </c>
      <c r="V181">
        <f>ROUND((0/100)*ROUND([1]Source!R213, 2), 2)</f>
        <v>0</v>
      </c>
      <c r="AC181">
        <v>0</v>
      </c>
    </row>
    <row r="182" spans="1:29" hidden="1" x14ac:dyDescent="0.25">
      <c r="C182" s="32" t="str">
        <f>"Объем: "&amp;[1]Source!I212&amp;"=1/"&amp;"100"</f>
        <v>Объем: 0,01=1/100</v>
      </c>
    </row>
    <row r="183" spans="1:29" ht="14.4" hidden="1" x14ac:dyDescent="0.25">
      <c r="A183" s="27"/>
      <c r="B183" s="27"/>
      <c r="C183" s="27" t="s">
        <v>36</v>
      </c>
      <c r="D183" s="28"/>
      <c r="E183" s="29"/>
      <c r="F183" s="30">
        <f>[1]Source!AO212</f>
        <v>1099.8599999999999</v>
      </c>
      <c r="G183" s="31" t="s">
        <v>58</v>
      </c>
      <c r="H183" s="29">
        <f>[1]Source!AV213</f>
        <v>1.0469999999999999</v>
      </c>
      <c r="I183" s="30">
        <f>[1]Source!S212</f>
        <v>13.82</v>
      </c>
      <c r="J183" s="29">
        <f>IF([1]Source!BA213&lt;&gt; 0, [1]Source!BA213, 1)</f>
        <v>56.35</v>
      </c>
      <c r="K183" s="30">
        <f>[1]Source!S213</f>
        <v>778.76</v>
      </c>
    </row>
    <row r="184" spans="1:29" ht="14.4" hidden="1" x14ac:dyDescent="0.25">
      <c r="A184" s="27"/>
      <c r="B184" s="27"/>
      <c r="C184" s="27" t="s">
        <v>38</v>
      </c>
      <c r="D184" s="28"/>
      <c r="E184" s="29"/>
      <c r="F184" s="30">
        <f>[1]Source!AM212</f>
        <v>93.32</v>
      </c>
      <c r="G184" s="31" t="s">
        <v>58</v>
      </c>
      <c r="H184" s="29">
        <f>[1]Source!AV213</f>
        <v>1.0469999999999999</v>
      </c>
      <c r="I184" s="30">
        <f>[1]Source!Q212</f>
        <v>1.17</v>
      </c>
      <c r="J184" s="29">
        <f>IF([1]Source!BB213&lt;&gt; 0, [1]Source!BB213, 1)</f>
        <v>16.420000000000002</v>
      </c>
      <c r="K184" s="30">
        <f>[1]Source!Q213</f>
        <v>19.21</v>
      </c>
    </row>
    <row r="185" spans="1:29" ht="14.4" hidden="1" x14ac:dyDescent="0.25">
      <c r="A185" s="27"/>
      <c r="B185" s="27"/>
      <c r="C185" s="27" t="s">
        <v>40</v>
      </c>
      <c r="D185" s="28"/>
      <c r="E185" s="29"/>
      <c r="F185" s="30">
        <f>[1]Source!AN212</f>
        <v>13</v>
      </c>
      <c r="G185" s="31" t="s">
        <v>58</v>
      </c>
      <c r="H185" s="29">
        <f>[1]Source!AV213</f>
        <v>1.0469999999999999</v>
      </c>
      <c r="I185" s="33">
        <f>[1]Source!R212</f>
        <v>0.16</v>
      </c>
      <c r="J185" s="29">
        <f>IF([1]Source!BS213&lt;&gt; 0, [1]Source!BS213, 1)</f>
        <v>56.35</v>
      </c>
      <c r="K185" s="33">
        <f>[1]Source!R213</f>
        <v>9.02</v>
      </c>
    </row>
    <row r="186" spans="1:29" ht="14.4" hidden="1" x14ac:dyDescent="0.25">
      <c r="A186" s="27"/>
      <c r="B186" s="27"/>
      <c r="C186" s="27" t="s">
        <v>41</v>
      </c>
      <c r="D186" s="28"/>
      <c r="E186" s="29"/>
      <c r="F186" s="30">
        <f>[1]Source!AL212</f>
        <v>81.36</v>
      </c>
      <c r="G186" s="31"/>
      <c r="H186" s="29">
        <f>[1]Source!AW213</f>
        <v>1</v>
      </c>
      <c r="I186" s="30">
        <f>[1]Source!P212</f>
        <v>0.81</v>
      </c>
      <c r="J186" s="29">
        <f>IF([1]Source!BC213&lt;&gt; 0, [1]Source!BC213, 1)</f>
        <v>10.65</v>
      </c>
      <c r="K186" s="30">
        <f>[1]Source!P213</f>
        <v>8.6300000000000008</v>
      </c>
    </row>
    <row r="187" spans="1:29" ht="124.2" hidden="1" x14ac:dyDescent="0.25">
      <c r="A187" s="27" t="s">
        <v>92</v>
      </c>
      <c r="B187" s="27" t="str">
        <f>[1]Source!F214</f>
        <v>1.22-4-18</v>
      </c>
      <c r="C187" s="27" t="s">
        <v>93</v>
      </c>
      <c r="D187" s="28" t="str">
        <f>[1]Source!H214</f>
        <v>шт.</v>
      </c>
      <c r="E187" s="29">
        <f>[1]Source!I214</f>
        <v>1</v>
      </c>
      <c r="F187" s="30">
        <f>[1]Source!AK214</f>
        <v>1417.94</v>
      </c>
      <c r="G187" s="43" t="s">
        <v>54</v>
      </c>
      <c r="H187" s="29">
        <f>[1]Source!AW215</f>
        <v>1</v>
      </c>
      <c r="I187" s="30">
        <f>[1]Source!O214</f>
        <v>1417.94</v>
      </c>
      <c r="J187" s="29">
        <f>IF([1]Source!BC215&lt;&gt; 0, [1]Source!BC215, 1)</f>
        <v>12.08</v>
      </c>
      <c r="K187" s="30">
        <f>[1]Source!O215</f>
        <v>17128.72</v>
      </c>
      <c r="Q187">
        <f>[1]Source!X214</f>
        <v>0</v>
      </c>
      <c r="R187">
        <f>[1]Source!X215</f>
        <v>0</v>
      </c>
      <c r="S187">
        <f>[1]Source!Y214</f>
        <v>0</v>
      </c>
      <c r="T187">
        <f>[1]Source!Y215</f>
        <v>0</v>
      </c>
      <c r="U187">
        <f>ROUND((175/100)*ROUND([1]Source!R214, 2), 2)</f>
        <v>0</v>
      </c>
      <c r="V187">
        <f>ROUND((0/100)*ROUND([1]Source!R215, 2), 2)</f>
        <v>0</v>
      </c>
      <c r="AC187">
        <v>3</v>
      </c>
    </row>
    <row r="188" spans="1:29" ht="69" hidden="1" x14ac:dyDescent="0.25">
      <c r="A188" s="27" t="s">
        <v>94</v>
      </c>
      <c r="B188" s="27" t="str">
        <f>[1]Source!F216</f>
        <v>1.22-6-11</v>
      </c>
      <c r="C188" s="27" t="s">
        <v>95</v>
      </c>
      <c r="D188" s="28" t="str">
        <f>[1]Source!H216</f>
        <v>10 шт.</v>
      </c>
      <c r="E188" s="29">
        <f>[1]Source!I216</f>
        <v>0.1</v>
      </c>
      <c r="F188" s="30">
        <f>[1]Source!AK216</f>
        <v>76.48</v>
      </c>
      <c r="G188" s="43" t="s">
        <v>54</v>
      </c>
      <c r="H188" s="29">
        <f>[1]Source!AW217</f>
        <v>1</v>
      </c>
      <c r="I188" s="30">
        <f>[1]Source!O216</f>
        <v>7.65</v>
      </c>
      <c r="J188" s="29">
        <f>IF([1]Source!BC217&lt;&gt; 0, [1]Source!BC217, 1)</f>
        <v>4.4800000000000004</v>
      </c>
      <c r="K188" s="30">
        <f>[1]Source!O217</f>
        <v>34.270000000000003</v>
      </c>
      <c r="Q188">
        <f>[1]Source!X216</f>
        <v>0</v>
      </c>
      <c r="R188">
        <f>[1]Source!X217</f>
        <v>0</v>
      </c>
      <c r="S188">
        <f>[1]Source!Y216</f>
        <v>0</v>
      </c>
      <c r="T188">
        <f>[1]Source!Y217</f>
        <v>0</v>
      </c>
      <c r="U188">
        <f>ROUND((175/100)*ROUND([1]Source!R216, 2), 2)</f>
        <v>0</v>
      </c>
      <c r="V188">
        <f>ROUND((0/100)*ROUND([1]Source!R217, 2), 2)</f>
        <v>0</v>
      </c>
      <c r="AC188">
        <v>3</v>
      </c>
    </row>
    <row r="189" spans="1:29" ht="14.4" hidden="1" x14ac:dyDescent="0.25">
      <c r="A189" s="27"/>
      <c r="B189" s="27"/>
      <c r="C189" s="27" t="s">
        <v>42</v>
      </c>
      <c r="D189" s="28" t="s">
        <v>43</v>
      </c>
      <c r="E189" s="29">
        <f>[1]Source!BZ213</f>
        <v>97</v>
      </c>
      <c r="F189" s="30"/>
      <c r="G189" s="31"/>
      <c r="H189" s="29"/>
      <c r="I189" s="30">
        <f>SUM(Q181:Q188)</f>
        <v>13.56</v>
      </c>
      <c r="J189" s="29">
        <f>[1]Source!AT213</f>
        <v>97</v>
      </c>
      <c r="K189" s="30">
        <f>SUM(R181:R188)</f>
        <v>764.15</v>
      </c>
    </row>
    <row r="190" spans="1:29" ht="14.4" hidden="1" x14ac:dyDescent="0.25">
      <c r="A190" s="27"/>
      <c r="B190" s="27"/>
      <c r="C190" s="27" t="s">
        <v>44</v>
      </c>
      <c r="D190" s="28" t="s">
        <v>43</v>
      </c>
      <c r="E190" s="29">
        <f>[1]Source!CA213</f>
        <v>51</v>
      </c>
      <c r="F190" s="30"/>
      <c r="G190" s="31"/>
      <c r="H190" s="29"/>
      <c r="I190" s="30">
        <f>SUM(S181:S189)</f>
        <v>7.13</v>
      </c>
      <c r="J190" s="29">
        <f>[1]Source!AU213</f>
        <v>51</v>
      </c>
      <c r="K190" s="30">
        <f>SUM(T181:T189)</f>
        <v>401.77</v>
      </c>
    </row>
    <row r="191" spans="1:29" ht="14.4" hidden="1" x14ac:dyDescent="0.25">
      <c r="A191" s="34"/>
      <c r="B191" s="34"/>
      <c r="C191" s="34" t="s">
        <v>45</v>
      </c>
      <c r="D191" s="35" t="s">
        <v>46</v>
      </c>
      <c r="E191" s="36">
        <f>[1]Source!AQ212</f>
        <v>84.67</v>
      </c>
      <c r="F191" s="37"/>
      <c r="G191" s="38" t="s">
        <v>58</v>
      </c>
      <c r="H191" s="36">
        <f>[1]Source!AV213</f>
        <v>1.0469999999999999</v>
      </c>
      <c r="I191" s="37">
        <f>[1]Source!U212</f>
        <v>1.06379388</v>
      </c>
      <c r="J191" s="36"/>
      <c r="K191" s="37"/>
    </row>
    <row r="192" spans="1:29" ht="13.8" hidden="1" x14ac:dyDescent="0.25">
      <c r="C192" s="39" t="s">
        <v>47</v>
      </c>
      <c r="H192" s="40">
        <f>I183+I184+I186+I189+I190+SUM(I187:I188)-SUMIF(AC187:AC188, 5, I187:I188)-SUMIF(AC187:AC188, 6, I187:I188)</f>
        <v>1462.0800000000002</v>
      </c>
      <c r="I192" s="40"/>
      <c r="J192" s="40">
        <f>K183+K184+K186+K189+K190+SUM(K187:K188)-SUMIF(AC187:AC188, 5, K187:K188)-SUMIF(AC187:AC188, 6, K187:K188)</f>
        <v>19135.510000000002</v>
      </c>
      <c r="K192" s="40"/>
    </row>
    <row r="193" spans="1:29" ht="13.8" hidden="1" x14ac:dyDescent="0.25">
      <c r="C193" s="39" t="s">
        <v>48</v>
      </c>
      <c r="H193" s="41">
        <f>SUMIF(AC187:AC188, 5, I187:I188)+SUMIF(AC187:AC188, 6, I187:I188)</f>
        <v>0</v>
      </c>
      <c r="I193" s="41"/>
      <c r="J193" s="41">
        <f>SUMIF(AC187:AC188, 5, K187:K188)+SUMIF(AC187:AC188, 6, K187:K188)</f>
        <v>0</v>
      </c>
      <c r="K193" s="41"/>
    </row>
    <row r="194" spans="1:29" ht="13.8" hidden="1" x14ac:dyDescent="0.25">
      <c r="C194" s="39" t="s">
        <v>49</v>
      </c>
      <c r="H194" s="41">
        <f>I183+I184+I186+I189+I190+SUM(I187:I188)</f>
        <v>1462.0800000000002</v>
      </c>
      <c r="I194" s="41"/>
      <c r="J194" s="41">
        <f>K183+K184+K186+K189+K190+SUM(K187:K188)</f>
        <v>19135.510000000002</v>
      </c>
      <c r="K194" s="41"/>
      <c r="O194" s="42">
        <f>I183+I184+I186+I189+I190+SUM(I187:I188)</f>
        <v>1462.0800000000002</v>
      </c>
      <c r="P194" s="42">
        <f>K183+K184+K186+K189+K190+SUM(K187:K188)</f>
        <v>19135.510000000002</v>
      </c>
    </row>
    <row r="195" spans="1:29" hidden="1" x14ac:dyDescent="0.25"/>
    <row r="196" spans="1:29" ht="72" hidden="1" x14ac:dyDescent="0.25">
      <c r="A196" s="27">
        <v>13</v>
      </c>
      <c r="B196" s="27" t="str">
        <f>[1]Source!F218</f>
        <v>3.9-66-1</v>
      </c>
      <c r="C196" s="27" t="s">
        <v>96</v>
      </c>
      <c r="D196" s="28" t="str">
        <f>[1]Source!H218</f>
        <v>1 флагодержатель</v>
      </c>
      <c r="E196" s="29">
        <f>[1]Source!I218</f>
        <v>1</v>
      </c>
      <c r="F196" s="30"/>
      <c r="G196" s="31"/>
      <c r="H196" s="29"/>
      <c r="I196" s="30"/>
      <c r="J196" s="29"/>
      <c r="K196" s="30"/>
      <c r="Q196">
        <f>[1]Source!X218</f>
        <v>7.61</v>
      </c>
      <c r="R196">
        <f>[1]Source!X219</f>
        <v>428.85</v>
      </c>
      <c r="S196">
        <f>[1]Source!Y218</f>
        <v>4.8</v>
      </c>
      <c r="T196">
        <f>[1]Source!Y219</f>
        <v>270.58</v>
      </c>
      <c r="U196">
        <f>ROUND((175/100)*ROUND([1]Source!R218, 2), 2)</f>
        <v>0</v>
      </c>
      <c r="V196">
        <f>ROUND((0/100)*ROUND([1]Source!R219, 2), 2)</f>
        <v>0</v>
      </c>
      <c r="AC196">
        <v>0</v>
      </c>
    </row>
    <row r="197" spans="1:29" ht="14.4" hidden="1" x14ac:dyDescent="0.25">
      <c r="A197" s="27"/>
      <c r="B197" s="27"/>
      <c r="C197" s="27" t="s">
        <v>36</v>
      </c>
      <c r="D197" s="28"/>
      <c r="E197" s="29"/>
      <c r="F197" s="30">
        <f>[1]Source!AO218</f>
        <v>6.04</v>
      </c>
      <c r="G197" s="31" t="s">
        <v>37</v>
      </c>
      <c r="H197" s="29">
        <f>[1]Source!AV219</f>
        <v>1.087</v>
      </c>
      <c r="I197" s="30">
        <f>[1]Source!S218</f>
        <v>9.06</v>
      </c>
      <c r="J197" s="29">
        <f>IF([1]Source!BA219&lt;&gt; 0, [1]Source!BA219, 1)</f>
        <v>56.35</v>
      </c>
      <c r="K197" s="30">
        <f>[1]Source!S219</f>
        <v>510.53</v>
      </c>
    </row>
    <row r="198" spans="1:29" ht="14.4" hidden="1" x14ac:dyDescent="0.25">
      <c r="A198" s="27"/>
      <c r="B198" s="27"/>
      <c r="C198" s="27" t="s">
        <v>41</v>
      </c>
      <c r="D198" s="28"/>
      <c r="E198" s="29"/>
      <c r="F198" s="30">
        <f>[1]Source!AL218</f>
        <v>0.31</v>
      </c>
      <c r="G198" s="31"/>
      <c r="H198" s="29">
        <f>[1]Source!AW219</f>
        <v>1</v>
      </c>
      <c r="I198" s="30">
        <f>[1]Source!P218</f>
        <v>0.31</v>
      </c>
      <c r="J198" s="29">
        <f>IF([1]Source!BC219&lt;&gt; 0, [1]Source!BC219, 1)</f>
        <v>11.39</v>
      </c>
      <c r="K198" s="30">
        <f>[1]Source!P219</f>
        <v>3.53</v>
      </c>
    </row>
    <row r="199" spans="1:29" ht="41.4" hidden="1" x14ac:dyDescent="0.25">
      <c r="A199" s="27" t="s">
        <v>97</v>
      </c>
      <c r="B199" s="27" t="str">
        <f>[1]Source!F220</f>
        <v>1.7-8-7</v>
      </c>
      <c r="C199" s="27" t="s">
        <v>98</v>
      </c>
      <c r="D199" s="28" t="str">
        <f>[1]Source!H220</f>
        <v>шт.</v>
      </c>
      <c r="E199" s="29">
        <f>[1]Source!I220</f>
        <v>1</v>
      </c>
      <c r="F199" s="30">
        <f>[1]Source!AK220</f>
        <v>68.180000000000007</v>
      </c>
      <c r="G199" s="43" t="s">
        <v>54</v>
      </c>
      <c r="H199" s="29">
        <f>[1]Source!AW221</f>
        <v>1</v>
      </c>
      <c r="I199" s="30">
        <f>[1]Source!O220</f>
        <v>68.180000000000007</v>
      </c>
      <c r="J199" s="29">
        <f>IF([1]Source!BC221&lt;&gt; 0, [1]Source!BC221, 1)</f>
        <v>10.41</v>
      </c>
      <c r="K199" s="30">
        <f>[1]Source!O221</f>
        <v>709.75</v>
      </c>
      <c r="Q199">
        <f>[1]Source!X220</f>
        <v>0</v>
      </c>
      <c r="R199">
        <f>[1]Source!X221</f>
        <v>0</v>
      </c>
      <c r="S199">
        <f>[1]Source!Y220</f>
        <v>0</v>
      </c>
      <c r="T199">
        <f>[1]Source!Y221</f>
        <v>0</v>
      </c>
      <c r="U199">
        <f>ROUND((175/100)*ROUND([1]Source!R220, 2), 2)</f>
        <v>0</v>
      </c>
      <c r="V199">
        <f>ROUND((0/100)*ROUND([1]Source!R221, 2), 2)</f>
        <v>0</v>
      </c>
      <c r="AC199">
        <v>3</v>
      </c>
    </row>
    <row r="200" spans="1:29" ht="14.4" hidden="1" x14ac:dyDescent="0.25">
      <c r="A200" s="27"/>
      <c r="B200" s="27"/>
      <c r="C200" s="27" t="s">
        <v>42</v>
      </c>
      <c r="D200" s="28" t="s">
        <v>43</v>
      </c>
      <c r="E200" s="29">
        <f>[1]Source!BZ219</f>
        <v>84</v>
      </c>
      <c r="F200" s="30"/>
      <c r="G200" s="31"/>
      <c r="H200" s="29"/>
      <c r="I200" s="30">
        <f>SUM(Q196:Q199)</f>
        <v>7.61</v>
      </c>
      <c r="J200" s="29">
        <f>[1]Source!AT219</f>
        <v>84</v>
      </c>
      <c r="K200" s="30">
        <f>SUM(R196:R199)</f>
        <v>428.85</v>
      </c>
    </row>
    <row r="201" spans="1:29" ht="14.4" hidden="1" x14ac:dyDescent="0.25">
      <c r="A201" s="27"/>
      <c r="B201" s="27"/>
      <c r="C201" s="27" t="s">
        <v>44</v>
      </c>
      <c r="D201" s="28" t="s">
        <v>43</v>
      </c>
      <c r="E201" s="29">
        <f>[1]Source!CA219</f>
        <v>53</v>
      </c>
      <c r="F201" s="30"/>
      <c r="G201" s="31"/>
      <c r="H201" s="29"/>
      <c r="I201" s="30">
        <f>SUM(S196:S200)</f>
        <v>4.8</v>
      </c>
      <c r="J201" s="29">
        <f>[1]Source!AU219</f>
        <v>53</v>
      </c>
      <c r="K201" s="30">
        <f>SUM(T196:T200)</f>
        <v>270.58</v>
      </c>
    </row>
    <row r="202" spans="1:29" ht="14.4" hidden="1" x14ac:dyDescent="0.25">
      <c r="A202" s="34"/>
      <c r="B202" s="34"/>
      <c r="C202" s="34" t="s">
        <v>45</v>
      </c>
      <c r="D202" s="35" t="s">
        <v>46</v>
      </c>
      <c r="E202" s="36">
        <f>[1]Source!AQ218</f>
        <v>0.52</v>
      </c>
      <c r="F202" s="37"/>
      <c r="G202" s="38" t="s">
        <v>37</v>
      </c>
      <c r="H202" s="36">
        <f>[1]Source!AV219</f>
        <v>1.087</v>
      </c>
      <c r="I202" s="37">
        <f>[1]Source!U218</f>
        <v>0.78003119999999992</v>
      </c>
      <c r="J202" s="36"/>
      <c r="K202" s="37"/>
    </row>
    <row r="203" spans="1:29" ht="13.8" hidden="1" x14ac:dyDescent="0.25">
      <c r="C203" s="39" t="s">
        <v>47</v>
      </c>
      <c r="H203" s="40">
        <f>I197+I198+I200+I201+SUM(I199:I199)-SUMIF(AC199:AC199, 5, I199:I199)-SUMIF(AC199:AC199, 6, I199:I199)</f>
        <v>89.960000000000008</v>
      </c>
      <c r="I203" s="40"/>
      <c r="J203" s="40">
        <f>K197+K198+K200+K201+SUM(K199:K199)-SUMIF(AC199:AC199, 5, K199:K199)-SUMIF(AC199:AC199, 6, K199:K199)</f>
        <v>1923.24</v>
      </c>
      <c r="K203" s="40"/>
    </row>
    <row r="204" spans="1:29" ht="13.8" hidden="1" x14ac:dyDescent="0.25">
      <c r="C204" s="39" t="s">
        <v>48</v>
      </c>
      <c r="H204" s="41">
        <f>SUMIF(AC199:AC199, 5, I199:I199)+SUMIF(AC199:AC199, 6, I199:I199)</f>
        <v>0</v>
      </c>
      <c r="I204" s="41"/>
      <c r="J204" s="41">
        <f>SUMIF(AC199:AC199, 5, K199:K199)+SUMIF(AC199:AC199, 6, K199:K199)</f>
        <v>0</v>
      </c>
      <c r="K204" s="41"/>
    </row>
    <row r="205" spans="1:29" ht="13.8" hidden="1" x14ac:dyDescent="0.25">
      <c r="C205" s="39" t="s">
        <v>49</v>
      </c>
      <c r="H205" s="41">
        <f>I197+I198+I200+I201+SUM(I199:I199)</f>
        <v>89.960000000000008</v>
      </c>
      <c r="I205" s="41"/>
      <c r="J205" s="41">
        <f>K197+K198+K200+K201+SUM(K199:K199)</f>
        <v>1923.24</v>
      </c>
      <c r="K205" s="41"/>
      <c r="O205" s="42">
        <f>I197+I198+I200+I201+SUM(I199:I199)</f>
        <v>89.960000000000008</v>
      </c>
      <c r="P205" s="42">
        <f>K197+K198+K200+K201+SUM(K199:K199)</f>
        <v>1923.24</v>
      </c>
    </row>
    <row r="206" spans="1:29" hidden="1" x14ac:dyDescent="0.25"/>
    <row r="207" spans="1:29" hidden="1" x14ac:dyDescent="0.25"/>
    <row r="208" spans="1:29" ht="13.8" hidden="1" x14ac:dyDescent="0.25">
      <c r="A208" s="44" t="str">
        <f>CONCATENATE("Итого по подразделу: ",IF([1]Source!G223&lt;&gt;"Новый подраздел", [1]Source!G223, ""))</f>
        <v>Итого по подразделу: Фасад</v>
      </c>
      <c r="B208" s="44"/>
      <c r="C208" s="44"/>
      <c r="D208" s="44"/>
      <c r="E208" s="44"/>
      <c r="F208" s="44"/>
      <c r="G208" s="44"/>
      <c r="H208" s="41">
        <f>SUM(O123:O207)</f>
        <v>3109023.6500000004</v>
      </c>
      <c r="I208" s="45"/>
      <c r="J208" s="41">
        <f>SUM(P123:P207)</f>
        <v>63908650.859999999</v>
      </c>
      <c r="K208" s="45"/>
    </row>
    <row r="209" spans="1:29" hidden="1" x14ac:dyDescent="0.25">
      <c r="A209" t="s">
        <v>55</v>
      </c>
      <c r="I209">
        <f>SUM(W123:W208)</f>
        <v>0</v>
      </c>
      <c r="J209">
        <f>SUM(X123:X208)</f>
        <v>0</v>
      </c>
    </row>
    <row r="210" spans="1:29" hidden="1" x14ac:dyDescent="0.25">
      <c r="A210" t="s">
        <v>56</v>
      </c>
      <c r="I210">
        <f>SUM(Y123:Y209)</f>
        <v>0</v>
      </c>
      <c r="J210">
        <f>SUM(Z123:Z209)</f>
        <v>0</v>
      </c>
    </row>
    <row r="211" spans="1:29" hidden="1" x14ac:dyDescent="0.25"/>
    <row r="212" spans="1:29" ht="13.8" hidden="1" x14ac:dyDescent="0.25">
      <c r="A212" s="44" t="str">
        <f>CONCATENATE("Итого по разделу: ",IF([1]Source!G253&lt;&gt;"Новый раздел", [1]Source!G253, ""))</f>
        <v>Итого по разделу: Фасад</v>
      </c>
      <c r="B212" s="44"/>
      <c r="C212" s="44"/>
      <c r="D212" s="44"/>
      <c r="E212" s="44"/>
      <c r="F212" s="44"/>
      <c r="G212" s="44"/>
      <c r="H212" s="41">
        <f>SUM(O71:O211)</f>
        <v>3161375.2</v>
      </c>
      <c r="I212" s="45"/>
      <c r="J212" s="41">
        <f>SUM(P71:P211)</f>
        <v>66858651.740000002</v>
      </c>
      <c r="K212" s="45"/>
    </row>
    <row r="213" spans="1:29" hidden="1" x14ac:dyDescent="0.25">
      <c r="A213" t="s">
        <v>55</v>
      </c>
      <c r="I213">
        <f>SUM(W71:W212)</f>
        <v>0</v>
      </c>
      <c r="J213">
        <f>SUM(X71:X212)</f>
        <v>0</v>
      </c>
    </row>
    <row r="214" spans="1:29" hidden="1" x14ac:dyDescent="0.25">
      <c r="A214" t="s">
        <v>56</v>
      </c>
      <c r="I214">
        <f>SUM(Y71:Y213)</f>
        <v>0</v>
      </c>
      <c r="J214">
        <f>SUM(Z71:Z213)</f>
        <v>0</v>
      </c>
    </row>
    <row r="215" spans="1:29" hidden="1" x14ac:dyDescent="0.25"/>
    <row r="216" spans="1:29" ht="16.8" hidden="1" x14ac:dyDescent="0.25">
      <c r="A216" s="11" t="str">
        <f>CONCATENATE("Раздел: ",IF([1]Source!G283&lt;&gt;"Новый раздел", [1]Source!G283, ""))</f>
        <v>Раздел: Цоколь</v>
      </c>
      <c r="B216" s="11"/>
      <c r="C216" s="11"/>
      <c r="D216" s="11"/>
      <c r="E216" s="11"/>
      <c r="F216" s="11"/>
      <c r="G216" s="11"/>
      <c r="H216" s="11"/>
      <c r="I216" s="11"/>
      <c r="J216" s="11"/>
      <c r="K216" s="11"/>
    </row>
    <row r="217" spans="1:29" hidden="1" x14ac:dyDescent="0.25"/>
    <row r="218" spans="1:29" ht="16.8" hidden="1" x14ac:dyDescent="0.25">
      <c r="A218" s="11" t="str">
        <f>CONCATENATE("Подраздел: ",IF([1]Source!G287&lt;&gt;"Новый подраздел", [1]Source!G287, ""))</f>
        <v>Подраздел: Демонтажные работы</v>
      </c>
      <c r="B218" s="11"/>
      <c r="C218" s="11"/>
      <c r="D218" s="11"/>
      <c r="E218" s="11"/>
      <c r="F218" s="11"/>
      <c r="G218" s="11"/>
      <c r="H218" s="11"/>
      <c r="I218" s="11"/>
      <c r="J218" s="11"/>
      <c r="K218" s="11"/>
    </row>
    <row r="219" spans="1:29" ht="28.8" hidden="1" x14ac:dyDescent="0.25">
      <c r="A219" s="27">
        <v>14</v>
      </c>
      <c r="B219" s="27" t="str">
        <f>[1]Source!F291</f>
        <v>6.61-26-2</v>
      </c>
      <c r="C219" s="27" t="s">
        <v>99</v>
      </c>
      <c r="D219" s="28" t="str">
        <f>[1]Source!H291</f>
        <v>100 м2</v>
      </c>
      <c r="E219" s="29">
        <f>[1]Source!I291</f>
        <v>9.3740000000000006</v>
      </c>
      <c r="F219" s="30"/>
      <c r="G219" s="31"/>
      <c r="H219" s="29"/>
      <c r="I219" s="30"/>
      <c r="J219" s="29"/>
      <c r="K219" s="30"/>
      <c r="Q219">
        <f>[1]Source!X291</f>
        <v>5259.86</v>
      </c>
      <c r="R219">
        <f>[1]Source!X292</f>
        <v>296392.86</v>
      </c>
      <c r="S219">
        <f>[1]Source!Y291</f>
        <v>2600.38</v>
      </c>
      <c r="T219">
        <f>[1]Source!Y292</f>
        <v>146531.29999999999</v>
      </c>
      <c r="U219">
        <f>ROUND((175/100)*ROUND([1]Source!R291, 2), 2)</f>
        <v>0</v>
      </c>
      <c r="V219">
        <f>ROUND((0/100)*ROUND([1]Source!R292, 2), 2)</f>
        <v>0</v>
      </c>
      <c r="AC219">
        <v>0</v>
      </c>
    </row>
    <row r="220" spans="1:29" ht="39.6" hidden="1" x14ac:dyDescent="0.25">
      <c r="C220" s="32" t="str">
        <f>"Объем: "&amp;[1]Source!I291&amp;"=(468,7+"&amp;"137,2+"&amp;"195,8+"&amp;"41,6+"&amp;"27+"&amp;"12,5+"&amp;"9,6+"&amp;"6,1+"&amp;"6,1+"&amp;"10,3+"&amp;"11,1+"&amp;"11,4)/"&amp;"100"</f>
        <v>Объем: 9,374=(468,7+137,2+195,8+41,6+27+12,5+9,6+6,1+6,1+10,3+11,1+11,4)/100</v>
      </c>
    </row>
    <row r="221" spans="1:29" ht="14.4" hidden="1" x14ac:dyDescent="0.25">
      <c r="A221" s="27"/>
      <c r="B221" s="27"/>
      <c r="C221" s="27" t="s">
        <v>36</v>
      </c>
      <c r="D221" s="28"/>
      <c r="E221" s="29"/>
      <c r="F221" s="30">
        <f>[1]Source!AO291</f>
        <v>501.8</v>
      </c>
      <c r="G221" s="31" t="s">
        <v>58</v>
      </c>
      <c r="H221" s="29">
        <f>[1]Source!AV292</f>
        <v>1.0469999999999999</v>
      </c>
      <c r="I221" s="30">
        <f>[1]Source!S291</f>
        <v>5909.95</v>
      </c>
      <c r="J221" s="29">
        <f>IF([1]Source!BA292&lt;&gt; 0, [1]Source!BA292, 1)</f>
        <v>56.35</v>
      </c>
      <c r="K221" s="30">
        <f>[1]Source!S292</f>
        <v>333025.68</v>
      </c>
    </row>
    <row r="222" spans="1:29" ht="14.4" hidden="1" x14ac:dyDescent="0.25">
      <c r="A222" s="27"/>
      <c r="B222" s="27"/>
      <c r="C222" s="27" t="s">
        <v>42</v>
      </c>
      <c r="D222" s="28" t="s">
        <v>43</v>
      </c>
      <c r="E222" s="29">
        <f>[1]Source!BZ292</f>
        <v>89</v>
      </c>
      <c r="F222" s="30"/>
      <c r="G222" s="31"/>
      <c r="H222" s="29"/>
      <c r="I222" s="30">
        <f>SUM(Q219:Q221)</f>
        <v>5259.86</v>
      </c>
      <c r="J222" s="29">
        <f>[1]Source!AT292</f>
        <v>89</v>
      </c>
      <c r="K222" s="30">
        <f>SUM(R219:R221)</f>
        <v>296392.86</v>
      </c>
    </row>
    <row r="223" spans="1:29" ht="14.4" hidden="1" x14ac:dyDescent="0.25">
      <c r="A223" s="27"/>
      <c r="B223" s="27"/>
      <c r="C223" s="27" t="s">
        <v>44</v>
      </c>
      <c r="D223" s="28" t="s">
        <v>43</v>
      </c>
      <c r="E223" s="29">
        <f>[1]Source!CA292</f>
        <v>44</v>
      </c>
      <c r="F223" s="30"/>
      <c r="G223" s="31"/>
      <c r="H223" s="29"/>
      <c r="I223" s="30">
        <f>SUM(S219:S222)</f>
        <v>2600.38</v>
      </c>
      <c r="J223" s="29">
        <f>[1]Source!AU292</f>
        <v>44</v>
      </c>
      <c r="K223" s="30">
        <f>SUM(T219:T222)</f>
        <v>146531.29999999999</v>
      </c>
    </row>
    <row r="224" spans="1:29" ht="14.4" hidden="1" x14ac:dyDescent="0.25">
      <c r="A224" s="34"/>
      <c r="B224" s="34"/>
      <c r="C224" s="34" t="s">
        <v>45</v>
      </c>
      <c r="D224" s="35" t="s">
        <v>46</v>
      </c>
      <c r="E224" s="36">
        <f>[1]Source!AQ291</f>
        <v>49.1</v>
      </c>
      <c r="F224" s="37"/>
      <c r="G224" s="38" t="s">
        <v>58</v>
      </c>
      <c r="H224" s="36">
        <f>[1]Source!AV292</f>
        <v>1.0469999999999999</v>
      </c>
      <c r="I224" s="37">
        <f>[1]Source!U291</f>
        <v>578.27493576000006</v>
      </c>
      <c r="J224" s="36"/>
      <c r="K224" s="37"/>
    </row>
    <row r="225" spans="1:29" ht="13.8" hidden="1" x14ac:dyDescent="0.25">
      <c r="C225" s="39" t="s">
        <v>47</v>
      </c>
      <c r="H225" s="40">
        <f>I221+I222+I223+0-0-0</f>
        <v>13770.189999999999</v>
      </c>
      <c r="I225" s="40"/>
      <c r="J225" s="40">
        <f>K221+K222+K223+0-0-0</f>
        <v>775949.84000000008</v>
      </c>
      <c r="K225" s="40"/>
    </row>
    <row r="226" spans="1:29" ht="13.8" hidden="1" x14ac:dyDescent="0.25">
      <c r="C226" s="39" t="s">
        <v>48</v>
      </c>
      <c r="H226" s="41">
        <f>0+0</f>
        <v>0</v>
      </c>
      <c r="I226" s="41"/>
      <c r="J226" s="41">
        <f>0+0</f>
        <v>0</v>
      </c>
      <c r="K226" s="41"/>
    </row>
    <row r="227" spans="1:29" ht="13.8" hidden="1" x14ac:dyDescent="0.25">
      <c r="C227" s="39" t="s">
        <v>49</v>
      </c>
      <c r="H227" s="41">
        <f>I221+I222+I223+0</f>
        <v>13770.189999999999</v>
      </c>
      <c r="I227" s="41"/>
      <c r="J227" s="41">
        <f>K221+K222+K223+0</f>
        <v>775949.84000000008</v>
      </c>
      <c r="K227" s="41"/>
      <c r="O227" s="42">
        <f>I221+I222+I223+0</f>
        <v>13770.189999999999</v>
      </c>
      <c r="P227" s="42">
        <f>K221+K222+K223+0</f>
        <v>775949.84000000008</v>
      </c>
    </row>
    <row r="228" spans="1:29" hidden="1" x14ac:dyDescent="0.25"/>
    <row r="229" spans="1:29" ht="57.6" hidden="1" x14ac:dyDescent="0.25">
      <c r="A229" s="27">
        <v>15</v>
      </c>
      <c r="B229" s="27" t="str">
        <f>[1]Source!F293</f>
        <v>6.57-2-7</v>
      </c>
      <c r="C229" s="27" t="s">
        <v>100</v>
      </c>
      <c r="D229" s="28" t="str">
        <f>[1]Source!H293</f>
        <v>100 м2 покрытия</v>
      </c>
      <c r="E229" s="29">
        <f>[1]Source!I293</f>
        <v>0.18</v>
      </c>
      <c r="F229" s="30"/>
      <c r="G229" s="31"/>
      <c r="H229" s="29"/>
      <c r="I229" s="30"/>
      <c r="J229" s="29"/>
      <c r="K229" s="30"/>
      <c r="Q229">
        <f>[1]Source!X293</f>
        <v>160.88999999999999</v>
      </c>
      <c r="R229">
        <f>[1]Source!X294</f>
        <v>9065.89</v>
      </c>
      <c r="S229">
        <f>[1]Source!Y293</f>
        <v>88.58</v>
      </c>
      <c r="T229">
        <f>[1]Source!Y294</f>
        <v>4991.33</v>
      </c>
      <c r="U229">
        <f>ROUND((175/100)*ROUND([1]Source!R293, 2), 2)</f>
        <v>7.19</v>
      </c>
      <c r="V229">
        <f>ROUND((0/100)*ROUND([1]Source!R294, 2), 2)</f>
        <v>0</v>
      </c>
      <c r="AC229">
        <v>0</v>
      </c>
    </row>
    <row r="230" spans="1:29" hidden="1" x14ac:dyDescent="0.25">
      <c r="C230" s="32" t="str">
        <f>"Объем: "&amp;[1]Source!I293&amp;"=18/"&amp;"100"</f>
        <v>Объем: 0,18=18/100</v>
      </c>
    </row>
    <row r="231" spans="1:29" ht="14.4" hidden="1" x14ac:dyDescent="0.25">
      <c r="A231" s="27"/>
      <c r="B231" s="27"/>
      <c r="C231" s="27" t="s">
        <v>36</v>
      </c>
      <c r="D231" s="28"/>
      <c r="E231" s="29"/>
      <c r="F231" s="30">
        <f>[1]Source!AO293</f>
        <v>781.15</v>
      </c>
      <c r="G231" s="31" t="s">
        <v>58</v>
      </c>
      <c r="H231" s="29">
        <f>[1]Source!AV294</f>
        <v>1.0469999999999999</v>
      </c>
      <c r="I231" s="30">
        <f>[1]Source!S293</f>
        <v>176.66</v>
      </c>
      <c r="J231" s="29">
        <f>IF([1]Source!BA294&lt;&gt; 0, [1]Source!BA294, 1)</f>
        <v>56.35</v>
      </c>
      <c r="K231" s="30">
        <f>[1]Source!S294</f>
        <v>9954.7900000000009</v>
      </c>
    </row>
    <row r="232" spans="1:29" ht="14.4" hidden="1" x14ac:dyDescent="0.25">
      <c r="A232" s="27"/>
      <c r="B232" s="27"/>
      <c r="C232" s="27" t="s">
        <v>38</v>
      </c>
      <c r="D232" s="28"/>
      <c r="E232" s="29"/>
      <c r="F232" s="30">
        <f>[1]Source!AM293</f>
        <v>50.37</v>
      </c>
      <c r="G232" s="31" t="s">
        <v>58</v>
      </c>
      <c r="H232" s="29">
        <f>[1]Source!AV294</f>
        <v>1.0469999999999999</v>
      </c>
      <c r="I232" s="30">
        <f>[1]Source!Q293</f>
        <v>11.39</v>
      </c>
      <c r="J232" s="29">
        <f>IF([1]Source!BB294&lt;&gt; 0, [1]Source!BB294, 1)</f>
        <v>28.05</v>
      </c>
      <c r="K232" s="30">
        <f>[1]Source!Q294</f>
        <v>319.49</v>
      </c>
    </row>
    <row r="233" spans="1:29" ht="14.4" hidden="1" x14ac:dyDescent="0.25">
      <c r="A233" s="27"/>
      <c r="B233" s="27"/>
      <c r="C233" s="27" t="s">
        <v>40</v>
      </c>
      <c r="D233" s="28"/>
      <c r="E233" s="29"/>
      <c r="F233" s="30">
        <f>[1]Source!AN293</f>
        <v>18.170000000000002</v>
      </c>
      <c r="G233" s="31" t="s">
        <v>58</v>
      </c>
      <c r="H233" s="29">
        <f>[1]Source!AV294</f>
        <v>1.0469999999999999</v>
      </c>
      <c r="I233" s="33">
        <f>[1]Source!R293</f>
        <v>4.1100000000000003</v>
      </c>
      <c r="J233" s="29">
        <f>IF([1]Source!BS294&lt;&gt; 0, [1]Source!BS294, 1)</f>
        <v>56.35</v>
      </c>
      <c r="K233" s="33">
        <f>[1]Source!R294</f>
        <v>231.6</v>
      </c>
    </row>
    <row r="234" spans="1:29" ht="14.4" hidden="1" x14ac:dyDescent="0.25">
      <c r="A234" s="27"/>
      <c r="B234" s="27"/>
      <c r="C234" s="27" t="s">
        <v>42</v>
      </c>
      <c r="D234" s="28" t="s">
        <v>43</v>
      </c>
      <c r="E234" s="29">
        <f>[1]Source!BZ294</f>
        <v>89</v>
      </c>
      <c r="F234" s="30"/>
      <c r="G234" s="31"/>
      <c r="H234" s="29"/>
      <c r="I234" s="30">
        <f>SUM(Q229:Q233)</f>
        <v>160.88999999999999</v>
      </c>
      <c r="J234" s="29">
        <f>[1]Source!AT294</f>
        <v>89</v>
      </c>
      <c r="K234" s="30">
        <f>SUM(R229:R233)</f>
        <v>9065.89</v>
      </c>
    </row>
    <row r="235" spans="1:29" ht="14.4" hidden="1" x14ac:dyDescent="0.25">
      <c r="A235" s="27"/>
      <c r="B235" s="27"/>
      <c r="C235" s="27" t="s">
        <v>44</v>
      </c>
      <c r="D235" s="28" t="s">
        <v>43</v>
      </c>
      <c r="E235" s="29">
        <f>[1]Source!CA294</f>
        <v>49</v>
      </c>
      <c r="F235" s="30"/>
      <c r="G235" s="31"/>
      <c r="H235" s="29"/>
      <c r="I235" s="30">
        <f>SUM(S229:S234)</f>
        <v>88.58</v>
      </c>
      <c r="J235" s="29">
        <f>[1]Source!AU294</f>
        <v>49</v>
      </c>
      <c r="K235" s="30">
        <f>SUM(T229:T234)</f>
        <v>4991.33</v>
      </c>
    </row>
    <row r="236" spans="1:29" ht="14.4" hidden="1" x14ac:dyDescent="0.25">
      <c r="A236" s="34"/>
      <c r="B236" s="34"/>
      <c r="C236" s="34" t="s">
        <v>45</v>
      </c>
      <c r="D236" s="35" t="s">
        <v>46</v>
      </c>
      <c r="E236" s="36">
        <f>[1]Source!AQ293</f>
        <v>69.87</v>
      </c>
      <c r="F236" s="37"/>
      <c r="G236" s="38" t="s">
        <v>58</v>
      </c>
      <c r="H236" s="36">
        <f>[1]Source!AV294</f>
        <v>1.0469999999999999</v>
      </c>
      <c r="I236" s="37">
        <f>[1]Source!U293</f>
        <v>15.801240239999998</v>
      </c>
      <c r="J236" s="36"/>
      <c r="K236" s="37"/>
    </row>
    <row r="237" spans="1:29" ht="13.8" hidden="1" x14ac:dyDescent="0.25">
      <c r="C237" s="39" t="s">
        <v>47</v>
      </c>
      <c r="H237" s="40">
        <f>I231+I232+I234+I235+0-0-0</f>
        <v>437.52</v>
      </c>
      <c r="I237" s="40"/>
      <c r="J237" s="40">
        <f>K231+K232+K234+K235+0-0-0</f>
        <v>24331.5</v>
      </c>
      <c r="K237" s="40"/>
    </row>
    <row r="238" spans="1:29" ht="13.8" hidden="1" x14ac:dyDescent="0.25">
      <c r="C238" s="39" t="s">
        <v>48</v>
      </c>
      <c r="H238" s="41">
        <f>0+0</f>
        <v>0</v>
      </c>
      <c r="I238" s="41"/>
      <c r="J238" s="41">
        <f>0+0</f>
        <v>0</v>
      </c>
      <c r="K238" s="41"/>
    </row>
    <row r="239" spans="1:29" ht="13.8" hidden="1" x14ac:dyDescent="0.25">
      <c r="C239" s="39" t="s">
        <v>49</v>
      </c>
      <c r="H239" s="41">
        <f>I231+I232+I234+I235+0</f>
        <v>437.52</v>
      </c>
      <c r="I239" s="41"/>
      <c r="J239" s="41">
        <f>K231+K232+K234+K235+0</f>
        <v>24331.5</v>
      </c>
      <c r="K239" s="41"/>
      <c r="O239" s="42">
        <f>I231+I232+I234+I235+0</f>
        <v>437.52</v>
      </c>
      <c r="P239" s="42">
        <f>K231+K232+K234+K235+0</f>
        <v>24331.5</v>
      </c>
    </row>
    <row r="240" spans="1:29" hidden="1" x14ac:dyDescent="0.25"/>
    <row r="241" spans="1:29" ht="43.2" hidden="1" x14ac:dyDescent="0.25">
      <c r="A241" s="27">
        <v>16</v>
      </c>
      <c r="B241" s="27" t="str">
        <f>[1]Source!F295</f>
        <v>3.7-60-4</v>
      </c>
      <c r="C241" s="27" t="s">
        <v>101</v>
      </c>
      <c r="D241" s="28" t="str">
        <f>[1]Source!H295</f>
        <v>100 м ограждений</v>
      </c>
      <c r="E241" s="29">
        <f>[1]Source!I295</f>
        <v>1.18</v>
      </c>
      <c r="F241" s="30"/>
      <c r="G241" s="31"/>
      <c r="H241" s="29"/>
      <c r="I241" s="30"/>
      <c r="J241" s="29"/>
      <c r="K241" s="30"/>
      <c r="Q241">
        <f>[1]Source!X295</f>
        <v>456.59</v>
      </c>
      <c r="R241">
        <f>[1]Source!X296</f>
        <v>25728.73</v>
      </c>
      <c r="S241">
        <f>[1]Source!Y295</f>
        <v>285.94</v>
      </c>
      <c r="T241">
        <f>[1]Source!Y296</f>
        <v>16112.94</v>
      </c>
      <c r="U241">
        <f>ROUND((175/100)*ROUND([1]Source!R295, 2), 2)</f>
        <v>10.57</v>
      </c>
      <c r="V241">
        <f>ROUND((0/100)*ROUND([1]Source!R296, 2), 2)</f>
        <v>0</v>
      </c>
      <c r="AC241">
        <v>0</v>
      </c>
    </row>
    <row r="242" spans="1:29" hidden="1" x14ac:dyDescent="0.25">
      <c r="C242" s="32" t="str">
        <f>"Объем: "&amp;[1]Source!I295&amp;"=118/"&amp;"100"</f>
        <v>Объем: 1,18=118/100</v>
      </c>
    </row>
    <row r="243" spans="1:29" ht="14.4" hidden="1" x14ac:dyDescent="0.25">
      <c r="A243" s="27"/>
      <c r="B243" s="27"/>
      <c r="C243" s="27" t="s">
        <v>36</v>
      </c>
      <c r="D243" s="28"/>
      <c r="E243" s="29"/>
      <c r="F243" s="30">
        <f>[1]Source!AO295</f>
        <v>511.69</v>
      </c>
      <c r="G243" s="31" t="s">
        <v>102</v>
      </c>
      <c r="H243" s="29">
        <f>[1]Source!AV296</f>
        <v>1.0469999999999999</v>
      </c>
      <c r="I243" s="30">
        <f>[1]Source!S295</f>
        <v>455.16</v>
      </c>
      <c r="J243" s="29">
        <f>IF([1]Source!BA296&lt;&gt; 0, [1]Source!BA296, 1)</f>
        <v>56.35</v>
      </c>
      <c r="K243" s="30">
        <f>[1]Source!S296</f>
        <v>25648.27</v>
      </c>
    </row>
    <row r="244" spans="1:29" ht="14.4" hidden="1" x14ac:dyDescent="0.25">
      <c r="A244" s="27"/>
      <c r="B244" s="27"/>
      <c r="C244" s="27" t="s">
        <v>38</v>
      </c>
      <c r="D244" s="28"/>
      <c r="E244" s="29"/>
      <c r="F244" s="30">
        <f>[1]Source!AM295</f>
        <v>58.27</v>
      </c>
      <c r="G244" s="31" t="s">
        <v>102</v>
      </c>
      <c r="H244" s="29">
        <f>[1]Source!AV296</f>
        <v>1.0469999999999999</v>
      </c>
      <c r="I244" s="30">
        <f>[1]Source!Q295</f>
        <v>51.83</v>
      </c>
      <c r="J244" s="29">
        <f>IF([1]Source!BB296&lt;&gt; 0, [1]Source!BB296, 1)</f>
        <v>15.45</v>
      </c>
      <c r="K244" s="30">
        <f>[1]Source!Q296</f>
        <v>800.77</v>
      </c>
    </row>
    <row r="245" spans="1:29" ht="14.4" hidden="1" x14ac:dyDescent="0.25">
      <c r="A245" s="27"/>
      <c r="B245" s="27"/>
      <c r="C245" s="27" t="s">
        <v>40</v>
      </c>
      <c r="D245" s="28"/>
      <c r="E245" s="29"/>
      <c r="F245" s="30">
        <f>[1]Source!AN295</f>
        <v>6.79</v>
      </c>
      <c r="G245" s="31" t="s">
        <v>102</v>
      </c>
      <c r="H245" s="29">
        <f>[1]Source!AV296</f>
        <v>1.0469999999999999</v>
      </c>
      <c r="I245" s="33">
        <f>[1]Source!R295</f>
        <v>6.04</v>
      </c>
      <c r="J245" s="29">
        <f>IF([1]Source!BS296&lt;&gt; 0, [1]Source!BS296, 1)</f>
        <v>56.35</v>
      </c>
      <c r="K245" s="33">
        <f>[1]Source!R296</f>
        <v>340.35</v>
      </c>
    </row>
    <row r="246" spans="1:29" ht="14.4" hidden="1" x14ac:dyDescent="0.25">
      <c r="A246" s="27"/>
      <c r="B246" s="27"/>
      <c r="C246" s="27" t="s">
        <v>42</v>
      </c>
      <c r="D246" s="28" t="s">
        <v>43</v>
      </c>
      <c r="E246" s="29">
        <f>[1]Source!BZ296</f>
        <v>99</v>
      </c>
      <c r="F246" s="30"/>
      <c r="G246" s="31"/>
      <c r="H246" s="29"/>
      <c r="I246" s="30">
        <f>SUM(Q241:Q245)</f>
        <v>456.59</v>
      </c>
      <c r="J246" s="29">
        <f>[1]Source!AT296</f>
        <v>99</v>
      </c>
      <c r="K246" s="30">
        <f>SUM(R241:R245)</f>
        <v>25728.73</v>
      </c>
    </row>
    <row r="247" spans="1:29" ht="14.4" hidden="1" x14ac:dyDescent="0.25">
      <c r="A247" s="27"/>
      <c r="B247" s="27"/>
      <c r="C247" s="27" t="s">
        <v>44</v>
      </c>
      <c r="D247" s="28" t="s">
        <v>43</v>
      </c>
      <c r="E247" s="29">
        <f>[1]Source!CA296</f>
        <v>62</v>
      </c>
      <c r="F247" s="30"/>
      <c r="G247" s="31"/>
      <c r="H247" s="29"/>
      <c r="I247" s="30">
        <f>SUM(S241:S246)</f>
        <v>285.94</v>
      </c>
      <c r="J247" s="29">
        <f>[1]Source!AU296</f>
        <v>62</v>
      </c>
      <c r="K247" s="30">
        <f>SUM(T241:T246)</f>
        <v>16112.94</v>
      </c>
    </row>
    <row r="248" spans="1:29" ht="14.4" hidden="1" x14ac:dyDescent="0.25">
      <c r="A248" s="34"/>
      <c r="B248" s="34"/>
      <c r="C248" s="34" t="s">
        <v>45</v>
      </c>
      <c r="D248" s="35" t="s">
        <v>46</v>
      </c>
      <c r="E248" s="36">
        <f>[1]Source!AQ295</f>
        <v>41.5</v>
      </c>
      <c r="F248" s="37"/>
      <c r="G248" s="38" t="s">
        <v>102</v>
      </c>
      <c r="H248" s="36">
        <f>[1]Source!AV296</f>
        <v>1.0469999999999999</v>
      </c>
      <c r="I248" s="37">
        <f>[1]Source!U295</f>
        <v>36.915544799999992</v>
      </c>
      <c r="J248" s="36"/>
      <c r="K248" s="37"/>
    </row>
    <row r="249" spans="1:29" ht="13.8" hidden="1" x14ac:dyDescent="0.25">
      <c r="C249" s="39" t="s">
        <v>47</v>
      </c>
      <c r="H249" s="40">
        <f>I243+I244+I246+I247+0-0-0</f>
        <v>1249.52</v>
      </c>
      <c r="I249" s="40"/>
      <c r="J249" s="40">
        <f>K243+K244+K246+K247+0-0-0</f>
        <v>68290.710000000006</v>
      </c>
      <c r="K249" s="40"/>
    </row>
    <row r="250" spans="1:29" ht="13.8" hidden="1" x14ac:dyDescent="0.25">
      <c r="C250" s="39" t="s">
        <v>48</v>
      </c>
      <c r="H250" s="41">
        <f>0+0</f>
        <v>0</v>
      </c>
      <c r="I250" s="41"/>
      <c r="J250" s="41">
        <f>0+0</f>
        <v>0</v>
      </c>
      <c r="K250" s="41"/>
    </row>
    <row r="251" spans="1:29" ht="13.8" hidden="1" x14ac:dyDescent="0.25">
      <c r="C251" s="39" t="s">
        <v>49</v>
      </c>
      <c r="H251" s="41">
        <f>I243+I244+I246+I247+0</f>
        <v>1249.52</v>
      </c>
      <c r="I251" s="41"/>
      <c r="J251" s="41">
        <f>K243+K244+K246+K247+0</f>
        <v>68290.710000000006</v>
      </c>
      <c r="K251" s="41"/>
      <c r="O251" s="42">
        <f>I243+I244+I246+I247+0</f>
        <v>1249.52</v>
      </c>
      <c r="P251" s="42">
        <f>K243+K244+K246+K247+0</f>
        <v>68290.710000000006</v>
      </c>
    </row>
    <row r="252" spans="1:29" hidden="1" x14ac:dyDescent="0.25"/>
    <row r="253" spans="1:29" hidden="1" x14ac:dyDescent="0.25"/>
    <row r="254" spans="1:29" ht="13.8" hidden="1" x14ac:dyDescent="0.25">
      <c r="A254" s="44" t="str">
        <f>CONCATENATE("Итого по подразделу: ",IF([1]Source!G298&lt;&gt;"Новый подраздел", [1]Source!G298, ""))</f>
        <v>Итого по подразделу: Демонтажные работы</v>
      </c>
      <c r="B254" s="44"/>
      <c r="C254" s="44"/>
      <c r="D254" s="44"/>
      <c r="E254" s="44"/>
      <c r="F254" s="44"/>
      <c r="G254" s="44"/>
      <c r="H254" s="41">
        <f>SUM(O218:O253)</f>
        <v>15457.23</v>
      </c>
      <c r="I254" s="45"/>
      <c r="J254" s="41">
        <f>SUM(P218:P253)</f>
        <v>868572.05</v>
      </c>
      <c r="K254" s="45"/>
    </row>
    <row r="255" spans="1:29" hidden="1" x14ac:dyDescent="0.25">
      <c r="A255" t="s">
        <v>55</v>
      </c>
      <c r="I255">
        <f>SUM(W218:W254)</f>
        <v>0</v>
      </c>
      <c r="J255">
        <f>SUM(X218:X254)</f>
        <v>0</v>
      </c>
    </row>
    <row r="256" spans="1:29" hidden="1" x14ac:dyDescent="0.25">
      <c r="A256" t="s">
        <v>56</v>
      </c>
      <c r="I256">
        <f>SUM(Y218:Y255)</f>
        <v>0</v>
      </c>
      <c r="J256">
        <f>SUM(Z218:Z255)</f>
        <v>0</v>
      </c>
    </row>
    <row r="257" spans="1:29" hidden="1" x14ac:dyDescent="0.25"/>
    <row r="258" spans="1:29" ht="16.8" hidden="1" x14ac:dyDescent="0.25">
      <c r="A258" s="11" t="str">
        <f>CONCATENATE("Подраздел: ",IF([1]Source!G328&lt;&gt;"Новый подраздел", [1]Source!G328, ""))</f>
        <v>Подраздел: Монтажные работы</v>
      </c>
      <c r="B258" s="11"/>
      <c r="C258" s="11"/>
      <c r="D258" s="11"/>
      <c r="E258" s="11"/>
      <c r="F258" s="11"/>
      <c r="G258" s="11"/>
      <c r="H258" s="11"/>
      <c r="I258" s="11"/>
      <c r="J258" s="11"/>
      <c r="K258" s="11"/>
    </row>
    <row r="259" spans="1:29" ht="69" hidden="1" x14ac:dyDescent="0.25">
      <c r="A259" s="27">
        <v>17</v>
      </c>
      <c r="B259" s="27" t="str">
        <f>[1]Source!F332</f>
        <v>6.62-40-2</v>
      </c>
      <c r="C259" s="27" t="s">
        <v>65</v>
      </c>
      <c r="D259" s="28" t="str">
        <f>[1]Source!H332</f>
        <v>100 м2</v>
      </c>
      <c r="E259" s="29">
        <f>[1]Source!I332</f>
        <v>4.6870000000000003</v>
      </c>
      <c r="F259" s="30"/>
      <c r="G259" s="31"/>
      <c r="H259" s="29"/>
      <c r="I259" s="30"/>
      <c r="J259" s="29"/>
      <c r="K259" s="30"/>
      <c r="Q259">
        <f>[1]Source!X332</f>
        <v>906.17</v>
      </c>
      <c r="R259">
        <f>[1]Source!X333</f>
        <v>51062.9</v>
      </c>
      <c r="S259">
        <f>[1]Source!Y332</f>
        <v>463.16</v>
      </c>
      <c r="T259">
        <f>[1]Source!Y333</f>
        <v>26098.82</v>
      </c>
      <c r="U259">
        <f>ROUND((175/100)*ROUND([1]Source!R332, 2), 2)</f>
        <v>5.04</v>
      </c>
      <c r="V259">
        <f>ROUND((0/100)*ROUND([1]Source!R333, 2), 2)</f>
        <v>0</v>
      </c>
      <c r="AC259">
        <v>0</v>
      </c>
    </row>
    <row r="260" spans="1:29" hidden="1" x14ac:dyDescent="0.25">
      <c r="C260" s="32" t="str">
        <f>"Объем: "&amp;[1]Source!I332&amp;"=468,7/"&amp;"100"</f>
        <v>Объем: 4,687=468,7/100</v>
      </c>
    </row>
    <row r="261" spans="1:29" ht="14.4" hidden="1" x14ac:dyDescent="0.25">
      <c r="A261" s="27"/>
      <c r="B261" s="27"/>
      <c r="C261" s="27" t="s">
        <v>36</v>
      </c>
      <c r="D261" s="28"/>
      <c r="E261" s="29"/>
      <c r="F261" s="30">
        <f>[1]Source!AO332</f>
        <v>174.15</v>
      </c>
      <c r="G261" s="31" t="s">
        <v>58</v>
      </c>
      <c r="H261" s="29">
        <f>[1]Source!AV333</f>
        <v>1.0249999999999999</v>
      </c>
      <c r="I261" s="30">
        <f>[1]Source!S332</f>
        <v>1003.98</v>
      </c>
      <c r="J261" s="29">
        <f>IF([1]Source!BA333&lt;&gt; 0, [1]Source!BA333, 1)</f>
        <v>56.35</v>
      </c>
      <c r="K261" s="30">
        <f>[1]Source!S333</f>
        <v>56574.27</v>
      </c>
    </row>
    <row r="262" spans="1:29" ht="14.4" hidden="1" x14ac:dyDescent="0.25">
      <c r="A262" s="27"/>
      <c r="B262" s="27"/>
      <c r="C262" s="27" t="s">
        <v>38</v>
      </c>
      <c r="D262" s="28"/>
      <c r="E262" s="29"/>
      <c r="F262" s="30">
        <f>[1]Source!AM332</f>
        <v>3.32</v>
      </c>
      <c r="G262" s="31" t="s">
        <v>58</v>
      </c>
      <c r="H262" s="29">
        <f>[1]Source!AV333</f>
        <v>1.0249999999999999</v>
      </c>
      <c r="I262" s="30">
        <f>[1]Source!Q332</f>
        <v>19.14</v>
      </c>
      <c r="J262" s="29">
        <f>IF([1]Source!BB333&lt;&gt; 0, [1]Source!BB333, 1)</f>
        <v>17.09</v>
      </c>
      <c r="K262" s="30">
        <f>[1]Source!Q333</f>
        <v>327.10000000000002</v>
      </c>
    </row>
    <row r="263" spans="1:29" ht="14.4" hidden="1" x14ac:dyDescent="0.25">
      <c r="A263" s="27"/>
      <c r="B263" s="27"/>
      <c r="C263" s="27" t="s">
        <v>40</v>
      </c>
      <c r="D263" s="28"/>
      <c r="E263" s="29"/>
      <c r="F263" s="30">
        <f>[1]Source!AN332</f>
        <v>0.5</v>
      </c>
      <c r="G263" s="31" t="s">
        <v>58</v>
      </c>
      <c r="H263" s="29">
        <f>[1]Source!AV333</f>
        <v>1.0249999999999999</v>
      </c>
      <c r="I263" s="33">
        <f>[1]Source!R332</f>
        <v>2.88</v>
      </c>
      <c r="J263" s="29">
        <f>IF([1]Source!BS333&lt;&gt; 0, [1]Source!BS333, 1)</f>
        <v>56.35</v>
      </c>
      <c r="K263" s="33">
        <f>[1]Source!R333</f>
        <v>162.29</v>
      </c>
    </row>
    <row r="264" spans="1:29" ht="14.4" hidden="1" x14ac:dyDescent="0.25">
      <c r="A264" s="27"/>
      <c r="B264" s="27"/>
      <c r="C264" s="27" t="s">
        <v>41</v>
      </c>
      <c r="D264" s="28"/>
      <c r="E264" s="29"/>
      <c r="F264" s="30">
        <f>[1]Source!AL332</f>
        <v>7.0000000000000007E-2</v>
      </c>
      <c r="G264" s="31"/>
      <c r="H264" s="29">
        <f>[1]Source!AW333</f>
        <v>1</v>
      </c>
      <c r="I264" s="30">
        <f>[1]Source!P332</f>
        <v>0.33</v>
      </c>
      <c r="J264" s="29">
        <f>IF([1]Source!BC333&lt;&gt; 0, [1]Source!BC333, 1)</f>
        <v>7.86</v>
      </c>
      <c r="K264" s="30">
        <f>[1]Source!P333</f>
        <v>2.59</v>
      </c>
    </row>
    <row r="265" spans="1:29" ht="138" hidden="1" x14ac:dyDescent="0.25">
      <c r="A265" s="27" t="s">
        <v>103</v>
      </c>
      <c r="B265" s="27" t="str">
        <f>[1]Source!F334</f>
        <v>1.1-1-2849</v>
      </c>
      <c r="C265" s="27" t="s">
        <v>67</v>
      </c>
      <c r="D265" s="28" t="str">
        <f>[1]Source!H334</f>
        <v>кг</v>
      </c>
      <c r="E265" s="29">
        <f>[1]Source!I334</f>
        <v>144.82830000000001</v>
      </c>
      <c r="F265" s="30">
        <f>[1]Source!AK334</f>
        <v>41.35</v>
      </c>
      <c r="G265" s="43" t="s">
        <v>54</v>
      </c>
      <c r="H265" s="29">
        <f>[1]Source!AW335</f>
        <v>1</v>
      </c>
      <c r="I265" s="30">
        <f>[1]Source!O334</f>
        <v>5988.65</v>
      </c>
      <c r="J265" s="29">
        <f>IF([1]Source!BC335&lt;&gt; 0, [1]Source!BC335, 1)</f>
        <v>8.86</v>
      </c>
      <c r="K265" s="30">
        <f>[1]Source!O335</f>
        <v>53059.44</v>
      </c>
      <c r="Q265">
        <f>[1]Source!X334</f>
        <v>0</v>
      </c>
      <c r="R265">
        <f>[1]Source!X335</f>
        <v>0</v>
      </c>
      <c r="S265">
        <f>[1]Source!Y334</f>
        <v>0</v>
      </c>
      <c r="T265">
        <f>[1]Source!Y335</f>
        <v>0</v>
      </c>
      <c r="U265">
        <f>ROUND((175/100)*ROUND([1]Source!R334, 2), 2)</f>
        <v>0</v>
      </c>
      <c r="V265">
        <f>ROUND((0/100)*ROUND([1]Source!R335, 2), 2)</f>
        <v>0</v>
      </c>
      <c r="AC265">
        <v>3</v>
      </c>
    </row>
    <row r="266" spans="1:29" ht="14.4" hidden="1" x14ac:dyDescent="0.25">
      <c r="A266" s="27"/>
      <c r="B266" s="27"/>
      <c r="C266" s="27" t="s">
        <v>42</v>
      </c>
      <c r="D266" s="28" t="s">
        <v>43</v>
      </c>
      <c r="E266" s="29">
        <f>[1]Source!BZ333</f>
        <v>90</v>
      </c>
      <c r="F266" s="30"/>
      <c r="G266" s="31"/>
      <c r="H266" s="29"/>
      <c r="I266" s="30">
        <f>SUM(Q259:Q265)</f>
        <v>906.17</v>
      </c>
      <c r="J266" s="29">
        <f>[1]Source!AT333</f>
        <v>90</v>
      </c>
      <c r="K266" s="30">
        <f>SUM(R259:R265)</f>
        <v>51062.9</v>
      </c>
    </row>
    <row r="267" spans="1:29" ht="14.4" hidden="1" x14ac:dyDescent="0.25">
      <c r="A267" s="27"/>
      <c r="B267" s="27"/>
      <c r="C267" s="27" t="s">
        <v>44</v>
      </c>
      <c r="D267" s="28" t="s">
        <v>43</v>
      </c>
      <c r="E267" s="29">
        <f>[1]Source!CA333</f>
        <v>46</v>
      </c>
      <c r="F267" s="30"/>
      <c r="G267" s="31"/>
      <c r="H267" s="29"/>
      <c r="I267" s="30">
        <f>SUM(S259:S266)</f>
        <v>463.16</v>
      </c>
      <c r="J267" s="29">
        <f>[1]Source!AU333</f>
        <v>46</v>
      </c>
      <c r="K267" s="30">
        <f>SUM(T259:T266)</f>
        <v>26098.82</v>
      </c>
    </row>
    <row r="268" spans="1:29" ht="14.4" hidden="1" x14ac:dyDescent="0.25">
      <c r="A268" s="34"/>
      <c r="B268" s="34"/>
      <c r="C268" s="34" t="s">
        <v>45</v>
      </c>
      <c r="D268" s="35" t="s">
        <v>46</v>
      </c>
      <c r="E268" s="36">
        <f>[1]Source!AQ332</f>
        <v>13.91</v>
      </c>
      <c r="F268" s="37"/>
      <c r="G268" s="38" t="s">
        <v>58</v>
      </c>
      <c r="H268" s="36">
        <f>[1]Source!AV333</f>
        <v>1.0249999999999999</v>
      </c>
      <c r="I268" s="37">
        <f>[1]Source!U332</f>
        <v>80.191289099999992</v>
      </c>
      <c r="J268" s="36"/>
      <c r="K268" s="37"/>
    </row>
    <row r="269" spans="1:29" ht="13.8" hidden="1" x14ac:dyDescent="0.25">
      <c r="C269" s="39" t="s">
        <v>47</v>
      </c>
      <c r="H269" s="40">
        <f>I261+I262+I264+I266+I267+SUM(I265:I265)-SUMIF(AC265:AC265, 5, I265:I265)-SUMIF(AC265:AC265, 6, I265:I265)</f>
        <v>8381.43</v>
      </c>
      <c r="I269" s="40"/>
      <c r="J269" s="40">
        <f>K261+K262+K264+K266+K267+SUM(K265:K265)-SUMIF(AC265:AC265, 5, K265:K265)-SUMIF(AC265:AC265, 6, K265:K265)</f>
        <v>187125.12</v>
      </c>
      <c r="K269" s="40"/>
    </row>
    <row r="270" spans="1:29" ht="13.8" hidden="1" x14ac:dyDescent="0.25">
      <c r="C270" s="39" t="s">
        <v>48</v>
      </c>
      <c r="H270" s="41">
        <f>SUMIF(AC265:AC265, 5, I265:I265)+SUMIF(AC265:AC265, 6, I265:I265)</f>
        <v>0</v>
      </c>
      <c r="I270" s="41"/>
      <c r="J270" s="41">
        <f>SUMIF(AC265:AC265, 5, K265:K265)+SUMIF(AC265:AC265, 6, K265:K265)</f>
        <v>0</v>
      </c>
      <c r="K270" s="41"/>
    </row>
    <row r="271" spans="1:29" ht="13.8" hidden="1" x14ac:dyDescent="0.25">
      <c r="C271" s="39" t="s">
        <v>49</v>
      </c>
      <c r="H271" s="41">
        <f>I261+I262+I264+I266+I267+SUM(I265:I265)</f>
        <v>8381.43</v>
      </c>
      <c r="I271" s="41"/>
      <c r="J271" s="41">
        <f>K261+K262+K264+K266+K267+SUM(K265:K265)</f>
        <v>187125.12</v>
      </c>
      <c r="K271" s="41"/>
      <c r="O271" s="42">
        <f>I261+I262+I264+I266+I267+SUM(I265:I265)</f>
        <v>8381.43</v>
      </c>
      <c r="P271" s="42">
        <f>K261+K262+K264+K266+K267+SUM(K265:K265)</f>
        <v>187125.12</v>
      </c>
    </row>
    <row r="272" spans="1:29" hidden="1" x14ac:dyDescent="0.25"/>
    <row r="273" spans="1:29" ht="57.6" hidden="1" x14ac:dyDescent="0.25">
      <c r="A273" s="27">
        <v>18</v>
      </c>
      <c r="B273" s="27" t="str">
        <f>[1]Source!F336</f>
        <v>3.15-203-2</v>
      </c>
      <c r="C273" s="27" t="s">
        <v>104</v>
      </c>
      <c r="D273" s="28" t="str">
        <f>[1]Source!H336</f>
        <v>100 м2 отливов</v>
      </c>
      <c r="E273" s="29">
        <f>[1]Source!I336</f>
        <v>0.65849999999999997</v>
      </c>
      <c r="F273" s="30"/>
      <c r="G273" s="31"/>
      <c r="H273" s="29"/>
      <c r="I273" s="30"/>
      <c r="J273" s="29"/>
      <c r="K273" s="30"/>
      <c r="Q273">
        <f>[1]Source!X336</f>
        <v>811.67</v>
      </c>
      <c r="R273">
        <f>[1]Source!X337</f>
        <v>45737.33</v>
      </c>
      <c r="S273">
        <f>[1]Source!Y336</f>
        <v>378.78</v>
      </c>
      <c r="T273">
        <f>[1]Source!Y337</f>
        <v>21344.09</v>
      </c>
      <c r="U273">
        <f>ROUND((175/100)*ROUND([1]Source!R336, 2), 2)</f>
        <v>8.4499999999999993</v>
      </c>
      <c r="V273">
        <f>ROUND((0/100)*ROUND([1]Source!R337, 2), 2)</f>
        <v>0</v>
      </c>
      <c r="AC273">
        <v>0</v>
      </c>
    </row>
    <row r="274" spans="1:29" hidden="1" x14ac:dyDescent="0.25">
      <c r="C274" s="32" t="str">
        <f>"Объем: "&amp;[1]Source!I336&amp;"=(263,4*"&amp;"0,25)/"&amp;"100"</f>
        <v>Объем: 0,6585=(263,4*0,25)/100</v>
      </c>
    </row>
    <row r="275" spans="1:29" ht="14.4" hidden="1" x14ac:dyDescent="0.25">
      <c r="A275" s="27"/>
      <c r="B275" s="27"/>
      <c r="C275" s="27" t="s">
        <v>36</v>
      </c>
      <c r="D275" s="28"/>
      <c r="E275" s="29"/>
      <c r="F275" s="30">
        <f>[1]Source!AO336</f>
        <v>942.8</v>
      </c>
      <c r="G275" s="31" t="s">
        <v>37</v>
      </c>
      <c r="H275" s="29">
        <f>[1]Source!AV337</f>
        <v>1.0469999999999999</v>
      </c>
      <c r="I275" s="30">
        <f>[1]Source!S336</f>
        <v>897.02</v>
      </c>
      <c r="J275" s="29">
        <f>IF([1]Source!BA337&lt;&gt; 0, [1]Source!BA337, 1)</f>
        <v>56.35</v>
      </c>
      <c r="K275" s="30">
        <f>[1]Source!S337</f>
        <v>50547.08</v>
      </c>
    </row>
    <row r="276" spans="1:29" ht="14.4" hidden="1" x14ac:dyDescent="0.25">
      <c r="A276" s="27"/>
      <c r="B276" s="27"/>
      <c r="C276" s="27" t="s">
        <v>38</v>
      </c>
      <c r="D276" s="28"/>
      <c r="E276" s="29"/>
      <c r="F276" s="30">
        <f>[1]Source!AM336</f>
        <v>43.93</v>
      </c>
      <c r="G276" s="31" t="s">
        <v>39</v>
      </c>
      <c r="H276" s="29">
        <f>[1]Source!AV337</f>
        <v>1.0469999999999999</v>
      </c>
      <c r="I276" s="30">
        <f>[1]Source!Q336</f>
        <v>45.43</v>
      </c>
      <c r="J276" s="29">
        <f>IF([1]Source!BB337&lt;&gt; 0, [1]Source!BB337, 1)</f>
        <v>14.83</v>
      </c>
      <c r="K276" s="30">
        <f>[1]Source!Q337</f>
        <v>673.73</v>
      </c>
    </row>
    <row r="277" spans="1:29" ht="14.4" hidden="1" x14ac:dyDescent="0.25">
      <c r="A277" s="27"/>
      <c r="B277" s="27"/>
      <c r="C277" s="27" t="s">
        <v>40</v>
      </c>
      <c r="D277" s="28"/>
      <c r="E277" s="29"/>
      <c r="F277" s="30">
        <f>[1]Source!AN336</f>
        <v>4.67</v>
      </c>
      <c r="G277" s="31" t="s">
        <v>39</v>
      </c>
      <c r="H277" s="29">
        <f>[1]Source!AV337</f>
        <v>1.0469999999999999</v>
      </c>
      <c r="I277" s="33">
        <f>[1]Source!R336</f>
        <v>4.83</v>
      </c>
      <c r="J277" s="29">
        <f>IF([1]Source!BS337&lt;&gt; 0, [1]Source!BS337, 1)</f>
        <v>56.35</v>
      </c>
      <c r="K277" s="33">
        <f>[1]Source!R337</f>
        <v>272.17</v>
      </c>
    </row>
    <row r="278" spans="1:29" ht="14.4" hidden="1" x14ac:dyDescent="0.25">
      <c r="A278" s="27"/>
      <c r="B278" s="27"/>
      <c r="C278" s="27" t="s">
        <v>41</v>
      </c>
      <c r="D278" s="28"/>
      <c r="E278" s="29"/>
      <c r="F278" s="30">
        <f>[1]Source!AL336</f>
        <v>11579.12</v>
      </c>
      <c r="G278" s="31"/>
      <c r="H278" s="29">
        <f>[1]Source!AW337</f>
        <v>1.0029999999999999</v>
      </c>
      <c r="I278" s="30">
        <f>[1]Source!P336</f>
        <v>7647.73</v>
      </c>
      <c r="J278" s="29">
        <f>IF([1]Source!BC337&lt;&gt; 0, [1]Source!BC337, 1)</f>
        <v>7.39</v>
      </c>
      <c r="K278" s="30">
        <f>[1]Source!P337</f>
        <v>56516.72</v>
      </c>
    </row>
    <row r="279" spans="1:29" ht="27.6" hidden="1" x14ac:dyDescent="0.25">
      <c r="A279" s="27" t="s">
        <v>105</v>
      </c>
      <c r="B279" s="27" t="str">
        <f>[1]Source!F338</f>
        <v>1.7-1-16</v>
      </c>
      <c r="C279" s="27" t="s">
        <v>106</v>
      </c>
      <c r="D279" s="28" t="str">
        <f>[1]Source!H338</f>
        <v>м2</v>
      </c>
      <c r="E279" s="29">
        <f>[1]Source!I338</f>
        <v>72.435000000000002</v>
      </c>
      <c r="F279" s="30">
        <f>[1]Source!AK338</f>
        <v>176.79</v>
      </c>
      <c r="G279" s="43" t="s">
        <v>54</v>
      </c>
      <c r="H279" s="29">
        <f>[1]Source!AW339</f>
        <v>1.0029999999999999</v>
      </c>
      <c r="I279" s="30">
        <f>[1]Source!O338</f>
        <v>12844.2</v>
      </c>
      <c r="J279" s="29">
        <f>IF([1]Source!BC339&lt;&gt; 0, [1]Source!BC339, 1)</f>
        <v>6.93</v>
      </c>
      <c r="K279" s="30">
        <f>[1]Source!O339</f>
        <v>89010.31</v>
      </c>
      <c r="Q279">
        <f>[1]Source!X338</f>
        <v>0</v>
      </c>
      <c r="R279">
        <f>[1]Source!X339</f>
        <v>0</v>
      </c>
      <c r="S279">
        <f>[1]Source!Y338</f>
        <v>0</v>
      </c>
      <c r="T279">
        <f>[1]Source!Y339</f>
        <v>0</v>
      </c>
      <c r="U279">
        <f>ROUND((175/100)*ROUND([1]Source!R338, 2), 2)</f>
        <v>0</v>
      </c>
      <c r="V279">
        <f>ROUND((0/100)*ROUND([1]Source!R339, 2), 2)</f>
        <v>0</v>
      </c>
      <c r="AC279">
        <v>3</v>
      </c>
    </row>
    <row r="280" spans="1:29" ht="14.4" hidden="1" x14ac:dyDescent="0.25">
      <c r="A280" s="27"/>
      <c r="B280" s="27"/>
      <c r="C280" s="27" t="s">
        <v>42</v>
      </c>
      <c r="D280" s="28" t="s">
        <v>43</v>
      </c>
      <c r="E280" s="29">
        <f>[1]Source!BZ337</f>
        <v>90</v>
      </c>
      <c r="F280" s="30"/>
      <c r="G280" s="31"/>
      <c r="H280" s="29"/>
      <c r="I280" s="30">
        <f>SUM(Q273:Q279)</f>
        <v>811.67</v>
      </c>
      <c r="J280" s="29">
        <f>[1]Source!AT337</f>
        <v>90</v>
      </c>
      <c r="K280" s="30">
        <f>SUM(R273:R279)</f>
        <v>45737.33</v>
      </c>
    </row>
    <row r="281" spans="1:29" ht="14.4" hidden="1" x14ac:dyDescent="0.25">
      <c r="A281" s="27"/>
      <c r="B281" s="27"/>
      <c r="C281" s="27" t="s">
        <v>44</v>
      </c>
      <c r="D281" s="28" t="s">
        <v>43</v>
      </c>
      <c r="E281" s="29">
        <f>[1]Source!CA337</f>
        <v>42</v>
      </c>
      <c r="F281" s="30"/>
      <c r="G281" s="31"/>
      <c r="H281" s="29"/>
      <c r="I281" s="30">
        <f>SUM(S273:S280)</f>
        <v>378.78</v>
      </c>
      <c r="J281" s="29">
        <f>[1]Source!AU337</f>
        <v>42</v>
      </c>
      <c r="K281" s="30">
        <f>SUM(T273:T280)</f>
        <v>21344.09</v>
      </c>
    </row>
    <row r="282" spans="1:29" ht="14.4" hidden="1" x14ac:dyDescent="0.25">
      <c r="A282" s="34"/>
      <c r="B282" s="34"/>
      <c r="C282" s="34" t="s">
        <v>45</v>
      </c>
      <c r="D282" s="35" t="s">
        <v>46</v>
      </c>
      <c r="E282" s="36">
        <f>[1]Source!AQ336</f>
        <v>62.27</v>
      </c>
      <c r="F282" s="37"/>
      <c r="G282" s="38" t="s">
        <v>37</v>
      </c>
      <c r="H282" s="36">
        <f>[1]Source!AV337</f>
        <v>1.0469999999999999</v>
      </c>
      <c r="I282" s="37">
        <f>[1]Source!U336</f>
        <v>59.246188103699986</v>
      </c>
      <c r="J282" s="36"/>
      <c r="K282" s="37"/>
    </row>
    <row r="283" spans="1:29" ht="13.8" hidden="1" x14ac:dyDescent="0.25">
      <c r="C283" s="39" t="s">
        <v>47</v>
      </c>
      <c r="H283" s="40">
        <f>I275+I276+I278+I280+I281+SUM(I279:I279)-SUMIF(AC279:AC279, 5, I279:I279)-SUMIF(AC279:AC279, 6, I279:I279)</f>
        <v>22624.83</v>
      </c>
      <c r="I283" s="40"/>
      <c r="J283" s="40">
        <f>K275+K276+K278+K280+K281+SUM(K279:K279)-SUMIF(AC279:AC279, 5, K279:K279)-SUMIF(AC279:AC279, 6, K279:K279)</f>
        <v>263829.26</v>
      </c>
      <c r="K283" s="40"/>
    </row>
    <row r="284" spans="1:29" ht="13.8" hidden="1" x14ac:dyDescent="0.25">
      <c r="C284" s="39" t="s">
        <v>48</v>
      </c>
      <c r="H284" s="41">
        <f>SUMIF(AC279:AC279, 5, I279:I279)+SUMIF(AC279:AC279, 6, I279:I279)</f>
        <v>0</v>
      </c>
      <c r="I284" s="41"/>
      <c r="J284" s="41">
        <f>SUMIF(AC279:AC279, 5, K279:K279)+SUMIF(AC279:AC279, 6, K279:K279)</f>
        <v>0</v>
      </c>
      <c r="K284" s="41"/>
    </row>
    <row r="285" spans="1:29" ht="13.8" hidden="1" x14ac:dyDescent="0.25">
      <c r="C285" s="39" t="s">
        <v>49</v>
      </c>
      <c r="H285" s="41">
        <f>I275+I276+I278+I280+I281+SUM(I279:I279)</f>
        <v>22624.83</v>
      </c>
      <c r="I285" s="41"/>
      <c r="J285" s="41">
        <f>K275+K276+K278+K280+K281+SUM(K279:K279)</f>
        <v>263829.26</v>
      </c>
      <c r="K285" s="41"/>
      <c r="O285" s="42">
        <f>I275+I276+I278+I280+I281+SUM(I279:I279)</f>
        <v>22624.83</v>
      </c>
      <c r="P285" s="42">
        <f>K275+K276+K278+K280+K281+SUM(K279:K279)</f>
        <v>263829.26</v>
      </c>
    </row>
    <row r="286" spans="1:29" hidden="1" x14ac:dyDescent="0.25"/>
    <row r="287" spans="1:29" ht="69" hidden="1" x14ac:dyDescent="0.25">
      <c r="A287" s="27">
        <v>19</v>
      </c>
      <c r="B287" s="27" t="str">
        <f>[1]Source!F340</f>
        <v>3.26-56-3</v>
      </c>
      <c r="C287" s="27" t="s">
        <v>107</v>
      </c>
      <c r="D287" s="28" t="str">
        <f>[1]Source!H340</f>
        <v>100 м2</v>
      </c>
      <c r="E287" s="29">
        <f>[1]Source!I340</f>
        <v>3.8969999999999998</v>
      </c>
      <c r="F287" s="30"/>
      <c r="G287" s="31"/>
      <c r="H287" s="29"/>
      <c r="I287" s="30"/>
      <c r="J287" s="29"/>
      <c r="K287" s="30"/>
      <c r="Q287">
        <f>[1]Source!X340</f>
        <v>4921.3599999999997</v>
      </c>
      <c r="R287">
        <f>[1]Source!X341</f>
        <v>277318.36</v>
      </c>
      <c r="S287">
        <f>[1]Source!Y340</f>
        <v>2658.66</v>
      </c>
      <c r="T287">
        <f>[1]Source!Y341</f>
        <v>149815.66</v>
      </c>
      <c r="U287">
        <f>ROUND((175/100)*ROUND([1]Source!R340, 2), 2)</f>
        <v>134.96</v>
      </c>
      <c r="V287">
        <f>ROUND((0/100)*ROUND([1]Source!R341, 2), 2)</f>
        <v>0</v>
      </c>
      <c r="AC287">
        <v>0</v>
      </c>
    </row>
    <row r="288" spans="1:29" hidden="1" x14ac:dyDescent="0.25">
      <c r="C288" s="32" t="str">
        <f>"Объем: "&amp;[1]Source!I340&amp;"=389,7/"&amp;"100"</f>
        <v>Объем: 3,897=389,7/100</v>
      </c>
    </row>
    <row r="289" spans="1:29" ht="14.4" hidden="1" x14ac:dyDescent="0.25">
      <c r="A289" s="27"/>
      <c r="B289" s="27"/>
      <c r="C289" s="27" t="s">
        <v>36</v>
      </c>
      <c r="D289" s="28"/>
      <c r="E289" s="29"/>
      <c r="F289" s="30">
        <f>[1]Source!AO340</f>
        <v>990.94</v>
      </c>
      <c r="G289" s="31" t="s">
        <v>37</v>
      </c>
      <c r="H289" s="29">
        <f>[1]Source!AV341</f>
        <v>1.0469999999999999</v>
      </c>
      <c r="I289" s="30">
        <f>[1]Source!S340</f>
        <v>5579.61</v>
      </c>
      <c r="J289" s="29">
        <f>IF([1]Source!BA341&lt;&gt; 0, [1]Source!BA341, 1)</f>
        <v>56.35</v>
      </c>
      <c r="K289" s="30">
        <f>[1]Source!S341</f>
        <v>314411.02</v>
      </c>
    </row>
    <row r="290" spans="1:29" ht="14.4" hidden="1" x14ac:dyDescent="0.25">
      <c r="A290" s="27"/>
      <c r="B290" s="27"/>
      <c r="C290" s="27" t="s">
        <v>38</v>
      </c>
      <c r="D290" s="28"/>
      <c r="E290" s="29"/>
      <c r="F290" s="30">
        <f>[1]Source!AM340</f>
        <v>136.6</v>
      </c>
      <c r="G290" s="31" t="s">
        <v>39</v>
      </c>
      <c r="H290" s="29">
        <f>[1]Source!AV341</f>
        <v>1.0469999999999999</v>
      </c>
      <c r="I290" s="30">
        <f>[1]Source!Q340</f>
        <v>836.02</v>
      </c>
      <c r="J290" s="29">
        <f>IF([1]Source!BB341&lt;&gt; 0, [1]Source!BB341, 1)</f>
        <v>14.64</v>
      </c>
      <c r="K290" s="30">
        <f>[1]Source!Q341</f>
        <v>12239.33</v>
      </c>
    </row>
    <row r="291" spans="1:29" ht="14.4" hidden="1" x14ac:dyDescent="0.25">
      <c r="A291" s="27"/>
      <c r="B291" s="27"/>
      <c r="C291" s="27" t="s">
        <v>40</v>
      </c>
      <c r="D291" s="28"/>
      <c r="E291" s="29"/>
      <c r="F291" s="30">
        <f>[1]Source!AN340</f>
        <v>12.6</v>
      </c>
      <c r="G291" s="31" t="s">
        <v>39</v>
      </c>
      <c r="H291" s="29">
        <f>[1]Source!AV341</f>
        <v>1.0469999999999999</v>
      </c>
      <c r="I291" s="33">
        <f>[1]Source!R340</f>
        <v>77.12</v>
      </c>
      <c r="J291" s="29">
        <f>IF([1]Source!BS341&lt;&gt; 0, [1]Source!BS341, 1)</f>
        <v>56.35</v>
      </c>
      <c r="K291" s="33">
        <f>[1]Source!R341</f>
        <v>4345.71</v>
      </c>
    </row>
    <row r="292" spans="1:29" ht="14.4" hidden="1" x14ac:dyDescent="0.25">
      <c r="A292" s="27"/>
      <c r="B292" s="27"/>
      <c r="C292" s="27" t="s">
        <v>41</v>
      </c>
      <c r="D292" s="28"/>
      <c r="E292" s="29"/>
      <c r="F292" s="30">
        <f>[1]Source!AL340</f>
        <v>8061.36</v>
      </c>
      <c r="G292" s="31"/>
      <c r="H292" s="29">
        <f>[1]Source!AW341</f>
        <v>1.0189999999999999</v>
      </c>
      <c r="I292" s="30">
        <f>[1]Source!P340</f>
        <v>32012.01</v>
      </c>
      <c r="J292" s="29">
        <f>IF([1]Source!BC341&lt;&gt; 0, [1]Source!BC341, 1)</f>
        <v>3.15</v>
      </c>
      <c r="K292" s="30">
        <f>[1]Source!P341</f>
        <v>100837.83</v>
      </c>
    </row>
    <row r="293" spans="1:29" ht="138" hidden="1" x14ac:dyDescent="0.25">
      <c r="A293" s="27" t="s">
        <v>108</v>
      </c>
      <c r="B293" s="27" t="str">
        <f>[1]Source!F342</f>
        <v>1.1-1-2922</v>
      </c>
      <c r="C293" s="27" t="s">
        <v>81</v>
      </c>
      <c r="D293" s="28" t="str">
        <f>[1]Source!H342</f>
        <v>м3</v>
      </c>
      <c r="E293" s="29">
        <f>[1]Source!I342</f>
        <v>65.001959999999997</v>
      </c>
      <c r="F293" s="30">
        <f>[1]Source!AK342</f>
        <v>1245.78</v>
      </c>
      <c r="G293" s="43" t="s">
        <v>54</v>
      </c>
      <c r="H293" s="29">
        <f>[1]Source!AW343</f>
        <v>1.0189999999999999</v>
      </c>
      <c r="I293" s="30">
        <f>[1]Source!O342</f>
        <v>82516.73</v>
      </c>
      <c r="J293" s="29">
        <f>IF([1]Source!BC343&lt;&gt; 0, [1]Source!BC343, 1)</f>
        <v>6.23</v>
      </c>
      <c r="K293" s="30">
        <f>[1]Source!O343</f>
        <v>514079.23</v>
      </c>
      <c r="Q293">
        <f>[1]Source!X342</f>
        <v>0</v>
      </c>
      <c r="R293">
        <f>[1]Source!X343</f>
        <v>0</v>
      </c>
      <c r="S293">
        <f>[1]Source!Y342</f>
        <v>0</v>
      </c>
      <c r="T293">
        <f>[1]Source!Y343</f>
        <v>0</v>
      </c>
      <c r="U293">
        <f>ROUND((175/100)*ROUND([1]Source!R342, 2), 2)</f>
        <v>0</v>
      </c>
      <c r="V293">
        <f>ROUND((0/100)*ROUND([1]Source!R343, 2), 2)</f>
        <v>0</v>
      </c>
      <c r="AC293">
        <v>3</v>
      </c>
    </row>
    <row r="294" spans="1:29" ht="14.4" hidden="1" x14ac:dyDescent="0.25">
      <c r="A294" s="27"/>
      <c r="B294" s="27"/>
      <c r="C294" s="27" t="s">
        <v>42</v>
      </c>
      <c r="D294" s="28" t="s">
        <v>43</v>
      </c>
      <c r="E294" s="29">
        <f>[1]Source!BZ341</f>
        <v>87</v>
      </c>
      <c r="F294" s="30"/>
      <c r="G294" s="31"/>
      <c r="H294" s="29"/>
      <c r="I294" s="30">
        <f>SUM(Q287:Q293)</f>
        <v>4921.3599999999997</v>
      </c>
      <c r="J294" s="29">
        <f>[1]Source!AT341</f>
        <v>87</v>
      </c>
      <c r="K294" s="30">
        <f>SUM(R287:R293)</f>
        <v>277318.36</v>
      </c>
    </row>
    <row r="295" spans="1:29" ht="14.4" hidden="1" x14ac:dyDescent="0.25">
      <c r="A295" s="27"/>
      <c r="B295" s="27"/>
      <c r="C295" s="27" t="s">
        <v>44</v>
      </c>
      <c r="D295" s="28" t="s">
        <v>43</v>
      </c>
      <c r="E295" s="29">
        <f>[1]Source!CA341</f>
        <v>47</v>
      </c>
      <c r="F295" s="30"/>
      <c r="G295" s="31"/>
      <c r="H295" s="29"/>
      <c r="I295" s="30">
        <f>SUM(S287:S294)</f>
        <v>2658.66</v>
      </c>
      <c r="J295" s="29">
        <f>[1]Source!AU341</f>
        <v>47</v>
      </c>
      <c r="K295" s="30">
        <f>SUM(T287:T294)</f>
        <v>149815.66</v>
      </c>
    </row>
    <row r="296" spans="1:29" ht="14.4" hidden="1" x14ac:dyDescent="0.25">
      <c r="A296" s="34"/>
      <c r="B296" s="34"/>
      <c r="C296" s="34" t="s">
        <v>45</v>
      </c>
      <c r="D296" s="35" t="s">
        <v>46</v>
      </c>
      <c r="E296" s="36">
        <f>[1]Source!AQ340</f>
        <v>83.75</v>
      </c>
      <c r="F296" s="37"/>
      <c r="G296" s="38" t="s">
        <v>37</v>
      </c>
      <c r="H296" s="36">
        <f>[1]Source!AV341</f>
        <v>1.0469999999999999</v>
      </c>
      <c r="I296" s="37">
        <f>[1]Source!U340</f>
        <v>471.56437642499986</v>
      </c>
      <c r="J296" s="36"/>
      <c r="K296" s="37"/>
    </row>
    <row r="297" spans="1:29" ht="13.8" hidden="1" x14ac:dyDescent="0.25">
      <c r="C297" s="39" t="s">
        <v>47</v>
      </c>
      <c r="H297" s="40">
        <f>I289+I290+I292+I294+I295+SUM(I293:I293)-SUMIF(AC293:AC293, 5, I293:I293)-SUMIF(AC293:AC293, 6, I293:I293)</f>
        <v>128524.39</v>
      </c>
      <c r="I297" s="40"/>
      <c r="J297" s="40">
        <f>K289+K290+K292+K294+K295+SUM(K293:K293)-SUMIF(AC293:AC293, 5, K293:K293)-SUMIF(AC293:AC293, 6, K293:K293)</f>
        <v>1368701.4300000002</v>
      </c>
      <c r="K297" s="40"/>
    </row>
    <row r="298" spans="1:29" ht="13.8" hidden="1" x14ac:dyDescent="0.25">
      <c r="C298" s="39" t="s">
        <v>48</v>
      </c>
      <c r="H298" s="41">
        <f>SUMIF(AC293:AC293, 5, I293:I293)+SUMIF(AC293:AC293, 6, I293:I293)</f>
        <v>0</v>
      </c>
      <c r="I298" s="41"/>
      <c r="J298" s="41">
        <f>SUMIF(AC293:AC293, 5, K293:K293)+SUMIF(AC293:AC293, 6, K293:K293)</f>
        <v>0</v>
      </c>
      <c r="K298" s="41"/>
    </row>
    <row r="299" spans="1:29" ht="13.8" hidden="1" x14ac:dyDescent="0.25">
      <c r="C299" s="39" t="s">
        <v>49</v>
      </c>
      <c r="H299" s="41">
        <f>I289+I290+I292+I294+I295+SUM(I293:I293)</f>
        <v>128524.39</v>
      </c>
      <c r="I299" s="41"/>
      <c r="J299" s="41">
        <f>K289+K290+K292+K294+K295+SUM(K293:K293)</f>
        <v>1368701.4300000002</v>
      </c>
      <c r="K299" s="41"/>
      <c r="O299" s="42">
        <f>I289+I290+I292+I294+I295+SUM(I293:I293)</f>
        <v>128524.39</v>
      </c>
      <c r="P299" s="42">
        <f>K289+K290+K292+K294+K295+SUM(K293:K293)</f>
        <v>1368701.4300000002</v>
      </c>
    </row>
    <row r="300" spans="1:29" hidden="1" x14ac:dyDescent="0.25"/>
    <row r="301" spans="1:29" ht="82.8" hidden="1" x14ac:dyDescent="0.25">
      <c r="A301" s="27">
        <v>20</v>
      </c>
      <c r="B301" s="27" t="str">
        <f>[1]Source!F344</f>
        <v>3.26-56-1</v>
      </c>
      <c r="C301" s="27" t="s">
        <v>109</v>
      </c>
      <c r="D301" s="28" t="str">
        <f>[1]Source!H344</f>
        <v>100 м2</v>
      </c>
      <c r="E301" s="29">
        <f>[1]Source!I344</f>
        <v>0.79</v>
      </c>
      <c r="F301" s="30"/>
      <c r="G301" s="31"/>
      <c r="H301" s="29"/>
      <c r="I301" s="30"/>
      <c r="J301" s="29"/>
      <c r="K301" s="30"/>
      <c r="Q301">
        <f>[1]Source!X344</f>
        <v>742.57</v>
      </c>
      <c r="R301">
        <f>[1]Source!X345</f>
        <v>41843.879999999997</v>
      </c>
      <c r="S301">
        <f>[1]Source!Y344</f>
        <v>401.16</v>
      </c>
      <c r="T301">
        <f>[1]Source!Y345</f>
        <v>22605.31</v>
      </c>
      <c r="U301">
        <f>ROUND((175/100)*ROUND([1]Source!R344, 2), 2)</f>
        <v>7.77</v>
      </c>
      <c r="V301">
        <f>ROUND((0/100)*ROUND([1]Source!R345, 2), 2)</f>
        <v>0</v>
      </c>
      <c r="AC301">
        <v>0</v>
      </c>
    </row>
    <row r="302" spans="1:29" hidden="1" x14ac:dyDescent="0.25">
      <c r="C302" s="32" t="str">
        <f>"Объем: "&amp;[1]Source!I344&amp;"=79/"&amp;"100"</f>
        <v>Объем: 0,79=79/100</v>
      </c>
    </row>
    <row r="303" spans="1:29" ht="14.4" hidden="1" x14ac:dyDescent="0.25">
      <c r="A303" s="27"/>
      <c r="B303" s="27"/>
      <c r="C303" s="27" t="s">
        <v>36</v>
      </c>
      <c r="D303" s="28"/>
      <c r="E303" s="29"/>
      <c r="F303" s="30">
        <f>[1]Source!AO344</f>
        <v>743.88</v>
      </c>
      <c r="G303" s="31" t="s">
        <v>37</v>
      </c>
      <c r="H303" s="29">
        <f>[1]Source!AV345</f>
        <v>1.0469999999999999</v>
      </c>
      <c r="I303" s="30">
        <f>[1]Source!S344</f>
        <v>849.09</v>
      </c>
      <c r="J303" s="29">
        <f>IF([1]Source!BA345&lt;&gt; 0, [1]Source!BA345, 1)</f>
        <v>56.35</v>
      </c>
      <c r="K303" s="30">
        <f>[1]Source!S345</f>
        <v>47846.22</v>
      </c>
    </row>
    <row r="304" spans="1:29" ht="14.4" hidden="1" x14ac:dyDescent="0.25">
      <c r="A304" s="27"/>
      <c r="B304" s="27"/>
      <c r="C304" s="27" t="s">
        <v>38</v>
      </c>
      <c r="D304" s="28"/>
      <c r="E304" s="29"/>
      <c r="F304" s="30">
        <f>[1]Source!AM344</f>
        <v>33.54</v>
      </c>
      <c r="G304" s="31" t="s">
        <v>39</v>
      </c>
      <c r="H304" s="29">
        <f>[1]Source!AV345</f>
        <v>1.0469999999999999</v>
      </c>
      <c r="I304" s="30">
        <f>[1]Source!Q344</f>
        <v>41.61</v>
      </c>
      <c r="J304" s="29">
        <f>IF([1]Source!BB345&lt;&gt; 0, [1]Source!BB345, 1)</f>
        <v>14.93</v>
      </c>
      <c r="K304" s="30">
        <f>[1]Source!Q345</f>
        <v>621.24</v>
      </c>
    </row>
    <row r="305" spans="1:29" ht="14.4" hidden="1" x14ac:dyDescent="0.25">
      <c r="A305" s="27"/>
      <c r="B305" s="27"/>
      <c r="C305" s="27" t="s">
        <v>40</v>
      </c>
      <c r="D305" s="28"/>
      <c r="E305" s="29"/>
      <c r="F305" s="30">
        <f>[1]Source!AN344</f>
        <v>3.58</v>
      </c>
      <c r="G305" s="31" t="s">
        <v>39</v>
      </c>
      <c r="H305" s="29">
        <f>[1]Source!AV345</f>
        <v>1.0469999999999999</v>
      </c>
      <c r="I305" s="33">
        <f>[1]Source!R344</f>
        <v>4.4400000000000004</v>
      </c>
      <c r="J305" s="29">
        <f>IF([1]Source!BS345&lt;&gt; 0, [1]Source!BS345, 1)</f>
        <v>56.35</v>
      </c>
      <c r="K305" s="33">
        <f>[1]Source!R345</f>
        <v>250.19</v>
      </c>
    </row>
    <row r="306" spans="1:29" ht="14.4" hidden="1" x14ac:dyDescent="0.25">
      <c r="A306" s="27"/>
      <c r="B306" s="27"/>
      <c r="C306" s="27" t="s">
        <v>41</v>
      </c>
      <c r="D306" s="28"/>
      <c r="E306" s="29"/>
      <c r="F306" s="30">
        <f>[1]Source!AL344</f>
        <v>7053.47</v>
      </c>
      <c r="G306" s="31"/>
      <c r="H306" s="29">
        <f>[1]Source!AW345</f>
        <v>1.0189999999999999</v>
      </c>
      <c r="I306" s="30">
        <f>[1]Source!P344</f>
        <v>5678.11</v>
      </c>
      <c r="J306" s="29">
        <f>IF([1]Source!BC345&lt;&gt; 0, [1]Source!BC345, 1)</f>
        <v>3.2</v>
      </c>
      <c r="K306" s="30">
        <f>[1]Source!P345</f>
        <v>18169.95</v>
      </c>
    </row>
    <row r="307" spans="1:29" ht="124.2" hidden="1" x14ac:dyDescent="0.25">
      <c r="A307" s="27" t="s">
        <v>110</v>
      </c>
      <c r="B307" s="27" t="str">
        <f>[1]Source!F346</f>
        <v>1.1-1-1849</v>
      </c>
      <c r="C307" s="27" t="s">
        <v>111</v>
      </c>
      <c r="D307" s="28" t="str">
        <f>[1]Source!H346</f>
        <v>м2</v>
      </c>
      <c r="E307" s="29">
        <f>[1]Source!I346</f>
        <v>79</v>
      </c>
      <c r="F307" s="30">
        <f>[1]Source!AK346</f>
        <v>1036.3800000000001</v>
      </c>
      <c r="G307" s="43" t="s">
        <v>54</v>
      </c>
      <c r="H307" s="29">
        <f>[1]Source!AW347</f>
        <v>1.0189999999999999</v>
      </c>
      <c r="I307" s="30">
        <f>[1]Source!O346</f>
        <v>83429.63</v>
      </c>
      <c r="J307" s="29">
        <f>IF([1]Source!BC347&lt;&gt; 0, [1]Source!BC347, 1)</f>
        <v>9.0299999999999994</v>
      </c>
      <c r="K307" s="30">
        <f>[1]Source!O347</f>
        <v>753369.56</v>
      </c>
      <c r="Q307">
        <f>[1]Source!X346</f>
        <v>0</v>
      </c>
      <c r="R307">
        <f>[1]Source!X347</f>
        <v>0</v>
      </c>
      <c r="S307">
        <f>[1]Source!Y346</f>
        <v>0</v>
      </c>
      <c r="T307">
        <f>[1]Source!Y347</f>
        <v>0</v>
      </c>
      <c r="U307">
        <f>ROUND((175/100)*ROUND([1]Source!R346, 2), 2)</f>
        <v>0</v>
      </c>
      <c r="V307">
        <f>ROUND((0/100)*ROUND([1]Source!R347, 2), 2)</f>
        <v>0</v>
      </c>
      <c r="AC307">
        <v>3</v>
      </c>
    </row>
    <row r="308" spans="1:29" ht="14.4" hidden="1" x14ac:dyDescent="0.25">
      <c r="A308" s="27"/>
      <c r="B308" s="27"/>
      <c r="C308" s="27" t="s">
        <v>42</v>
      </c>
      <c r="D308" s="28" t="s">
        <v>43</v>
      </c>
      <c r="E308" s="29">
        <f>[1]Source!BZ345</f>
        <v>87</v>
      </c>
      <c r="F308" s="30"/>
      <c r="G308" s="31"/>
      <c r="H308" s="29"/>
      <c r="I308" s="30">
        <f>SUM(Q301:Q307)</f>
        <v>742.57</v>
      </c>
      <c r="J308" s="29">
        <f>[1]Source!AT345</f>
        <v>87</v>
      </c>
      <c r="K308" s="30">
        <f>SUM(R301:R307)</f>
        <v>41843.879999999997</v>
      </c>
    </row>
    <row r="309" spans="1:29" ht="14.4" hidden="1" x14ac:dyDescent="0.25">
      <c r="A309" s="27"/>
      <c r="B309" s="27"/>
      <c r="C309" s="27" t="s">
        <v>44</v>
      </c>
      <c r="D309" s="28" t="s">
        <v>43</v>
      </c>
      <c r="E309" s="29">
        <f>[1]Source!CA345</f>
        <v>47</v>
      </c>
      <c r="F309" s="30"/>
      <c r="G309" s="31"/>
      <c r="H309" s="29"/>
      <c r="I309" s="30">
        <f>SUM(S301:S308)</f>
        <v>401.16</v>
      </c>
      <c r="J309" s="29">
        <f>[1]Source!AU345</f>
        <v>47</v>
      </c>
      <c r="K309" s="30">
        <f>SUM(T301:T308)</f>
        <v>22605.31</v>
      </c>
    </row>
    <row r="310" spans="1:29" ht="14.4" hidden="1" x14ac:dyDescent="0.25">
      <c r="A310" s="34"/>
      <c r="B310" s="34"/>
      <c r="C310" s="34" t="s">
        <v>45</v>
      </c>
      <c r="D310" s="35" t="s">
        <v>46</v>
      </c>
      <c r="E310" s="36">
        <f>[1]Source!AQ344</f>
        <v>62.09</v>
      </c>
      <c r="F310" s="37"/>
      <c r="G310" s="38" t="s">
        <v>37</v>
      </c>
      <c r="H310" s="36">
        <f>[1]Source!AV345</f>
        <v>1.0469999999999999</v>
      </c>
      <c r="I310" s="37">
        <f>[1]Source!U344</f>
        <v>70.871972345999993</v>
      </c>
      <c r="J310" s="36"/>
      <c r="K310" s="37"/>
    </row>
    <row r="311" spans="1:29" ht="13.8" hidden="1" x14ac:dyDescent="0.25">
      <c r="C311" s="39" t="s">
        <v>47</v>
      </c>
      <c r="H311" s="40">
        <f>I303+I304+I306+I308+I309+SUM(I307:I307)-SUMIF(AC307:AC307, 5, I307:I307)-SUMIF(AC307:AC307, 6, I307:I307)</f>
        <v>91142.17</v>
      </c>
      <c r="I311" s="40"/>
      <c r="J311" s="40">
        <f>K303+K304+K306+K308+K309+SUM(K307:K307)-SUMIF(AC307:AC307, 5, K307:K307)-SUMIF(AC307:AC307, 6, K307:K307)</f>
        <v>884456.16</v>
      </c>
      <c r="K311" s="40"/>
    </row>
    <row r="312" spans="1:29" ht="13.8" hidden="1" x14ac:dyDescent="0.25">
      <c r="C312" s="39" t="s">
        <v>48</v>
      </c>
      <c r="H312" s="41">
        <f>SUMIF(AC307:AC307, 5, I307:I307)+SUMIF(AC307:AC307, 6, I307:I307)</f>
        <v>0</v>
      </c>
      <c r="I312" s="41"/>
      <c r="J312" s="41">
        <f>SUMIF(AC307:AC307, 5, K307:K307)+SUMIF(AC307:AC307, 6, K307:K307)</f>
        <v>0</v>
      </c>
      <c r="K312" s="41"/>
    </row>
    <row r="313" spans="1:29" ht="13.8" hidden="1" x14ac:dyDescent="0.25">
      <c r="C313" s="39" t="s">
        <v>49</v>
      </c>
      <c r="H313" s="41">
        <f>I303+I304+I306+I308+I309+SUM(I307:I307)</f>
        <v>91142.17</v>
      </c>
      <c r="I313" s="41"/>
      <c r="J313" s="41">
        <f>K303+K304+K306+K308+K309+SUM(K307:K307)</f>
        <v>884456.16</v>
      </c>
      <c r="K313" s="41"/>
      <c r="O313" s="42">
        <f>I303+I304+I306+I308+I309+SUM(I307:I307)</f>
        <v>91142.17</v>
      </c>
      <c r="P313" s="42">
        <f>K303+K304+K306+K308+K309+SUM(K307:K307)</f>
        <v>884456.16</v>
      </c>
    </row>
    <row r="314" spans="1:29" hidden="1" x14ac:dyDescent="0.25"/>
    <row r="315" spans="1:29" ht="129.6" hidden="1" x14ac:dyDescent="0.25">
      <c r="A315" s="27">
        <v>21</v>
      </c>
      <c r="B315" s="27" t="str">
        <f>[1]Source!F348</f>
        <v>3.15-41-1</v>
      </c>
      <c r="C315" s="27" t="s">
        <v>112</v>
      </c>
      <c r="D315" s="28" t="str">
        <f>[1]Source!H348</f>
        <v>100 м2 оштукатуриваемой поверхности</v>
      </c>
      <c r="E315" s="29">
        <f>[1]Source!I348</f>
        <v>4.6870000000000003</v>
      </c>
      <c r="F315" s="30"/>
      <c r="G315" s="31"/>
      <c r="H315" s="29"/>
      <c r="I315" s="30"/>
      <c r="J315" s="29"/>
      <c r="K315" s="30"/>
      <c r="Q315">
        <f>[1]Source!X348</f>
        <v>2916.18</v>
      </c>
      <c r="R315">
        <f>[1]Source!X349</f>
        <v>164326.74</v>
      </c>
      <c r="S315">
        <f>[1]Source!Y348</f>
        <v>1360.88</v>
      </c>
      <c r="T315">
        <f>[1]Source!Y349</f>
        <v>76685.81</v>
      </c>
      <c r="U315">
        <f>ROUND((175/100)*ROUND([1]Source!R348, 2), 2)</f>
        <v>278.85000000000002</v>
      </c>
      <c r="V315">
        <f>ROUND((0/100)*ROUND([1]Source!R349, 2), 2)</f>
        <v>0</v>
      </c>
      <c r="AC315">
        <v>0</v>
      </c>
    </row>
    <row r="316" spans="1:29" hidden="1" x14ac:dyDescent="0.25">
      <c r="C316" s="32" t="str">
        <f>"Объем: "&amp;[1]Source!I348&amp;"=468,7/"&amp;"100"</f>
        <v>Объем: 4,687=468,7/100</v>
      </c>
    </row>
    <row r="317" spans="1:29" ht="27.6" hidden="1" x14ac:dyDescent="0.25">
      <c r="A317" s="27"/>
      <c r="B317" s="27"/>
      <c r="C317" s="27" t="s">
        <v>36</v>
      </c>
      <c r="D317" s="28"/>
      <c r="E317" s="29"/>
      <c r="F317" s="30">
        <f>[1]Source!AO348</f>
        <v>771.08</v>
      </c>
      <c r="G317" s="31" t="s">
        <v>113</v>
      </c>
      <c r="H317" s="29">
        <f>[1]Source!AV349</f>
        <v>1.0469999999999999</v>
      </c>
      <c r="I317" s="30">
        <f>[1]Source!S348</f>
        <v>3080.86</v>
      </c>
      <c r="J317" s="29">
        <f>IF([1]Source!BA349&lt;&gt; 0, [1]Source!BA349, 1)</f>
        <v>56.35</v>
      </c>
      <c r="K317" s="30">
        <f>[1]Source!S349</f>
        <v>173606.46</v>
      </c>
    </row>
    <row r="318" spans="1:29" ht="27.6" hidden="1" x14ac:dyDescent="0.25">
      <c r="A318" s="27"/>
      <c r="B318" s="27"/>
      <c r="C318" s="27" t="s">
        <v>38</v>
      </c>
      <c r="D318" s="28"/>
      <c r="E318" s="29"/>
      <c r="F318" s="30">
        <f>[1]Source!AM348</f>
        <v>79.12</v>
      </c>
      <c r="G318" s="31" t="s">
        <v>114</v>
      </c>
      <c r="H318" s="29">
        <f>[1]Source!AV349</f>
        <v>1.0469999999999999</v>
      </c>
      <c r="I318" s="30">
        <f>[1]Source!Q348</f>
        <v>343.61</v>
      </c>
      <c r="J318" s="29">
        <f>IF([1]Source!BB349&lt;&gt; 0, [1]Source!BB349, 1)</f>
        <v>34.28</v>
      </c>
      <c r="K318" s="30">
        <f>[1]Source!Q349</f>
        <v>11778.95</v>
      </c>
    </row>
    <row r="319" spans="1:29" ht="27.6" hidden="1" x14ac:dyDescent="0.25">
      <c r="A319" s="27"/>
      <c r="B319" s="27"/>
      <c r="C319" s="27" t="s">
        <v>40</v>
      </c>
      <c r="D319" s="28"/>
      <c r="E319" s="29"/>
      <c r="F319" s="30">
        <f>[1]Source!AN348</f>
        <v>36.69</v>
      </c>
      <c r="G319" s="31" t="s">
        <v>114</v>
      </c>
      <c r="H319" s="29">
        <f>[1]Source!AV349</f>
        <v>1.0469999999999999</v>
      </c>
      <c r="I319" s="33">
        <f>[1]Source!R348</f>
        <v>159.34</v>
      </c>
      <c r="J319" s="29">
        <f>IF([1]Source!BS349&lt;&gt; 0, [1]Source!BS349, 1)</f>
        <v>56.35</v>
      </c>
      <c r="K319" s="33">
        <f>[1]Source!R349</f>
        <v>8978.81</v>
      </c>
    </row>
    <row r="320" spans="1:29" ht="27.6" hidden="1" x14ac:dyDescent="0.25">
      <c r="A320" s="27" t="s">
        <v>115</v>
      </c>
      <c r="B320" s="27" t="str">
        <f>[1]Source!F350</f>
        <v>1.1-1-118</v>
      </c>
      <c r="C320" s="27" t="s">
        <v>72</v>
      </c>
      <c r="D320" s="28" t="str">
        <f>[1]Source!H350</f>
        <v>м3</v>
      </c>
      <c r="E320" s="29">
        <f>[1]Source!I350</f>
        <v>0.29268300000000003</v>
      </c>
      <c r="F320" s="30">
        <f>[1]Source!AK350</f>
        <v>7.07</v>
      </c>
      <c r="G320" s="43" t="s">
        <v>54</v>
      </c>
      <c r="H320" s="29">
        <f>[1]Source!AW351</f>
        <v>1.0029999999999999</v>
      </c>
      <c r="I320" s="30">
        <f>[1]Source!O350</f>
        <v>2.08</v>
      </c>
      <c r="J320" s="29">
        <f>IF([1]Source!BC351&lt;&gt; 0, [1]Source!BC351, 1)</f>
        <v>7.75</v>
      </c>
      <c r="K320" s="30">
        <f>[1]Source!O351</f>
        <v>16.12</v>
      </c>
      <c r="Q320">
        <f>[1]Source!X350</f>
        <v>0</v>
      </c>
      <c r="R320">
        <f>[1]Source!X351</f>
        <v>0</v>
      </c>
      <c r="S320">
        <f>[1]Source!Y350</f>
        <v>0</v>
      </c>
      <c r="T320">
        <f>[1]Source!Y351</f>
        <v>0</v>
      </c>
      <c r="U320">
        <f>ROUND((175/100)*ROUND([1]Source!R350, 2), 2)</f>
        <v>0</v>
      </c>
      <c r="V320">
        <f>ROUND((0/100)*ROUND([1]Source!R351, 2), 2)</f>
        <v>0</v>
      </c>
      <c r="AC320">
        <v>3</v>
      </c>
    </row>
    <row r="321" spans="1:29" ht="69" hidden="1" x14ac:dyDescent="0.25">
      <c r="A321" s="27" t="s">
        <v>116</v>
      </c>
      <c r="B321" s="27" t="str">
        <f>[1]Source!F352</f>
        <v>1.3-2-24</v>
      </c>
      <c r="C321" s="27" t="s">
        <v>74</v>
      </c>
      <c r="D321" s="28" t="str">
        <f>[1]Source!H352</f>
        <v>т</v>
      </c>
      <c r="E321" s="29">
        <f>[1]Source!I352</f>
        <v>1.672472</v>
      </c>
      <c r="F321" s="30">
        <f>[1]Source!AK352</f>
        <v>788.9</v>
      </c>
      <c r="G321" s="43" t="s">
        <v>54</v>
      </c>
      <c r="H321" s="29">
        <f>[1]Source!AW353</f>
        <v>1.0029999999999999</v>
      </c>
      <c r="I321" s="30">
        <f>[1]Source!O352</f>
        <v>1323.37</v>
      </c>
      <c r="J321" s="29">
        <f>IF([1]Source!BC353&lt;&gt; 0, [1]Source!BC353, 1)</f>
        <v>12.2</v>
      </c>
      <c r="K321" s="30">
        <f>[1]Source!O353</f>
        <v>16145.11</v>
      </c>
      <c r="Q321">
        <f>[1]Source!X352</f>
        <v>0</v>
      </c>
      <c r="R321">
        <f>[1]Source!X353</f>
        <v>0</v>
      </c>
      <c r="S321">
        <f>[1]Source!Y352</f>
        <v>0</v>
      </c>
      <c r="T321">
        <f>[1]Source!Y353</f>
        <v>0</v>
      </c>
      <c r="U321">
        <f>ROUND((175/100)*ROUND([1]Source!R352, 2), 2)</f>
        <v>0</v>
      </c>
      <c r="V321">
        <f>ROUND((0/100)*ROUND([1]Source!R353, 2), 2)</f>
        <v>0</v>
      </c>
      <c r="AC321">
        <v>3</v>
      </c>
    </row>
    <row r="322" spans="1:29" ht="27.6" hidden="1" x14ac:dyDescent="0.25">
      <c r="A322" s="27" t="s">
        <v>117</v>
      </c>
      <c r="B322" s="27" t="str">
        <f>[1]Source!F354</f>
        <v>1.3-2-13</v>
      </c>
      <c r="C322" s="27" t="s">
        <v>76</v>
      </c>
      <c r="D322" s="28" t="str">
        <f>[1]Source!H354</f>
        <v>м3</v>
      </c>
      <c r="E322" s="29">
        <f>[1]Source!I354</f>
        <v>4.1811790000000002</v>
      </c>
      <c r="F322" s="30">
        <f>[1]Source!AK354</f>
        <v>470.7</v>
      </c>
      <c r="G322" s="43" t="s">
        <v>54</v>
      </c>
      <c r="H322" s="29">
        <f>[1]Source!AW355</f>
        <v>1.0029999999999999</v>
      </c>
      <c r="I322" s="30">
        <f>[1]Source!O354</f>
        <v>1973.99</v>
      </c>
      <c r="J322" s="29">
        <f>IF([1]Source!BC355&lt;&gt; 0, [1]Source!BC355, 1)</f>
        <v>10.84</v>
      </c>
      <c r="K322" s="30">
        <f>[1]Source!O355</f>
        <v>21398.05</v>
      </c>
      <c r="Q322">
        <f>[1]Source!X354</f>
        <v>0</v>
      </c>
      <c r="R322">
        <f>[1]Source!X355</f>
        <v>0</v>
      </c>
      <c r="S322">
        <f>[1]Source!Y354</f>
        <v>0</v>
      </c>
      <c r="T322">
        <f>[1]Source!Y355</f>
        <v>0</v>
      </c>
      <c r="U322">
        <f>ROUND((175/100)*ROUND([1]Source!R354, 2), 2)</f>
        <v>0</v>
      </c>
      <c r="V322">
        <f>ROUND((0/100)*ROUND([1]Source!R355, 2), 2)</f>
        <v>0</v>
      </c>
      <c r="AC322">
        <v>3</v>
      </c>
    </row>
    <row r="323" spans="1:29" ht="14.4" hidden="1" x14ac:dyDescent="0.25">
      <c r="A323" s="27"/>
      <c r="B323" s="27"/>
      <c r="C323" s="27" t="s">
        <v>42</v>
      </c>
      <c r="D323" s="28" t="s">
        <v>43</v>
      </c>
      <c r="E323" s="29">
        <f>[1]Source!BZ349</f>
        <v>90</v>
      </c>
      <c r="F323" s="30"/>
      <c r="G323" s="31"/>
      <c r="H323" s="29"/>
      <c r="I323" s="30">
        <f>SUM(Q315:Q322)</f>
        <v>2916.18</v>
      </c>
      <c r="J323" s="29">
        <f>[1]Source!AT349</f>
        <v>90</v>
      </c>
      <c r="K323" s="30">
        <f>SUM(R315:R322)</f>
        <v>164326.74</v>
      </c>
    </row>
    <row r="324" spans="1:29" ht="14.4" hidden="1" x14ac:dyDescent="0.25">
      <c r="A324" s="27"/>
      <c r="B324" s="27"/>
      <c r="C324" s="27" t="s">
        <v>44</v>
      </c>
      <c r="D324" s="28" t="s">
        <v>43</v>
      </c>
      <c r="E324" s="29">
        <f>[1]Source!CA349</f>
        <v>42</v>
      </c>
      <c r="F324" s="30"/>
      <c r="G324" s="31"/>
      <c r="H324" s="29"/>
      <c r="I324" s="30">
        <f>SUM(S315:S323)</f>
        <v>1360.88</v>
      </c>
      <c r="J324" s="29">
        <f>[1]Source!AU349</f>
        <v>42</v>
      </c>
      <c r="K324" s="30">
        <f>SUM(T315:T323)</f>
        <v>76685.81</v>
      </c>
    </row>
    <row r="325" spans="1:29" ht="27.6" hidden="1" x14ac:dyDescent="0.25">
      <c r="A325" s="34"/>
      <c r="B325" s="34"/>
      <c r="C325" s="34" t="s">
        <v>45</v>
      </c>
      <c r="D325" s="35" t="s">
        <v>46</v>
      </c>
      <c r="E325" s="36">
        <f>[1]Source!AQ348</f>
        <v>61.1</v>
      </c>
      <c r="F325" s="37"/>
      <c r="G325" s="38" t="s">
        <v>113</v>
      </c>
      <c r="H325" s="36">
        <f>[1]Source!AV349</f>
        <v>1.0469999999999999</v>
      </c>
      <c r="I325" s="37">
        <f>[1]Source!U348</f>
        <v>244.12594840217997</v>
      </c>
      <c r="J325" s="36"/>
      <c r="K325" s="37"/>
    </row>
    <row r="326" spans="1:29" ht="13.8" hidden="1" x14ac:dyDescent="0.25">
      <c r="C326" s="39" t="s">
        <v>47</v>
      </c>
      <c r="H326" s="40">
        <f>I317+I318+I323+I324+SUM(I320:I322)-SUMIF(AC320:AC322, 5, I320:I322)-SUMIF(AC320:AC322, 6, I320:I322)</f>
        <v>11000.97</v>
      </c>
      <c r="I326" s="40"/>
      <c r="J326" s="40">
        <f>K317+K318+K323+K324+SUM(K320:K322)-SUMIF(AC320:AC322, 5, K320:K322)-SUMIF(AC320:AC322, 6, K320:K322)</f>
        <v>463957.24</v>
      </c>
      <c r="K326" s="40"/>
    </row>
    <row r="327" spans="1:29" ht="13.8" hidden="1" x14ac:dyDescent="0.25">
      <c r="C327" s="39" t="s">
        <v>48</v>
      </c>
      <c r="H327" s="41">
        <f>SUMIF(AC320:AC322, 5, I320:I322)+SUMIF(AC320:AC322, 6, I320:I322)</f>
        <v>0</v>
      </c>
      <c r="I327" s="41"/>
      <c r="J327" s="41">
        <f>SUMIF(AC320:AC322, 5, K320:K322)+SUMIF(AC320:AC322, 6, K320:K322)</f>
        <v>0</v>
      </c>
      <c r="K327" s="41"/>
    </row>
    <row r="328" spans="1:29" ht="13.8" hidden="1" x14ac:dyDescent="0.25">
      <c r="C328" s="39" t="s">
        <v>49</v>
      </c>
      <c r="H328" s="41">
        <f>I317+I318+I323+I324+SUM(I320:I322)</f>
        <v>11000.97</v>
      </c>
      <c r="I328" s="41"/>
      <c r="J328" s="41">
        <f>K317+K318+K323+K324+SUM(K320:K322)</f>
        <v>463957.24</v>
      </c>
      <c r="K328" s="41"/>
      <c r="O328" s="42">
        <f>I317+I318+I323+I324+SUM(I320:I322)</f>
        <v>11000.97</v>
      </c>
      <c r="P328" s="42">
        <f>K317+K318+K323+K324+SUM(K320:K322)</f>
        <v>463957.24</v>
      </c>
    </row>
    <row r="329" spans="1:29" hidden="1" x14ac:dyDescent="0.25"/>
    <row r="330" spans="1:29" ht="69" hidden="1" x14ac:dyDescent="0.25">
      <c r="A330" s="27">
        <v>22</v>
      </c>
      <c r="B330" s="27" t="str">
        <f>[1]Source!F356</f>
        <v>3.15-170-1</v>
      </c>
      <c r="C330" s="27" t="s">
        <v>118</v>
      </c>
      <c r="D330" s="28" t="str">
        <f>[1]Source!H356</f>
        <v>100 м2</v>
      </c>
      <c r="E330" s="29">
        <f>[1]Source!I356</f>
        <v>4.6870000000000003</v>
      </c>
      <c r="F330" s="30"/>
      <c r="G330" s="31"/>
      <c r="H330" s="29"/>
      <c r="I330" s="30"/>
      <c r="J330" s="29"/>
      <c r="K330" s="30"/>
      <c r="Q330">
        <f>[1]Source!X356</f>
        <v>7526.36</v>
      </c>
      <c r="R330">
        <f>[1]Source!X357</f>
        <v>424110.28</v>
      </c>
      <c r="S330">
        <f>[1]Source!Y356</f>
        <v>3512.3</v>
      </c>
      <c r="T330">
        <f>[1]Source!Y357</f>
        <v>197918.13</v>
      </c>
      <c r="U330">
        <f>ROUND((175/100)*ROUND([1]Source!R356, 2), 2)</f>
        <v>554.29999999999995</v>
      </c>
      <c r="V330">
        <f>ROUND((0/100)*ROUND([1]Source!R357, 2), 2)</f>
        <v>0</v>
      </c>
      <c r="AC330">
        <v>0</v>
      </c>
    </row>
    <row r="331" spans="1:29" hidden="1" x14ac:dyDescent="0.25">
      <c r="C331" s="32" t="str">
        <f>"Объем: "&amp;[1]Source!I356&amp;"=468,7/"&amp;"100"</f>
        <v>Объем: 4,687=468,7/100</v>
      </c>
    </row>
    <row r="332" spans="1:29" ht="14.4" hidden="1" x14ac:dyDescent="0.25">
      <c r="A332" s="27"/>
      <c r="B332" s="27"/>
      <c r="C332" s="27" t="s">
        <v>36</v>
      </c>
      <c r="D332" s="28"/>
      <c r="E332" s="29"/>
      <c r="F332" s="30">
        <f>[1]Source!AO356</f>
        <v>1188.0999999999999</v>
      </c>
      <c r="G332" s="31" t="s">
        <v>37</v>
      </c>
      <c r="H332" s="29">
        <f>[1]Source!AV357</f>
        <v>1.0469999999999999</v>
      </c>
      <c r="I332" s="30">
        <f>[1]Source!S356</f>
        <v>8045.88</v>
      </c>
      <c r="J332" s="29">
        <f>IF([1]Source!BA357&lt;&gt; 0, [1]Source!BA357, 1)</f>
        <v>56.35</v>
      </c>
      <c r="K332" s="30">
        <f>[1]Source!S357</f>
        <v>453385.34</v>
      </c>
    </row>
    <row r="333" spans="1:29" ht="14.4" hidden="1" x14ac:dyDescent="0.25">
      <c r="A333" s="27"/>
      <c r="B333" s="27"/>
      <c r="C333" s="27" t="s">
        <v>38</v>
      </c>
      <c r="D333" s="28"/>
      <c r="E333" s="29"/>
      <c r="F333" s="30">
        <f>[1]Source!AM356</f>
        <v>60.09</v>
      </c>
      <c r="G333" s="31" t="s">
        <v>39</v>
      </c>
      <c r="H333" s="29">
        <f>[1]Source!AV357</f>
        <v>1.0469999999999999</v>
      </c>
      <c r="I333" s="30">
        <f>[1]Source!Q356</f>
        <v>442.32</v>
      </c>
      <c r="J333" s="29">
        <f>IF([1]Source!BB357&lt;&gt; 0, [1]Source!BB357, 1)</f>
        <v>46.99</v>
      </c>
      <c r="K333" s="30">
        <f>[1]Source!Q357</f>
        <v>20784.62</v>
      </c>
    </row>
    <row r="334" spans="1:29" ht="14.4" hidden="1" x14ac:dyDescent="0.25">
      <c r="A334" s="27"/>
      <c r="B334" s="27"/>
      <c r="C334" s="27" t="s">
        <v>40</v>
      </c>
      <c r="D334" s="28"/>
      <c r="E334" s="29"/>
      <c r="F334" s="30">
        <f>[1]Source!AN356</f>
        <v>43.03</v>
      </c>
      <c r="G334" s="31" t="s">
        <v>39</v>
      </c>
      <c r="H334" s="29">
        <f>[1]Source!AV357</f>
        <v>1.0469999999999999</v>
      </c>
      <c r="I334" s="33">
        <f>[1]Source!R356</f>
        <v>316.74</v>
      </c>
      <c r="J334" s="29">
        <f>IF([1]Source!BS357&lt;&gt; 0, [1]Source!BS357, 1)</f>
        <v>56.35</v>
      </c>
      <c r="K334" s="33">
        <f>[1]Source!R357</f>
        <v>17848.3</v>
      </c>
    </row>
    <row r="335" spans="1:29" ht="14.4" hidden="1" x14ac:dyDescent="0.25">
      <c r="A335" s="27"/>
      <c r="B335" s="27"/>
      <c r="C335" s="27" t="s">
        <v>41</v>
      </c>
      <c r="D335" s="28"/>
      <c r="E335" s="29"/>
      <c r="F335" s="30">
        <f>[1]Source!AL356</f>
        <v>2.93</v>
      </c>
      <c r="G335" s="31"/>
      <c r="H335" s="29">
        <f>[1]Source!AW357</f>
        <v>1.0029999999999999</v>
      </c>
      <c r="I335" s="30">
        <f>[1]Source!P356</f>
        <v>13.77</v>
      </c>
      <c r="J335" s="29">
        <f>IF([1]Source!BC357&lt;&gt; 0, [1]Source!BC357, 1)</f>
        <v>9.64</v>
      </c>
      <c r="K335" s="30">
        <f>[1]Source!P357</f>
        <v>132.74</v>
      </c>
    </row>
    <row r="336" spans="1:29" ht="55.2" hidden="1" x14ac:dyDescent="0.25">
      <c r="A336" s="27" t="s">
        <v>119</v>
      </c>
      <c r="B336" s="27" t="str">
        <f>[1]Source!F358</f>
        <v>1.1-1-2854</v>
      </c>
      <c r="C336" s="27" t="s">
        <v>120</v>
      </c>
      <c r="D336" s="28" t="str">
        <f>[1]Source!H358</f>
        <v>кг</v>
      </c>
      <c r="E336" s="29">
        <f>[1]Source!I358</f>
        <v>48.2761</v>
      </c>
      <c r="F336" s="30">
        <f>[1]Source!AK358</f>
        <v>28.97</v>
      </c>
      <c r="G336" s="43" t="s">
        <v>54</v>
      </c>
      <c r="H336" s="29">
        <f>[1]Source!AW359</f>
        <v>1.0029999999999999</v>
      </c>
      <c r="I336" s="30">
        <f>[1]Source!O358</f>
        <v>1402.75</v>
      </c>
      <c r="J336" s="29">
        <f>IF([1]Source!BC359&lt;&gt; 0, [1]Source!BC359, 1)</f>
        <v>3.79</v>
      </c>
      <c r="K336" s="30">
        <f>[1]Source!O359</f>
        <v>5316.42</v>
      </c>
      <c r="Q336">
        <f>[1]Source!X358</f>
        <v>0</v>
      </c>
      <c r="R336">
        <f>[1]Source!X359</f>
        <v>0</v>
      </c>
      <c r="S336">
        <f>[1]Source!Y358</f>
        <v>0</v>
      </c>
      <c r="T336">
        <f>[1]Source!Y359</f>
        <v>0</v>
      </c>
      <c r="U336">
        <f>ROUND((175/100)*ROUND([1]Source!R358, 2), 2)</f>
        <v>0</v>
      </c>
      <c r="V336">
        <f>ROUND((0/100)*ROUND([1]Source!R359, 2), 2)</f>
        <v>0</v>
      </c>
      <c r="AC336">
        <v>3</v>
      </c>
    </row>
    <row r="337" spans="1:29" ht="69" hidden="1" x14ac:dyDescent="0.25">
      <c r="A337" s="27" t="s">
        <v>121</v>
      </c>
      <c r="B337" s="27" t="str">
        <f>[1]Source!F360</f>
        <v>1.3-2-138</v>
      </c>
      <c r="C337" s="27" t="s">
        <v>122</v>
      </c>
      <c r="D337" s="28" t="str">
        <f>[1]Source!H360</f>
        <v>т</v>
      </c>
      <c r="E337" s="29">
        <f>[1]Source!I360</f>
        <v>0.18748000000000001</v>
      </c>
      <c r="F337" s="30">
        <f>[1]Source!AK360</f>
        <v>27354.720000000001</v>
      </c>
      <c r="G337" s="43" t="s">
        <v>54</v>
      </c>
      <c r="H337" s="29">
        <f>[1]Source!AW361</f>
        <v>1.0029999999999999</v>
      </c>
      <c r="I337" s="30">
        <f>[1]Source!O360</f>
        <v>5143.8500000000004</v>
      </c>
      <c r="J337" s="29">
        <f>IF([1]Source!BC361&lt;&gt; 0, [1]Source!BC361, 1)</f>
        <v>3.34</v>
      </c>
      <c r="K337" s="30">
        <f>[1]Source!O361</f>
        <v>17180.46</v>
      </c>
      <c r="Q337">
        <f>[1]Source!X360</f>
        <v>0</v>
      </c>
      <c r="R337">
        <f>[1]Source!X361</f>
        <v>0</v>
      </c>
      <c r="S337">
        <f>[1]Source!Y360</f>
        <v>0</v>
      </c>
      <c r="T337">
        <f>[1]Source!Y361</f>
        <v>0</v>
      </c>
      <c r="U337">
        <f>ROUND((175/100)*ROUND([1]Source!R360, 2), 2)</f>
        <v>0</v>
      </c>
      <c r="V337">
        <f>ROUND((0/100)*ROUND([1]Source!R361, 2), 2)</f>
        <v>0</v>
      </c>
      <c r="AC337">
        <v>3</v>
      </c>
    </row>
    <row r="338" spans="1:29" ht="110.4" hidden="1" x14ac:dyDescent="0.25">
      <c r="A338" s="27" t="s">
        <v>123</v>
      </c>
      <c r="B338" s="27" t="str">
        <f>[1]Source!F362</f>
        <v>1.3-2-167</v>
      </c>
      <c r="C338" s="27" t="s">
        <v>124</v>
      </c>
      <c r="D338" s="28" t="str">
        <f>[1]Source!H362</f>
        <v>т</v>
      </c>
      <c r="E338" s="29">
        <f>[1]Source!I362</f>
        <v>3.1988780000000001</v>
      </c>
      <c r="F338" s="30">
        <f>[1]Source!AK362</f>
        <v>3963.7</v>
      </c>
      <c r="G338" s="43" t="s">
        <v>54</v>
      </c>
      <c r="H338" s="29">
        <f>[1]Source!AW363</f>
        <v>1.0029999999999999</v>
      </c>
      <c r="I338" s="30">
        <f>[1]Source!O362</f>
        <v>12717.43</v>
      </c>
      <c r="J338" s="29">
        <f>IF([1]Source!BC363&lt;&gt; 0, [1]Source!BC363, 1)</f>
        <v>3.17</v>
      </c>
      <c r="K338" s="30">
        <f>[1]Source!O363</f>
        <v>40314.25</v>
      </c>
      <c r="Q338">
        <f>[1]Source!X362</f>
        <v>0</v>
      </c>
      <c r="R338">
        <f>[1]Source!X363</f>
        <v>0</v>
      </c>
      <c r="S338">
        <f>[1]Source!Y362</f>
        <v>0</v>
      </c>
      <c r="T338">
        <f>[1]Source!Y363</f>
        <v>0</v>
      </c>
      <c r="U338">
        <f>ROUND((175/100)*ROUND([1]Source!R362, 2), 2)</f>
        <v>0</v>
      </c>
      <c r="V338">
        <f>ROUND((0/100)*ROUND([1]Source!R363, 2), 2)</f>
        <v>0</v>
      </c>
      <c r="AC338">
        <v>3</v>
      </c>
    </row>
    <row r="339" spans="1:29" ht="55.2" hidden="1" x14ac:dyDescent="0.25">
      <c r="A339" s="27" t="s">
        <v>125</v>
      </c>
      <c r="B339" s="27" t="str">
        <f>[1]Source!F364</f>
        <v>1.1-1-3225</v>
      </c>
      <c r="C339" s="27" t="s">
        <v>126</v>
      </c>
      <c r="D339" s="28" t="str">
        <f>[1]Source!H364</f>
        <v>м2</v>
      </c>
      <c r="E339" s="29">
        <f>[1]Source!I364</f>
        <v>468.7</v>
      </c>
      <c r="F339" s="30">
        <f>[1]Source!AK364</f>
        <v>124.57</v>
      </c>
      <c r="G339" s="43" t="s">
        <v>54</v>
      </c>
      <c r="H339" s="29">
        <f>[1]Source!AW365</f>
        <v>1.0029999999999999</v>
      </c>
      <c r="I339" s="30">
        <f>[1]Source!O364</f>
        <v>58561.120000000003</v>
      </c>
      <c r="J339" s="29">
        <f>IF([1]Source!BC365&lt;&gt; 0, [1]Source!BC365, 1)</f>
        <v>6.63</v>
      </c>
      <c r="K339" s="30">
        <f>[1]Source!O365</f>
        <v>388260.23</v>
      </c>
      <c r="Q339">
        <f>[1]Source!X364</f>
        <v>0</v>
      </c>
      <c r="R339">
        <f>[1]Source!X365</f>
        <v>0</v>
      </c>
      <c r="S339">
        <f>[1]Source!Y364</f>
        <v>0</v>
      </c>
      <c r="T339">
        <f>[1]Source!Y365</f>
        <v>0</v>
      </c>
      <c r="U339">
        <f>ROUND((175/100)*ROUND([1]Source!R364, 2), 2)</f>
        <v>0</v>
      </c>
      <c r="V339">
        <f>ROUND((0/100)*ROUND([1]Source!R365, 2), 2)</f>
        <v>0</v>
      </c>
      <c r="AC339">
        <v>3</v>
      </c>
    </row>
    <row r="340" spans="1:29" ht="14.4" hidden="1" x14ac:dyDescent="0.25">
      <c r="A340" s="27"/>
      <c r="B340" s="27"/>
      <c r="C340" s="27" t="s">
        <v>42</v>
      </c>
      <c r="D340" s="28" t="s">
        <v>43</v>
      </c>
      <c r="E340" s="29">
        <f>[1]Source!BZ357</f>
        <v>90</v>
      </c>
      <c r="F340" s="30"/>
      <c r="G340" s="31"/>
      <c r="H340" s="29"/>
      <c r="I340" s="30">
        <f>SUM(Q330:Q339)</f>
        <v>7526.36</v>
      </c>
      <c r="J340" s="29">
        <f>[1]Source!AT357</f>
        <v>90</v>
      </c>
      <c r="K340" s="30">
        <f>SUM(R330:R339)</f>
        <v>424110.28</v>
      </c>
    </row>
    <row r="341" spans="1:29" ht="14.4" hidden="1" x14ac:dyDescent="0.25">
      <c r="A341" s="27"/>
      <c r="B341" s="27"/>
      <c r="C341" s="27" t="s">
        <v>44</v>
      </c>
      <c r="D341" s="28" t="s">
        <v>43</v>
      </c>
      <c r="E341" s="29">
        <f>[1]Source!CA357</f>
        <v>42</v>
      </c>
      <c r="F341" s="30"/>
      <c r="G341" s="31"/>
      <c r="H341" s="29"/>
      <c r="I341" s="30">
        <f>SUM(S330:S340)</f>
        <v>3512.3</v>
      </c>
      <c r="J341" s="29">
        <f>[1]Source!AU357</f>
        <v>42</v>
      </c>
      <c r="K341" s="30">
        <f>SUM(T330:T340)</f>
        <v>197918.13</v>
      </c>
    </row>
    <row r="342" spans="1:29" ht="14.4" hidden="1" x14ac:dyDescent="0.25">
      <c r="A342" s="34"/>
      <c r="B342" s="34"/>
      <c r="C342" s="34" t="s">
        <v>45</v>
      </c>
      <c r="D342" s="35" t="s">
        <v>46</v>
      </c>
      <c r="E342" s="36">
        <f>[1]Source!AQ356</f>
        <v>101.39</v>
      </c>
      <c r="F342" s="37"/>
      <c r="G342" s="38" t="s">
        <v>37</v>
      </c>
      <c r="H342" s="36">
        <f>[1]Source!AV357</f>
        <v>1.0469999999999999</v>
      </c>
      <c r="I342" s="37">
        <f>[1]Source!U356</f>
        <v>686.61904375979987</v>
      </c>
      <c r="J342" s="36"/>
      <c r="K342" s="37"/>
    </row>
    <row r="343" spans="1:29" ht="13.8" hidden="1" x14ac:dyDescent="0.25">
      <c r="C343" s="39" t="s">
        <v>47</v>
      </c>
      <c r="H343" s="40">
        <f>I332+I333+I335+I340+I341+SUM(I336:I339)-SUMIF(AC336:AC339, 5, I336:I339)-SUMIF(AC336:AC339, 6, I336:I339)</f>
        <v>97365.78</v>
      </c>
      <c r="I343" s="40"/>
      <c r="J343" s="40">
        <f>K332+K333+K335+K340+K341+SUM(K336:K339)-SUMIF(AC336:AC339, 5, K336:K339)-SUMIF(AC336:AC339, 6, K336:K339)</f>
        <v>1547402.4699999997</v>
      </c>
      <c r="K343" s="40"/>
    </row>
    <row r="344" spans="1:29" ht="13.8" hidden="1" x14ac:dyDescent="0.25">
      <c r="C344" s="39" t="s">
        <v>48</v>
      </c>
      <c r="H344" s="41">
        <f>SUMIF(AC336:AC339, 5, I336:I339)+SUMIF(AC336:AC339, 6, I336:I339)</f>
        <v>0</v>
      </c>
      <c r="I344" s="41"/>
      <c r="J344" s="41">
        <f>SUMIF(AC336:AC339, 5, K336:K339)+SUMIF(AC336:AC339, 6, K336:K339)</f>
        <v>0</v>
      </c>
      <c r="K344" s="41"/>
    </row>
    <row r="345" spans="1:29" ht="13.8" hidden="1" x14ac:dyDescent="0.25">
      <c r="C345" s="39" t="s">
        <v>49</v>
      </c>
      <c r="H345" s="41">
        <f>I332+I333+I335+I340+I341+SUM(I336:I339)</f>
        <v>97365.78</v>
      </c>
      <c r="I345" s="41"/>
      <c r="J345" s="41">
        <f>K332+K333+K335+K340+K341+SUM(K336:K339)</f>
        <v>1547402.4699999997</v>
      </c>
      <c r="K345" s="41"/>
      <c r="O345" s="42">
        <f>I332+I333+I335+I340+I341+SUM(I336:I339)</f>
        <v>97365.78</v>
      </c>
      <c r="P345" s="42">
        <f>K332+K333+K335+K340+K341+SUM(K336:K339)</f>
        <v>1547402.4699999997</v>
      </c>
    </row>
    <row r="346" spans="1:29" hidden="1" x14ac:dyDescent="0.25"/>
    <row r="347" spans="1:29" hidden="1" x14ac:dyDescent="0.25"/>
    <row r="348" spans="1:29" ht="13.8" hidden="1" x14ac:dyDescent="0.25">
      <c r="A348" s="44" t="str">
        <f>CONCATENATE("Итого по подразделу: ",IF([1]Source!G367&lt;&gt;"Новый подраздел", [1]Source!G367, ""))</f>
        <v>Итого по подразделу: Монтажные работы</v>
      </c>
      <c r="B348" s="44"/>
      <c r="C348" s="44"/>
      <c r="D348" s="44"/>
      <c r="E348" s="44"/>
      <c r="F348" s="44"/>
      <c r="G348" s="44"/>
      <c r="H348" s="41">
        <f>SUM(O258:O347)</f>
        <v>359039.57</v>
      </c>
      <c r="I348" s="45"/>
      <c r="J348" s="41">
        <f>SUM(P258:P347)</f>
        <v>4715471.68</v>
      </c>
      <c r="K348" s="45"/>
    </row>
    <row r="349" spans="1:29" hidden="1" x14ac:dyDescent="0.25">
      <c r="A349" t="s">
        <v>55</v>
      </c>
      <c r="I349">
        <f>SUM(W258:W348)</f>
        <v>0</v>
      </c>
      <c r="J349">
        <f>SUM(X258:X348)</f>
        <v>0</v>
      </c>
    </row>
    <row r="350" spans="1:29" hidden="1" x14ac:dyDescent="0.25">
      <c r="A350" t="s">
        <v>56</v>
      </c>
      <c r="I350">
        <f>SUM(Y258:Y349)</f>
        <v>0</v>
      </c>
      <c r="J350">
        <f>SUM(Z258:Z349)</f>
        <v>0</v>
      </c>
    </row>
    <row r="351" spans="1:29" hidden="1" x14ac:dyDescent="0.25"/>
    <row r="352" spans="1:29" ht="13.8" hidden="1" x14ac:dyDescent="0.25">
      <c r="A352" s="44" t="str">
        <f>CONCATENATE("Итого по разделу: ",IF([1]Source!G397&lt;&gt;"Новый раздел", [1]Source!G397, ""))</f>
        <v>Итого по разделу: Цоколь</v>
      </c>
      <c r="B352" s="44"/>
      <c r="C352" s="44"/>
      <c r="D352" s="44"/>
      <c r="E352" s="44"/>
      <c r="F352" s="44"/>
      <c r="G352" s="44"/>
      <c r="H352" s="41">
        <f>SUM(O216:O351)</f>
        <v>374496.79999999993</v>
      </c>
      <c r="I352" s="45"/>
      <c r="J352" s="41">
        <f>SUM(P216:P351)</f>
        <v>5584043.7300000004</v>
      </c>
      <c r="K352" s="45"/>
    </row>
    <row r="353" spans="1:29" hidden="1" x14ac:dyDescent="0.25">
      <c r="A353" t="s">
        <v>55</v>
      </c>
      <c r="I353">
        <f>SUM(W216:W352)</f>
        <v>0</v>
      </c>
      <c r="J353">
        <f>SUM(X216:X352)</f>
        <v>0</v>
      </c>
    </row>
    <row r="354" spans="1:29" hidden="1" x14ac:dyDescent="0.25">
      <c r="A354" t="s">
        <v>56</v>
      </c>
      <c r="I354">
        <f>SUM(Y216:Y353)</f>
        <v>0</v>
      </c>
      <c r="J354">
        <f>SUM(Z216:Z353)</f>
        <v>0</v>
      </c>
    </row>
    <row r="355" spans="1:29" hidden="1" x14ac:dyDescent="0.25"/>
    <row r="356" spans="1:29" ht="16.8" hidden="1" x14ac:dyDescent="0.25">
      <c r="A356" s="11" t="str">
        <f>CONCATENATE("Раздел: ",IF([1]Source!G427&lt;&gt;"Новый раздел", [1]Source!G427, ""))</f>
        <v>Раздел: Монтажные работы. Входные группы.</v>
      </c>
      <c r="B356" s="11"/>
      <c r="C356" s="11"/>
      <c r="D356" s="11"/>
      <c r="E356" s="11"/>
      <c r="F356" s="11"/>
      <c r="G356" s="11"/>
      <c r="H356" s="11"/>
      <c r="I356" s="11"/>
      <c r="J356" s="11"/>
      <c r="K356" s="11"/>
    </row>
    <row r="357" spans="1:29" hidden="1" x14ac:dyDescent="0.25"/>
    <row r="358" spans="1:29" ht="16.8" hidden="1" x14ac:dyDescent="0.25">
      <c r="A358" s="11" t="str">
        <f>CONCATENATE("Подраздел: ",IF([1]Source!G431&lt;&gt;"Новый подраздел", [1]Source!G431, ""))</f>
        <v>Подраздел: Главный вход</v>
      </c>
      <c r="B358" s="11"/>
      <c r="C358" s="11"/>
      <c r="D358" s="11"/>
      <c r="E358" s="11"/>
      <c r="F358" s="11"/>
      <c r="G358" s="11"/>
      <c r="H358" s="11"/>
      <c r="I358" s="11"/>
      <c r="J358" s="11"/>
      <c r="K358" s="11"/>
    </row>
    <row r="359" spans="1:29" ht="82.8" hidden="1" x14ac:dyDescent="0.25">
      <c r="A359" s="27">
        <v>23</v>
      </c>
      <c r="B359" s="27" t="str">
        <f>[1]Source!F435</f>
        <v>3.15-170-1</v>
      </c>
      <c r="C359" s="27" t="s">
        <v>127</v>
      </c>
      <c r="D359" s="28" t="str">
        <f>[1]Source!H435</f>
        <v>100 м2</v>
      </c>
      <c r="E359" s="29">
        <f>[1]Source!I435</f>
        <v>0.45</v>
      </c>
      <c r="F359" s="30"/>
      <c r="G359" s="31"/>
      <c r="H359" s="29"/>
      <c r="I359" s="30"/>
      <c r="J359" s="29"/>
      <c r="K359" s="30"/>
      <c r="Q359">
        <f>[1]Source!X435</f>
        <v>722.61</v>
      </c>
      <c r="R359">
        <f>[1]Source!X436</f>
        <v>40719.07</v>
      </c>
      <c r="S359">
        <f>[1]Source!Y435</f>
        <v>337.22</v>
      </c>
      <c r="T359">
        <f>[1]Source!Y436</f>
        <v>19002.23</v>
      </c>
      <c r="U359">
        <f>ROUND((175/100)*ROUND([1]Source!R435, 2), 2)</f>
        <v>53.22</v>
      </c>
      <c r="V359">
        <f>ROUND((0/100)*ROUND([1]Source!R436, 2), 2)</f>
        <v>0</v>
      </c>
      <c r="AC359">
        <v>0</v>
      </c>
    </row>
    <row r="360" spans="1:29" hidden="1" x14ac:dyDescent="0.25">
      <c r="C360" s="32" t="str">
        <f>"Объем: "&amp;[1]Source!I435&amp;"=45/"&amp;"100"</f>
        <v>Объем: 0,45=45/100</v>
      </c>
    </row>
    <row r="361" spans="1:29" ht="14.4" hidden="1" x14ac:dyDescent="0.25">
      <c r="A361" s="27"/>
      <c r="B361" s="27"/>
      <c r="C361" s="27" t="s">
        <v>36</v>
      </c>
      <c r="D361" s="28"/>
      <c r="E361" s="29"/>
      <c r="F361" s="30">
        <f>[1]Source!AO435</f>
        <v>1188.0999999999999</v>
      </c>
      <c r="G361" s="31" t="s">
        <v>37</v>
      </c>
      <c r="H361" s="29">
        <f>[1]Source!AV436</f>
        <v>1.0469999999999999</v>
      </c>
      <c r="I361" s="30">
        <f>[1]Source!S435</f>
        <v>772.49</v>
      </c>
      <c r="J361" s="29">
        <f>IF([1]Source!BA436&lt;&gt; 0, [1]Source!BA436, 1)</f>
        <v>56.35</v>
      </c>
      <c r="K361" s="30">
        <f>[1]Source!S436</f>
        <v>43529.81</v>
      </c>
    </row>
    <row r="362" spans="1:29" ht="14.4" hidden="1" x14ac:dyDescent="0.25">
      <c r="A362" s="27"/>
      <c r="B362" s="27"/>
      <c r="C362" s="27" t="s">
        <v>38</v>
      </c>
      <c r="D362" s="28"/>
      <c r="E362" s="29"/>
      <c r="F362" s="30">
        <f>[1]Source!AM435</f>
        <v>60.09</v>
      </c>
      <c r="G362" s="31" t="s">
        <v>39</v>
      </c>
      <c r="H362" s="29">
        <f>[1]Source!AV436</f>
        <v>1.0469999999999999</v>
      </c>
      <c r="I362" s="30">
        <f>[1]Source!Q435</f>
        <v>42.47</v>
      </c>
      <c r="J362" s="29">
        <f>IF([1]Source!BB436&lt;&gt; 0, [1]Source!BB436, 1)</f>
        <v>46.99</v>
      </c>
      <c r="K362" s="30">
        <f>[1]Source!Q436</f>
        <v>1995.67</v>
      </c>
    </row>
    <row r="363" spans="1:29" ht="14.4" hidden="1" x14ac:dyDescent="0.25">
      <c r="A363" s="27"/>
      <c r="B363" s="27"/>
      <c r="C363" s="27" t="s">
        <v>40</v>
      </c>
      <c r="D363" s="28"/>
      <c r="E363" s="29"/>
      <c r="F363" s="30">
        <f>[1]Source!AN435</f>
        <v>43.03</v>
      </c>
      <c r="G363" s="31" t="s">
        <v>39</v>
      </c>
      <c r="H363" s="29">
        <f>[1]Source!AV436</f>
        <v>1.0469999999999999</v>
      </c>
      <c r="I363" s="33">
        <f>[1]Source!R435</f>
        <v>30.41</v>
      </c>
      <c r="J363" s="29">
        <f>IF([1]Source!BS436&lt;&gt; 0, [1]Source!BS436, 1)</f>
        <v>56.35</v>
      </c>
      <c r="K363" s="33">
        <f>[1]Source!R436</f>
        <v>1713.6</v>
      </c>
    </row>
    <row r="364" spans="1:29" ht="14.4" hidden="1" x14ac:dyDescent="0.25">
      <c r="A364" s="27"/>
      <c r="B364" s="27"/>
      <c r="C364" s="27" t="s">
        <v>41</v>
      </c>
      <c r="D364" s="28"/>
      <c r="E364" s="29"/>
      <c r="F364" s="30">
        <f>[1]Source!AL435</f>
        <v>2.93</v>
      </c>
      <c r="G364" s="31"/>
      <c r="H364" s="29">
        <f>[1]Source!AW436</f>
        <v>1.0029999999999999</v>
      </c>
      <c r="I364" s="30">
        <f>[1]Source!P435</f>
        <v>1.32</v>
      </c>
      <c r="J364" s="29">
        <f>IF([1]Source!BC436&lt;&gt; 0, [1]Source!BC436, 1)</f>
        <v>9.64</v>
      </c>
      <c r="K364" s="30">
        <f>[1]Source!P436</f>
        <v>12.72</v>
      </c>
    </row>
    <row r="365" spans="1:29" ht="41.4" hidden="1" x14ac:dyDescent="0.25">
      <c r="A365" s="27" t="s">
        <v>128</v>
      </c>
      <c r="B365" s="27" t="str">
        <f>[1]Source!F437</f>
        <v>1.1-1-3257</v>
      </c>
      <c r="C365" s="27" t="s">
        <v>129</v>
      </c>
      <c r="D365" s="28" t="str">
        <f>[1]Source!H437</f>
        <v>кг</v>
      </c>
      <c r="E365" s="29">
        <f>[1]Source!I437</f>
        <v>4.6349999999999998</v>
      </c>
      <c r="F365" s="30">
        <f>[1]Source!AK437</f>
        <v>17.3</v>
      </c>
      <c r="G365" s="43" t="s">
        <v>54</v>
      </c>
      <c r="H365" s="29">
        <f>[1]Source!AW438</f>
        <v>1.0029999999999999</v>
      </c>
      <c r="I365" s="30">
        <f>[1]Source!O437</f>
        <v>80.430000000000007</v>
      </c>
      <c r="J365" s="29">
        <f>IF([1]Source!BC438&lt;&gt; 0, [1]Source!BC438, 1)</f>
        <v>5.93</v>
      </c>
      <c r="K365" s="30">
        <f>[1]Source!O438</f>
        <v>476.95</v>
      </c>
      <c r="Q365">
        <f>[1]Source!X437</f>
        <v>0</v>
      </c>
      <c r="R365">
        <f>[1]Source!X438</f>
        <v>0</v>
      </c>
      <c r="S365">
        <f>[1]Source!Y437</f>
        <v>0</v>
      </c>
      <c r="T365">
        <f>[1]Source!Y438</f>
        <v>0</v>
      </c>
      <c r="U365">
        <f>ROUND((175/100)*ROUND([1]Source!R437, 2), 2)</f>
        <v>0</v>
      </c>
      <c r="V365">
        <f>ROUND((0/100)*ROUND([1]Source!R438, 2), 2)</f>
        <v>0</v>
      </c>
      <c r="AC365">
        <v>3</v>
      </c>
    </row>
    <row r="366" spans="1:29" ht="96.6" hidden="1" x14ac:dyDescent="0.25">
      <c r="A366" s="27" t="s">
        <v>130</v>
      </c>
      <c r="B366" s="27" t="str">
        <f>[1]Source!F439</f>
        <v>1.3-2-50</v>
      </c>
      <c r="C366" s="27" t="s">
        <v>131</v>
      </c>
      <c r="D366" s="28" t="str">
        <f>[1]Source!H439</f>
        <v>т</v>
      </c>
      <c r="E366" s="29">
        <f>[1]Source!I439</f>
        <v>1.7999999999999999E-2</v>
      </c>
      <c r="F366" s="30">
        <f>[1]Source!AK439</f>
        <v>5978.05</v>
      </c>
      <c r="G366" s="43" t="s">
        <v>54</v>
      </c>
      <c r="H366" s="29">
        <f>[1]Source!AW440</f>
        <v>1.0029999999999999</v>
      </c>
      <c r="I366" s="30">
        <f>[1]Source!O439</f>
        <v>107.93</v>
      </c>
      <c r="J366" s="29">
        <f>IF([1]Source!BC440&lt;&gt; 0, [1]Source!BC440, 1)</f>
        <v>15.31</v>
      </c>
      <c r="K366" s="30">
        <f>[1]Source!O440</f>
        <v>1652.41</v>
      </c>
      <c r="Q366">
        <f>[1]Source!X439</f>
        <v>0</v>
      </c>
      <c r="R366">
        <f>[1]Source!X440</f>
        <v>0</v>
      </c>
      <c r="S366">
        <f>[1]Source!Y439</f>
        <v>0</v>
      </c>
      <c r="T366">
        <f>[1]Source!Y440</f>
        <v>0</v>
      </c>
      <c r="U366">
        <f>ROUND((175/100)*ROUND([1]Source!R439, 2), 2)</f>
        <v>0</v>
      </c>
      <c r="V366">
        <f>ROUND((0/100)*ROUND([1]Source!R440, 2), 2)</f>
        <v>0</v>
      </c>
      <c r="AC366">
        <v>3</v>
      </c>
    </row>
    <row r="367" spans="1:29" ht="96.6" hidden="1" x14ac:dyDescent="0.25">
      <c r="A367" s="27" t="s">
        <v>132</v>
      </c>
      <c r="B367" s="27" t="str">
        <f>[1]Source!F441</f>
        <v>1.3-2-167</v>
      </c>
      <c r="C367" s="27" t="s">
        <v>133</v>
      </c>
      <c r="D367" s="28" t="str">
        <f>[1]Source!H441</f>
        <v>т</v>
      </c>
      <c r="E367" s="29">
        <f>[1]Source!I441</f>
        <v>0.24570000000000003</v>
      </c>
      <c r="F367" s="30">
        <f>[1]Source!AK441</f>
        <v>3963.7</v>
      </c>
      <c r="G367" s="43" t="s">
        <v>54</v>
      </c>
      <c r="H367" s="29">
        <f>[1]Source!AW442</f>
        <v>1.0029999999999999</v>
      </c>
      <c r="I367" s="30">
        <f>[1]Source!O441</f>
        <v>976.8</v>
      </c>
      <c r="J367" s="29">
        <f>IF([1]Source!BC442&lt;&gt; 0, [1]Source!BC442, 1)</f>
        <v>3.17</v>
      </c>
      <c r="K367" s="30">
        <f>[1]Source!O442</f>
        <v>3096.46</v>
      </c>
      <c r="Q367">
        <f>[1]Source!X441</f>
        <v>0</v>
      </c>
      <c r="R367">
        <f>[1]Source!X442</f>
        <v>0</v>
      </c>
      <c r="S367">
        <f>[1]Source!Y441</f>
        <v>0</v>
      </c>
      <c r="T367">
        <f>[1]Source!Y442</f>
        <v>0</v>
      </c>
      <c r="U367">
        <f>ROUND((175/100)*ROUND([1]Source!R441, 2), 2)</f>
        <v>0</v>
      </c>
      <c r="V367">
        <f>ROUND((0/100)*ROUND([1]Source!R442, 2), 2)</f>
        <v>0</v>
      </c>
      <c r="AC367">
        <v>3</v>
      </c>
    </row>
    <row r="368" spans="1:29" ht="41.4" hidden="1" x14ac:dyDescent="0.25">
      <c r="A368" s="27" t="s">
        <v>134</v>
      </c>
      <c r="B368" s="27" t="str">
        <f>[1]Source!F443</f>
        <v>1.11-1-318</v>
      </c>
      <c r="C368" s="27" t="s">
        <v>135</v>
      </c>
      <c r="D368" s="28" t="str">
        <f>[1]Source!H443</f>
        <v>м2</v>
      </c>
      <c r="E368" s="29">
        <f>[1]Source!I443</f>
        <v>45</v>
      </c>
      <c r="F368" s="30">
        <f>[1]Source!AK443</f>
        <v>1723.74</v>
      </c>
      <c r="G368" s="43" t="s">
        <v>54</v>
      </c>
      <c r="H368" s="29">
        <f>[1]Source!AW444</f>
        <v>1.0029999999999999</v>
      </c>
      <c r="I368" s="30">
        <f>[1]Source!O443</f>
        <v>77801</v>
      </c>
      <c r="J368" s="29">
        <f>IF([1]Source!BC444&lt;&gt; 0, [1]Source!BC444, 1)</f>
        <v>4.45</v>
      </c>
      <c r="K368" s="30">
        <f>[1]Source!O444</f>
        <v>346214.45</v>
      </c>
      <c r="Q368">
        <f>[1]Source!X443</f>
        <v>0</v>
      </c>
      <c r="R368">
        <f>[1]Source!X444</f>
        <v>0</v>
      </c>
      <c r="S368">
        <f>[1]Source!Y443</f>
        <v>0</v>
      </c>
      <c r="T368">
        <f>[1]Source!Y444</f>
        <v>0</v>
      </c>
      <c r="U368">
        <f>ROUND((175/100)*ROUND([1]Source!R443, 2), 2)</f>
        <v>0</v>
      </c>
      <c r="V368">
        <f>ROUND((0/100)*ROUND([1]Source!R444, 2), 2)</f>
        <v>0</v>
      </c>
      <c r="AC368">
        <v>3</v>
      </c>
    </row>
    <row r="369" spans="1:29" ht="14.4" hidden="1" x14ac:dyDescent="0.25">
      <c r="A369" s="27"/>
      <c r="B369" s="27"/>
      <c r="C369" s="27" t="s">
        <v>42</v>
      </c>
      <c r="D369" s="28" t="s">
        <v>43</v>
      </c>
      <c r="E369" s="29">
        <f>[1]Source!BZ436</f>
        <v>90</v>
      </c>
      <c r="F369" s="30"/>
      <c r="G369" s="31"/>
      <c r="H369" s="29"/>
      <c r="I369" s="30">
        <f>SUM(Q359:Q368)</f>
        <v>722.61</v>
      </c>
      <c r="J369" s="29">
        <f>[1]Source!AT436</f>
        <v>90</v>
      </c>
      <c r="K369" s="30">
        <f>SUM(R359:R368)</f>
        <v>40719.07</v>
      </c>
    </row>
    <row r="370" spans="1:29" ht="14.4" hidden="1" x14ac:dyDescent="0.25">
      <c r="A370" s="27"/>
      <c r="B370" s="27"/>
      <c r="C370" s="27" t="s">
        <v>44</v>
      </c>
      <c r="D370" s="28" t="s">
        <v>43</v>
      </c>
      <c r="E370" s="29">
        <f>[1]Source!CA436</f>
        <v>42</v>
      </c>
      <c r="F370" s="30"/>
      <c r="G370" s="31"/>
      <c r="H370" s="29"/>
      <c r="I370" s="30">
        <f>SUM(S359:S369)</f>
        <v>337.22</v>
      </c>
      <c r="J370" s="29">
        <f>[1]Source!AU436</f>
        <v>42</v>
      </c>
      <c r="K370" s="30">
        <f>SUM(T359:T369)</f>
        <v>19002.23</v>
      </c>
    </row>
    <row r="371" spans="1:29" ht="14.4" hidden="1" x14ac:dyDescent="0.25">
      <c r="A371" s="34"/>
      <c r="B371" s="34"/>
      <c r="C371" s="34" t="s">
        <v>45</v>
      </c>
      <c r="D371" s="35" t="s">
        <v>46</v>
      </c>
      <c r="E371" s="36">
        <f>[1]Source!AQ435</f>
        <v>101.39</v>
      </c>
      <c r="F371" s="37"/>
      <c r="G371" s="38" t="s">
        <v>37</v>
      </c>
      <c r="H371" s="36">
        <f>[1]Source!AV436</f>
        <v>1.0469999999999999</v>
      </c>
      <c r="I371" s="37">
        <f>[1]Source!U435</f>
        <v>65.922459929999988</v>
      </c>
      <c r="J371" s="36"/>
      <c r="K371" s="37"/>
    </row>
    <row r="372" spans="1:29" ht="13.8" hidden="1" x14ac:dyDescent="0.25">
      <c r="C372" s="39" t="s">
        <v>47</v>
      </c>
      <c r="H372" s="40">
        <f>I361+I362+I364+I369+I370+SUM(I365:I368)-SUMIF(AC365:AC368, 5, I365:I368)-SUMIF(AC365:AC368, 6, I365:I368)</f>
        <v>80842.27</v>
      </c>
      <c r="I372" s="40"/>
      <c r="J372" s="40">
        <f>K361+K362+K364+K369+K370+SUM(K365:K368)-SUMIF(AC365:AC368, 5, K365:K368)-SUMIF(AC365:AC368, 6, K365:K368)</f>
        <v>456699.77</v>
      </c>
      <c r="K372" s="40"/>
    </row>
    <row r="373" spans="1:29" ht="13.8" hidden="1" x14ac:dyDescent="0.25">
      <c r="C373" s="39" t="s">
        <v>48</v>
      </c>
      <c r="H373" s="41">
        <f>SUMIF(AC365:AC368, 5, I365:I368)+SUMIF(AC365:AC368, 6, I365:I368)</f>
        <v>0</v>
      </c>
      <c r="I373" s="41"/>
      <c r="J373" s="41">
        <f>SUMIF(AC365:AC368, 5, K365:K368)+SUMIF(AC365:AC368, 6, K365:K368)</f>
        <v>0</v>
      </c>
      <c r="K373" s="41"/>
    </row>
    <row r="374" spans="1:29" ht="13.8" hidden="1" x14ac:dyDescent="0.25">
      <c r="C374" s="39" t="s">
        <v>49</v>
      </c>
      <c r="H374" s="41">
        <f>I361+I362+I364+I369+I370+SUM(I365:I368)</f>
        <v>80842.27</v>
      </c>
      <c r="I374" s="41"/>
      <c r="J374" s="41">
        <f>K361+K362+K364+K369+K370+SUM(K365:K368)</f>
        <v>456699.77</v>
      </c>
      <c r="K374" s="41"/>
      <c r="O374" s="42">
        <f>I361+I362+I364+I369+I370+SUM(I365:I368)</f>
        <v>80842.27</v>
      </c>
      <c r="P374" s="42">
        <f>K361+K362+K364+K369+K370+SUM(K365:K368)</f>
        <v>456699.77</v>
      </c>
    </row>
    <row r="375" spans="1:29" hidden="1" x14ac:dyDescent="0.25"/>
    <row r="376" spans="1:29" ht="69" hidden="1" x14ac:dyDescent="0.25">
      <c r="A376" s="27">
        <v>24</v>
      </c>
      <c r="B376" s="27" t="str">
        <f>[1]Source!F445</f>
        <v>3.11-36-6</v>
      </c>
      <c r="C376" s="27" t="s">
        <v>136</v>
      </c>
      <c r="D376" s="28" t="str">
        <f>[1]Source!H445</f>
        <v>100 м2</v>
      </c>
      <c r="E376" s="29">
        <f>[1]Source!I445</f>
        <v>0.6</v>
      </c>
      <c r="F376" s="30"/>
      <c r="G376" s="31"/>
      <c r="H376" s="29"/>
      <c r="I376" s="30"/>
      <c r="J376" s="29"/>
      <c r="K376" s="30"/>
      <c r="Q376">
        <f>[1]Source!X445</f>
        <v>674.92</v>
      </c>
      <c r="R376">
        <f>[1]Source!X446</f>
        <v>38031.870000000003</v>
      </c>
      <c r="S376">
        <f>[1]Source!Y445</f>
        <v>367.53</v>
      </c>
      <c r="T376">
        <f>[1]Source!Y446</f>
        <v>20710.43</v>
      </c>
      <c r="U376">
        <f>ROUND((175/100)*ROUND([1]Source!R445, 2), 2)</f>
        <v>22.47</v>
      </c>
      <c r="V376">
        <f>ROUND((0/100)*ROUND([1]Source!R446, 2), 2)</f>
        <v>0</v>
      </c>
      <c r="AC376">
        <v>0</v>
      </c>
    </row>
    <row r="377" spans="1:29" hidden="1" x14ac:dyDescent="0.25">
      <c r="C377" s="32" t="str">
        <f>"Объем: "&amp;[1]Source!I445&amp;"=60/"&amp;"100"</f>
        <v>Объем: 0,6=60/100</v>
      </c>
    </row>
    <row r="378" spans="1:29" ht="14.4" hidden="1" x14ac:dyDescent="0.25">
      <c r="A378" s="27"/>
      <c r="B378" s="27"/>
      <c r="C378" s="27" t="s">
        <v>36</v>
      </c>
      <c r="D378" s="28"/>
      <c r="E378" s="29"/>
      <c r="F378" s="30">
        <f>[1]Source!AO445</f>
        <v>756.01</v>
      </c>
      <c r="G378" s="31" t="s">
        <v>37</v>
      </c>
      <c r="H378" s="29">
        <f>[1]Source!AV446</f>
        <v>1.0469999999999999</v>
      </c>
      <c r="I378" s="30">
        <f>[1]Source!S445</f>
        <v>655.4</v>
      </c>
      <c r="J378" s="29">
        <f>IF([1]Source!BA446&lt;&gt; 0, [1]Source!BA446, 1)</f>
        <v>56.35</v>
      </c>
      <c r="K378" s="30">
        <f>[1]Source!S446</f>
        <v>36931.79</v>
      </c>
    </row>
    <row r="379" spans="1:29" ht="14.4" hidden="1" x14ac:dyDescent="0.25">
      <c r="A379" s="27"/>
      <c r="B379" s="27"/>
      <c r="C379" s="27" t="s">
        <v>38</v>
      </c>
      <c r="D379" s="28"/>
      <c r="E379" s="29"/>
      <c r="F379" s="30">
        <f>[1]Source!AM445</f>
        <v>77.48</v>
      </c>
      <c r="G379" s="31" t="s">
        <v>39</v>
      </c>
      <c r="H379" s="29">
        <f>[1]Source!AV446</f>
        <v>1.0469999999999999</v>
      </c>
      <c r="I379" s="30">
        <f>[1]Source!Q445</f>
        <v>73.010000000000005</v>
      </c>
      <c r="J379" s="29">
        <f>IF([1]Source!BB446&lt;&gt; 0, [1]Source!BB446, 1)</f>
        <v>18.91</v>
      </c>
      <c r="K379" s="30">
        <f>[1]Source!Q446</f>
        <v>1380.62</v>
      </c>
    </row>
    <row r="380" spans="1:29" ht="14.4" hidden="1" x14ac:dyDescent="0.25">
      <c r="A380" s="27"/>
      <c r="B380" s="27"/>
      <c r="C380" s="27" t="s">
        <v>40</v>
      </c>
      <c r="D380" s="28"/>
      <c r="E380" s="29"/>
      <c r="F380" s="30">
        <f>[1]Source!AN445</f>
        <v>13.63</v>
      </c>
      <c r="G380" s="31" t="s">
        <v>39</v>
      </c>
      <c r="H380" s="29">
        <f>[1]Source!AV446</f>
        <v>1.0469999999999999</v>
      </c>
      <c r="I380" s="33">
        <f>[1]Source!R445</f>
        <v>12.84</v>
      </c>
      <c r="J380" s="29">
        <f>IF([1]Source!BS446&lt;&gt; 0, [1]Source!BS446, 1)</f>
        <v>56.35</v>
      </c>
      <c r="K380" s="33">
        <f>[1]Source!R446</f>
        <v>723.53</v>
      </c>
    </row>
    <row r="381" spans="1:29" ht="14.4" hidden="1" x14ac:dyDescent="0.25">
      <c r="A381" s="27"/>
      <c r="B381" s="27"/>
      <c r="C381" s="27" t="s">
        <v>41</v>
      </c>
      <c r="D381" s="28"/>
      <c r="E381" s="29"/>
      <c r="F381" s="30">
        <f>[1]Source!AL445</f>
        <v>7.2</v>
      </c>
      <c r="G381" s="31"/>
      <c r="H381" s="29">
        <f>[1]Source!AW446</f>
        <v>1</v>
      </c>
      <c r="I381" s="30">
        <f>[1]Source!P445</f>
        <v>4.32</v>
      </c>
      <c r="J381" s="29">
        <f>IF([1]Source!BC446&lt;&gt; 0, [1]Source!BC446, 1)</f>
        <v>5.07</v>
      </c>
      <c r="K381" s="30">
        <f>[1]Source!P446</f>
        <v>21.9</v>
      </c>
    </row>
    <row r="382" spans="1:29" ht="28.8" hidden="1" x14ac:dyDescent="0.25">
      <c r="A382" s="27" t="s">
        <v>137</v>
      </c>
      <c r="B382" s="27" t="str">
        <f>[1]Source!F447</f>
        <v>1.1-1-8209</v>
      </c>
      <c r="C382" s="27" t="s">
        <v>138</v>
      </c>
      <c r="D382" s="28" t="str">
        <f>[1]Source!H447</f>
        <v>100 шт.</v>
      </c>
      <c r="E382" s="29">
        <f>[1]Source!I447</f>
        <v>6.9539999999999997</v>
      </c>
      <c r="F382" s="30">
        <f>[1]Source!AK447</f>
        <v>7.17</v>
      </c>
      <c r="G382" s="43" t="s">
        <v>54</v>
      </c>
      <c r="H382" s="29">
        <f>[1]Source!AW448</f>
        <v>1</v>
      </c>
      <c r="I382" s="30">
        <f>[1]Source!O447</f>
        <v>49.86</v>
      </c>
      <c r="J382" s="29">
        <f>IF([1]Source!BC448&lt;&gt; 0, [1]Source!BC448, 1)</f>
        <v>9.99</v>
      </c>
      <c r="K382" s="30">
        <f>[1]Source!O448</f>
        <v>498.1</v>
      </c>
      <c r="Q382">
        <f>[1]Source!X447</f>
        <v>0</v>
      </c>
      <c r="R382">
        <f>[1]Source!X448</f>
        <v>0</v>
      </c>
      <c r="S382">
        <f>[1]Source!Y447</f>
        <v>0</v>
      </c>
      <c r="T382">
        <f>[1]Source!Y448</f>
        <v>0</v>
      </c>
      <c r="U382">
        <f>ROUND((175/100)*ROUND([1]Source!R447, 2), 2)</f>
        <v>0</v>
      </c>
      <c r="V382">
        <f>ROUND((0/100)*ROUND([1]Source!R448, 2), 2)</f>
        <v>0</v>
      </c>
      <c r="AC382">
        <v>3</v>
      </c>
    </row>
    <row r="383" spans="1:29" ht="55.2" hidden="1" x14ac:dyDescent="0.25">
      <c r="A383" s="27" t="s">
        <v>139</v>
      </c>
      <c r="B383" s="27" t="str">
        <f>[1]Source!F449</f>
        <v>1.1-1-3552</v>
      </c>
      <c r="C383" s="27" t="s">
        <v>140</v>
      </c>
      <c r="D383" s="28" t="str">
        <f>[1]Source!H449</f>
        <v>л</v>
      </c>
      <c r="E383" s="29">
        <f>[1]Source!I449</f>
        <v>8.3999999999999995E-3</v>
      </c>
      <c r="F383" s="30">
        <f>[1]Source!AK449</f>
        <v>40.159999999999997</v>
      </c>
      <c r="G383" s="43" t="s">
        <v>54</v>
      </c>
      <c r="H383" s="29">
        <f>[1]Source!AW450</f>
        <v>1</v>
      </c>
      <c r="I383" s="30">
        <f>[1]Source!O449</f>
        <v>0.34</v>
      </c>
      <c r="J383" s="29">
        <f>IF([1]Source!BC450&lt;&gt; 0, [1]Source!BC450, 1)</f>
        <v>2.64</v>
      </c>
      <c r="K383" s="30">
        <f>[1]Source!O450</f>
        <v>0.9</v>
      </c>
      <c r="Q383">
        <f>[1]Source!X449</f>
        <v>0</v>
      </c>
      <c r="R383">
        <f>[1]Source!X450</f>
        <v>0</v>
      </c>
      <c r="S383">
        <f>[1]Source!Y449</f>
        <v>0</v>
      </c>
      <c r="T383">
        <f>[1]Source!Y450</f>
        <v>0</v>
      </c>
      <c r="U383">
        <f>ROUND((175/100)*ROUND([1]Source!R449, 2), 2)</f>
        <v>0</v>
      </c>
      <c r="V383">
        <f>ROUND((0/100)*ROUND([1]Source!R450, 2), 2)</f>
        <v>0</v>
      </c>
      <c r="AC383">
        <v>3</v>
      </c>
    </row>
    <row r="384" spans="1:29" ht="96.6" hidden="1" x14ac:dyDescent="0.25">
      <c r="A384" s="27" t="s">
        <v>141</v>
      </c>
      <c r="B384" s="27" t="str">
        <f>[1]Source!F451</f>
        <v>1.3-2-50</v>
      </c>
      <c r="C384" s="27" t="s">
        <v>131</v>
      </c>
      <c r="D384" s="28" t="str">
        <f>[1]Source!H451</f>
        <v>т</v>
      </c>
      <c r="E384" s="29">
        <f>[1]Source!I451</f>
        <v>1.2E-2</v>
      </c>
      <c r="F384" s="30">
        <f>[1]Source!AK451</f>
        <v>5978.05</v>
      </c>
      <c r="G384" s="43" t="s">
        <v>54</v>
      </c>
      <c r="H384" s="29">
        <f>[1]Source!AW452</f>
        <v>1</v>
      </c>
      <c r="I384" s="30">
        <f>[1]Source!O451</f>
        <v>71.739999999999995</v>
      </c>
      <c r="J384" s="29">
        <f>IF([1]Source!BC452&lt;&gt; 0, [1]Source!BC452, 1)</f>
        <v>15.31</v>
      </c>
      <c r="K384" s="30">
        <f>[1]Source!O452</f>
        <v>1098.3399999999999</v>
      </c>
      <c r="Q384">
        <f>[1]Source!X451</f>
        <v>0</v>
      </c>
      <c r="R384">
        <f>[1]Source!X452</f>
        <v>0</v>
      </c>
      <c r="S384">
        <f>[1]Source!Y451</f>
        <v>0</v>
      </c>
      <c r="T384">
        <f>[1]Source!Y452</f>
        <v>0</v>
      </c>
      <c r="U384">
        <f>ROUND((175/100)*ROUND([1]Source!R451, 2), 2)</f>
        <v>0</v>
      </c>
      <c r="V384">
        <f>ROUND((0/100)*ROUND([1]Source!R452, 2), 2)</f>
        <v>0</v>
      </c>
      <c r="AC384">
        <v>3</v>
      </c>
    </row>
    <row r="385" spans="1:29" ht="96.6" hidden="1" x14ac:dyDescent="0.25">
      <c r="A385" s="27" t="s">
        <v>142</v>
      </c>
      <c r="B385" s="27" t="str">
        <f>[1]Source!F453</f>
        <v>1.3-2-167</v>
      </c>
      <c r="C385" s="27" t="s">
        <v>133</v>
      </c>
      <c r="D385" s="28" t="str">
        <f>[1]Source!H453</f>
        <v>т</v>
      </c>
      <c r="E385" s="29">
        <f>[1]Source!I453</f>
        <v>0.432444</v>
      </c>
      <c r="F385" s="30">
        <f>[1]Source!AK453</f>
        <v>3963.7</v>
      </c>
      <c r="G385" s="43" t="s">
        <v>54</v>
      </c>
      <c r="H385" s="29">
        <f>[1]Source!AW454</f>
        <v>1</v>
      </c>
      <c r="I385" s="30">
        <f>[1]Source!O453</f>
        <v>1714.08</v>
      </c>
      <c r="J385" s="29">
        <f>IF([1]Source!BC454&lt;&gt; 0, [1]Source!BC454, 1)</f>
        <v>3.17</v>
      </c>
      <c r="K385" s="30">
        <f>[1]Source!O454</f>
        <v>5433.63</v>
      </c>
      <c r="Q385">
        <f>[1]Source!X453</f>
        <v>0</v>
      </c>
      <c r="R385">
        <f>[1]Source!X454</f>
        <v>0</v>
      </c>
      <c r="S385">
        <f>[1]Source!Y453</f>
        <v>0</v>
      </c>
      <c r="T385">
        <f>[1]Source!Y454</f>
        <v>0</v>
      </c>
      <c r="U385">
        <f>ROUND((175/100)*ROUND([1]Source!R453, 2), 2)</f>
        <v>0</v>
      </c>
      <c r="V385">
        <f>ROUND((0/100)*ROUND([1]Source!R454, 2), 2)</f>
        <v>0</v>
      </c>
      <c r="AC385">
        <v>3</v>
      </c>
    </row>
    <row r="386" spans="1:29" ht="41.4" hidden="1" x14ac:dyDescent="0.25">
      <c r="A386" s="27" t="s">
        <v>143</v>
      </c>
      <c r="B386" s="27" t="str">
        <f>[1]Source!F455</f>
        <v>1.11-1-319</v>
      </c>
      <c r="C386" s="27" t="s">
        <v>144</v>
      </c>
      <c r="D386" s="28" t="str">
        <f>[1]Source!H455</f>
        <v>м2</v>
      </c>
      <c r="E386" s="29">
        <f>[1]Source!I455</f>
        <v>64.8</v>
      </c>
      <c r="F386" s="30">
        <f>[1]Source!AK455</f>
        <v>2075.9299999999998</v>
      </c>
      <c r="G386" s="43" t="s">
        <v>54</v>
      </c>
      <c r="H386" s="29">
        <f>[1]Source!AW456</f>
        <v>1</v>
      </c>
      <c r="I386" s="30">
        <f>[1]Source!O455</f>
        <v>134520.26</v>
      </c>
      <c r="J386" s="29">
        <f>IF([1]Source!BC456&lt;&gt; 0, [1]Source!BC456, 1)</f>
        <v>6.39</v>
      </c>
      <c r="K386" s="30">
        <f>[1]Source!O456</f>
        <v>859584.46</v>
      </c>
      <c r="Q386">
        <f>[1]Source!X455</f>
        <v>0</v>
      </c>
      <c r="R386">
        <f>[1]Source!X456</f>
        <v>0</v>
      </c>
      <c r="S386">
        <f>[1]Source!Y455</f>
        <v>0</v>
      </c>
      <c r="T386">
        <f>[1]Source!Y456</f>
        <v>0</v>
      </c>
      <c r="U386">
        <f>ROUND((175/100)*ROUND([1]Source!R455, 2), 2)</f>
        <v>0</v>
      </c>
      <c r="V386">
        <f>ROUND((0/100)*ROUND([1]Source!R456, 2), 2)</f>
        <v>0</v>
      </c>
      <c r="AC386">
        <v>3</v>
      </c>
    </row>
    <row r="387" spans="1:29" ht="14.4" hidden="1" x14ac:dyDescent="0.25">
      <c r="A387" s="27"/>
      <c r="B387" s="27"/>
      <c r="C387" s="27" t="s">
        <v>42</v>
      </c>
      <c r="D387" s="28" t="s">
        <v>43</v>
      </c>
      <c r="E387" s="29">
        <f>[1]Source!BZ446</f>
        <v>101</v>
      </c>
      <c r="F387" s="30"/>
      <c r="G387" s="31"/>
      <c r="H387" s="29"/>
      <c r="I387" s="30">
        <f>SUM(Q376:Q386)</f>
        <v>674.92</v>
      </c>
      <c r="J387" s="29">
        <f>[1]Source!AT446</f>
        <v>101</v>
      </c>
      <c r="K387" s="30">
        <f>SUM(R376:R386)</f>
        <v>38031.870000000003</v>
      </c>
    </row>
    <row r="388" spans="1:29" ht="14.4" hidden="1" x14ac:dyDescent="0.25">
      <c r="A388" s="27"/>
      <c r="B388" s="27"/>
      <c r="C388" s="27" t="s">
        <v>44</v>
      </c>
      <c r="D388" s="28" t="s">
        <v>43</v>
      </c>
      <c r="E388" s="29">
        <f>[1]Source!CA446</f>
        <v>55</v>
      </c>
      <c r="F388" s="30"/>
      <c r="G388" s="31"/>
      <c r="H388" s="29"/>
      <c r="I388" s="30">
        <f>SUM(S376:S387)</f>
        <v>367.53</v>
      </c>
      <c r="J388" s="29">
        <f>[1]Source!AU446</f>
        <v>55</v>
      </c>
      <c r="K388" s="30">
        <f>SUM(T376:T387)</f>
        <v>20710.43</v>
      </c>
    </row>
    <row r="389" spans="1:29" ht="14.4" hidden="1" x14ac:dyDescent="0.25">
      <c r="A389" s="34"/>
      <c r="B389" s="34"/>
      <c r="C389" s="34" t="s">
        <v>45</v>
      </c>
      <c r="D389" s="35" t="s">
        <v>46</v>
      </c>
      <c r="E389" s="36">
        <f>[1]Source!AQ445</f>
        <v>61.6</v>
      </c>
      <c r="F389" s="37"/>
      <c r="G389" s="38" t="s">
        <v>37</v>
      </c>
      <c r="H389" s="36">
        <f>[1]Source!AV446</f>
        <v>1.0469999999999999</v>
      </c>
      <c r="I389" s="37">
        <f>[1]Source!U445</f>
        <v>53.40202559999998</v>
      </c>
      <c r="J389" s="36"/>
      <c r="K389" s="37"/>
    </row>
    <row r="390" spans="1:29" ht="13.8" hidden="1" x14ac:dyDescent="0.25">
      <c r="C390" s="39" t="s">
        <v>47</v>
      </c>
      <c r="H390" s="40">
        <f>I378+I379+I381+I387+I388+SUM(I382:I386)-SUMIF(AC382:AC386, 5, I382:I386)-SUMIF(AC382:AC386, 6, I382:I386)</f>
        <v>138131.46</v>
      </c>
      <c r="I390" s="40"/>
      <c r="J390" s="40">
        <f>K378+K379+K381+K387+K388+SUM(K382:K386)-SUMIF(AC382:AC386, 5, K382:K386)-SUMIF(AC382:AC386, 6, K382:K386)</f>
        <v>963692.03999999992</v>
      </c>
      <c r="K390" s="40"/>
    </row>
    <row r="391" spans="1:29" ht="13.8" hidden="1" x14ac:dyDescent="0.25">
      <c r="C391" s="39" t="s">
        <v>48</v>
      </c>
      <c r="H391" s="41">
        <f>SUMIF(AC382:AC386, 5, I382:I386)+SUMIF(AC382:AC386, 6, I382:I386)</f>
        <v>0</v>
      </c>
      <c r="I391" s="41"/>
      <c r="J391" s="41">
        <f>SUMIF(AC382:AC386, 5, K382:K386)+SUMIF(AC382:AC386, 6, K382:K386)</f>
        <v>0</v>
      </c>
      <c r="K391" s="41"/>
    </row>
    <row r="392" spans="1:29" ht="13.8" hidden="1" x14ac:dyDescent="0.25">
      <c r="C392" s="39" t="s">
        <v>49</v>
      </c>
      <c r="H392" s="41">
        <f>I378+I379+I381+I387+I388+SUM(I382:I386)</f>
        <v>138131.46</v>
      </c>
      <c r="I392" s="41"/>
      <c r="J392" s="41">
        <f>K378+K379+K381+K387+K388+SUM(K382:K386)</f>
        <v>963692.03999999992</v>
      </c>
      <c r="K392" s="41"/>
      <c r="O392" s="42">
        <f>I378+I379+I381+I387+I388+SUM(I382:I386)</f>
        <v>138131.46</v>
      </c>
      <c r="P392" s="42">
        <f>K378+K379+K381+K387+K388+SUM(K382:K386)</f>
        <v>963692.03999999992</v>
      </c>
    </row>
    <row r="393" spans="1:29" hidden="1" x14ac:dyDescent="0.25"/>
    <row r="394" spans="1:29" ht="41.4" hidden="1" x14ac:dyDescent="0.25">
      <c r="A394" s="27">
        <v>25</v>
      </c>
      <c r="B394" s="27" t="str">
        <f>[1]Source!F457</f>
        <v>3.11-36-8</v>
      </c>
      <c r="C394" s="27" t="s">
        <v>145</v>
      </c>
      <c r="D394" s="28" t="str">
        <f>[1]Source!H457</f>
        <v>100 м2</v>
      </c>
      <c r="E394" s="29">
        <f>[1]Source!I457</f>
        <v>0.6</v>
      </c>
      <c r="F394" s="30"/>
      <c r="G394" s="31"/>
      <c r="H394" s="29"/>
      <c r="I394" s="30"/>
      <c r="J394" s="29"/>
      <c r="K394" s="30"/>
      <c r="Q394">
        <f>[1]Source!X457</f>
        <v>9.7100000000000009</v>
      </c>
      <c r="R394">
        <f>[1]Source!X458</f>
        <v>546.95000000000005</v>
      </c>
      <c r="S394">
        <f>[1]Source!Y457</f>
        <v>5.29</v>
      </c>
      <c r="T394">
        <f>[1]Source!Y458</f>
        <v>297.83999999999997</v>
      </c>
      <c r="U394">
        <f>ROUND((175/100)*ROUND([1]Source!R457, 2), 2)</f>
        <v>1.03</v>
      </c>
      <c r="V394">
        <f>ROUND((0/100)*ROUND([1]Source!R458, 2), 2)</f>
        <v>0</v>
      </c>
      <c r="AC394">
        <v>0</v>
      </c>
    </row>
    <row r="395" spans="1:29" hidden="1" x14ac:dyDescent="0.25">
      <c r="C395" s="32" t="str">
        <f>"Объем: "&amp;[1]Source!I457&amp;"=60/"&amp;"100"</f>
        <v>Объем: 0,6=60/100</v>
      </c>
    </row>
    <row r="396" spans="1:29" ht="14.4" hidden="1" x14ac:dyDescent="0.25">
      <c r="A396" s="27"/>
      <c r="B396" s="27"/>
      <c r="C396" s="27" t="s">
        <v>36</v>
      </c>
      <c r="D396" s="28"/>
      <c r="E396" s="29"/>
      <c r="F396" s="30">
        <f>[1]Source!AO457</f>
        <v>10.4</v>
      </c>
      <c r="G396" s="31" t="s">
        <v>37</v>
      </c>
      <c r="H396" s="29">
        <f>[1]Source!AV458</f>
        <v>1.0469999999999999</v>
      </c>
      <c r="I396" s="30">
        <f>[1]Source!S457</f>
        <v>9.02</v>
      </c>
      <c r="J396" s="29">
        <f>IF([1]Source!BA458&lt;&gt; 0, [1]Source!BA458, 1)</f>
        <v>56.35</v>
      </c>
      <c r="K396" s="30">
        <f>[1]Source!S458</f>
        <v>508.28</v>
      </c>
    </row>
    <row r="397" spans="1:29" ht="14.4" hidden="1" x14ac:dyDescent="0.25">
      <c r="A397" s="27"/>
      <c r="B397" s="27"/>
      <c r="C397" s="27" t="s">
        <v>38</v>
      </c>
      <c r="D397" s="28"/>
      <c r="E397" s="29"/>
      <c r="F397" s="30">
        <f>[1]Source!AM457</f>
        <v>3.59</v>
      </c>
      <c r="G397" s="31" t="s">
        <v>39</v>
      </c>
      <c r="H397" s="29">
        <f>[1]Source!AV458</f>
        <v>1.0469999999999999</v>
      </c>
      <c r="I397" s="30">
        <f>[1]Source!Q457</f>
        <v>3.38</v>
      </c>
      <c r="J397" s="29">
        <f>IF([1]Source!BB458&lt;&gt; 0, [1]Source!BB458, 1)</f>
        <v>18.989999999999998</v>
      </c>
      <c r="K397" s="30">
        <f>[1]Source!Q458</f>
        <v>64.19</v>
      </c>
    </row>
    <row r="398" spans="1:29" ht="14.4" hidden="1" x14ac:dyDescent="0.25">
      <c r="A398" s="27"/>
      <c r="B398" s="27"/>
      <c r="C398" s="27" t="s">
        <v>40</v>
      </c>
      <c r="D398" s="28"/>
      <c r="E398" s="29"/>
      <c r="F398" s="30">
        <f>[1]Source!AN457</f>
        <v>0.63</v>
      </c>
      <c r="G398" s="31" t="s">
        <v>39</v>
      </c>
      <c r="H398" s="29">
        <f>[1]Source!AV458</f>
        <v>1.0469999999999999</v>
      </c>
      <c r="I398" s="33">
        <f>[1]Source!R457</f>
        <v>0.59</v>
      </c>
      <c r="J398" s="29">
        <f>IF([1]Source!BS458&lt;&gt; 0, [1]Source!BS458, 1)</f>
        <v>56.35</v>
      </c>
      <c r="K398" s="33">
        <f>[1]Source!R458</f>
        <v>33.25</v>
      </c>
    </row>
    <row r="399" spans="1:29" ht="14.4" hidden="1" x14ac:dyDescent="0.25">
      <c r="A399" s="27"/>
      <c r="B399" s="27"/>
      <c r="C399" s="27" t="s">
        <v>41</v>
      </c>
      <c r="D399" s="28"/>
      <c r="E399" s="29"/>
      <c r="F399" s="30">
        <f>[1]Source!AL457</f>
        <v>0.21</v>
      </c>
      <c r="G399" s="31"/>
      <c r="H399" s="29">
        <f>[1]Source!AW458</f>
        <v>1</v>
      </c>
      <c r="I399" s="30">
        <f>[1]Source!P457</f>
        <v>0.13</v>
      </c>
      <c r="J399" s="29">
        <f>IF([1]Source!BC458&lt;&gt; 0, [1]Source!BC458, 1)</f>
        <v>7.81</v>
      </c>
      <c r="K399" s="30">
        <f>[1]Source!P458</f>
        <v>1.02</v>
      </c>
    </row>
    <row r="400" spans="1:29" ht="96.6" hidden="1" x14ac:dyDescent="0.25">
      <c r="A400" s="27" t="s">
        <v>146</v>
      </c>
      <c r="B400" s="27" t="str">
        <f>[1]Source!F459</f>
        <v>1.3-2-167</v>
      </c>
      <c r="C400" s="27" t="s">
        <v>133</v>
      </c>
      <c r="D400" s="28" t="str">
        <f>[1]Source!H459</f>
        <v>т</v>
      </c>
      <c r="E400" s="29">
        <f>[1]Source!I459</f>
        <v>8.6489999999999997E-2</v>
      </c>
      <c r="F400" s="30">
        <f>[1]Source!AK459</f>
        <v>3963.7</v>
      </c>
      <c r="G400" s="43" t="s">
        <v>54</v>
      </c>
      <c r="H400" s="29">
        <f>[1]Source!AW460</f>
        <v>1</v>
      </c>
      <c r="I400" s="30">
        <f>[1]Source!O459</f>
        <v>342.82</v>
      </c>
      <c r="J400" s="29">
        <f>IF([1]Source!BC460&lt;&gt; 0, [1]Source!BC460, 1)</f>
        <v>3.17</v>
      </c>
      <c r="K400" s="30">
        <f>[1]Source!O460</f>
        <v>1086.74</v>
      </c>
      <c r="Q400">
        <f>[1]Source!X459</f>
        <v>0</v>
      </c>
      <c r="R400">
        <f>[1]Source!X460</f>
        <v>0</v>
      </c>
      <c r="S400">
        <f>[1]Source!Y459</f>
        <v>0</v>
      </c>
      <c r="T400">
        <f>[1]Source!Y460</f>
        <v>0</v>
      </c>
      <c r="U400">
        <f>ROUND((175/100)*ROUND([1]Source!R459, 2), 2)</f>
        <v>0</v>
      </c>
      <c r="V400">
        <f>ROUND((0/100)*ROUND([1]Source!R460, 2), 2)</f>
        <v>0</v>
      </c>
      <c r="AC400">
        <v>3</v>
      </c>
    </row>
    <row r="401" spans="1:29" ht="14.4" hidden="1" x14ac:dyDescent="0.25">
      <c r="A401" s="27"/>
      <c r="B401" s="27"/>
      <c r="C401" s="27" t="s">
        <v>42</v>
      </c>
      <c r="D401" s="28" t="s">
        <v>43</v>
      </c>
      <c r="E401" s="29">
        <f>[1]Source!BZ458</f>
        <v>101</v>
      </c>
      <c r="F401" s="30"/>
      <c r="G401" s="31"/>
      <c r="H401" s="29"/>
      <c r="I401" s="30">
        <f>SUM(Q394:Q400)</f>
        <v>9.7100000000000009</v>
      </c>
      <c r="J401" s="29">
        <f>[1]Source!AT458</f>
        <v>101</v>
      </c>
      <c r="K401" s="30">
        <f>SUM(R394:R400)</f>
        <v>546.95000000000005</v>
      </c>
    </row>
    <row r="402" spans="1:29" ht="14.4" hidden="1" x14ac:dyDescent="0.25">
      <c r="A402" s="27"/>
      <c r="B402" s="27"/>
      <c r="C402" s="27" t="s">
        <v>44</v>
      </c>
      <c r="D402" s="28" t="s">
        <v>43</v>
      </c>
      <c r="E402" s="29">
        <f>[1]Source!CA458</f>
        <v>55</v>
      </c>
      <c r="F402" s="30"/>
      <c r="G402" s="31"/>
      <c r="H402" s="29"/>
      <c r="I402" s="30">
        <f>SUM(S394:S401)</f>
        <v>5.29</v>
      </c>
      <c r="J402" s="29">
        <f>[1]Source!AU458</f>
        <v>55</v>
      </c>
      <c r="K402" s="30">
        <f>SUM(T394:T401)</f>
        <v>297.83999999999997</v>
      </c>
    </row>
    <row r="403" spans="1:29" ht="14.4" hidden="1" x14ac:dyDescent="0.25">
      <c r="A403" s="34"/>
      <c r="B403" s="34"/>
      <c r="C403" s="34" t="s">
        <v>45</v>
      </c>
      <c r="D403" s="35" t="s">
        <v>46</v>
      </c>
      <c r="E403" s="36">
        <f>[1]Source!AQ457</f>
        <v>0.91</v>
      </c>
      <c r="F403" s="37"/>
      <c r="G403" s="38" t="s">
        <v>37</v>
      </c>
      <c r="H403" s="36">
        <f>[1]Source!AV458</f>
        <v>1.0469999999999999</v>
      </c>
      <c r="I403" s="37">
        <f>[1]Source!U457</f>
        <v>0.78889355999999988</v>
      </c>
      <c r="J403" s="36"/>
      <c r="K403" s="37"/>
    </row>
    <row r="404" spans="1:29" ht="13.8" hidden="1" x14ac:dyDescent="0.25">
      <c r="C404" s="39" t="s">
        <v>47</v>
      </c>
      <c r="H404" s="40">
        <f>I396+I397+I399+I401+I402+SUM(I400:I400)-SUMIF(AC400:AC400, 5, I400:I400)-SUMIF(AC400:AC400, 6, I400:I400)</f>
        <v>370.35</v>
      </c>
      <c r="I404" s="40"/>
      <c r="J404" s="40">
        <f>K396+K397+K399+K401+K402+SUM(K400:K400)-SUMIF(AC400:AC400, 5, K400:K400)-SUMIF(AC400:AC400, 6, K400:K400)</f>
        <v>2505.02</v>
      </c>
      <c r="K404" s="40"/>
    </row>
    <row r="405" spans="1:29" ht="13.8" hidden="1" x14ac:dyDescent="0.25">
      <c r="C405" s="39" t="s">
        <v>48</v>
      </c>
      <c r="H405" s="41">
        <f>SUMIF(AC400:AC400, 5, I400:I400)+SUMIF(AC400:AC400, 6, I400:I400)</f>
        <v>0</v>
      </c>
      <c r="I405" s="41"/>
      <c r="J405" s="41">
        <f>SUMIF(AC400:AC400, 5, K400:K400)+SUMIF(AC400:AC400, 6, K400:K400)</f>
        <v>0</v>
      </c>
      <c r="K405" s="41"/>
    </row>
    <row r="406" spans="1:29" ht="13.8" hidden="1" x14ac:dyDescent="0.25">
      <c r="C406" s="39" t="s">
        <v>49</v>
      </c>
      <c r="H406" s="41">
        <f>I396+I397+I399+I401+I402+SUM(I400:I400)</f>
        <v>370.35</v>
      </c>
      <c r="I406" s="41"/>
      <c r="J406" s="41">
        <f>K396+K397+K399+K401+K402+SUM(K400:K400)</f>
        <v>2505.02</v>
      </c>
      <c r="K406" s="41"/>
      <c r="O406" s="42">
        <f>I396+I397+I399+I401+I402+SUM(I400:I400)</f>
        <v>370.35</v>
      </c>
      <c r="P406" s="42">
        <f>K396+K397+K399+K401+K402+SUM(K400:K400)</f>
        <v>2505.02</v>
      </c>
    </row>
    <row r="407" spans="1:29" hidden="1" x14ac:dyDescent="0.25"/>
    <row r="408" spans="1:29" ht="57.6" hidden="1" x14ac:dyDescent="0.25">
      <c r="A408" s="27">
        <v>26</v>
      </c>
      <c r="B408" s="27" t="str">
        <f>[1]Source!F461</f>
        <v>3.11-10-1</v>
      </c>
      <c r="C408" s="27" t="s">
        <v>147</v>
      </c>
      <c r="D408" s="28" t="str">
        <f>[1]Source!H461</f>
        <v>100 м2 стяжки</v>
      </c>
      <c r="E408" s="29">
        <f>[1]Source!I461</f>
        <v>0.6</v>
      </c>
      <c r="F408" s="30"/>
      <c r="G408" s="31"/>
      <c r="H408" s="29"/>
      <c r="I408" s="30"/>
      <c r="J408" s="29"/>
      <c r="K408" s="30"/>
      <c r="Q408">
        <f>[1]Source!X461</f>
        <v>212.66</v>
      </c>
      <c r="R408">
        <f>[1]Source!X462</f>
        <v>11983.13</v>
      </c>
      <c r="S408">
        <f>[1]Source!Y461</f>
        <v>115.8</v>
      </c>
      <c r="T408">
        <f>[1]Source!Y462</f>
        <v>6525.47</v>
      </c>
      <c r="U408">
        <f>ROUND((175/100)*ROUND([1]Source!R461, 2), 2)</f>
        <v>0</v>
      </c>
      <c r="V408">
        <f>ROUND((0/100)*ROUND([1]Source!R462, 2), 2)</f>
        <v>0</v>
      </c>
      <c r="AC408">
        <v>0</v>
      </c>
    </row>
    <row r="409" spans="1:29" hidden="1" x14ac:dyDescent="0.25">
      <c r="C409" s="32" t="str">
        <f>"Объем: "&amp;[1]Source!I461&amp;"=60/"&amp;"100"</f>
        <v>Объем: 0,6=60/100</v>
      </c>
    </row>
    <row r="410" spans="1:29" ht="14.4" hidden="1" x14ac:dyDescent="0.25">
      <c r="A410" s="27"/>
      <c r="B410" s="27"/>
      <c r="C410" s="27" t="s">
        <v>36</v>
      </c>
      <c r="D410" s="28"/>
      <c r="E410" s="29"/>
      <c r="F410" s="30">
        <f>[1]Source!AO461</f>
        <v>242.87</v>
      </c>
      <c r="G410" s="31" t="s">
        <v>37</v>
      </c>
      <c r="H410" s="29">
        <f>[1]Source!AV462</f>
        <v>1.0469999999999999</v>
      </c>
      <c r="I410" s="30">
        <f>[1]Source!S461</f>
        <v>210.55</v>
      </c>
      <c r="J410" s="29">
        <f>IF([1]Source!BA462&lt;&gt; 0, [1]Source!BA462, 1)</f>
        <v>56.35</v>
      </c>
      <c r="K410" s="30">
        <f>[1]Source!S462</f>
        <v>11864.49</v>
      </c>
    </row>
    <row r="411" spans="1:29" ht="14.4" hidden="1" x14ac:dyDescent="0.25">
      <c r="A411" s="27"/>
      <c r="B411" s="27"/>
      <c r="C411" s="27" t="s">
        <v>38</v>
      </c>
      <c r="D411" s="28"/>
      <c r="E411" s="29"/>
      <c r="F411" s="30">
        <f>[1]Source!AM461</f>
        <v>1.8</v>
      </c>
      <c r="G411" s="31" t="s">
        <v>39</v>
      </c>
      <c r="H411" s="29">
        <f>[1]Source!AV462</f>
        <v>1.0469999999999999</v>
      </c>
      <c r="I411" s="30">
        <f>[1]Source!Q461</f>
        <v>1.7</v>
      </c>
      <c r="J411" s="29">
        <f>IF([1]Source!BB462&lt;&gt; 0, [1]Source!BB462, 1)</f>
        <v>11.69</v>
      </c>
      <c r="K411" s="30">
        <f>[1]Source!Q462</f>
        <v>19.87</v>
      </c>
    </row>
    <row r="412" spans="1:29" ht="14.4" hidden="1" x14ac:dyDescent="0.25">
      <c r="A412" s="27"/>
      <c r="B412" s="27"/>
      <c r="C412" s="27" t="s">
        <v>41</v>
      </c>
      <c r="D412" s="28"/>
      <c r="E412" s="29"/>
      <c r="F412" s="30">
        <f>[1]Source!AL461</f>
        <v>24.75</v>
      </c>
      <c r="G412" s="31"/>
      <c r="H412" s="29">
        <f>[1]Source!AW462</f>
        <v>1</v>
      </c>
      <c r="I412" s="30">
        <f>[1]Source!P461</f>
        <v>14.85</v>
      </c>
      <c r="J412" s="29">
        <f>IF([1]Source!BC462&lt;&gt; 0, [1]Source!BC462, 1)</f>
        <v>7.75</v>
      </c>
      <c r="K412" s="30">
        <f>[1]Source!P462</f>
        <v>115.09</v>
      </c>
    </row>
    <row r="413" spans="1:29" ht="27.6" hidden="1" x14ac:dyDescent="0.25">
      <c r="A413" s="27" t="s">
        <v>148</v>
      </c>
      <c r="B413" s="27" t="str">
        <f>[1]Source!F463</f>
        <v>1.3-2-6</v>
      </c>
      <c r="C413" s="27" t="s">
        <v>149</v>
      </c>
      <c r="D413" s="28" t="str">
        <f>[1]Source!H463</f>
        <v>м3</v>
      </c>
      <c r="E413" s="29">
        <f>[1]Source!I463</f>
        <v>1.224</v>
      </c>
      <c r="F413" s="30">
        <f>[1]Source!AK463</f>
        <v>467.32</v>
      </c>
      <c r="G413" s="43" t="s">
        <v>54</v>
      </c>
      <c r="H413" s="29">
        <f>[1]Source!AW464</f>
        <v>1</v>
      </c>
      <c r="I413" s="30">
        <f>[1]Source!O463</f>
        <v>572</v>
      </c>
      <c r="J413" s="29">
        <f>IF([1]Source!BC464&lt;&gt; 0, [1]Source!BC464, 1)</f>
        <v>11.07</v>
      </c>
      <c r="K413" s="30">
        <f>[1]Source!O464</f>
        <v>6332.04</v>
      </c>
      <c r="Q413">
        <f>[1]Source!X463</f>
        <v>0</v>
      </c>
      <c r="R413">
        <f>[1]Source!X464</f>
        <v>0</v>
      </c>
      <c r="S413">
        <f>[1]Source!Y463</f>
        <v>0</v>
      </c>
      <c r="T413">
        <f>[1]Source!Y464</f>
        <v>0</v>
      </c>
      <c r="U413">
        <f>ROUND((175/100)*ROUND([1]Source!R463, 2), 2)</f>
        <v>0</v>
      </c>
      <c r="V413">
        <f>ROUND((0/100)*ROUND([1]Source!R464, 2), 2)</f>
        <v>0</v>
      </c>
      <c r="AC413">
        <v>3</v>
      </c>
    </row>
    <row r="414" spans="1:29" ht="14.4" hidden="1" x14ac:dyDescent="0.25">
      <c r="A414" s="27"/>
      <c r="B414" s="27"/>
      <c r="C414" s="27" t="s">
        <v>42</v>
      </c>
      <c r="D414" s="28" t="s">
        <v>43</v>
      </c>
      <c r="E414" s="29">
        <f>[1]Source!BZ462</f>
        <v>101</v>
      </c>
      <c r="F414" s="30"/>
      <c r="G414" s="31"/>
      <c r="H414" s="29"/>
      <c r="I414" s="30">
        <f>SUM(Q408:Q413)</f>
        <v>212.66</v>
      </c>
      <c r="J414" s="29">
        <f>[1]Source!AT462</f>
        <v>101</v>
      </c>
      <c r="K414" s="30">
        <f>SUM(R408:R413)</f>
        <v>11983.13</v>
      </c>
    </row>
    <row r="415" spans="1:29" ht="14.4" hidden="1" x14ac:dyDescent="0.25">
      <c r="A415" s="27"/>
      <c r="B415" s="27"/>
      <c r="C415" s="27" t="s">
        <v>44</v>
      </c>
      <c r="D415" s="28" t="s">
        <v>43</v>
      </c>
      <c r="E415" s="29">
        <f>[1]Source!CA462</f>
        <v>55</v>
      </c>
      <c r="F415" s="30"/>
      <c r="G415" s="31"/>
      <c r="H415" s="29"/>
      <c r="I415" s="30">
        <f>SUM(S408:S414)</f>
        <v>115.8</v>
      </c>
      <c r="J415" s="29">
        <f>[1]Source!AU462</f>
        <v>55</v>
      </c>
      <c r="K415" s="30">
        <f>SUM(T408:T414)</f>
        <v>6525.47</v>
      </c>
    </row>
    <row r="416" spans="1:29" ht="14.4" hidden="1" x14ac:dyDescent="0.25">
      <c r="A416" s="34"/>
      <c r="B416" s="34"/>
      <c r="C416" s="34" t="s">
        <v>45</v>
      </c>
      <c r="D416" s="35" t="s">
        <v>46</v>
      </c>
      <c r="E416" s="36">
        <f>[1]Source!AQ461</f>
        <v>23.33</v>
      </c>
      <c r="F416" s="37"/>
      <c r="G416" s="38" t="s">
        <v>37</v>
      </c>
      <c r="H416" s="36">
        <f>[1]Source!AV462</f>
        <v>1.0469999999999999</v>
      </c>
      <c r="I416" s="37">
        <f>[1]Source!U461</f>
        <v>20.225150279999994</v>
      </c>
      <c r="J416" s="36"/>
      <c r="K416" s="37"/>
    </row>
    <row r="417" spans="1:29" ht="13.8" hidden="1" x14ac:dyDescent="0.25">
      <c r="C417" s="39" t="s">
        <v>47</v>
      </c>
      <c r="H417" s="40">
        <f>I410+I411+I412+I414+I415+SUM(I413:I413)-SUMIF(AC413:AC413, 5, I413:I413)-SUMIF(AC413:AC413, 6, I413:I413)</f>
        <v>1127.56</v>
      </c>
      <c r="I417" s="40"/>
      <c r="J417" s="40">
        <f>K410+K411+K412+K414+K415+SUM(K413:K413)-SUMIF(AC413:AC413, 5, K413:K413)-SUMIF(AC413:AC413, 6, K413:K413)</f>
        <v>36840.090000000004</v>
      </c>
      <c r="K417" s="40"/>
    </row>
    <row r="418" spans="1:29" ht="13.8" hidden="1" x14ac:dyDescent="0.25">
      <c r="C418" s="39" t="s">
        <v>48</v>
      </c>
      <c r="H418" s="41">
        <f>SUMIF(AC413:AC413, 5, I413:I413)+SUMIF(AC413:AC413, 6, I413:I413)</f>
        <v>0</v>
      </c>
      <c r="I418" s="41"/>
      <c r="J418" s="41">
        <f>SUMIF(AC413:AC413, 5, K413:K413)+SUMIF(AC413:AC413, 6, K413:K413)</f>
        <v>0</v>
      </c>
      <c r="K418" s="41"/>
    </row>
    <row r="419" spans="1:29" ht="13.8" hidden="1" x14ac:dyDescent="0.25">
      <c r="C419" s="39" t="s">
        <v>49</v>
      </c>
      <c r="H419" s="41">
        <f>I410+I411+I412+I414+I415+SUM(I413:I413)</f>
        <v>1127.56</v>
      </c>
      <c r="I419" s="41"/>
      <c r="J419" s="41">
        <f>K410+K411+K412+K414+K415+SUM(K413:K413)</f>
        <v>36840.090000000004</v>
      </c>
      <c r="K419" s="41"/>
      <c r="O419" s="42">
        <f>I410+I411+I412+I414+I415+SUM(I413:I413)</f>
        <v>1127.56</v>
      </c>
      <c r="P419" s="42">
        <f>K410+K411+K412+K414+K415+SUM(K413:K413)</f>
        <v>36840.090000000004</v>
      </c>
    </row>
    <row r="420" spans="1:29" hidden="1" x14ac:dyDescent="0.25"/>
    <row r="421" spans="1:29" ht="57.6" hidden="1" x14ac:dyDescent="0.25">
      <c r="A421" s="27">
        <v>27</v>
      </c>
      <c r="B421" s="27" t="str">
        <f>[1]Source!F465</f>
        <v>3.11-10-2</v>
      </c>
      <c r="C421" s="27" t="s">
        <v>150</v>
      </c>
      <c r="D421" s="28" t="str">
        <f>[1]Source!H465</f>
        <v>100 м2 стяжки</v>
      </c>
      <c r="E421" s="29">
        <f>[1]Source!I465</f>
        <v>0.6</v>
      </c>
      <c r="F421" s="30"/>
      <c r="G421" s="31"/>
      <c r="H421" s="29"/>
      <c r="I421" s="30"/>
      <c r="J421" s="29"/>
      <c r="K421" s="30"/>
      <c r="Q421">
        <f>[1]Source!X465</f>
        <v>15.76</v>
      </c>
      <c r="R421">
        <f>[1]Source!X466</f>
        <v>887.85</v>
      </c>
      <c r="S421">
        <f>[1]Source!Y465</f>
        <v>8.58</v>
      </c>
      <c r="T421">
        <f>[1]Source!Y466</f>
        <v>483.48</v>
      </c>
      <c r="U421">
        <f>ROUND((175/100)*ROUND([1]Source!R465, 2), 2)</f>
        <v>0</v>
      </c>
      <c r="V421">
        <f>ROUND((0/100)*ROUND([1]Source!R466, 2), 2)</f>
        <v>0</v>
      </c>
      <c r="AC421">
        <v>0</v>
      </c>
    </row>
    <row r="422" spans="1:29" hidden="1" x14ac:dyDescent="0.25">
      <c r="C422" s="32" t="str">
        <f>"Объем: "&amp;[1]Source!I465&amp;"=60/"&amp;"100"</f>
        <v>Объем: 0,6=60/100</v>
      </c>
    </row>
    <row r="423" spans="1:29" ht="14.4" hidden="1" x14ac:dyDescent="0.25">
      <c r="A423" s="27"/>
      <c r="B423" s="27"/>
      <c r="C423" s="27" t="s">
        <v>36</v>
      </c>
      <c r="D423" s="28"/>
      <c r="E423" s="29"/>
      <c r="F423" s="30">
        <f>[1]Source!AO465</f>
        <v>4.5</v>
      </c>
      <c r="G423" s="31" t="s">
        <v>151</v>
      </c>
      <c r="H423" s="29">
        <f>[1]Source!AV466</f>
        <v>1.0469999999999999</v>
      </c>
      <c r="I423" s="30">
        <f>[1]Source!S465</f>
        <v>15.6</v>
      </c>
      <c r="J423" s="29">
        <f>IF([1]Source!BA466&lt;&gt; 0, [1]Source!BA466, 1)</f>
        <v>56.35</v>
      </c>
      <c r="K423" s="30">
        <f>[1]Source!S466</f>
        <v>879.06</v>
      </c>
    </row>
    <row r="424" spans="1:29" ht="14.4" hidden="1" x14ac:dyDescent="0.25">
      <c r="A424" s="27"/>
      <c r="B424" s="27"/>
      <c r="C424" s="27" t="s">
        <v>38</v>
      </c>
      <c r="D424" s="28"/>
      <c r="E424" s="29"/>
      <c r="F424" s="30">
        <f>[1]Source!AM465</f>
        <v>0.46</v>
      </c>
      <c r="G424" s="31" t="s">
        <v>152</v>
      </c>
      <c r="H424" s="29">
        <f>[1]Source!AV466</f>
        <v>1.0469999999999999</v>
      </c>
      <c r="I424" s="30">
        <f>[1]Source!Q465</f>
        <v>1.73</v>
      </c>
      <c r="J424" s="29">
        <f>IF([1]Source!BB466&lt;&gt; 0, [1]Source!BB466, 1)</f>
        <v>11.7</v>
      </c>
      <c r="K424" s="30">
        <f>[1]Source!Q466</f>
        <v>20.239999999999998</v>
      </c>
    </row>
    <row r="425" spans="1:29" ht="27.6" hidden="1" x14ac:dyDescent="0.25">
      <c r="A425" s="27" t="s">
        <v>153</v>
      </c>
      <c r="B425" s="27" t="str">
        <f>[1]Source!F467</f>
        <v>1.3-2-6</v>
      </c>
      <c r="C425" s="27" t="s">
        <v>149</v>
      </c>
      <c r="D425" s="28" t="str">
        <f>[1]Source!H467</f>
        <v>м3</v>
      </c>
      <c r="E425" s="29">
        <f>[1]Source!I467</f>
        <v>1.224</v>
      </c>
      <c r="F425" s="30">
        <f>[1]Source!AK467</f>
        <v>467.32</v>
      </c>
      <c r="G425" s="43" t="s">
        <v>54</v>
      </c>
      <c r="H425" s="29">
        <f>[1]Source!AW468</f>
        <v>1</v>
      </c>
      <c r="I425" s="30">
        <f>[1]Source!O467</f>
        <v>572</v>
      </c>
      <c r="J425" s="29">
        <f>IF([1]Source!BC468&lt;&gt; 0, [1]Source!BC468, 1)</f>
        <v>11.07</v>
      </c>
      <c r="K425" s="30">
        <f>[1]Source!O468</f>
        <v>6332.04</v>
      </c>
      <c r="Q425">
        <f>[1]Source!X467</f>
        <v>0</v>
      </c>
      <c r="R425">
        <f>[1]Source!X468</f>
        <v>0</v>
      </c>
      <c r="S425">
        <f>[1]Source!Y467</f>
        <v>0</v>
      </c>
      <c r="T425">
        <f>[1]Source!Y468</f>
        <v>0</v>
      </c>
      <c r="U425">
        <f>ROUND((175/100)*ROUND([1]Source!R467, 2), 2)</f>
        <v>0</v>
      </c>
      <c r="V425">
        <f>ROUND((0/100)*ROUND([1]Source!R468, 2), 2)</f>
        <v>0</v>
      </c>
      <c r="AC425">
        <v>3</v>
      </c>
    </row>
    <row r="426" spans="1:29" ht="14.4" hidden="1" x14ac:dyDescent="0.25">
      <c r="A426" s="27"/>
      <c r="B426" s="27"/>
      <c r="C426" s="27" t="s">
        <v>42</v>
      </c>
      <c r="D426" s="28" t="s">
        <v>43</v>
      </c>
      <c r="E426" s="29">
        <f>[1]Source!BZ466</f>
        <v>101</v>
      </c>
      <c r="F426" s="30"/>
      <c r="G426" s="31"/>
      <c r="H426" s="29"/>
      <c r="I426" s="30">
        <f>SUM(Q421:Q425)</f>
        <v>15.76</v>
      </c>
      <c r="J426" s="29">
        <f>[1]Source!AT466</f>
        <v>101</v>
      </c>
      <c r="K426" s="30">
        <f>SUM(R421:R425)</f>
        <v>887.85</v>
      </c>
    </row>
    <row r="427" spans="1:29" ht="14.4" hidden="1" x14ac:dyDescent="0.25">
      <c r="A427" s="27"/>
      <c r="B427" s="27"/>
      <c r="C427" s="27" t="s">
        <v>44</v>
      </c>
      <c r="D427" s="28" t="s">
        <v>43</v>
      </c>
      <c r="E427" s="29">
        <f>[1]Source!CA466</f>
        <v>55</v>
      </c>
      <c r="F427" s="30"/>
      <c r="G427" s="31"/>
      <c r="H427" s="29"/>
      <c r="I427" s="30">
        <f>SUM(S421:S426)</f>
        <v>8.58</v>
      </c>
      <c r="J427" s="29">
        <f>[1]Source!AU466</f>
        <v>55</v>
      </c>
      <c r="K427" s="30">
        <f>SUM(T421:T426)</f>
        <v>483.48</v>
      </c>
    </row>
    <row r="428" spans="1:29" ht="14.4" hidden="1" x14ac:dyDescent="0.25">
      <c r="A428" s="34"/>
      <c r="B428" s="34"/>
      <c r="C428" s="34" t="s">
        <v>45</v>
      </c>
      <c r="D428" s="35" t="s">
        <v>46</v>
      </c>
      <c r="E428" s="36">
        <f>[1]Source!AQ465</f>
        <v>0.44</v>
      </c>
      <c r="F428" s="37"/>
      <c r="G428" s="38" t="s">
        <v>151</v>
      </c>
      <c r="H428" s="36">
        <f>[1]Source!AV466</f>
        <v>1.0469999999999999</v>
      </c>
      <c r="I428" s="37">
        <f>[1]Source!U465</f>
        <v>1.5257721599999998</v>
      </c>
      <c r="J428" s="36"/>
      <c r="K428" s="37"/>
    </row>
    <row r="429" spans="1:29" ht="13.8" hidden="1" x14ac:dyDescent="0.25">
      <c r="C429" s="39" t="s">
        <v>47</v>
      </c>
      <c r="H429" s="40">
        <f>I423+I424+I426+I427+SUM(I425:I425)-SUMIF(AC425:AC425, 5, I425:I425)-SUMIF(AC425:AC425, 6, I425:I425)</f>
        <v>613.66999999999996</v>
      </c>
      <c r="I429" s="40"/>
      <c r="J429" s="40">
        <f>K423+K424+K426+K427+SUM(K425:K425)-SUMIF(AC425:AC425, 5, K425:K425)-SUMIF(AC425:AC425, 6, K425:K425)</f>
        <v>8602.67</v>
      </c>
      <c r="K429" s="40"/>
    </row>
    <row r="430" spans="1:29" ht="13.8" hidden="1" x14ac:dyDescent="0.25">
      <c r="C430" s="39" t="s">
        <v>48</v>
      </c>
      <c r="H430" s="41">
        <f>SUMIF(AC425:AC425, 5, I425:I425)+SUMIF(AC425:AC425, 6, I425:I425)</f>
        <v>0</v>
      </c>
      <c r="I430" s="41"/>
      <c r="J430" s="41">
        <f>SUMIF(AC425:AC425, 5, K425:K425)+SUMIF(AC425:AC425, 6, K425:K425)</f>
        <v>0</v>
      </c>
      <c r="K430" s="41"/>
    </row>
    <row r="431" spans="1:29" ht="13.8" hidden="1" x14ac:dyDescent="0.25">
      <c r="C431" s="39" t="s">
        <v>49</v>
      </c>
      <c r="H431" s="41">
        <f>I423+I424+I426+I427+SUM(I425:I425)</f>
        <v>613.66999999999996</v>
      </c>
      <c r="I431" s="41"/>
      <c r="J431" s="41">
        <f>K423+K424+K426+K427+SUM(K425:K425)</f>
        <v>8602.67</v>
      </c>
      <c r="K431" s="41"/>
      <c r="O431" s="42">
        <f>I423+I424+I426+I427+SUM(I425:I425)</f>
        <v>613.66999999999996</v>
      </c>
      <c r="P431" s="42">
        <f>K423+K424+K426+K427+SUM(K425:K425)</f>
        <v>8602.67</v>
      </c>
    </row>
    <row r="432" spans="1:29" hidden="1" x14ac:dyDescent="0.25"/>
    <row r="433" spans="1:29" ht="27.6" hidden="1" x14ac:dyDescent="0.25">
      <c r="A433" s="27">
        <v>28</v>
      </c>
      <c r="B433" s="27" t="str">
        <f>[1]Source!F469</f>
        <v>3.6-6-10</v>
      </c>
      <c r="C433" s="27" t="s">
        <v>154</v>
      </c>
      <c r="D433" s="28" t="str">
        <f>[1]Source!H469</f>
        <v>1 Т</v>
      </c>
      <c r="E433" s="29">
        <f>[1]Source!I469</f>
        <v>0.16500000000000001</v>
      </c>
      <c r="F433" s="30"/>
      <c r="G433" s="31"/>
      <c r="H433" s="29"/>
      <c r="I433" s="30"/>
      <c r="J433" s="29"/>
      <c r="K433" s="30"/>
      <c r="Q433">
        <f>[1]Source!X469</f>
        <v>30.75</v>
      </c>
      <c r="R433">
        <f>[1]Source!X470</f>
        <v>1732.56</v>
      </c>
      <c r="S433">
        <f>[1]Source!Y469</f>
        <v>16.38</v>
      </c>
      <c r="T433">
        <f>[1]Source!Y470</f>
        <v>922.78</v>
      </c>
      <c r="U433">
        <f>ROUND((175/100)*ROUND([1]Source!R469, 2), 2)</f>
        <v>2.29</v>
      </c>
      <c r="V433">
        <f>ROUND((0/100)*ROUND([1]Source!R470, 2), 2)</f>
        <v>0</v>
      </c>
      <c r="AC433">
        <v>0</v>
      </c>
    </row>
    <row r="434" spans="1:29" hidden="1" x14ac:dyDescent="0.25">
      <c r="C434" s="32" t="str">
        <f>"Объем: "&amp;[1]Source!I469&amp;"=2,75*"&amp;"60/"&amp;"1000"</f>
        <v>Объем: 0,165=2,75*60/1000</v>
      </c>
    </row>
    <row r="435" spans="1:29" ht="14.4" hidden="1" x14ac:dyDescent="0.25">
      <c r="A435" s="27"/>
      <c r="B435" s="27"/>
      <c r="C435" s="27" t="s">
        <v>36</v>
      </c>
      <c r="D435" s="28"/>
      <c r="E435" s="29"/>
      <c r="F435" s="30">
        <f>[1]Source!AO469</f>
        <v>134.68</v>
      </c>
      <c r="G435" s="31" t="s">
        <v>37</v>
      </c>
      <c r="H435" s="29">
        <f>[1]Source!AV470</f>
        <v>1.0469999999999999</v>
      </c>
      <c r="I435" s="30">
        <f>[1]Source!S469</f>
        <v>32.11</v>
      </c>
      <c r="J435" s="29">
        <f>IF([1]Source!BA470&lt;&gt; 0, [1]Source!BA470, 1)</f>
        <v>56.35</v>
      </c>
      <c r="K435" s="30">
        <f>[1]Source!S470</f>
        <v>1809.4</v>
      </c>
    </row>
    <row r="436" spans="1:29" ht="14.4" hidden="1" x14ac:dyDescent="0.25">
      <c r="A436" s="27"/>
      <c r="B436" s="27"/>
      <c r="C436" s="27" t="s">
        <v>38</v>
      </c>
      <c r="D436" s="28"/>
      <c r="E436" s="29"/>
      <c r="F436" s="30">
        <f>[1]Source!AM469</f>
        <v>43.5</v>
      </c>
      <c r="G436" s="31" t="s">
        <v>39</v>
      </c>
      <c r="H436" s="29">
        <f>[1]Source!AV470</f>
        <v>1.0469999999999999</v>
      </c>
      <c r="I436" s="30">
        <f>[1]Source!Q469</f>
        <v>11.27</v>
      </c>
      <c r="J436" s="29">
        <f>IF([1]Source!BB470&lt;&gt; 0, [1]Source!BB470, 1)</f>
        <v>15.44</v>
      </c>
      <c r="K436" s="30">
        <f>[1]Source!Q470</f>
        <v>174.01</v>
      </c>
    </row>
    <row r="437" spans="1:29" ht="14.4" hidden="1" x14ac:dyDescent="0.25">
      <c r="A437" s="27"/>
      <c r="B437" s="27"/>
      <c r="C437" s="27" t="s">
        <v>40</v>
      </c>
      <c r="D437" s="28"/>
      <c r="E437" s="29"/>
      <c r="F437" s="30">
        <f>[1]Source!AN469</f>
        <v>5.0599999999999996</v>
      </c>
      <c r="G437" s="31" t="s">
        <v>39</v>
      </c>
      <c r="H437" s="29">
        <f>[1]Source!AV470</f>
        <v>1.0469999999999999</v>
      </c>
      <c r="I437" s="33">
        <f>[1]Source!R469</f>
        <v>1.31</v>
      </c>
      <c r="J437" s="29">
        <f>IF([1]Source!BS470&lt;&gt; 0, [1]Source!BS470, 1)</f>
        <v>56.35</v>
      </c>
      <c r="K437" s="33">
        <f>[1]Source!R470</f>
        <v>73.819999999999993</v>
      </c>
    </row>
    <row r="438" spans="1:29" ht="14.4" hidden="1" x14ac:dyDescent="0.25">
      <c r="A438" s="27"/>
      <c r="B438" s="27"/>
      <c r="C438" s="27" t="s">
        <v>41</v>
      </c>
      <c r="D438" s="28"/>
      <c r="E438" s="29"/>
      <c r="F438" s="30">
        <f>[1]Source!AL469</f>
        <v>258.67</v>
      </c>
      <c r="G438" s="31"/>
      <c r="H438" s="29">
        <f>[1]Source!AW470</f>
        <v>1.022</v>
      </c>
      <c r="I438" s="30">
        <f>[1]Source!P469</f>
        <v>43.62</v>
      </c>
      <c r="J438" s="29">
        <f>IF([1]Source!BC470&lt;&gt; 0, [1]Source!BC470, 1)</f>
        <v>7.5</v>
      </c>
      <c r="K438" s="30">
        <f>[1]Source!P470</f>
        <v>327.14999999999998</v>
      </c>
    </row>
    <row r="439" spans="1:29" ht="55.2" hidden="1" x14ac:dyDescent="0.25">
      <c r="A439" s="27" t="s">
        <v>155</v>
      </c>
      <c r="B439" s="27" t="str">
        <f>[1]Source!F471</f>
        <v>1.3-4-75</v>
      </c>
      <c r="C439" s="27" t="s">
        <v>156</v>
      </c>
      <c r="D439" s="28" t="str">
        <f>[1]Source!H471</f>
        <v>т</v>
      </c>
      <c r="E439" s="29">
        <f>[1]Source!I471</f>
        <v>0.16500000000000001</v>
      </c>
      <c r="F439" s="30">
        <f>[1]Source!AK471</f>
        <v>9724.69</v>
      </c>
      <c r="G439" s="43" t="s">
        <v>54</v>
      </c>
      <c r="H439" s="29">
        <f>[1]Source!AW472</f>
        <v>1.022</v>
      </c>
      <c r="I439" s="30">
        <f>[1]Source!O471</f>
        <v>1639.87</v>
      </c>
      <c r="J439" s="29">
        <f>IF([1]Source!BC472&lt;&gt; 0, [1]Source!BC472, 1)</f>
        <v>3.88</v>
      </c>
      <c r="K439" s="30">
        <f>[1]Source!O472</f>
        <v>6362.7</v>
      </c>
      <c r="Q439">
        <f>[1]Source!X471</f>
        <v>0</v>
      </c>
      <c r="R439">
        <f>[1]Source!X472</f>
        <v>0</v>
      </c>
      <c r="S439">
        <f>[1]Source!Y471</f>
        <v>0</v>
      </c>
      <c r="T439">
        <f>[1]Source!Y472</f>
        <v>0</v>
      </c>
      <c r="U439">
        <f>ROUND((175/100)*ROUND([1]Source!R471, 2), 2)</f>
        <v>0</v>
      </c>
      <c r="V439">
        <f>ROUND((0/100)*ROUND([1]Source!R472, 2), 2)</f>
        <v>0</v>
      </c>
      <c r="AC439">
        <v>3</v>
      </c>
    </row>
    <row r="440" spans="1:29" ht="14.4" hidden="1" x14ac:dyDescent="0.25">
      <c r="A440" s="27"/>
      <c r="B440" s="27"/>
      <c r="C440" s="27" t="s">
        <v>42</v>
      </c>
      <c r="D440" s="28" t="s">
        <v>43</v>
      </c>
      <c r="E440" s="29">
        <f>[1]Source!BZ470</f>
        <v>92</v>
      </c>
      <c r="F440" s="30"/>
      <c r="G440" s="31"/>
      <c r="H440" s="29"/>
      <c r="I440" s="30">
        <f>SUM(Q433:Q439)</f>
        <v>30.75</v>
      </c>
      <c r="J440" s="29">
        <f>[1]Source!AT470</f>
        <v>92</v>
      </c>
      <c r="K440" s="30">
        <f>SUM(R433:R439)</f>
        <v>1732.56</v>
      </c>
    </row>
    <row r="441" spans="1:29" ht="14.4" hidden="1" x14ac:dyDescent="0.25">
      <c r="A441" s="27"/>
      <c r="B441" s="27"/>
      <c r="C441" s="27" t="s">
        <v>44</v>
      </c>
      <c r="D441" s="28" t="s">
        <v>43</v>
      </c>
      <c r="E441" s="29">
        <f>[1]Source!CA470</f>
        <v>49</v>
      </c>
      <c r="F441" s="30"/>
      <c r="G441" s="31"/>
      <c r="H441" s="29"/>
      <c r="I441" s="30">
        <f>SUM(S433:S440)</f>
        <v>16.38</v>
      </c>
      <c r="J441" s="29">
        <f>[1]Source!AU470</f>
        <v>49</v>
      </c>
      <c r="K441" s="30">
        <f>SUM(T433:T440)</f>
        <v>922.78</v>
      </c>
    </row>
    <row r="442" spans="1:29" ht="14.4" hidden="1" x14ac:dyDescent="0.25">
      <c r="A442" s="34"/>
      <c r="B442" s="34"/>
      <c r="C442" s="34" t="s">
        <v>45</v>
      </c>
      <c r="D442" s="35" t="s">
        <v>46</v>
      </c>
      <c r="E442" s="36">
        <f>[1]Source!AQ469</f>
        <v>11.6</v>
      </c>
      <c r="F442" s="37"/>
      <c r="G442" s="38" t="s">
        <v>37</v>
      </c>
      <c r="H442" s="36">
        <f>[1]Source!AV470</f>
        <v>1.0469999999999999</v>
      </c>
      <c r="I442" s="37">
        <f>[1]Source!U469</f>
        <v>2.7654620399999992</v>
      </c>
      <c r="J442" s="36"/>
      <c r="K442" s="37"/>
    </row>
    <row r="443" spans="1:29" ht="13.8" hidden="1" x14ac:dyDescent="0.25">
      <c r="C443" s="39" t="s">
        <v>47</v>
      </c>
      <c r="H443" s="40">
        <f>I435+I436+I438+I440+I441+SUM(I439:I439)-SUMIF(AC439:AC439, 5, I439:I439)-SUMIF(AC439:AC439, 6, I439:I439)</f>
        <v>1774</v>
      </c>
      <c r="I443" s="40"/>
      <c r="J443" s="40">
        <f>K435+K436+K438+K440+K441+SUM(K439:K439)-SUMIF(AC439:AC439, 5, K439:K439)-SUMIF(AC439:AC439, 6, K439:K439)</f>
        <v>11328.599999999999</v>
      </c>
      <c r="K443" s="40"/>
    </row>
    <row r="444" spans="1:29" ht="13.8" hidden="1" x14ac:dyDescent="0.25">
      <c r="C444" s="39" t="s">
        <v>48</v>
      </c>
      <c r="H444" s="41">
        <f>SUMIF(AC439:AC439, 5, I439:I439)+SUMIF(AC439:AC439, 6, I439:I439)</f>
        <v>0</v>
      </c>
      <c r="I444" s="41"/>
      <c r="J444" s="41">
        <f>SUMIF(AC439:AC439, 5, K439:K439)+SUMIF(AC439:AC439, 6, K439:K439)</f>
        <v>0</v>
      </c>
      <c r="K444" s="41"/>
    </row>
    <row r="445" spans="1:29" ht="13.8" hidden="1" x14ac:dyDescent="0.25">
      <c r="C445" s="39" t="s">
        <v>49</v>
      </c>
      <c r="H445" s="41">
        <f>I435+I436+I438+I440+I441+SUM(I439:I439)</f>
        <v>1774</v>
      </c>
      <c r="I445" s="41"/>
      <c r="J445" s="41">
        <f>K435+K436+K438+K440+K441+SUM(K439:K439)</f>
        <v>11328.599999999999</v>
      </c>
      <c r="K445" s="41"/>
      <c r="O445" s="42">
        <f>I435+I436+I438+I440+I441+SUM(I439:I439)</f>
        <v>1774</v>
      </c>
      <c r="P445" s="42">
        <f>K435+K436+K438+K440+K441+SUM(K439:K439)</f>
        <v>11328.599999999999</v>
      </c>
    </row>
    <row r="446" spans="1:29" hidden="1" x14ac:dyDescent="0.25"/>
    <row r="447" spans="1:29" hidden="1" x14ac:dyDescent="0.25"/>
    <row r="448" spans="1:29" ht="13.8" hidden="1" x14ac:dyDescent="0.25">
      <c r="A448" s="44" t="str">
        <f>CONCATENATE("Итого по подразделу: ",IF([1]Source!G474&lt;&gt;"Новый подраздел", [1]Source!G474, ""))</f>
        <v>Итого по подразделу: Главный вход</v>
      </c>
      <c r="B448" s="44"/>
      <c r="C448" s="44"/>
      <c r="D448" s="44"/>
      <c r="E448" s="44"/>
      <c r="F448" s="44"/>
      <c r="G448" s="44"/>
      <c r="H448" s="41">
        <f>SUM(O358:O447)</f>
        <v>222859.31</v>
      </c>
      <c r="I448" s="45"/>
      <c r="J448" s="41">
        <f>SUM(P358:P447)</f>
        <v>1479668.1900000002</v>
      </c>
      <c r="K448" s="45"/>
    </row>
    <row r="449" spans="1:29" hidden="1" x14ac:dyDescent="0.25">
      <c r="A449" t="s">
        <v>55</v>
      </c>
      <c r="I449">
        <f>SUM(W358:W448)</f>
        <v>0</v>
      </c>
      <c r="J449">
        <f>SUM(X358:X448)</f>
        <v>0</v>
      </c>
    </row>
    <row r="450" spans="1:29" hidden="1" x14ac:dyDescent="0.25">
      <c r="A450" t="s">
        <v>56</v>
      </c>
      <c r="I450">
        <f>SUM(Y358:Y449)</f>
        <v>0</v>
      </c>
      <c r="J450">
        <f>SUM(Z358:Z449)</f>
        <v>0</v>
      </c>
    </row>
    <row r="451" spans="1:29" hidden="1" x14ac:dyDescent="0.25"/>
    <row r="452" spans="1:29" ht="16.8" hidden="1" x14ac:dyDescent="0.25">
      <c r="A452" s="11" t="str">
        <f>CONCATENATE("Подраздел: ",IF([1]Source!G504&lt;&gt;"Новый подраздел", [1]Source!G504, ""))</f>
        <v>Подраздел: Второстепенные группы</v>
      </c>
      <c r="B452" s="11"/>
      <c r="C452" s="11"/>
      <c r="D452" s="11"/>
      <c r="E452" s="11"/>
      <c r="F452" s="11"/>
      <c r="G452" s="11"/>
      <c r="H452" s="11"/>
      <c r="I452" s="11"/>
      <c r="J452" s="11"/>
      <c r="K452" s="11"/>
    </row>
    <row r="453" spans="1:29" ht="69" hidden="1" x14ac:dyDescent="0.25">
      <c r="A453" s="27">
        <v>29</v>
      </c>
      <c r="B453" s="27" t="str">
        <f>[1]Source!F508</f>
        <v>3.11-36-6</v>
      </c>
      <c r="C453" s="27" t="s">
        <v>136</v>
      </c>
      <c r="D453" s="28" t="str">
        <f>[1]Source!H508</f>
        <v>100 м2</v>
      </c>
      <c r="E453" s="29">
        <f>[1]Source!I508</f>
        <v>0.55000000000000004</v>
      </c>
      <c r="F453" s="30"/>
      <c r="G453" s="31"/>
      <c r="H453" s="29"/>
      <c r="I453" s="30"/>
      <c r="J453" s="29"/>
      <c r="K453" s="30"/>
      <c r="Q453">
        <f>[1]Source!X508</f>
        <v>618.67999999999995</v>
      </c>
      <c r="R453">
        <f>[1]Source!X509</f>
        <v>34862.36</v>
      </c>
      <c r="S453">
        <f>[1]Source!Y508</f>
        <v>336.9</v>
      </c>
      <c r="T453">
        <f>[1]Source!Y509</f>
        <v>18984.45</v>
      </c>
      <c r="U453">
        <f>ROUND((175/100)*ROUND([1]Source!R508, 2), 2)</f>
        <v>20.6</v>
      </c>
      <c r="V453">
        <f>ROUND((0/100)*ROUND([1]Source!R509, 2), 2)</f>
        <v>0</v>
      </c>
      <c r="AC453">
        <v>0</v>
      </c>
    </row>
    <row r="454" spans="1:29" hidden="1" x14ac:dyDescent="0.25">
      <c r="C454" s="32" t="str">
        <f>"Объем: "&amp;[1]Source!I508&amp;"=55/"&amp;"100"</f>
        <v>Объем: 0,55=55/100</v>
      </c>
    </row>
    <row r="455" spans="1:29" ht="14.4" hidden="1" x14ac:dyDescent="0.25">
      <c r="A455" s="27"/>
      <c r="B455" s="27"/>
      <c r="C455" s="27" t="s">
        <v>36</v>
      </c>
      <c r="D455" s="28"/>
      <c r="E455" s="29"/>
      <c r="F455" s="30">
        <f>[1]Source!AO508</f>
        <v>756.01</v>
      </c>
      <c r="G455" s="31" t="s">
        <v>37</v>
      </c>
      <c r="H455" s="29">
        <f>[1]Source!AV509</f>
        <v>1.0469999999999999</v>
      </c>
      <c r="I455" s="30">
        <f>[1]Source!S508</f>
        <v>600.78</v>
      </c>
      <c r="J455" s="29">
        <f>IF([1]Source!BA509&lt;&gt; 0, [1]Source!BA509, 1)</f>
        <v>56.35</v>
      </c>
      <c r="K455" s="30">
        <f>[1]Source!S509</f>
        <v>33853.949999999997</v>
      </c>
    </row>
    <row r="456" spans="1:29" ht="14.4" hidden="1" x14ac:dyDescent="0.25">
      <c r="A456" s="27"/>
      <c r="B456" s="27"/>
      <c r="C456" s="27" t="s">
        <v>38</v>
      </c>
      <c r="D456" s="28"/>
      <c r="E456" s="29"/>
      <c r="F456" s="30">
        <f>[1]Source!AM508</f>
        <v>77.48</v>
      </c>
      <c r="G456" s="31" t="s">
        <v>39</v>
      </c>
      <c r="H456" s="29">
        <f>[1]Source!AV509</f>
        <v>1.0469999999999999</v>
      </c>
      <c r="I456" s="30">
        <f>[1]Source!Q508</f>
        <v>66.930000000000007</v>
      </c>
      <c r="J456" s="29">
        <f>IF([1]Source!BB509&lt;&gt; 0, [1]Source!BB509, 1)</f>
        <v>18.91</v>
      </c>
      <c r="K456" s="30">
        <f>[1]Source!Q509</f>
        <v>1265.6500000000001</v>
      </c>
    </row>
    <row r="457" spans="1:29" ht="14.4" hidden="1" x14ac:dyDescent="0.25">
      <c r="A457" s="27"/>
      <c r="B457" s="27"/>
      <c r="C457" s="27" t="s">
        <v>40</v>
      </c>
      <c r="D457" s="28"/>
      <c r="E457" s="29"/>
      <c r="F457" s="30">
        <f>[1]Source!AN508</f>
        <v>13.63</v>
      </c>
      <c r="G457" s="31" t="s">
        <v>39</v>
      </c>
      <c r="H457" s="29">
        <f>[1]Source!AV509</f>
        <v>1.0469999999999999</v>
      </c>
      <c r="I457" s="33">
        <f>[1]Source!R508</f>
        <v>11.77</v>
      </c>
      <c r="J457" s="29">
        <f>IF([1]Source!BS509&lt;&gt; 0, [1]Source!BS509, 1)</f>
        <v>56.35</v>
      </c>
      <c r="K457" s="33">
        <f>[1]Source!R509</f>
        <v>663.24</v>
      </c>
    </row>
    <row r="458" spans="1:29" ht="14.4" hidden="1" x14ac:dyDescent="0.25">
      <c r="A458" s="27"/>
      <c r="B458" s="27"/>
      <c r="C458" s="27" t="s">
        <v>41</v>
      </c>
      <c r="D458" s="28"/>
      <c r="E458" s="29"/>
      <c r="F458" s="30">
        <f>[1]Source!AL508</f>
        <v>7.2</v>
      </c>
      <c r="G458" s="31"/>
      <c r="H458" s="29">
        <f>[1]Source!AW509</f>
        <v>1</v>
      </c>
      <c r="I458" s="30">
        <f>[1]Source!P508</f>
        <v>3.96</v>
      </c>
      <c r="J458" s="29">
        <f>IF([1]Source!BC509&lt;&gt; 0, [1]Source!BC509, 1)</f>
        <v>5.07</v>
      </c>
      <c r="K458" s="30">
        <f>[1]Source!P509</f>
        <v>20.079999999999998</v>
      </c>
    </row>
    <row r="459" spans="1:29" ht="28.8" hidden="1" x14ac:dyDescent="0.25">
      <c r="A459" s="27" t="s">
        <v>157</v>
      </c>
      <c r="B459" s="27" t="str">
        <f>[1]Source!F510</f>
        <v>1.1-1-8209</v>
      </c>
      <c r="C459" s="27" t="s">
        <v>138</v>
      </c>
      <c r="D459" s="28" t="str">
        <f>[1]Source!H510</f>
        <v>100 шт.</v>
      </c>
      <c r="E459" s="29">
        <f>[1]Source!I510</f>
        <v>6.3745000000000003</v>
      </c>
      <c r="F459" s="30">
        <f>[1]Source!AK510</f>
        <v>7.17</v>
      </c>
      <c r="G459" s="43" t="s">
        <v>54</v>
      </c>
      <c r="H459" s="29">
        <f>[1]Source!AW511</f>
        <v>1</v>
      </c>
      <c r="I459" s="30">
        <f>[1]Source!O510</f>
        <v>45.71</v>
      </c>
      <c r="J459" s="29">
        <f>IF([1]Source!BC511&lt;&gt; 0, [1]Source!BC511, 1)</f>
        <v>9.99</v>
      </c>
      <c r="K459" s="30">
        <f>[1]Source!O511</f>
        <v>456.64</v>
      </c>
      <c r="Q459">
        <f>[1]Source!X510</f>
        <v>0</v>
      </c>
      <c r="R459">
        <f>[1]Source!X511</f>
        <v>0</v>
      </c>
      <c r="S459">
        <f>[1]Source!Y510</f>
        <v>0</v>
      </c>
      <c r="T459">
        <f>[1]Source!Y511</f>
        <v>0</v>
      </c>
      <c r="U459">
        <f>ROUND((175/100)*ROUND([1]Source!R510, 2), 2)</f>
        <v>0</v>
      </c>
      <c r="V459">
        <f>ROUND((0/100)*ROUND([1]Source!R511, 2), 2)</f>
        <v>0</v>
      </c>
      <c r="AC459">
        <v>3</v>
      </c>
    </row>
    <row r="460" spans="1:29" ht="55.2" hidden="1" x14ac:dyDescent="0.25">
      <c r="A460" s="27" t="s">
        <v>158</v>
      </c>
      <c r="B460" s="27" t="str">
        <f>[1]Source!F512</f>
        <v>1.1-1-3552</v>
      </c>
      <c r="C460" s="27" t="s">
        <v>140</v>
      </c>
      <c r="D460" s="28" t="str">
        <f>[1]Source!H512</f>
        <v>л</v>
      </c>
      <c r="E460" s="29">
        <f>[1]Source!I512</f>
        <v>7.7000000000000002E-3</v>
      </c>
      <c r="F460" s="30">
        <f>[1]Source!AK512</f>
        <v>40.159999999999997</v>
      </c>
      <c r="G460" s="43" t="s">
        <v>54</v>
      </c>
      <c r="H460" s="29">
        <f>[1]Source!AW513</f>
        <v>1</v>
      </c>
      <c r="I460" s="30">
        <f>[1]Source!O512</f>
        <v>0.31</v>
      </c>
      <c r="J460" s="29">
        <f>IF([1]Source!BC513&lt;&gt; 0, [1]Source!BC513, 1)</f>
        <v>2.64</v>
      </c>
      <c r="K460" s="30">
        <f>[1]Source!O513</f>
        <v>0.82</v>
      </c>
      <c r="Q460">
        <f>[1]Source!X512</f>
        <v>0</v>
      </c>
      <c r="R460">
        <f>[1]Source!X513</f>
        <v>0</v>
      </c>
      <c r="S460">
        <f>[1]Source!Y512</f>
        <v>0</v>
      </c>
      <c r="T460">
        <f>[1]Source!Y513</f>
        <v>0</v>
      </c>
      <c r="U460">
        <f>ROUND((175/100)*ROUND([1]Source!R512, 2), 2)</f>
        <v>0</v>
      </c>
      <c r="V460">
        <f>ROUND((0/100)*ROUND([1]Source!R513, 2), 2)</f>
        <v>0</v>
      </c>
      <c r="AC460">
        <v>3</v>
      </c>
    </row>
    <row r="461" spans="1:29" ht="96.6" hidden="1" x14ac:dyDescent="0.25">
      <c r="A461" s="27" t="s">
        <v>159</v>
      </c>
      <c r="B461" s="27" t="str">
        <f>[1]Source!F514</f>
        <v>1.3-2-50</v>
      </c>
      <c r="C461" s="27" t="s">
        <v>131</v>
      </c>
      <c r="D461" s="28" t="str">
        <f>[1]Source!H514</f>
        <v>т</v>
      </c>
      <c r="E461" s="29">
        <f>[1]Source!I514</f>
        <v>1.0999999999999999E-2</v>
      </c>
      <c r="F461" s="30">
        <f>[1]Source!AK514</f>
        <v>5978.05</v>
      </c>
      <c r="G461" s="43" t="s">
        <v>54</v>
      </c>
      <c r="H461" s="29">
        <f>[1]Source!AW515</f>
        <v>1</v>
      </c>
      <c r="I461" s="30">
        <f>[1]Source!O514</f>
        <v>65.760000000000005</v>
      </c>
      <c r="J461" s="29">
        <f>IF([1]Source!BC515&lt;&gt; 0, [1]Source!BC515, 1)</f>
        <v>15.31</v>
      </c>
      <c r="K461" s="30">
        <f>[1]Source!O515</f>
        <v>1006.79</v>
      </c>
      <c r="Q461">
        <f>[1]Source!X514</f>
        <v>0</v>
      </c>
      <c r="R461">
        <f>[1]Source!X515</f>
        <v>0</v>
      </c>
      <c r="S461">
        <f>[1]Source!Y514</f>
        <v>0</v>
      </c>
      <c r="T461">
        <f>[1]Source!Y515</f>
        <v>0</v>
      </c>
      <c r="U461">
        <f>ROUND((175/100)*ROUND([1]Source!R514, 2), 2)</f>
        <v>0</v>
      </c>
      <c r="V461">
        <f>ROUND((0/100)*ROUND([1]Source!R515, 2), 2)</f>
        <v>0</v>
      </c>
      <c r="AC461">
        <v>3</v>
      </c>
    </row>
    <row r="462" spans="1:29" ht="96.6" hidden="1" x14ac:dyDescent="0.25">
      <c r="A462" s="27" t="s">
        <v>160</v>
      </c>
      <c r="B462" s="27" t="str">
        <f>[1]Source!F516</f>
        <v>1.3-2-167</v>
      </c>
      <c r="C462" s="27" t="s">
        <v>133</v>
      </c>
      <c r="D462" s="28" t="str">
        <f>[1]Source!H516</f>
        <v>т</v>
      </c>
      <c r="E462" s="29">
        <f>[1]Source!I516</f>
        <v>0.39640700000000001</v>
      </c>
      <c r="F462" s="30">
        <f>[1]Source!AK516</f>
        <v>3963.7</v>
      </c>
      <c r="G462" s="43" t="s">
        <v>54</v>
      </c>
      <c r="H462" s="29">
        <f>[1]Source!AW517</f>
        <v>1</v>
      </c>
      <c r="I462" s="30">
        <f>[1]Source!O516</f>
        <v>1571.24</v>
      </c>
      <c r="J462" s="29">
        <f>IF([1]Source!BC517&lt;&gt; 0, [1]Source!BC517, 1)</f>
        <v>3.17</v>
      </c>
      <c r="K462" s="30">
        <f>[1]Source!O517</f>
        <v>4980.83</v>
      </c>
      <c r="Q462">
        <f>[1]Source!X516</f>
        <v>0</v>
      </c>
      <c r="R462">
        <f>[1]Source!X517</f>
        <v>0</v>
      </c>
      <c r="S462">
        <f>[1]Source!Y516</f>
        <v>0</v>
      </c>
      <c r="T462">
        <f>[1]Source!Y517</f>
        <v>0</v>
      </c>
      <c r="U462">
        <f>ROUND((175/100)*ROUND([1]Source!R516, 2), 2)</f>
        <v>0</v>
      </c>
      <c r="V462">
        <f>ROUND((0/100)*ROUND([1]Source!R517, 2), 2)</f>
        <v>0</v>
      </c>
      <c r="AC462">
        <v>3</v>
      </c>
    </row>
    <row r="463" spans="1:29" ht="55.2" hidden="1" x14ac:dyDescent="0.25">
      <c r="A463" s="27" t="s">
        <v>161</v>
      </c>
      <c r="B463" s="27" t="str">
        <f>[1]Source!F518</f>
        <v>1.1-1-3225</v>
      </c>
      <c r="C463" s="27" t="s">
        <v>126</v>
      </c>
      <c r="D463" s="28" t="str">
        <f>[1]Source!H518</f>
        <v>м2</v>
      </c>
      <c r="E463" s="29">
        <f>[1]Source!I518</f>
        <v>59.4</v>
      </c>
      <c r="F463" s="30">
        <f>[1]Source!AK518</f>
        <v>124.57</v>
      </c>
      <c r="G463" s="43" t="s">
        <v>54</v>
      </c>
      <c r="H463" s="29">
        <f>[1]Source!AW519</f>
        <v>1</v>
      </c>
      <c r="I463" s="30">
        <f>[1]Source!O518</f>
        <v>7399.46</v>
      </c>
      <c r="J463" s="29">
        <f>IF([1]Source!BC519&lt;&gt; 0, [1]Source!BC519, 1)</f>
        <v>6.63</v>
      </c>
      <c r="K463" s="30">
        <f>[1]Source!O519</f>
        <v>49058.42</v>
      </c>
      <c r="Q463">
        <f>[1]Source!X518</f>
        <v>0</v>
      </c>
      <c r="R463">
        <f>[1]Source!X519</f>
        <v>0</v>
      </c>
      <c r="S463">
        <f>[1]Source!Y518</f>
        <v>0</v>
      </c>
      <c r="T463">
        <f>[1]Source!Y519</f>
        <v>0</v>
      </c>
      <c r="U463">
        <f>ROUND((175/100)*ROUND([1]Source!R518, 2), 2)</f>
        <v>0</v>
      </c>
      <c r="V463">
        <f>ROUND((0/100)*ROUND([1]Source!R519, 2), 2)</f>
        <v>0</v>
      </c>
      <c r="AC463">
        <v>3</v>
      </c>
    </row>
    <row r="464" spans="1:29" ht="14.4" hidden="1" x14ac:dyDescent="0.25">
      <c r="A464" s="27"/>
      <c r="B464" s="27"/>
      <c r="C464" s="27" t="s">
        <v>42</v>
      </c>
      <c r="D464" s="28" t="s">
        <v>43</v>
      </c>
      <c r="E464" s="29">
        <f>[1]Source!BZ509</f>
        <v>101</v>
      </c>
      <c r="F464" s="30"/>
      <c r="G464" s="31"/>
      <c r="H464" s="29"/>
      <c r="I464" s="30">
        <f>SUM(Q453:Q463)</f>
        <v>618.67999999999995</v>
      </c>
      <c r="J464" s="29">
        <f>[1]Source!AT509</f>
        <v>101</v>
      </c>
      <c r="K464" s="30">
        <f>SUM(R453:R463)</f>
        <v>34862.36</v>
      </c>
    </row>
    <row r="465" spans="1:29" ht="14.4" hidden="1" x14ac:dyDescent="0.25">
      <c r="A465" s="27"/>
      <c r="B465" s="27"/>
      <c r="C465" s="27" t="s">
        <v>44</v>
      </c>
      <c r="D465" s="28" t="s">
        <v>43</v>
      </c>
      <c r="E465" s="29">
        <f>[1]Source!CA509</f>
        <v>55</v>
      </c>
      <c r="F465" s="30"/>
      <c r="G465" s="31"/>
      <c r="H465" s="29"/>
      <c r="I465" s="30">
        <f>SUM(S453:S464)</f>
        <v>336.9</v>
      </c>
      <c r="J465" s="29">
        <f>[1]Source!AU509</f>
        <v>55</v>
      </c>
      <c r="K465" s="30">
        <f>SUM(T453:T464)</f>
        <v>18984.45</v>
      </c>
    </row>
    <row r="466" spans="1:29" ht="14.4" hidden="1" x14ac:dyDescent="0.25">
      <c r="A466" s="34"/>
      <c r="B466" s="34"/>
      <c r="C466" s="34" t="s">
        <v>45</v>
      </c>
      <c r="D466" s="35" t="s">
        <v>46</v>
      </c>
      <c r="E466" s="36">
        <f>[1]Source!AQ508</f>
        <v>61.6</v>
      </c>
      <c r="F466" s="37"/>
      <c r="G466" s="38" t="s">
        <v>37</v>
      </c>
      <c r="H466" s="36">
        <f>[1]Source!AV509</f>
        <v>1.0469999999999999</v>
      </c>
      <c r="I466" s="37">
        <f>[1]Source!U508</f>
        <v>48.951856799999987</v>
      </c>
      <c r="J466" s="36"/>
      <c r="K466" s="37"/>
    </row>
    <row r="467" spans="1:29" ht="13.8" hidden="1" x14ac:dyDescent="0.25">
      <c r="C467" s="39" t="s">
        <v>47</v>
      </c>
      <c r="H467" s="40">
        <f>I455+I456+I458+I464+I465+SUM(I459:I463)-SUMIF(AC459:AC463, 5, I459:I463)-SUMIF(AC459:AC463, 6, I459:I463)</f>
        <v>10709.73</v>
      </c>
      <c r="I467" s="40"/>
      <c r="J467" s="40">
        <f>K455+K456+K458+K464+K465+SUM(K459:K463)-SUMIF(AC459:AC463, 5, K459:K463)-SUMIF(AC459:AC463, 6, K459:K463)</f>
        <v>144489.99</v>
      </c>
      <c r="K467" s="40"/>
    </row>
    <row r="468" spans="1:29" ht="13.8" hidden="1" x14ac:dyDescent="0.25">
      <c r="C468" s="39" t="s">
        <v>48</v>
      </c>
      <c r="H468" s="41">
        <f>SUMIF(AC459:AC463, 5, I459:I463)+SUMIF(AC459:AC463, 6, I459:I463)</f>
        <v>0</v>
      </c>
      <c r="I468" s="41"/>
      <c r="J468" s="41">
        <f>SUMIF(AC459:AC463, 5, K459:K463)+SUMIF(AC459:AC463, 6, K459:K463)</f>
        <v>0</v>
      </c>
      <c r="K468" s="41"/>
    </row>
    <row r="469" spans="1:29" ht="13.8" hidden="1" x14ac:dyDescent="0.25">
      <c r="C469" s="39" t="s">
        <v>49</v>
      </c>
      <c r="H469" s="41">
        <f>I455+I456+I458+I464+I465+SUM(I459:I463)</f>
        <v>10709.73</v>
      </c>
      <c r="I469" s="41"/>
      <c r="J469" s="41">
        <f>K455+K456+K458+K464+K465+SUM(K459:K463)</f>
        <v>144489.99</v>
      </c>
      <c r="K469" s="41"/>
      <c r="O469" s="42">
        <f>I455+I456+I458+I464+I465+SUM(I459:I463)</f>
        <v>10709.73</v>
      </c>
      <c r="P469" s="42">
        <f>K455+K456+K458+K464+K465+SUM(K459:K463)</f>
        <v>144489.99</v>
      </c>
    </row>
    <row r="470" spans="1:29" hidden="1" x14ac:dyDescent="0.25"/>
    <row r="471" spans="1:29" ht="55.2" hidden="1" x14ac:dyDescent="0.25">
      <c r="A471" s="27">
        <v>30</v>
      </c>
      <c r="B471" s="27" t="str">
        <f>[1]Source!F520</f>
        <v>3.11-36-8</v>
      </c>
      <c r="C471" s="27" t="s">
        <v>162</v>
      </c>
      <c r="D471" s="28" t="str">
        <f>[1]Source!H520</f>
        <v>100 м2</v>
      </c>
      <c r="E471" s="29">
        <f>[1]Source!I520</f>
        <v>0.55000000000000004</v>
      </c>
      <c r="F471" s="30"/>
      <c r="G471" s="31"/>
      <c r="H471" s="29"/>
      <c r="I471" s="30"/>
      <c r="J471" s="29"/>
      <c r="K471" s="30"/>
      <c r="Q471">
        <f>[1]Source!X520</f>
        <v>44.48</v>
      </c>
      <c r="R471">
        <f>[1]Source!X521</f>
        <v>2506.4699999999998</v>
      </c>
      <c r="S471">
        <f>[1]Source!Y520</f>
        <v>24.22</v>
      </c>
      <c r="T471">
        <f>[1]Source!Y521</f>
        <v>1364.91</v>
      </c>
      <c r="U471">
        <f>ROUND((175/100)*ROUND([1]Source!R520, 2), 2)</f>
        <v>4.76</v>
      </c>
      <c r="V471">
        <f>ROUND((0/100)*ROUND([1]Source!R521, 2), 2)</f>
        <v>0</v>
      </c>
      <c r="AC471">
        <v>0</v>
      </c>
    </row>
    <row r="472" spans="1:29" hidden="1" x14ac:dyDescent="0.25">
      <c r="C472" s="32" t="str">
        <f>"Объем: "&amp;[1]Source!I520&amp;"=55/"&amp;"100"</f>
        <v>Объем: 0,55=55/100</v>
      </c>
    </row>
    <row r="473" spans="1:29" ht="14.4" hidden="1" x14ac:dyDescent="0.25">
      <c r="A473" s="27"/>
      <c r="B473" s="27"/>
      <c r="C473" s="27" t="s">
        <v>36</v>
      </c>
      <c r="D473" s="28"/>
      <c r="E473" s="29"/>
      <c r="F473" s="30">
        <f>[1]Source!AO520</f>
        <v>10.4</v>
      </c>
      <c r="G473" s="31" t="s">
        <v>163</v>
      </c>
      <c r="H473" s="29">
        <f>[1]Source!AV521</f>
        <v>1.0469999999999999</v>
      </c>
      <c r="I473" s="30">
        <f>[1]Source!S520</f>
        <v>41.32</v>
      </c>
      <c r="J473" s="29">
        <f>IF([1]Source!BA521&lt;&gt; 0, [1]Source!BA521, 1)</f>
        <v>56.35</v>
      </c>
      <c r="K473" s="30">
        <f>[1]Source!S521</f>
        <v>2328.38</v>
      </c>
    </row>
    <row r="474" spans="1:29" ht="14.4" hidden="1" x14ac:dyDescent="0.25">
      <c r="A474" s="27"/>
      <c r="B474" s="27"/>
      <c r="C474" s="27" t="s">
        <v>38</v>
      </c>
      <c r="D474" s="28"/>
      <c r="E474" s="29"/>
      <c r="F474" s="30">
        <f>[1]Source!AM520</f>
        <v>3.59</v>
      </c>
      <c r="G474" s="31" t="s">
        <v>164</v>
      </c>
      <c r="H474" s="29">
        <f>[1]Source!AV521</f>
        <v>1.0469999999999999</v>
      </c>
      <c r="I474" s="30">
        <f>[1]Source!Q520</f>
        <v>15.5</v>
      </c>
      <c r="J474" s="29">
        <f>IF([1]Source!BB521&lt;&gt; 0, [1]Source!BB521, 1)</f>
        <v>18.989999999999998</v>
      </c>
      <c r="K474" s="30">
        <f>[1]Source!Q521</f>
        <v>294.35000000000002</v>
      </c>
    </row>
    <row r="475" spans="1:29" ht="14.4" hidden="1" x14ac:dyDescent="0.25">
      <c r="A475" s="27"/>
      <c r="B475" s="27"/>
      <c r="C475" s="27" t="s">
        <v>40</v>
      </c>
      <c r="D475" s="28"/>
      <c r="E475" s="29"/>
      <c r="F475" s="30">
        <f>[1]Source!AN520</f>
        <v>0.63</v>
      </c>
      <c r="G475" s="31" t="s">
        <v>164</v>
      </c>
      <c r="H475" s="29">
        <f>[1]Source!AV521</f>
        <v>1.0469999999999999</v>
      </c>
      <c r="I475" s="33">
        <f>[1]Source!R520</f>
        <v>2.72</v>
      </c>
      <c r="J475" s="29">
        <f>IF([1]Source!BS521&lt;&gt; 0, [1]Source!BS521, 1)</f>
        <v>56.35</v>
      </c>
      <c r="K475" s="33">
        <f>[1]Source!R521</f>
        <v>153.27000000000001</v>
      </c>
    </row>
    <row r="476" spans="1:29" ht="14.4" hidden="1" x14ac:dyDescent="0.25">
      <c r="A476" s="27"/>
      <c r="B476" s="27"/>
      <c r="C476" s="27" t="s">
        <v>41</v>
      </c>
      <c r="D476" s="28"/>
      <c r="E476" s="29"/>
      <c r="F476" s="30">
        <f>[1]Source!AL520</f>
        <v>0.21</v>
      </c>
      <c r="G476" s="31"/>
      <c r="H476" s="29">
        <f>[1]Source!AW521</f>
        <v>1</v>
      </c>
      <c r="I476" s="30">
        <f>[1]Source!P520</f>
        <v>0.12</v>
      </c>
      <c r="J476" s="29">
        <f>IF([1]Source!BC521&lt;&gt; 0, [1]Source!BC521, 1)</f>
        <v>7.81</v>
      </c>
      <c r="K476" s="30">
        <f>[1]Source!P521</f>
        <v>0.94</v>
      </c>
    </row>
    <row r="477" spans="1:29" ht="96.6" hidden="1" x14ac:dyDescent="0.25">
      <c r="A477" s="27" t="s">
        <v>165</v>
      </c>
      <c r="B477" s="27" t="str">
        <f>[1]Source!F522</f>
        <v>1.3-2-167</v>
      </c>
      <c r="C477" s="27" t="s">
        <v>133</v>
      </c>
      <c r="D477" s="28" t="str">
        <f>[1]Source!H522</f>
        <v>т</v>
      </c>
      <c r="E477" s="29">
        <f>[1]Source!I522</f>
        <v>0.39641300000000002</v>
      </c>
      <c r="F477" s="30">
        <f>[1]Source!AK522</f>
        <v>3963.7</v>
      </c>
      <c r="G477" s="43" t="s">
        <v>54</v>
      </c>
      <c r="H477" s="29">
        <f>[1]Source!AW523</f>
        <v>1</v>
      </c>
      <c r="I477" s="30">
        <f>[1]Source!O522</f>
        <v>1571.26</v>
      </c>
      <c r="J477" s="29">
        <f>IF([1]Source!BC523&lt;&gt; 0, [1]Source!BC523, 1)</f>
        <v>3.17</v>
      </c>
      <c r="K477" s="30">
        <f>[1]Source!O523</f>
        <v>4980.8900000000003</v>
      </c>
      <c r="Q477">
        <f>[1]Source!X522</f>
        <v>0</v>
      </c>
      <c r="R477">
        <f>[1]Source!X523</f>
        <v>0</v>
      </c>
      <c r="S477">
        <f>[1]Source!Y522</f>
        <v>0</v>
      </c>
      <c r="T477">
        <f>[1]Source!Y523</f>
        <v>0</v>
      </c>
      <c r="U477">
        <f>ROUND((175/100)*ROUND([1]Source!R522, 2), 2)</f>
        <v>0</v>
      </c>
      <c r="V477">
        <f>ROUND((0/100)*ROUND([1]Source!R523, 2), 2)</f>
        <v>0</v>
      </c>
      <c r="AC477">
        <v>3</v>
      </c>
    </row>
    <row r="478" spans="1:29" ht="14.4" hidden="1" x14ac:dyDescent="0.25">
      <c r="A478" s="27"/>
      <c r="B478" s="27"/>
      <c r="C478" s="27" t="s">
        <v>42</v>
      </c>
      <c r="D478" s="28" t="s">
        <v>43</v>
      </c>
      <c r="E478" s="29">
        <f>[1]Source!BZ521</f>
        <v>101</v>
      </c>
      <c r="F478" s="30"/>
      <c r="G478" s="31"/>
      <c r="H478" s="29"/>
      <c r="I478" s="30">
        <f>SUM(Q471:Q477)</f>
        <v>44.48</v>
      </c>
      <c r="J478" s="29">
        <f>[1]Source!AT521</f>
        <v>101</v>
      </c>
      <c r="K478" s="30">
        <f>SUM(R471:R477)</f>
        <v>2506.4699999999998</v>
      </c>
    </row>
    <row r="479" spans="1:29" ht="14.4" hidden="1" x14ac:dyDescent="0.25">
      <c r="A479" s="27"/>
      <c r="B479" s="27"/>
      <c r="C479" s="27" t="s">
        <v>44</v>
      </c>
      <c r="D479" s="28" t="s">
        <v>43</v>
      </c>
      <c r="E479" s="29">
        <f>[1]Source!CA521</f>
        <v>55</v>
      </c>
      <c r="F479" s="30"/>
      <c r="G479" s="31"/>
      <c r="H479" s="29"/>
      <c r="I479" s="30">
        <f>SUM(S471:S478)</f>
        <v>24.22</v>
      </c>
      <c r="J479" s="29">
        <f>[1]Source!AU521</f>
        <v>55</v>
      </c>
      <c r="K479" s="30">
        <f>SUM(T471:T478)</f>
        <v>1364.91</v>
      </c>
    </row>
    <row r="480" spans="1:29" ht="14.4" hidden="1" x14ac:dyDescent="0.25">
      <c r="A480" s="34"/>
      <c r="B480" s="34"/>
      <c r="C480" s="34" t="s">
        <v>45</v>
      </c>
      <c r="D480" s="35" t="s">
        <v>46</v>
      </c>
      <c r="E480" s="36">
        <f>[1]Source!AQ520</f>
        <v>0.91</v>
      </c>
      <c r="F480" s="37"/>
      <c r="G480" s="38" t="s">
        <v>163</v>
      </c>
      <c r="H480" s="36">
        <f>[1]Source!AV521</f>
        <v>1.0469999999999999</v>
      </c>
      <c r="I480" s="37">
        <f>[1]Source!U520</f>
        <v>3.6157621500000001</v>
      </c>
      <c r="J480" s="36"/>
      <c r="K480" s="37"/>
    </row>
    <row r="481" spans="1:29" ht="13.8" hidden="1" x14ac:dyDescent="0.25">
      <c r="C481" s="39" t="s">
        <v>47</v>
      </c>
      <c r="H481" s="40">
        <f>I473+I474+I476+I478+I479+SUM(I477:I477)-SUMIF(AC477:AC477, 5, I477:I477)-SUMIF(AC477:AC477, 6, I477:I477)</f>
        <v>1696.9</v>
      </c>
      <c r="I481" s="40"/>
      <c r="J481" s="40">
        <f>K473+K474+K476+K478+K479+SUM(K477:K477)-SUMIF(AC477:AC477, 5, K477:K477)-SUMIF(AC477:AC477, 6, K477:K477)</f>
        <v>11475.939999999999</v>
      </c>
      <c r="K481" s="40"/>
    </row>
    <row r="482" spans="1:29" ht="13.8" hidden="1" x14ac:dyDescent="0.25">
      <c r="C482" s="39" t="s">
        <v>48</v>
      </c>
      <c r="H482" s="41">
        <f>SUMIF(AC477:AC477, 5, I477:I477)+SUMIF(AC477:AC477, 6, I477:I477)</f>
        <v>0</v>
      </c>
      <c r="I482" s="41"/>
      <c r="J482" s="41">
        <f>SUMIF(AC477:AC477, 5, K477:K477)+SUMIF(AC477:AC477, 6, K477:K477)</f>
        <v>0</v>
      </c>
      <c r="K482" s="41"/>
    </row>
    <row r="483" spans="1:29" ht="13.8" hidden="1" x14ac:dyDescent="0.25">
      <c r="C483" s="39" t="s">
        <v>49</v>
      </c>
      <c r="H483" s="41">
        <f>I473+I474+I476+I478+I479+SUM(I477:I477)</f>
        <v>1696.9</v>
      </c>
      <c r="I483" s="41"/>
      <c r="J483" s="41">
        <f>K473+K474+K476+K478+K479+SUM(K477:K477)</f>
        <v>11475.939999999999</v>
      </c>
      <c r="K483" s="41"/>
      <c r="O483" s="42">
        <f>I473+I474+I476+I478+I479+SUM(I477:I477)</f>
        <v>1696.9</v>
      </c>
      <c r="P483" s="42">
        <f>K473+K474+K476+K478+K479+SUM(K477:K477)</f>
        <v>11475.939999999999</v>
      </c>
    </row>
    <row r="484" spans="1:29" hidden="1" x14ac:dyDescent="0.25"/>
    <row r="485" spans="1:29" ht="57.6" hidden="1" x14ac:dyDescent="0.25">
      <c r="A485" s="27">
        <v>31</v>
      </c>
      <c r="B485" s="27" t="str">
        <f>[1]Source!F524</f>
        <v>3.11-10-1</v>
      </c>
      <c r="C485" s="27" t="s">
        <v>166</v>
      </c>
      <c r="D485" s="28" t="str">
        <f>[1]Source!H524</f>
        <v>100 м2 стяжки</v>
      </c>
      <c r="E485" s="29">
        <f>[1]Source!I524</f>
        <v>0.25</v>
      </c>
      <c r="F485" s="30"/>
      <c r="G485" s="31"/>
      <c r="H485" s="29"/>
      <c r="I485" s="30"/>
      <c r="J485" s="29"/>
      <c r="K485" s="30"/>
      <c r="Q485">
        <f>[1]Source!X524</f>
        <v>88.61</v>
      </c>
      <c r="R485">
        <f>[1]Source!X525</f>
        <v>4993.03</v>
      </c>
      <c r="S485">
        <f>[1]Source!Y524</f>
        <v>48.25</v>
      </c>
      <c r="T485">
        <f>[1]Source!Y525</f>
        <v>2718.97</v>
      </c>
      <c r="U485">
        <f>ROUND((175/100)*ROUND([1]Source!R524, 2), 2)</f>
        <v>0</v>
      </c>
      <c r="V485">
        <f>ROUND((0/100)*ROUND([1]Source!R525, 2), 2)</f>
        <v>0</v>
      </c>
      <c r="AC485">
        <v>0</v>
      </c>
    </row>
    <row r="486" spans="1:29" hidden="1" x14ac:dyDescent="0.25">
      <c r="C486" s="32" t="str">
        <f>"Объем: "&amp;[1]Source!I524&amp;"=25/"&amp;"100"</f>
        <v>Объем: 0,25=25/100</v>
      </c>
    </row>
    <row r="487" spans="1:29" ht="14.4" hidden="1" x14ac:dyDescent="0.25">
      <c r="A487" s="27"/>
      <c r="B487" s="27"/>
      <c r="C487" s="27" t="s">
        <v>36</v>
      </c>
      <c r="D487" s="28"/>
      <c r="E487" s="29"/>
      <c r="F487" s="30">
        <f>[1]Source!AO524</f>
        <v>242.87</v>
      </c>
      <c r="G487" s="31" t="s">
        <v>37</v>
      </c>
      <c r="H487" s="29">
        <f>[1]Source!AV525</f>
        <v>1.0469999999999999</v>
      </c>
      <c r="I487" s="30">
        <f>[1]Source!S524</f>
        <v>87.73</v>
      </c>
      <c r="J487" s="29">
        <f>IF([1]Source!BA525&lt;&gt; 0, [1]Source!BA525, 1)</f>
        <v>56.35</v>
      </c>
      <c r="K487" s="30">
        <f>[1]Source!S525</f>
        <v>4943.59</v>
      </c>
    </row>
    <row r="488" spans="1:29" ht="14.4" hidden="1" x14ac:dyDescent="0.25">
      <c r="A488" s="27"/>
      <c r="B488" s="27"/>
      <c r="C488" s="27" t="s">
        <v>38</v>
      </c>
      <c r="D488" s="28"/>
      <c r="E488" s="29"/>
      <c r="F488" s="30">
        <f>[1]Source!AM524</f>
        <v>1.8</v>
      </c>
      <c r="G488" s="31" t="s">
        <v>39</v>
      </c>
      <c r="H488" s="29">
        <f>[1]Source!AV525</f>
        <v>1.0469999999999999</v>
      </c>
      <c r="I488" s="30">
        <f>[1]Source!Q524</f>
        <v>0.71</v>
      </c>
      <c r="J488" s="29">
        <f>IF([1]Source!BB525&lt;&gt; 0, [1]Source!BB525, 1)</f>
        <v>11.69</v>
      </c>
      <c r="K488" s="30">
        <f>[1]Source!Q525</f>
        <v>8.3000000000000007</v>
      </c>
    </row>
    <row r="489" spans="1:29" ht="14.4" hidden="1" x14ac:dyDescent="0.25">
      <c r="A489" s="27"/>
      <c r="B489" s="27"/>
      <c r="C489" s="27" t="s">
        <v>41</v>
      </c>
      <c r="D489" s="28"/>
      <c r="E489" s="29"/>
      <c r="F489" s="30">
        <f>[1]Source!AL524</f>
        <v>24.75</v>
      </c>
      <c r="G489" s="31"/>
      <c r="H489" s="29">
        <f>[1]Source!AW525</f>
        <v>1</v>
      </c>
      <c r="I489" s="30">
        <f>[1]Source!P524</f>
        <v>6.19</v>
      </c>
      <c r="J489" s="29">
        <f>IF([1]Source!BC525&lt;&gt; 0, [1]Source!BC525, 1)</f>
        <v>7.75</v>
      </c>
      <c r="K489" s="30">
        <f>[1]Source!P525</f>
        <v>47.97</v>
      </c>
    </row>
    <row r="490" spans="1:29" ht="27.6" hidden="1" x14ac:dyDescent="0.25">
      <c r="A490" s="27" t="s">
        <v>167</v>
      </c>
      <c r="B490" s="27" t="str">
        <f>[1]Source!F526</f>
        <v>1.3-2-6</v>
      </c>
      <c r="C490" s="27" t="s">
        <v>149</v>
      </c>
      <c r="D490" s="28" t="str">
        <f>[1]Source!H526</f>
        <v>м3</v>
      </c>
      <c r="E490" s="29">
        <f>[1]Source!I526</f>
        <v>0.51</v>
      </c>
      <c r="F490" s="30">
        <f>[1]Source!AK526</f>
        <v>467.32</v>
      </c>
      <c r="G490" s="43" t="s">
        <v>54</v>
      </c>
      <c r="H490" s="29">
        <f>[1]Source!AW527</f>
        <v>1</v>
      </c>
      <c r="I490" s="30">
        <f>[1]Source!O526</f>
        <v>238.33</v>
      </c>
      <c r="J490" s="29">
        <f>IF([1]Source!BC527&lt;&gt; 0, [1]Source!BC527, 1)</f>
        <v>11.07</v>
      </c>
      <c r="K490" s="30">
        <f>[1]Source!O527</f>
        <v>2638.31</v>
      </c>
      <c r="Q490">
        <f>[1]Source!X526</f>
        <v>0</v>
      </c>
      <c r="R490">
        <f>[1]Source!X527</f>
        <v>0</v>
      </c>
      <c r="S490">
        <f>[1]Source!Y526</f>
        <v>0</v>
      </c>
      <c r="T490">
        <f>[1]Source!Y527</f>
        <v>0</v>
      </c>
      <c r="U490">
        <f>ROUND((175/100)*ROUND([1]Source!R526, 2), 2)</f>
        <v>0</v>
      </c>
      <c r="V490">
        <f>ROUND((0/100)*ROUND([1]Source!R527, 2), 2)</f>
        <v>0</v>
      </c>
      <c r="AC490">
        <v>3</v>
      </c>
    </row>
    <row r="491" spans="1:29" ht="14.4" hidden="1" x14ac:dyDescent="0.25">
      <c r="A491" s="27"/>
      <c r="B491" s="27"/>
      <c r="C491" s="27" t="s">
        <v>42</v>
      </c>
      <c r="D491" s="28" t="s">
        <v>43</v>
      </c>
      <c r="E491" s="29">
        <f>[1]Source!BZ525</f>
        <v>101</v>
      </c>
      <c r="F491" s="30"/>
      <c r="G491" s="31"/>
      <c r="H491" s="29"/>
      <c r="I491" s="30">
        <f>SUM(Q485:Q490)</f>
        <v>88.61</v>
      </c>
      <c r="J491" s="29">
        <f>[1]Source!AT525</f>
        <v>101</v>
      </c>
      <c r="K491" s="30">
        <f>SUM(R485:R490)</f>
        <v>4993.03</v>
      </c>
    </row>
    <row r="492" spans="1:29" ht="14.4" hidden="1" x14ac:dyDescent="0.25">
      <c r="A492" s="27"/>
      <c r="B492" s="27"/>
      <c r="C492" s="27" t="s">
        <v>44</v>
      </c>
      <c r="D492" s="28" t="s">
        <v>43</v>
      </c>
      <c r="E492" s="29">
        <f>[1]Source!CA525</f>
        <v>55</v>
      </c>
      <c r="F492" s="30"/>
      <c r="G492" s="31"/>
      <c r="H492" s="29"/>
      <c r="I492" s="30">
        <f>SUM(S485:S491)</f>
        <v>48.25</v>
      </c>
      <c r="J492" s="29">
        <f>[1]Source!AU525</f>
        <v>55</v>
      </c>
      <c r="K492" s="30">
        <f>SUM(T485:T491)</f>
        <v>2718.97</v>
      </c>
    </row>
    <row r="493" spans="1:29" ht="14.4" hidden="1" x14ac:dyDescent="0.25">
      <c r="A493" s="34"/>
      <c r="B493" s="34"/>
      <c r="C493" s="34" t="s">
        <v>45</v>
      </c>
      <c r="D493" s="35" t="s">
        <v>46</v>
      </c>
      <c r="E493" s="36">
        <f>[1]Source!AQ524</f>
        <v>23.33</v>
      </c>
      <c r="F493" s="37"/>
      <c r="G493" s="38" t="s">
        <v>37</v>
      </c>
      <c r="H493" s="36">
        <f>[1]Source!AV525</f>
        <v>1.0469999999999999</v>
      </c>
      <c r="I493" s="37">
        <f>[1]Source!U524</f>
        <v>8.4271459499999981</v>
      </c>
      <c r="J493" s="36"/>
      <c r="K493" s="37"/>
    </row>
    <row r="494" spans="1:29" ht="13.8" hidden="1" x14ac:dyDescent="0.25">
      <c r="C494" s="39" t="s">
        <v>47</v>
      </c>
      <c r="H494" s="40">
        <f>I487+I488+I489+I491+I492+SUM(I490:I490)-SUMIF(AC490:AC490, 5, I490:I490)-SUMIF(AC490:AC490, 6, I490:I490)</f>
        <v>469.82000000000005</v>
      </c>
      <c r="I494" s="40"/>
      <c r="J494" s="40">
        <f>K487+K488+K489+K491+K492+SUM(K490:K490)-SUMIF(AC490:AC490, 5, K490:K490)-SUMIF(AC490:AC490, 6, K490:K490)</f>
        <v>15350.169999999998</v>
      </c>
      <c r="K494" s="40"/>
    </row>
    <row r="495" spans="1:29" ht="13.8" hidden="1" x14ac:dyDescent="0.25">
      <c r="C495" s="39" t="s">
        <v>48</v>
      </c>
      <c r="H495" s="41">
        <f>SUMIF(AC490:AC490, 5, I490:I490)+SUMIF(AC490:AC490, 6, I490:I490)</f>
        <v>0</v>
      </c>
      <c r="I495" s="41"/>
      <c r="J495" s="41">
        <f>SUMIF(AC490:AC490, 5, K490:K490)+SUMIF(AC490:AC490, 6, K490:K490)</f>
        <v>0</v>
      </c>
      <c r="K495" s="41"/>
    </row>
    <row r="496" spans="1:29" ht="13.8" hidden="1" x14ac:dyDescent="0.25">
      <c r="C496" s="39" t="s">
        <v>49</v>
      </c>
      <c r="H496" s="41">
        <f>I487+I488+I489+I491+I492+SUM(I490:I490)</f>
        <v>469.82000000000005</v>
      </c>
      <c r="I496" s="41"/>
      <c r="J496" s="41">
        <f>K487+K488+K489+K491+K492+SUM(K490:K490)</f>
        <v>15350.169999999998</v>
      </c>
      <c r="K496" s="41"/>
      <c r="O496" s="42">
        <f>I487+I488+I489+I491+I492+SUM(I490:I490)</f>
        <v>469.82000000000005</v>
      </c>
      <c r="P496" s="42">
        <f>K487+K488+K489+K491+K492+SUM(K490:K490)</f>
        <v>15350.169999999998</v>
      </c>
    </row>
    <row r="497" spans="1:29" hidden="1" x14ac:dyDescent="0.25"/>
    <row r="498" spans="1:29" ht="57.6" hidden="1" x14ac:dyDescent="0.25">
      <c r="A498" s="27">
        <v>32</v>
      </c>
      <c r="B498" s="27" t="str">
        <f>[1]Source!F528</f>
        <v>3.11-10-2</v>
      </c>
      <c r="C498" s="27" t="s">
        <v>168</v>
      </c>
      <c r="D498" s="28" t="str">
        <f>[1]Source!H528</f>
        <v>100 м2 стяжки</v>
      </c>
      <c r="E498" s="29">
        <f>[1]Source!I528</f>
        <v>0.25</v>
      </c>
      <c r="F498" s="30"/>
      <c r="G498" s="31"/>
      <c r="H498" s="29"/>
      <c r="I498" s="30"/>
      <c r="J498" s="29"/>
      <c r="K498" s="30"/>
      <c r="Q498">
        <f>[1]Source!X528</f>
        <v>9.85</v>
      </c>
      <c r="R498">
        <f>[1]Source!X529</f>
        <v>554.9</v>
      </c>
      <c r="S498">
        <f>[1]Source!Y528</f>
        <v>5.36</v>
      </c>
      <c r="T498">
        <f>[1]Source!Y529</f>
        <v>302.18</v>
      </c>
      <c r="U498">
        <f>ROUND((175/100)*ROUND([1]Source!R528, 2), 2)</f>
        <v>0</v>
      </c>
      <c r="V498">
        <f>ROUND((0/100)*ROUND([1]Source!R529, 2), 2)</f>
        <v>0</v>
      </c>
      <c r="AC498">
        <v>0</v>
      </c>
    </row>
    <row r="499" spans="1:29" hidden="1" x14ac:dyDescent="0.25">
      <c r="C499" s="32" t="str">
        <f>"Объем: "&amp;[1]Source!I528&amp;"=25/"&amp;"100"</f>
        <v>Объем: 0,25=25/100</v>
      </c>
    </row>
    <row r="500" spans="1:29" ht="14.4" hidden="1" x14ac:dyDescent="0.25">
      <c r="A500" s="27"/>
      <c r="B500" s="27"/>
      <c r="C500" s="27" t="s">
        <v>36</v>
      </c>
      <c r="D500" s="28"/>
      <c r="E500" s="29"/>
      <c r="F500" s="30">
        <f>[1]Source!AO528</f>
        <v>4.5</v>
      </c>
      <c r="G500" s="31" t="s">
        <v>169</v>
      </c>
      <c r="H500" s="29">
        <f>[1]Source!AV529</f>
        <v>1.0469999999999999</v>
      </c>
      <c r="I500" s="30">
        <f>[1]Source!S528</f>
        <v>9.75</v>
      </c>
      <c r="J500" s="29">
        <f>IF([1]Source!BA529&lt;&gt; 0, [1]Source!BA529, 1)</f>
        <v>56.35</v>
      </c>
      <c r="K500" s="30">
        <f>[1]Source!S529</f>
        <v>549.41</v>
      </c>
    </row>
    <row r="501" spans="1:29" ht="14.4" hidden="1" x14ac:dyDescent="0.25">
      <c r="A501" s="27"/>
      <c r="B501" s="27"/>
      <c r="C501" s="27" t="s">
        <v>38</v>
      </c>
      <c r="D501" s="28"/>
      <c r="E501" s="29"/>
      <c r="F501" s="30">
        <f>[1]Source!AM528</f>
        <v>0.46</v>
      </c>
      <c r="G501" s="31" t="s">
        <v>170</v>
      </c>
      <c r="H501" s="29">
        <f>[1]Source!AV529</f>
        <v>1.0469999999999999</v>
      </c>
      <c r="I501" s="30">
        <f>[1]Source!Q528</f>
        <v>1.08</v>
      </c>
      <c r="J501" s="29">
        <f>IF([1]Source!BB529&lt;&gt; 0, [1]Source!BB529, 1)</f>
        <v>11.7</v>
      </c>
      <c r="K501" s="30">
        <f>[1]Source!Q529</f>
        <v>12.64</v>
      </c>
    </row>
    <row r="502" spans="1:29" ht="27.6" hidden="1" x14ac:dyDescent="0.25">
      <c r="A502" s="27" t="s">
        <v>171</v>
      </c>
      <c r="B502" s="27" t="str">
        <f>[1]Source!F530</f>
        <v>1.3-2-6</v>
      </c>
      <c r="C502" s="27" t="s">
        <v>149</v>
      </c>
      <c r="D502" s="28" t="str">
        <f>[1]Source!H530</f>
        <v>м3</v>
      </c>
      <c r="E502" s="29">
        <f>[1]Source!I530</f>
        <v>0.76500000000000001</v>
      </c>
      <c r="F502" s="30">
        <f>[1]Source!AK530</f>
        <v>467.32</v>
      </c>
      <c r="G502" s="43" t="s">
        <v>54</v>
      </c>
      <c r="H502" s="29">
        <f>[1]Source!AW531</f>
        <v>1</v>
      </c>
      <c r="I502" s="30">
        <f>[1]Source!O530</f>
        <v>357.5</v>
      </c>
      <c r="J502" s="29">
        <f>IF([1]Source!BC531&lt;&gt; 0, [1]Source!BC531, 1)</f>
        <v>11.07</v>
      </c>
      <c r="K502" s="30">
        <f>[1]Source!O531</f>
        <v>3957.53</v>
      </c>
      <c r="Q502">
        <f>[1]Source!X530</f>
        <v>0</v>
      </c>
      <c r="R502">
        <f>[1]Source!X531</f>
        <v>0</v>
      </c>
      <c r="S502">
        <f>[1]Source!Y530</f>
        <v>0</v>
      </c>
      <c r="T502">
        <f>[1]Source!Y531</f>
        <v>0</v>
      </c>
      <c r="U502">
        <f>ROUND((175/100)*ROUND([1]Source!R530, 2), 2)</f>
        <v>0</v>
      </c>
      <c r="V502">
        <f>ROUND((0/100)*ROUND([1]Source!R531, 2), 2)</f>
        <v>0</v>
      </c>
      <c r="AC502">
        <v>3</v>
      </c>
    </row>
    <row r="503" spans="1:29" ht="14.4" hidden="1" x14ac:dyDescent="0.25">
      <c r="A503" s="27"/>
      <c r="B503" s="27"/>
      <c r="C503" s="27" t="s">
        <v>42</v>
      </c>
      <c r="D503" s="28" t="s">
        <v>43</v>
      </c>
      <c r="E503" s="29">
        <f>[1]Source!BZ529</f>
        <v>101</v>
      </c>
      <c r="F503" s="30"/>
      <c r="G503" s="31"/>
      <c r="H503" s="29"/>
      <c r="I503" s="30">
        <f>SUM(Q498:Q502)</f>
        <v>9.85</v>
      </c>
      <c r="J503" s="29">
        <f>[1]Source!AT529</f>
        <v>101</v>
      </c>
      <c r="K503" s="30">
        <f>SUM(R498:R502)</f>
        <v>554.9</v>
      </c>
    </row>
    <row r="504" spans="1:29" ht="14.4" hidden="1" x14ac:dyDescent="0.25">
      <c r="A504" s="27"/>
      <c r="B504" s="27"/>
      <c r="C504" s="27" t="s">
        <v>44</v>
      </c>
      <c r="D504" s="28" t="s">
        <v>43</v>
      </c>
      <c r="E504" s="29">
        <f>[1]Source!CA529</f>
        <v>55</v>
      </c>
      <c r="F504" s="30"/>
      <c r="G504" s="31"/>
      <c r="H504" s="29"/>
      <c r="I504" s="30">
        <f>SUM(S498:S503)</f>
        <v>5.36</v>
      </c>
      <c r="J504" s="29">
        <f>[1]Source!AU529</f>
        <v>55</v>
      </c>
      <c r="K504" s="30">
        <f>SUM(T498:T503)</f>
        <v>302.18</v>
      </c>
    </row>
    <row r="505" spans="1:29" ht="14.4" hidden="1" x14ac:dyDescent="0.25">
      <c r="A505" s="34"/>
      <c r="B505" s="34"/>
      <c r="C505" s="34" t="s">
        <v>45</v>
      </c>
      <c r="D505" s="35" t="s">
        <v>46</v>
      </c>
      <c r="E505" s="36">
        <f>[1]Source!AQ528</f>
        <v>0.44</v>
      </c>
      <c r="F505" s="37"/>
      <c r="G505" s="38" t="s">
        <v>169</v>
      </c>
      <c r="H505" s="36">
        <f>[1]Source!AV529</f>
        <v>1.0469999999999999</v>
      </c>
      <c r="I505" s="37">
        <f>[1]Source!U528</f>
        <v>0.95360759999999989</v>
      </c>
      <c r="J505" s="36"/>
      <c r="K505" s="37"/>
    </row>
    <row r="506" spans="1:29" ht="13.8" hidden="1" x14ac:dyDescent="0.25">
      <c r="C506" s="39" t="s">
        <v>47</v>
      </c>
      <c r="H506" s="40">
        <f>I500+I501+I503+I504+SUM(I502:I502)-SUMIF(AC502:AC502, 5, I502:I502)-SUMIF(AC502:AC502, 6, I502:I502)</f>
        <v>383.54</v>
      </c>
      <c r="I506" s="40"/>
      <c r="J506" s="40">
        <f>K500+K501+K503+K504+SUM(K502:K502)-SUMIF(AC502:AC502, 5, K502:K502)-SUMIF(AC502:AC502, 6, K502:K502)</f>
        <v>5376.66</v>
      </c>
      <c r="K506" s="40"/>
    </row>
    <row r="507" spans="1:29" ht="13.8" hidden="1" x14ac:dyDescent="0.25">
      <c r="C507" s="39" t="s">
        <v>48</v>
      </c>
      <c r="H507" s="41">
        <f>SUMIF(AC502:AC502, 5, I502:I502)+SUMIF(AC502:AC502, 6, I502:I502)</f>
        <v>0</v>
      </c>
      <c r="I507" s="41"/>
      <c r="J507" s="41">
        <f>SUMIF(AC502:AC502, 5, K502:K502)+SUMIF(AC502:AC502, 6, K502:K502)</f>
        <v>0</v>
      </c>
      <c r="K507" s="41"/>
    </row>
    <row r="508" spans="1:29" ht="13.8" hidden="1" x14ac:dyDescent="0.25">
      <c r="C508" s="39" t="s">
        <v>49</v>
      </c>
      <c r="H508" s="41">
        <f>I500+I501+I503+I504+SUM(I502:I502)</f>
        <v>383.54</v>
      </c>
      <c r="I508" s="41"/>
      <c r="J508" s="41">
        <f>K500+K501+K503+K504+SUM(K502:K502)</f>
        <v>5376.66</v>
      </c>
      <c r="K508" s="41"/>
      <c r="O508" s="42">
        <f>I500+I501+I503+I504+SUM(I502:I502)</f>
        <v>383.54</v>
      </c>
      <c r="P508" s="42">
        <f>K500+K501+K503+K504+SUM(K502:K502)</f>
        <v>5376.66</v>
      </c>
    </row>
    <row r="509" spans="1:29" hidden="1" x14ac:dyDescent="0.25"/>
    <row r="510" spans="1:29" ht="27.6" hidden="1" x14ac:dyDescent="0.25">
      <c r="A510" s="27">
        <v>33</v>
      </c>
      <c r="B510" s="27" t="str">
        <f>[1]Source!F532</f>
        <v>3.6-6-10</v>
      </c>
      <c r="C510" s="27" t="s">
        <v>154</v>
      </c>
      <c r="D510" s="28" t="str">
        <f>[1]Source!H532</f>
        <v>1 Т</v>
      </c>
      <c r="E510" s="29">
        <f>[1]Source!I532</f>
        <v>6.88E-2</v>
      </c>
      <c r="F510" s="30"/>
      <c r="G510" s="31"/>
      <c r="H510" s="29"/>
      <c r="I510" s="30"/>
      <c r="J510" s="29"/>
      <c r="K510" s="30"/>
      <c r="Q510">
        <f>[1]Source!X532</f>
        <v>12.82</v>
      </c>
      <c r="R510">
        <f>[1]Source!X533</f>
        <v>722.68</v>
      </c>
      <c r="S510">
        <f>[1]Source!Y532</f>
        <v>6.83</v>
      </c>
      <c r="T510">
        <f>[1]Source!Y533</f>
        <v>384.9</v>
      </c>
      <c r="U510">
        <f>ROUND((175/100)*ROUND([1]Source!R532, 2), 2)</f>
        <v>0.96</v>
      </c>
      <c r="V510">
        <f>ROUND((0/100)*ROUND([1]Source!R533, 2), 2)</f>
        <v>0</v>
      </c>
      <c r="AC510">
        <v>0</v>
      </c>
    </row>
    <row r="511" spans="1:29" hidden="1" x14ac:dyDescent="0.25">
      <c r="C511" s="32" t="str">
        <f>"Объем: "&amp;[1]Source!I532&amp;"=2,75*"&amp;"25/"&amp;"1000"</f>
        <v>Объем: 0,0688=2,75*25/1000</v>
      </c>
    </row>
    <row r="512" spans="1:29" ht="14.4" hidden="1" x14ac:dyDescent="0.25">
      <c r="A512" s="27"/>
      <c r="B512" s="27"/>
      <c r="C512" s="27" t="s">
        <v>36</v>
      </c>
      <c r="D512" s="28"/>
      <c r="E512" s="29"/>
      <c r="F512" s="30">
        <f>[1]Source!AO532</f>
        <v>134.68</v>
      </c>
      <c r="G512" s="31" t="s">
        <v>37</v>
      </c>
      <c r="H512" s="29">
        <f>[1]Source!AV533</f>
        <v>1.0469999999999999</v>
      </c>
      <c r="I512" s="30">
        <f>[1]Source!S532</f>
        <v>13.39</v>
      </c>
      <c r="J512" s="29">
        <f>IF([1]Source!BA533&lt;&gt; 0, [1]Source!BA533, 1)</f>
        <v>56.35</v>
      </c>
      <c r="K512" s="30">
        <f>[1]Source!S533</f>
        <v>754.53</v>
      </c>
    </row>
    <row r="513" spans="1:29" ht="14.4" hidden="1" x14ac:dyDescent="0.25">
      <c r="A513" s="27"/>
      <c r="B513" s="27"/>
      <c r="C513" s="27" t="s">
        <v>38</v>
      </c>
      <c r="D513" s="28"/>
      <c r="E513" s="29"/>
      <c r="F513" s="30">
        <f>[1]Source!AM532</f>
        <v>43.5</v>
      </c>
      <c r="G513" s="31" t="s">
        <v>39</v>
      </c>
      <c r="H513" s="29">
        <f>[1]Source!AV533</f>
        <v>1.0469999999999999</v>
      </c>
      <c r="I513" s="30">
        <f>[1]Source!Q532</f>
        <v>4.7</v>
      </c>
      <c r="J513" s="29">
        <f>IF([1]Source!BB533&lt;&gt; 0, [1]Source!BB533, 1)</f>
        <v>15.44</v>
      </c>
      <c r="K513" s="30">
        <f>[1]Source!Q533</f>
        <v>72.569999999999993</v>
      </c>
    </row>
    <row r="514" spans="1:29" ht="14.4" hidden="1" x14ac:dyDescent="0.25">
      <c r="A514" s="27"/>
      <c r="B514" s="27"/>
      <c r="C514" s="27" t="s">
        <v>40</v>
      </c>
      <c r="D514" s="28"/>
      <c r="E514" s="29"/>
      <c r="F514" s="30">
        <f>[1]Source!AN532</f>
        <v>5.0599999999999996</v>
      </c>
      <c r="G514" s="31" t="s">
        <v>39</v>
      </c>
      <c r="H514" s="29">
        <f>[1]Source!AV533</f>
        <v>1.0469999999999999</v>
      </c>
      <c r="I514" s="33">
        <f>[1]Source!R532</f>
        <v>0.55000000000000004</v>
      </c>
      <c r="J514" s="29">
        <f>IF([1]Source!BS533&lt;&gt; 0, [1]Source!BS533, 1)</f>
        <v>56.35</v>
      </c>
      <c r="K514" s="33">
        <f>[1]Source!R533</f>
        <v>30.99</v>
      </c>
    </row>
    <row r="515" spans="1:29" ht="14.4" hidden="1" x14ac:dyDescent="0.25">
      <c r="A515" s="27"/>
      <c r="B515" s="27"/>
      <c r="C515" s="27" t="s">
        <v>41</v>
      </c>
      <c r="D515" s="28"/>
      <c r="E515" s="29"/>
      <c r="F515" s="30">
        <f>[1]Source!AL532</f>
        <v>258.67</v>
      </c>
      <c r="G515" s="31"/>
      <c r="H515" s="29">
        <f>[1]Source!AW533</f>
        <v>1.022</v>
      </c>
      <c r="I515" s="30">
        <f>[1]Source!P532</f>
        <v>18.190000000000001</v>
      </c>
      <c r="J515" s="29">
        <f>IF([1]Source!BC533&lt;&gt; 0, [1]Source!BC533, 1)</f>
        <v>7.5</v>
      </c>
      <c r="K515" s="30">
        <f>[1]Source!P533</f>
        <v>136.43</v>
      </c>
    </row>
    <row r="516" spans="1:29" ht="55.2" hidden="1" x14ac:dyDescent="0.25">
      <c r="A516" s="27" t="s">
        <v>172</v>
      </c>
      <c r="B516" s="27" t="str">
        <f>[1]Source!F534</f>
        <v>1.3-4-75</v>
      </c>
      <c r="C516" s="27" t="s">
        <v>156</v>
      </c>
      <c r="D516" s="28" t="str">
        <f>[1]Source!H534</f>
        <v>т</v>
      </c>
      <c r="E516" s="29">
        <f>[1]Source!I534</f>
        <v>6.88E-2</v>
      </c>
      <c r="F516" s="30">
        <f>[1]Source!AK534</f>
        <v>9724.69</v>
      </c>
      <c r="G516" s="43" t="s">
        <v>54</v>
      </c>
      <c r="H516" s="29">
        <f>[1]Source!AW535</f>
        <v>1.022</v>
      </c>
      <c r="I516" s="30">
        <f>[1]Source!O534</f>
        <v>683.78</v>
      </c>
      <c r="J516" s="29">
        <f>IF([1]Source!BC535&lt;&gt; 0, [1]Source!BC535, 1)</f>
        <v>3.88</v>
      </c>
      <c r="K516" s="30">
        <f>[1]Source!O535</f>
        <v>2653.07</v>
      </c>
      <c r="Q516">
        <f>[1]Source!X534</f>
        <v>0</v>
      </c>
      <c r="R516">
        <f>[1]Source!X535</f>
        <v>0</v>
      </c>
      <c r="S516">
        <f>[1]Source!Y534</f>
        <v>0</v>
      </c>
      <c r="T516">
        <f>[1]Source!Y535</f>
        <v>0</v>
      </c>
      <c r="U516">
        <f>ROUND((175/100)*ROUND([1]Source!R534, 2), 2)</f>
        <v>0</v>
      </c>
      <c r="V516">
        <f>ROUND((0/100)*ROUND([1]Source!R535, 2), 2)</f>
        <v>0</v>
      </c>
      <c r="AC516">
        <v>3</v>
      </c>
    </row>
    <row r="517" spans="1:29" ht="14.4" hidden="1" x14ac:dyDescent="0.25">
      <c r="A517" s="27"/>
      <c r="B517" s="27"/>
      <c r="C517" s="27" t="s">
        <v>42</v>
      </c>
      <c r="D517" s="28" t="s">
        <v>43</v>
      </c>
      <c r="E517" s="29">
        <f>[1]Source!BZ533</f>
        <v>92</v>
      </c>
      <c r="F517" s="30"/>
      <c r="G517" s="31"/>
      <c r="H517" s="29"/>
      <c r="I517" s="30">
        <f>SUM(Q510:Q516)</f>
        <v>12.82</v>
      </c>
      <c r="J517" s="29">
        <f>[1]Source!AT533</f>
        <v>92</v>
      </c>
      <c r="K517" s="30">
        <f>SUM(R510:R516)</f>
        <v>722.68</v>
      </c>
    </row>
    <row r="518" spans="1:29" ht="14.4" hidden="1" x14ac:dyDescent="0.25">
      <c r="A518" s="27"/>
      <c r="B518" s="27"/>
      <c r="C518" s="27" t="s">
        <v>44</v>
      </c>
      <c r="D518" s="28" t="s">
        <v>43</v>
      </c>
      <c r="E518" s="29">
        <f>[1]Source!CA533</f>
        <v>49</v>
      </c>
      <c r="F518" s="30"/>
      <c r="G518" s="31"/>
      <c r="H518" s="29"/>
      <c r="I518" s="30">
        <f>SUM(S510:S517)</f>
        <v>6.83</v>
      </c>
      <c r="J518" s="29">
        <f>[1]Source!AU533</f>
        <v>49</v>
      </c>
      <c r="K518" s="30">
        <f>SUM(T510:T517)</f>
        <v>384.9</v>
      </c>
    </row>
    <row r="519" spans="1:29" ht="14.4" hidden="1" x14ac:dyDescent="0.25">
      <c r="A519" s="34"/>
      <c r="B519" s="34"/>
      <c r="C519" s="34" t="s">
        <v>45</v>
      </c>
      <c r="D519" s="35" t="s">
        <v>46</v>
      </c>
      <c r="E519" s="36">
        <f>[1]Source!AQ532</f>
        <v>11.6</v>
      </c>
      <c r="F519" s="37"/>
      <c r="G519" s="38" t="s">
        <v>37</v>
      </c>
      <c r="H519" s="36">
        <f>[1]Source!AV533</f>
        <v>1.0469999999999999</v>
      </c>
      <c r="I519" s="37">
        <f>[1]Source!U532</f>
        <v>1.1531138687999996</v>
      </c>
      <c r="J519" s="36"/>
      <c r="K519" s="37"/>
    </row>
    <row r="520" spans="1:29" ht="13.8" hidden="1" x14ac:dyDescent="0.25">
      <c r="C520" s="39" t="s">
        <v>47</v>
      </c>
      <c r="H520" s="40">
        <f>I512+I513+I515+I517+I518+SUM(I516:I516)-SUMIF(AC516:AC516, 5, I516:I516)-SUMIF(AC516:AC516, 6, I516:I516)</f>
        <v>739.70999999999992</v>
      </c>
      <c r="I520" s="40"/>
      <c r="J520" s="40">
        <f>K512+K513+K515+K517+K518+SUM(K516:K516)-SUMIF(AC516:AC516, 5, K516:K516)-SUMIF(AC516:AC516, 6, K516:K516)</f>
        <v>4724.18</v>
      </c>
      <c r="K520" s="40"/>
    </row>
    <row r="521" spans="1:29" ht="13.8" hidden="1" x14ac:dyDescent="0.25">
      <c r="C521" s="39" t="s">
        <v>48</v>
      </c>
      <c r="H521" s="41">
        <f>SUMIF(AC516:AC516, 5, I516:I516)+SUMIF(AC516:AC516, 6, I516:I516)</f>
        <v>0</v>
      </c>
      <c r="I521" s="41"/>
      <c r="J521" s="41">
        <f>SUMIF(AC516:AC516, 5, K516:K516)+SUMIF(AC516:AC516, 6, K516:K516)</f>
        <v>0</v>
      </c>
      <c r="K521" s="41"/>
    </row>
    <row r="522" spans="1:29" ht="13.8" hidden="1" x14ac:dyDescent="0.25">
      <c r="C522" s="39" t="s">
        <v>49</v>
      </c>
      <c r="H522" s="41">
        <f>I512+I513+I515+I517+I518+SUM(I516:I516)</f>
        <v>739.70999999999992</v>
      </c>
      <c r="I522" s="41"/>
      <c r="J522" s="41">
        <f>K512+K513+K515+K517+K518+SUM(K516:K516)</f>
        <v>4724.18</v>
      </c>
      <c r="K522" s="41"/>
      <c r="O522" s="42">
        <f>I512+I513+I515+I517+I518+SUM(I516:I516)</f>
        <v>739.70999999999992</v>
      </c>
      <c r="P522" s="42">
        <f>K512+K513+K515+K517+K518+SUM(K516:K516)</f>
        <v>4724.18</v>
      </c>
    </row>
    <row r="523" spans="1:29" hidden="1" x14ac:dyDescent="0.25"/>
    <row r="524" spans="1:29" hidden="1" x14ac:dyDescent="0.25"/>
    <row r="525" spans="1:29" ht="13.8" hidden="1" x14ac:dyDescent="0.25">
      <c r="A525" s="44" t="str">
        <f>CONCATENATE("Итого по подразделу: ",IF([1]Source!G537&lt;&gt;"Новый подраздел", [1]Source!G537, ""))</f>
        <v>Итого по подразделу: Второстепенные группы</v>
      </c>
      <c r="B525" s="44"/>
      <c r="C525" s="44"/>
      <c r="D525" s="44"/>
      <c r="E525" s="44"/>
      <c r="F525" s="44"/>
      <c r="G525" s="44"/>
      <c r="H525" s="41">
        <f>SUM(O452:O524)</f>
        <v>13999.699999999999</v>
      </c>
      <c r="I525" s="45"/>
      <c r="J525" s="41">
        <f>SUM(P452:P524)</f>
        <v>181416.93999999997</v>
      </c>
      <c r="K525" s="45"/>
    </row>
    <row r="526" spans="1:29" hidden="1" x14ac:dyDescent="0.25">
      <c r="A526" t="s">
        <v>55</v>
      </c>
      <c r="I526">
        <f>SUM(W452:W525)</f>
        <v>0</v>
      </c>
      <c r="J526">
        <f>SUM(X452:X525)</f>
        <v>0</v>
      </c>
    </row>
    <row r="527" spans="1:29" hidden="1" x14ac:dyDescent="0.25">
      <c r="A527" t="s">
        <v>56</v>
      </c>
      <c r="I527">
        <f>SUM(Y452:Y526)</f>
        <v>0</v>
      </c>
      <c r="J527">
        <f>SUM(Z452:Z526)</f>
        <v>0</v>
      </c>
    </row>
    <row r="528" spans="1:29" hidden="1" x14ac:dyDescent="0.25"/>
    <row r="529" spans="1:29" ht="16.8" hidden="1" x14ac:dyDescent="0.25">
      <c r="A529" s="11" t="str">
        <f>CONCATENATE("Подраздел: ",IF([1]Source!G567&lt;&gt;"Новый подраздел", [1]Source!G567, ""))</f>
        <v>Подраздел: Козырек</v>
      </c>
      <c r="B529" s="11"/>
      <c r="C529" s="11"/>
      <c r="D529" s="11"/>
      <c r="E529" s="11"/>
      <c r="F529" s="11"/>
      <c r="G529" s="11"/>
      <c r="H529" s="11"/>
      <c r="I529" s="11"/>
      <c r="J529" s="11"/>
      <c r="K529" s="11"/>
    </row>
    <row r="530" spans="1:29" ht="41.4" hidden="1" x14ac:dyDescent="0.25">
      <c r="A530" s="27">
        <v>34</v>
      </c>
      <c r="B530" s="27" t="str">
        <f>[1]Source!F571</f>
        <v>3.15-199-1</v>
      </c>
      <c r="C530" s="27" t="s">
        <v>173</v>
      </c>
      <c r="D530" s="28" t="str">
        <f>[1]Source!H571</f>
        <v>100 м2</v>
      </c>
      <c r="E530" s="29">
        <f>[1]Source!I571</f>
        <v>1.2090000000000001</v>
      </c>
      <c r="F530" s="30"/>
      <c r="G530" s="31"/>
      <c r="H530" s="29"/>
      <c r="I530" s="30"/>
      <c r="J530" s="29"/>
      <c r="K530" s="30"/>
      <c r="Q530">
        <f>[1]Source!X571</f>
        <v>2186.11</v>
      </c>
      <c r="R530">
        <f>[1]Source!X572</f>
        <v>123187.24</v>
      </c>
      <c r="S530">
        <f>[1]Source!Y571</f>
        <v>1020.18</v>
      </c>
      <c r="T530">
        <f>[1]Source!Y572</f>
        <v>57487.38</v>
      </c>
      <c r="U530">
        <f>ROUND((175/100)*ROUND([1]Source!R571, 2), 2)</f>
        <v>20.7</v>
      </c>
      <c r="V530">
        <f>ROUND((0/100)*ROUND([1]Source!R572, 2), 2)</f>
        <v>0</v>
      </c>
      <c r="AC530">
        <v>0</v>
      </c>
    </row>
    <row r="531" spans="1:29" hidden="1" x14ac:dyDescent="0.25">
      <c r="C531" s="32" t="str">
        <f>"Объем: "&amp;[1]Source!I571&amp;"=(120,9)/"&amp;"100"</f>
        <v>Объем: 1,209=(120,9)/100</v>
      </c>
    </row>
    <row r="532" spans="1:29" ht="14.4" hidden="1" x14ac:dyDescent="0.25">
      <c r="A532" s="27"/>
      <c r="B532" s="27"/>
      <c r="C532" s="27" t="s">
        <v>36</v>
      </c>
      <c r="D532" s="28"/>
      <c r="E532" s="29"/>
      <c r="F532" s="30">
        <f>[1]Source!AO571</f>
        <v>1332.83</v>
      </c>
      <c r="G532" s="31" t="s">
        <v>37</v>
      </c>
      <c r="H532" s="29">
        <f>[1]Source!AV572</f>
        <v>1.087</v>
      </c>
      <c r="I532" s="30">
        <f>[1]Source!S571</f>
        <v>2417.1799999999998</v>
      </c>
      <c r="J532" s="29">
        <f>IF([1]Source!BA572&lt;&gt; 0, [1]Source!BA572, 1)</f>
        <v>56.35</v>
      </c>
      <c r="K532" s="30">
        <f>[1]Source!S572</f>
        <v>136208.09</v>
      </c>
    </row>
    <row r="533" spans="1:29" ht="14.4" hidden="1" x14ac:dyDescent="0.25">
      <c r="A533" s="27"/>
      <c r="B533" s="27"/>
      <c r="C533" s="27" t="s">
        <v>38</v>
      </c>
      <c r="D533" s="28"/>
      <c r="E533" s="29"/>
      <c r="F533" s="30">
        <f>[1]Source!AM571</f>
        <v>121.23</v>
      </c>
      <c r="G533" s="31" t="s">
        <v>39</v>
      </c>
      <c r="H533" s="29">
        <f>[1]Source!AV572</f>
        <v>1.087</v>
      </c>
      <c r="I533" s="30">
        <f>[1]Source!Q571</f>
        <v>238.98</v>
      </c>
      <c r="J533" s="29">
        <f>IF([1]Source!BB572&lt;&gt; 0, [1]Source!BB572, 1)</f>
        <v>12.47</v>
      </c>
      <c r="K533" s="30">
        <f>[1]Source!Q572</f>
        <v>2980.08</v>
      </c>
    </row>
    <row r="534" spans="1:29" ht="14.4" hidden="1" x14ac:dyDescent="0.25">
      <c r="A534" s="27"/>
      <c r="B534" s="27"/>
      <c r="C534" s="27" t="s">
        <v>40</v>
      </c>
      <c r="D534" s="28"/>
      <c r="E534" s="29"/>
      <c r="F534" s="30">
        <f>[1]Source!AN571</f>
        <v>6</v>
      </c>
      <c r="G534" s="31" t="s">
        <v>39</v>
      </c>
      <c r="H534" s="29">
        <f>[1]Source!AV572</f>
        <v>1.087</v>
      </c>
      <c r="I534" s="33">
        <f>[1]Source!R571</f>
        <v>11.83</v>
      </c>
      <c r="J534" s="29">
        <f>IF([1]Source!BS572&lt;&gt; 0, [1]Source!BS572, 1)</f>
        <v>56.35</v>
      </c>
      <c r="K534" s="33">
        <f>[1]Source!R572</f>
        <v>666.62</v>
      </c>
    </row>
    <row r="535" spans="1:29" ht="55.2" hidden="1" x14ac:dyDescent="0.25">
      <c r="A535" s="27" t="s">
        <v>174</v>
      </c>
      <c r="B535" s="27" t="str">
        <f>[1]Source!F573</f>
        <v>1.6-2-107</v>
      </c>
      <c r="C535" s="27" t="s">
        <v>175</v>
      </c>
      <c r="D535" s="28" t="str">
        <f>[1]Source!H573</f>
        <v>м2</v>
      </c>
      <c r="E535" s="29">
        <f>[1]Source!I573</f>
        <v>132.99</v>
      </c>
      <c r="F535" s="30">
        <f>[1]Source!AK573</f>
        <v>191.96</v>
      </c>
      <c r="G535" s="43" t="s">
        <v>54</v>
      </c>
      <c r="H535" s="29">
        <f>[1]Source!AW574</f>
        <v>1</v>
      </c>
      <c r="I535" s="30">
        <f>[1]Source!O573</f>
        <v>25528.76</v>
      </c>
      <c r="J535" s="29">
        <f>IF([1]Source!BC574&lt;&gt; 0, [1]Source!BC574, 1)</f>
        <v>16.59</v>
      </c>
      <c r="K535" s="30">
        <f>[1]Source!O574</f>
        <v>423522.13</v>
      </c>
      <c r="Q535">
        <f>[1]Source!X573</f>
        <v>0</v>
      </c>
      <c r="R535">
        <f>[1]Source!X574</f>
        <v>0</v>
      </c>
      <c r="S535">
        <f>[1]Source!Y573</f>
        <v>0</v>
      </c>
      <c r="T535">
        <f>[1]Source!Y574</f>
        <v>0</v>
      </c>
      <c r="U535">
        <f>ROUND((175/100)*ROUND([1]Source!R573, 2), 2)</f>
        <v>0</v>
      </c>
      <c r="V535">
        <f>ROUND((0/100)*ROUND([1]Source!R574, 2), 2)</f>
        <v>0</v>
      </c>
      <c r="AC535">
        <v>3</v>
      </c>
    </row>
    <row r="536" spans="1:29" ht="14.4" hidden="1" x14ac:dyDescent="0.25">
      <c r="A536" s="27"/>
      <c r="B536" s="27"/>
      <c r="C536" s="27" t="s">
        <v>42</v>
      </c>
      <c r="D536" s="28" t="s">
        <v>43</v>
      </c>
      <c r="E536" s="29">
        <f>[1]Source!BZ572</f>
        <v>90</v>
      </c>
      <c r="F536" s="30"/>
      <c r="G536" s="31"/>
      <c r="H536" s="29"/>
      <c r="I536" s="30">
        <f>SUM(Q530:Q535)</f>
        <v>2186.11</v>
      </c>
      <c r="J536" s="29">
        <f>[1]Source!AT572</f>
        <v>90</v>
      </c>
      <c r="K536" s="30">
        <f>SUM(R530:R535)</f>
        <v>123187.24</v>
      </c>
    </row>
    <row r="537" spans="1:29" ht="14.4" hidden="1" x14ac:dyDescent="0.25">
      <c r="A537" s="27"/>
      <c r="B537" s="27"/>
      <c r="C537" s="27" t="s">
        <v>44</v>
      </c>
      <c r="D537" s="28" t="s">
        <v>43</v>
      </c>
      <c r="E537" s="29">
        <f>[1]Source!CA572</f>
        <v>42</v>
      </c>
      <c r="F537" s="30"/>
      <c r="G537" s="31"/>
      <c r="H537" s="29"/>
      <c r="I537" s="30">
        <f>SUM(S530:S536)</f>
        <v>1020.18</v>
      </c>
      <c r="J537" s="29">
        <f>[1]Source!AU572</f>
        <v>42</v>
      </c>
      <c r="K537" s="30">
        <f>SUM(T530:T536)</f>
        <v>57487.38</v>
      </c>
    </row>
    <row r="538" spans="1:29" ht="14.4" hidden="1" x14ac:dyDescent="0.25">
      <c r="A538" s="34"/>
      <c r="B538" s="34"/>
      <c r="C538" s="34" t="s">
        <v>45</v>
      </c>
      <c r="D538" s="35" t="s">
        <v>46</v>
      </c>
      <c r="E538" s="36">
        <f>[1]Source!AQ571</f>
        <v>108.36</v>
      </c>
      <c r="F538" s="37"/>
      <c r="G538" s="38" t="s">
        <v>37</v>
      </c>
      <c r="H538" s="36">
        <f>[1]Source!AV572</f>
        <v>1.087</v>
      </c>
      <c r="I538" s="37">
        <f>[1]Source!U571</f>
        <v>196.51872043439997</v>
      </c>
      <c r="J538" s="36"/>
      <c r="K538" s="37"/>
    </row>
    <row r="539" spans="1:29" ht="13.8" hidden="1" x14ac:dyDescent="0.25">
      <c r="C539" s="39" t="s">
        <v>47</v>
      </c>
      <c r="H539" s="40">
        <f>I532+I533+I536+I537+SUM(I535:I535)-SUMIF(AC535:AC535, 5, I535:I535)-SUMIF(AC535:AC535, 6, I535:I535)</f>
        <v>31391.21</v>
      </c>
      <c r="I539" s="40"/>
      <c r="J539" s="40">
        <f>K532+K533+K536+K537+SUM(K535:K535)-SUMIF(AC535:AC535, 5, K535:K535)-SUMIF(AC535:AC535, 6, K535:K535)</f>
        <v>743384.91999999993</v>
      </c>
      <c r="K539" s="40"/>
    </row>
    <row r="540" spans="1:29" ht="13.8" hidden="1" x14ac:dyDescent="0.25">
      <c r="C540" s="39" t="s">
        <v>48</v>
      </c>
      <c r="H540" s="41">
        <f>SUMIF(AC535:AC535, 5, I535:I535)+SUMIF(AC535:AC535, 6, I535:I535)</f>
        <v>0</v>
      </c>
      <c r="I540" s="41"/>
      <c r="J540" s="41">
        <f>SUMIF(AC535:AC535, 5, K535:K535)+SUMIF(AC535:AC535, 6, K535:K535)</f>
        <v>0</v>
      </c>
      <c r="K540" s="41"/>
    </row>
    <row r="541" spans="1:29" ht="13.8" hidden="1" x14ac:dyDescent="0.25">
      <c r="C541" s="39" t="s">
        <v>49</v>
      </c>
      <c r="H541" s="41">
        <f>I532+I533+I536+I537+SUM(I535:I535)</f>
        <v>31391.21</v>
      </c>
      <c r="I541" s="41"/>
      <c r="J541" s="41">
        <f>K532+K533+K536+K537+SUM(K535:K535)</f>
        <v>743384.91999999993</v>
      </c>
      <c r="K541" s="41"/>
      <c r="O541" s="42">
        <f>I532+I533+I536+I537+SUM(I535:I535)</f>
        <v>31391.21</v>
      </c>
      <c r="P541" s="42">
        <f>K532+K533+K536+K537+SUM(K535:K535)</f>
        <v>743384.91999999993</v>
      </c>
    </row>
    <row r="542" spans="1:29" hidden="1" x14ac:dyDescent="0.25"/>
    <row r="543" spans="1:29" hidden="1" x14ac:dyDescent="0.25"/>
    <row r="544" spans="1:29" ht="13.8" hidden="1" x14ac:dyDescent="0.25">
      <c r="A544" s="44" t="str">
        <f>CONCATENATE("Итого по подразделу: ",IF([1]Source!G576&lt;&gt;"Новый подраздел", [1]Source!G576, ""))</f>
        <v>Итого по подразделу: Козырек</v>
      </c>
      <c r="B544" s="44"/>
      <c r="C544" s="44"/>
      <c r="D544" s="44"/>
      <c r="E544" s="44"/>
      <c r="F544" s="44"/>
      <c r="G544" s="44"/>
      <c r="H544" s="41">
        <f>SUM(O529:O543)</f>
        <v>31391.21</v>
      </c>
      <c r="I544" s="45"/>
      <c r="J544" s="41">
        <f>SUM(P529:P543)</f>
        <v>743384.91999999993</v>
      </c>
      <c r="K544" s="45"/>
    </row>
    <row r="545" spans="1:29" hidden="1" x14ac:dyDescent="0.25">
      <c r="A545" t="s">
        <v>55</v>
      </c>
      <c r="I545">
        <f>SUM(W529:W544)</f>
        <v>0</v>
      </c>
      <c r="J545">
        <f>SUM(X529:X544)</f>
        <v>0</v>
      </c>
    </row>
    <row r="546" spans="1:29" hidden="1" x14ac:dyDescent="0.25">
      <c r="A546" t="s">
        <v>56</v>
      </c>
      <c r="I546">
        <f>SUM(Y529:Y545)</f>
        <v>0</v>
      </c>
      <c r="J546">
        <f>SUM(Z529:Z545)</f>
        <v>0</v>
      </c>
    </row>
    <row r="547" spans="1:29" hidden="1" x14ac:dyDescent="0.25"/>
    <row r="548" spans="1:29" ht="16.8" hidden="1" x14ac:dyDescent="0.25">
      <c r="A548" s="11" t="str">
        <f>CONCATENATE("Подраздел: ",IF([1]Source!G606&lt;&gt;"Новый подраздел", [1]Source!G606, ""))</f>
        <v>Подраздел: Ограждения входных групп из нержавеющей стали</v>
      </c>
      <c r="B548" s="11"/>
      <c r="C548" s="11"/>
      <c r="D548" s="11"/>
      <c r="E548" s="11"/>
      <c r="F548" s="11"/>
      <c r="G548" s="11"/>
      <c r="H548" s="11"/>
      <c r="I548" s="11"/>
      <c r="J548" s="11"/>
      <c r="K548" s="11"/>
    </row>
    <row r="549" spans="1:29" ht="43.2" hidden="1" x14ac:dyDescent="0.25">
      <c r="A549" s="27">
        <v>35</v>
      </c>
      <c r="B549" s="27" t="str">
        <f>[1]Source!F610</f>
        <v>3.7-60-4</v>
      </c>
      <c r="C549" s="27" t="s">
        <v>176</v>
      </c>
      <c r="D549" s="28" t="str">
        <f>[1]Source!H610</f>
        <v>100 м ограждений</v>
      </c>
      <c r="E549" s="29">
        <f>[1]Source!I610</f>
        <v>1.18</v>
      </c>
      <c r="F549" s="30"/>
      <c r="G549" s="31"/>
      <c r="H549" s="29"/>
      <c r="I549" s="30"/>
      <c r="J549" s="29"/>
      <c r="K549" s="30"/>
      <c r="Q549">
        <f>[1]Source!X610</f>
        <v>876.13</v>
      </c>
      <c r="R549">
        <f>[1]Source!X611</f>
        <v>49369.93</v>
      </c>
      <c r="S549">
        <f>[1]Source!Y610</f>
        <v>548.69000000000005</v>
      </c>
      <c r="T549">
        <f>[1]Source!Y611</f>
        <v>30918.54</v>
      </c>
      <c r="U549">
        <f>ROUND((175/100)*ROUND([1]Source!R610, 2), 2)</f>
        <v>22.02</v>
      </c>
      <c r="V549">
        <f>ROUND((0/100)*ROUND([1]Source!R611, 2), 2)</f>
        <v>0</v>
      </c>
      <c r="AC549">
        <v>0</v>
      </c>
    </row>
    <row r="550" spans="1:29" hidden="1" x14ac:dyDescent="0.25">
      <c r="C550" s="32" t="str">
        <f>"Объем: "&amp;[1]Source!I610&amp;"=(23+"&amp;"65+"&amp;"15+"&amp;"15)/"&amp;"100"</f>
        <v>Объем: 1,18=(23+65+15+15)/100</v>
      </c>
    </row>
    <row r="551" spans="1:29" ht="14.4" hidden="1" x14ac:dyDescent="0.25">
      <c r="A551" s="27"/>
      <c r="B551" s="27"/>
      <c r="C551" s="27" t="s">
        <v>36</v>
      </c>
      <c r="D551" s="28"/>
      <c r="E551" s="29"/>
      <c r="F551" s="30">
        <f>[1]Source!AO610</f>
        <v>511.69</v>
      </c>
      <c r="G551" s="31" t="s">
        <v>37</v>
      </c>
      <c r="H551" s="29">
        <f>[1]Source!AV611</f>
        <v>1.0469999999999999</v>
      </c>
      <c r="I551" s="30">
        <f>[1]Source!S610</f>
        <v>872.4</v>
      </c>
      <c r="J551" s="29">
        <f>IF([1]Source!BA611&lt;&gt; 0, [1]Source!BA611, 1)</f>
        <v>56.35</v>
      </c>
      <c r="K551" s="30">
        <f>[1]Source!S611</f>
        <v>49159.74</v>
      </c>
    </row>
    <row r="552" spans="1:29" ht="14.4" hidden="1" x14ac:dyDescent="0.25">
      <c r="A552" s="27"/>
      <c r="B552" s="27"/>
      <c r="C552" s="27" t="s">
        <v>38</v>
      </c>
      <c r="D552" s="28"/>
      <c r="E552" s="29"/>
      <c r="F552" s="30">
        <f>[1]Source!AM610</f>
        <v>58.27</v>
      </c>
      <c r="G552" s="31" t="s">
        <v>39</v>
      </c>
      <c r="H552" s="29">
        <f>[1]Source!AV611</f>
        <v>1.0469999999999999</v>
      </c>
      <c r="I552" s="30">
        <f>[1]Source!Q610</f>
        <v>107.99</v>
      </c>
      <c r="J552" s="29">
        <f>IF([1]Source!BB611&lt;&gt; 0, [1]Source!BB611, 1)</f>
        <v>15.45</v>
      </c>
      <c r="K552" s="30">
        <f>[1]Source!Q611</f>
        <v>1668.45</v>
      </c>
    </row>
    <row r="553" spans="1:29" ht="14.4" hidden="1" x14ac:dyDescent="0.25">
      <c r="A553" s="27"/>
      <c r="B553" s="27"/>
      <c r="C553" s="27" t="s">
        <v>40</v>
      </c>
      <c r="D553" s="28"/>
      <c r="E553" s="29"/>
      <c r="F553" s="30">
        <f>[1]Source!AN610</f>
        <v>6.79</v>
      </c>
      <c r="G553" s="31" t="s">
        <v>39</v>
      </c>
      <c r="H553" s="29">
        <f>[1]Source!AV611</f>
        <v>1.0469999999999999</v>
      </c>
      <c r="I553" s="33">
        <f>[1]Source!R610</f>
        <v>12.58</v>
      </c>
      <c r="J553" s="29">
        <f>IF([1]Source!BS611&lt;&gt; 0, [1]Source!BS611, 1)</f>
        <v>56.35</v>
      </c>
      <c r="K553" s="33">
        <f>[1]Source!R611</f>
        <v>708.88</v>
      </c>
    </row>
    <row r="554" spans="1:29" ht="69" hidden="1" x14ac:dyDescent="0.25">
      <c r="A554" s="27" t="s">
        <v>177</v>
      </c>
      <c r="B554" s="27" t="str">
        <f>[1]Source!F612</f>
        <v>1.1-1-1328</v>
      </c>
      <c r="C554" s="27" t="s">
        <v>178</v>
      </c>
      <c r="D554" s="28" t="str">
        <f>[1]Source!H612</f>
        <v>т</v>
      </c>
      <c r="E554" s="29">
        <f>[1]Source!I612</f>
        <v>0.17699999999999999</v>
      </c>
      <c r="F554" s="30">
        <f>[1]Source!AK612</f>
        <v>313.5</v>
      </c>
      <c r="G554" s="43" t="s">
        <v>54</v>
      </c>
      <c r="H554" s="29">
        <f>[1]Source!AW613</f>
        <v>1</v>
      </c>
      <c r="I554" s="30">
        <f>[1]Source!O612</f>
        <v>55.49</v>
      </c>
      <c r="J554" s="29">
        <f>IF([1]Source!BC613&lt;&gt; 0, [1]Source!BC613, 1)</f>
        <v>23.28</v>
      </c>
      <c r="K554" s="30">
        <f>[1]Source!O613</f>
        <v>1291.81</v>
      </c>
      <c r="Q554">
        <f>[1]Source!X612</f>
        <v>0</v>
      </c>
      <c r="R554">
        <f>[1]Source!X613</f>
        <v>0</v>
      </c>
      <c r="S554">
        <f>[1]Source!Y612</f>
        <v>0</v>
      </c>
      <c r="T554">
        <f>[1]Source!Y613</f>
        <v>0</v>
      </c>
      <c r="U554">
        <f>ROUND((175/100)*ROUND([1]Source!R612, 2), 2)</f>
        <v>0</v>
      </c>
      <c r="V554">
        <f>ROUND((0/100)*ROUND([1]Source!R613, 2), 2)</f>
        <v>0</v>
      </c>
      <c r="AC554">
        <v>3</v>
      </c>
    </row>
    <row r="555" spans="1:29" ht="14.4" hidden="1" x14ac:dyDescent="0.25">
      <c r="A555" s="27"/>
      <c r="B555" s="27"/>
      <c r="C555" s="27" t="s">
        <v>42</v>
      </c>
      <c r="D555" s="28" t="s">
        <v>43</v>
      </c>
      <c r="E555" s="29">
        <f>[1]Source!BZ611</f>
        <v>99</v>
      </c>
      <c r="F555" s="30"/>
      <c r="G555" s="31"/>
      <c r="H555" s="29"/>
      <c r="I555" s="30">
        <f>SUM(Q549:Q554)</f>
        <v>876.13</v>
      </c>
      <c r="J555" s="29">
        <f>[1]Source!AT611</f>
        <v>99</v>
      </c>
      <c r="K555" s="30">
        <f>SUM(R549:R554)</f>
        <v>49369.93</v>
      </c>
    </row>
    <row r="556" spans="1:29" ht="14.4" hidden="1" x14ac:dyDescent="0.25">
      <c r="A556" s="27"/>
      <c r="B556" s="27"/>
      <c r="C556" s="27" t="s">
        <v>44</v>
      </c>
      <c r="D556" s="28" t="s">
        <v>43</v>
      </c>
      <c r="E556" s="29">
        <f>[1]Source!CA611</f>
        <v>62</v>
      </c>
      <c r="F556" s="30"/>
      <c r="G556" s="31"/>
      <c r="H556" s="29"/>
      <c r="I556" s="30">
        <f>SUM(S549:S555)</f>
        <v>548.69000000000005</v>
      </c>
      <c r="J556" s="29">
        <f>[1]Source!AU611</f>
        <v>62</v>
      </c>
      <c r="K556" s="30">
        <f>SUM(T549:T555)</f>
        <v>30918.54</v>
      </c>
    </row>
    <row r="557" spans="1:29" ht="14.4" hidden="1" x14ac:dyDescent="0.25">
      <c r="A557" s="34"/>
      <c r="B557" s="34"/>
      <c r="C557" s="34" t="s">
        <v>45</v>
      </c>
      <c r="D557" s="35" t="s">
        <v>46</v>
      </c>
      <c r="E557" s="36">
        <f>[1]Source!AQ610</f>
        <v>41.5</v>
      </c>
      <c r="F557" s="37"/>
      <c r="G557" s="38" t="s">
        <v>37</v>
      </c>
      <c r="H557" s="36">
        <f>[1]Source!AV611</f>
        <v>1.0469999999999999</v>
      </c>
      <c r="I557" s="37">
        <f>[1]Source!U610</f>
        <v>70.754794199999978</v>
      </c>
      <c r="J557" s="36"/>
      <c r="K557" s="37"/>
    </row>
    <row r="558" spans="1:29" ht="13.8" hidden="1" x14ac:dyDescent="0.25">
      <c r="C558" s="39" t="s">
        <v>47</v>
      </c>
      <c r="H558" s="40">
        <f>I551+I552+I555+I556+SUM(I554:I554)-SUMIF(AC554:AC554, 5, I554:I554)-SUMIF(AC554:AC554, 6, I554:I554)</f>
        <v>2460.6999999999998</v>
      </c>
      <c r="I558" s="40"/>
      <c r="J558" s="40">
        <f>K551+K552+K555+K556+SUM(K554:K554)-SUMIF(AC554:AC554, 5, K554:K554)-SUMIF(AC554:AC554, 6, K554:K554)</f>
        <v>132408.47</v>
      </c>
      <c r="K558" s="40"/>
    </row>
    <row r="559" spans="1:29" ht="13.8" hidden="1" x14ac:dyDescent="0.25">
      <c r="C559" s="39" t="s">
        <v>48</v>
      </c>
      <c r="H559" s="41">
        <f>SUMIF(AC554:AC554, 5, I554:I554)+SUMIF(AC554:AC554, 6, I554:I554)</f>
        <v>0</v>
      </c>
      <c r="I559" s="41"/>
      <c r="J559" s="41">
        <f>SUMIF(AC554:AC554, 5, K554:K554)+SUMIF(AC554:AC554, 6, K554:K554)</f>
        <v>0</v>
      </c>
      <c r="K559" s="41"/>
    </row>
    <row r="560" spans="1:29" ht="13.8" hidden="1" x14ac:dyDescent="0.25">
      <c r="C560" s="39" t="s">
        <v>49</v>
      </c>
      <c r="H560" s="41">
        <f>I551+I552+I555+I556+SUM(I554:I554)</f>
        <v>2460.6999999999998</v>
      </c>
      <c r="I560" s="41"/>
      <c r="J560" s="41">
        <f>K551+K552+K555+K556+SUM(K554:K554)</f>
        <v>132408.47</v>
      </c>
      <c r="K560" s="41"/>
      <c r="O560" s="42">
        <f>I551+I552+I555+I556+SUM(I554:I554)</f>
        <v>2460.6999999999998</v>
      </c>
      <c r="P560" s="42">
        <f>K551+K552+K555+K556+SUM(K554:K554)</f>
        <v>132408.47</v>
      </c>
    </row>
    <row r="561" spans="1:43" hidden="1" x14ac:dyDescent="0.25"/>
    <row r="562" spans="1:43" ht="137.4" x14ac:dyDescent="0.25">
      <c r="A562" s="46">
        <v>36</v>
      </c>
      <c r="B562" s="46" t="str">
        <f>[1]Source!F614</f>
        <v>КА. 1</v>
      </c>
      <c r="C562" s="46" t="s">
        <v>179</v>
      </c>
      <c r="D562" s="47" t="str">
        <f>[1]Source!H614</f>
        <v>ПОГ.М</v>
      </c>
      <c r="E562" s="48">
        <f>[1]Source!I614</f>
        <v>23</v>
      </c>
      <c r="F562" s="37">
        <f>[1]Source!AL614</f>
        <v>672.41</v>
      </c>
      <c r="G562" s="38"/>
      <c r="H562" s="36">
        <f>[1]Source!AW615</f>
        <v>1</v>
      </c>
      <c r="I562" s="37">
        <f>[1]Source!P614</f>
        <v>15465.43</v>
      </c>
      <c r="J562" s="36">
        <f>IF([1]Source!BC615&lt;&gt; 0, [1]Source!BC615, 1)</f>
        <v>9.84</v>
      </c>
      <c r="K562" s="49">
        <f>[1]Source!P615</f>
        <v>152489.89000000001</v>
      </c>
      <c r="L562">
        <v>7800</v>
      </c>
      <c r="M562" s="50">
        <f>L562*E562</f>
        <v>179400</v>
      </c>
      <c r="N562" s="51" t="s">
        <v>180</v>
      </c>
      <c r="Q562">
        <f>[1]Source!X614</f>
        <v>0</v>
      </c>
      <c r="R562">
        <f>[1]Source!X615</f>
        <v>0</v>
      </c>
      <c r="S562">
        <f>[1]Source!Y614</f>
        <v>0</v>
      </c>
      <c r="T562">
        <f>[1]Source!Y615</f>
        <v>0</v>
      </c>
      <c r="U562">
        <f>ROUND((175/100)*ROUND([1]Source!R614, 2), 2)</f>
        <v>0</v>
      </c>
      <c r="V562">
        <f>ROUND((0/100)*ROUND([1]Source!R615, 2), 2)</f>
        <v>0</v>
      </c>
      <c r="AC562">
        <v>3</v>
      </c>
    </row>
    <row r="563" spans="1:43" ht="13.8" hidden="1" x14ac:dyDescent="0.25">
      <c r="C563" s="39" t="s">
        <v>49</v>
      </c>
      <c r="H563" s="40">
        <f>I562+0</f>
        <v>15465.43</v>
      </c>
      <c r="I563" s="40"/>
      <c r="J563" s="40">
        <f>K562+0</f>
        <v>152489.89000000001</v>
      </c>
      <c r="K563" s="40"/>
      <c r="O563" s="42">
        <f>I562+0</f>
        <v>15465.43</v>
      </c>
      <c r="P563" s="42">
        <f>K562+0</f>
        <v>152489.89000000001</v>
      </c>
    </row>
    <row r="564" spans="1:43" hidden="1" x14ac:dyDescent="0.25"/>
    <row r="565" spans="1:43" ht="151.19999999999999" x14ac:dyDescent="0.25">
      <c r="A565" s="46">
        <v>37</v>
      </c>
      <c r="B565" s="46" t="str">
        <f>[1]Source!F616</f>
        <v>КА. 2</v>
      </c>
      <c r="C565" s="46" t="s">
        <v>181</v>
      </c>
      <c r="D565" s="47" t="str">
        <f>[1]Source!H616</f>
        <v>ПОГ.М</v>
      </c>
      <c r="E565" s="48">
        <f>[1]Source!I616</f>
        <v>65</v>
      </c>
      <c r="F565" s="37">
        <f>[1]Source!AL616</f>
        <v>742.8900000000001</v>
      </c>
      <c r="G565" s="38"/>
      <c r="H565" s="36">
        <f>[1]Source!AW617</f>
        <v>1</v>
      </c>
      <c r="I565" s="37">
        <f>[1]Source!P616</f>
        <v>48287.85</v>
      </c>
      <c r="J565" s="36">
        <f>IF([1]Source!BC617&lt;&gt; 0, [1]Source!BC617, 1)</f>
        <v>9.84</v>
      </c>
      <c r="K565" s="49">
        <f>[1]Source!P617</f>
        <v>475152.44</v>
      </c>
      <c r="L565">
        <v>8600</v>
      </c>
      <c r="M565" s="50">
        <f>L565*E565</f>
        <v>559000</v>
      </c>
      <c r="N565" s="51" t="s">
        <v>180</v>
      </c>
      <c r="Q565">
        <f>[1]Source!X616</f>
        <v>0</v>
      </c>
      <c r="R565">
        <f>[1]Source!X617</f>
        <v>0</v>
      </c>
      <c r="S565">
        <f>[1]Source!Y616</f>
        <v>0</v>
      </c>
      <c r="T565">
        <f>[1]Source!Y617</f>
        <v>0</v>
      </c>
      <c r="U565">
        <f>ROUND((175/100)*ROUND([1]Source!R616, 2), 2)</f>
        <v>0</v>
      </c>
      <c r="V565">
        <f>ROUND((0/100)*ROUND([1]Source!R617, 2), 2)</f>
        <v>0</v>
      </c>
      <c r="AC565">
        <v>3</v>
      </c>
    </row>
    <row r="566" spans="1:43" ht="13.8" hidden="1" x14ac:dyDescent="0.25">
      <c r="C566" s="39" t="s">
        <v>49</v>
      </c>
      <c r="H566" s="40">
        <f>I565+0</f>
        <v>48287.85</v>
      </c>
      <c r="I566" s="40"/>
      <c r="J566" s="40">
        <f>K565+0</f>
        <v>475152.44</v>
      </c>
      <c r="K566" s="40"/>
      <c r="O566" s="42">
        <f>I565+0</f>
        <v>48287.85</v>
      </c>
      <c r="P566" s="42">
        <f>K565+0</f>
        <v>475152.44</v>
      </c>
    </row>
    <row r="567" spans="1:43" hidden="1" x14ac:dyDescent="0.25"/>
    <row r="568" spans="1:43" ht="109.8" x14ac:dyDescent="0.25">
      <c r="A568" s="46">
        <v>38</v>
      </c>
      <c r="B568" s="46" t="str">
        <f>[1]Source!F618</f>
        <v>КА. 3</v>
      </c>
      <c r="C568" s="46" t="s">
        <v>182</v>
      </c>
      <c r="D568" s="47" t="str">
        <f>[1]Source!H618</f>
        <v>ПОГ.М</v>
      </c>
      <c r="E568" s="48">
        <f>[1]Source!I618</f>
        <v>15</v>
      </c>
      <c r="F568" s="37">
        <f>[1]Source!AL618</f>
        <v>310.98</v>
      </c>
      <c r="G568" s="38"/>
      <c r="H568" s="36">
        <f>[1]Source!AW619</f>
        <v>1</v>
      </c>
      <c r="I568" s="37">
        <f>[1]Source!P618</f>
        <v>4664.7</v>
      </c>
      <c r="J568" s="36">
        <f>IF([1]Source!BC619&lt;&gt; 0, [1]Source!BC619, 1)</f>
        <v>9.84</v>
      </c>
      <c r="K568" s="49">
        <f>[1]Source!P619</f>
        <v>45900.65</v>
      </c>
      <c r="L568">
        <v>3600</v>
      </c>
      <c r="M568" s="50">
        <f>L568*E568</f>
        <v>54000</v>
      </c>
      <c r="N568" s="51" t="s">
        <v>180</v>
      </c>
      <c r="Q568">
        <f>[1]Source!X618</f>
        <v>0</v>
      </c>
      <c r="R568">
        <f>[1]Source!X619</f>
        <v>0</v>
      </c>
      <c r="S568">
        <f>[1]Source!Y618</f>
        <v>0</v>
      </c>
      <c r="T568">
        <f>[1]Source!Y619</f>
        <v>0</v>
      </c>
      <c r="U568">
        <f>ROUND((175/100)*ROUND([1]Source!R618, 2), 2)</f>
        <v>0</v>
      </c>
      <c r="V568">
        <f>ROUND((0/100)*ROUND([1]Source!R619, 2), 2)</f>
        <v>0</v>
      </c>
      <c r="AC568">
        <v>3</v>
      </c>
    </row>
    <row r="569" spans="1:43" ht="13.8" hidden="1" x14ac:dyDescent="0.25">
      <c r="C569" s="39" t="s">
        <v>49</v>
      </c>
      <c r="H569" s="40">
        <f>I568+0</f>
        <v>4664.7</v>
      </c>
      <c r="I569" s="40"/>
      <c r="J569" s="40">
        <f>K568+0</f>
        <v>45900.65</v>
      </c>
      <c r="K569" s="40"/>
      <c r="O569" s="42">
        <f>I568+0</f>
        <v>4664.7</v>
      </c>
      <c r="P569" s="42">
        <f>K568+0</f>
        <v>45900.65</v>
      </c>
    </row>
    <row r="570" spans="1:43" hidden="1" x14ac:dyDescent="0.25"/>
    <row r="571" spans="1:43" ht="123.6" x14ac:dyDescent="0.25">
      <c r="A571" s="46">
        <v>39</v>
      </c>
      <c r="B571" s="46" t="str">
        <f>[1]Source!F620</f>
        <v>КА. 4</v>
      </c>
      <c r="C571" s="46" t="s">
        <v>183</v>
      </c>
      <c r="D571" s="47" t="str">
        <f>[1]Source!H620</f>
        <v>ПОГ.М</v>
      </c>
      <c r="E571" s="48">
        <f>[1]Source!I620</f>
        <v>15</v>
      </c>
      <c r="F571" s="37">
        <f>[1]Source!AL620</f>
        <v>587.4</v>
      </c>
      <c r="G571" s="38"/>
      <c r="H571" s="36">
        <f>[1]Source!AW621</f>
        <v>1</v>
      </c>
      <c r="I571" s="37">
        <f>[1]Source!P620</f>
        <v>8811</v>
      </c>
      <c r="J571" s="36">
        <f>IF([1]Source!BC621&lt;&gt; 0, [1]Source!BC621, 1)</f>
        <v>9.84</v>
      </c>
      <c r="K571" s="49">
        <f>[1]Source!P621</f>
        <v>86700.24</v>
      </c>
      <c r="L571">
        <v>6800</v>
      </c>
      <c r="M571" s="50">
        <f>L571*E571</f>
        <v>102000</v>
      </c>
      <c r="N571" s="51" t="s">
        <v>180</v>
      </c>
      <c r="Q571">
        <f>[1]Source!X620</f>
        <v>0</v>
      </c>
      <c r="R571">
        <f>[1]Source!X621</f>
        <v>0</v>
      </c>
      <c r="S571">
        <f>[1]Source!Y620</f>
        <v>0</v>
      </c>
      <c r="T571">
        <f>[1]Source!Y621</f>
        <v>0</v>
      </c>
      <c r="U571">
        <f>ROUND((175/100)*ROUND([1]Source!R620, 2), 2)</f>
        <v>0</v>
      </c>
      <c r="V571">
        <f>ROUND((0/100)*ROUND([1]Source!R621, 2), 2)</f>
        <v>0</v>
      </c>
      <c r="AC571">
        <v>3</v>
      </c>
    </row>
    <row r="572" spans="1:43" ht="13.8" hidden="1" x14ac:dyDescent="0.25">
      <c r="C572" s="39" t="s">
        <v>49</v>
      </c>
      <c r="H572" s="40">
        <f>I571+0</f>
        <v>8811</v>
      </c>
      <c r="I572" s="40"/>
      <c r="J572" s="40">
        <f>K571+0</f>
        <v>86700.24</v>
      </c>
      <c r="K572" s="40"/>
      <c r="O572" s="42">
        <f>I571+0</f>
        <v>8811</v>
      </c>
      <c r="P572" s="42">
        <f>K571+0</f>
        <v>86700.24</v>
      </c>
    </row>
    <row r="573" spans="1:43" hidden="1" x14ac:dyDescent="0.25"/>
    <row r="574" spans="1:43" hidden="1" x14ac:dyDescent="0.25"/>
    <row r="575" spans="1:43" ht="13.8" hidden="1" x14ac:dyDescent="0.25">
      <c r="A575" s="44" t="str">
        <f>CONCATENATE("Итого по подразделу: ",IF([1]Source!G623&lt;&gt;"Новый подраздел", [1]Source!G623, ""))</f>
        <v>Итого по подразделу: Ограждения входных групп из нержавеющей стали</v>
      </c>
      <c r="B575" s="44"/>
      <c r="C575" s="44"/>
      <c r="D575" s="44"/>
      <c r="E575" s="44"/>
      <c r="F575" s="44"/>
      <c r="G575" s="44"/>
      <c r="H575" s="41">
        <f>SUM(O548:O574)</f>
        <v>79689.679999999993</v>
      </c>
      <c r="I575" s="45"/>
      <c r="J575" s="41">
        <f>SUM(P548:P574)</f>
        <v>892651.69000000006</v>
      </c>
      <c r="K575" s="45"/>
      <c r="AQ575" s="52" t="str">
        <f>CONCATENATE("Итого по подразделу: ",IF([1]Source!G623&lt;&gt;"Новый подраздел", [1]Source!G623, ""))</f>
        <v>Итого по подразделу: Ограждения входных групп из нержавеющей стали</v>
      </c>
    </row>
    <row r="576" spans="1:43" hidden="1" x14ac:dyDescent="0.25">
      <c r="A576" t="s">
        <v>55</v>
      </c>
      <c r="I576">
        <f>SUM(W548:W575)</f>
        <v>0</v>
      </c>
      <c r="J576">
        <f>SUM(X548:X575)</f>
        <v>0</v>
      </c>
    </row>
    <row r="577" spans="1:29" hidden="1" x14ac:dyDescent="0.25">
      <c r="A577" t="s">
        <v>56</v>
      </c>
      <c r="I577">
        <f>SUM(Y548:Y576)</f>
        <v>0</v>
      </c>
      <c r="J577">
        <f>SUM(Z548:Z576)</f>
        <v>0</v>
      </c>
    </row>
    <row r="578" spans="1:29" hidden="1" x14ac:dyDescent="0.25"/>
    <row r="579" spans="1:29" ht="13.8" hidden="1" x14ac:dyDescent="0.25">
      <c r="A579" s="44" t="str">
        <f>CONCATENATE("Итого по разделу: ",IF([1]Source!G653&lt;&gt;"Новый раздел", [1]Source!G653, ""))</f>
        <v>Итого по разделу: Монтажные работы. Входные группы.</v>
      </c>
      <c r="B579" s="44"/>
      <c r="C579" s="44"/>
      <c r="D579" s="44"/>
      <c r="E579" s="44"/>
      <c r="F579" s="44"/>
      <c r="G579" s="44"/>
      <c r="H579" s="41">
        <f>SUM(O356:O578)</f>
        <v>347939.9</v>
      </c>
      <c r="I579" s="45"/>
      <c r="J579" s="41">
        <f>SUM(P356:P578)</f>
        <v>3297121.74</v>
      </c>
      <c r="K579" s="45"/>
    </row>
    <row r="580" spans="1:29" hidden="1" x14ac:dyDescent="0.25">
      <c r="A580" t="s">
        <v>55</v>
      </c>
      <c r="I580">
        <f>SUM(W356:W579)</f>
        <v>0</v>
      </c>
      <c r="J580">
        <f>SUM(X356:X579)</f>
        <v>0</v>
      </c>
    </row>
    <row r="581" spans="1:29" hidden="1" x14ac:dyDescent="0.25">
      <c r="A581" t="s">
        <v>56</v>
      </c>
      <c r="I581">
        <f>SUM(Y356:Y580)</f>
        <v>0</v>
      </c>
      <c r="J581">
        <f>SUM(Z356:Z580)</f>
        <v>0</v>
      </c>
    </row>
    <row r="582" spans="1:29" hidden="1" x14ac:dyDescent="0.25"/>
    <row r="583" spans="1:29" ht="16.8" hidden="1" x14ac:dyDescent="0.25">
      <c r="A583" s="11" t="str">
        <f>CONCATENATE("Раздел: ",IF([1]Source!G683&lt;&gt;"Новый раздел", [1]Source!G683, ""))</f>
        <v>Раздел: Грязезащитные решетки. 2 шт</v>
      </c>
      <c r="B583" s="11"/>
      <c r="C583" s="11"/>
      <c r="D583" s="11"/>
      <c r="E583" s="11"/>
      <c r="F583" s="11"/>
      <c r="G583" s="11"/>
      <c r="H583" s="11"/>
      <c r="I583" s="11"/>
      <c r="J583" s="11"/>
      <c r="K583" s="11"/>
    </row>
    <row r="584" spans="1:29" ht="27.6" hidden="1" x14ac:dyDescent="0.25">
      <c r="A584" s="27">
        <v>40</v>
      </c>
      <c r="B584" s="27" t="str">
        <f>[1]Source!F687</f>
        <v>6.56-36-4</v>
      </c>
      <c r="C584" s="27" t="s">
        <v>184</v>
      </c>
      <c r="D584" s="28" t="str">
        <f>[1]Source!H687</f>
        <v>1 м2</v>
      </c>
      <c r="E584" s="29">
        <f>[1]Source!I687</f>
        <v>1.7</v>
      </c>
      <c r="F584" s="30"/>
      <c r="G584" s="31"/>
      <c r="H584" s="29"/>
      <c r="I584" s="30"/>
      <c r="J584" s="29"/>
      <c r="K584" s="30"/>
      <c r="Q584">
        <f>[1]Source!X687</f>
        <v>24.95</v>
      </c>
      <c r="R584">
        <f>[1]Source!X688</f>
        <v>1405.82</v>
      </c>
      <c r="S584">
        <f>[1]Source!Y687</f>
        <v>13.03</v>
      </c>
      <c r="T584">
        <f>[1]Source!Y688</f>
        <v>734.15</v>
      </c>
      <c r="U584">
        <f>ROUND((175/100)*ROUND([1]Source!R687, 2), 2)</f>
        <v>0.82</v>
      </c>
      <c r="V584">
        <f>ROUND((0/100)*ROUND([1]Source!R688, 2), 2)</f>
        <v>0</v>
      </c>
      <c r="AC584">
        <v>0</v>
      </c>
    </row>
    <row r="585" spans="1:29" hidden="1" x14ac:dyDescent="0.25">
      <c r="C585" s="32" t="str">
        <f>"Объем: "&amp;[1]Source!I687&amp;"=(1,7*"&amp;"0,5)*"&amp;"2"</f>
        <v>Объем: 1,7=(1,7*0,5)*2</v>
      </c>
    </row>
    <row r="586" spans="1:29" ht="14.4" hidden="1" x14ac:dyDescent="0.25">
      <c r="A586" s="27"/>
      <c r="B586" s="27"/>
      <c r="C586" s="27" t="s">
        <v>36</v>
      </c>
      <c r="D586" s="28"/>
      <c r="E586" s="29"/>
      <c r="F586" s="30">
        <f>[1]Source!AO687</f>
        <v>12.29</v>
      </c>
      <c r="G586" s="31" t="s">
        <v>58</v>
      </c>
      <c r="H586" s="29">
        <f>[1]Source!AV688</f>
        <v>1.087</v>
      </c>
      <c r="I586" s="30">
        <f>[1]Source!S687</f>
        <v>27.25</v>
      </c>
      <c r="J586" s="29">
        <f>IF([1]Source!BA688&lt;&gt; 0, [1]Source!BA688, 1)</f>
        <v>56.35</v>
      </c>
      <c r="K586" s="30">
        <f>[1]Source!S688</f>
        <v>1535.54</v>
      </c>
    </row>
    <row r="587" spans="1:29" ht="14.4" hidden="1" x14ac:dyDescent="0.25">
      <c r="A587" s="27"/>
      <c r="B587" s="27"/>
      <c r="C587" s="27" t="s">
        <v>38</v>
      </c>
      <c r="D587" s="28"/>
      <c r="E587" s="29"/>
      <c r="F587" s="30">
        <f>[1]Source!AM687</f>
        <v>3.62</v>
      </c>
      <c r="G587" s="31" t="s">
        <v>58</v>
      </c>
      <c r="H587" s="29">
        <f>[1]Source!AV688</f>
        <v>1.087</v>
      </c>
      <c r="I587" s="30">
        <f>[1]Source!Q687</f>
        <v>8.0299999999999994</v>
      </c>
      <c r="J587" s="29">
        <f>IF([1]Source!BB688&lt;&gt; 0, [1]Source!BB688, 1)</f>
        <v>10.57</v>
      </c>
      <c r="K587" s="30">
        <f>[1]Source!Q688</f>
        <v>84.88</v>
      </c>
    </row>
    <row r="588" spans="1:29" ht="14.4" hidden="1" x14ac:dyDescent="0.25">
      <c r="A588" s="27"/>
      <c r="B588" s="27"/>
      <c r="C588" s="27" t="s">
        <v>40</v>
      </c>
      <c r="D588" s="28"/>
      <c r="E588" s="29"/>
      <c r="F588" s="30">
        <f>[1]Source!AN687</f>
        <v>0.21</v>
      </c>
      <c r="G588" s="31" t="s">
        <v>58</v>
      </c>
      <c r="H588" s="29">
        <f>[1]Source!AV688</f>
        <v>1.087</v>
      </c>
      <c r="I588" s="33">
        <f>[1]Source!R687</f>
        <v>0.47</v>
      </c>
      <c r="J588" s="29">
        <f>IF([1]Source!BS688&lt;&gt; 0, [1]Source!BS688, 1)</f>
        <v>56.35</v>
      </c>
      <c r="K588" s="33">
        <f>[1]Source!R688</f>
        <v>26.48</v>
      </c>
    </row>
    <row r="589" spans="1:29" ht="14.4" hidden="1" x14ac:dyDescent="0.25">
      <c r="A589" s="27"/>
      <c r="B589" s="27"/>
      <c r="C589" s="27" t="s">
        <v>41</v>
      </c>
      <c r="D589" s="28"/>
      <c r="E589" s="29"/>
      <c r="F589" s="30">
        <f>[1]Source!AL687</f>
        <v>7.27</v>
      </c>
      <c r="G589" s="31"/>
      <c r="H589" s="29">
        <f>[1]Source!AW688</f>
        <v>1</v>
      </c>
      <c r="I589" s="30">
        <f>[1]Source!P687</f>
        <v>12.36</v>
      </c>
      <c r="J589" s="29">
        <f>IF([1]Source!BC688&lt;&gt; 0, [1]Source!BC688, 1)</f>
        <v>7.91</v>
      </c>
      <c r="K589" s="30">
        <f>[1]Source!P688</f>
        <v>97.77</v>
      </c>
    </row>
    <row r="590" spans="1:29" ht="54" x14ac:dyDescent="0.25">
      <c r="A590" s="53" t="s">
        <v>185</v>
      </c>
      <c r="B590" s="53" t="str">
        <f>[1]Source!F689</f>
        <v>КА 5</v>
      </c>
      <c r="C590" s="53" t="s">
        <v>186</v>
      </c>
      <c r="D590" s="54" t="str">
        <f>[1]Source!H689</f>
        <v>м2</v>
      </c>
      <c r="E590" s="55">
        <f>[1]Source!I689</f>
        <v>1.7</v>
      </c>
      <c r="F590" s="30">
        <f>[1]Source!AK689</f>
        <v>1762.79</v>
      </c>
      <c r="G590" s="43" t="s">
        <v>54</v>
      </c>
      <c r="H590" s="29">
        <f>[1]Source!AW690</f>
        <v>1</v>
      </c>
      <c r="I590" s="30">
        <f>[1]Source!O689</f>
        <v>2996.74</v>
      </c>
      <c r="J590" s="29">
        <f>IF([1]Source!BC690&lt;&gt; 0, [1]Source!BC690, 1)</f>
        <v>9.84</v>
      </c>
      <c r="K590" s="56">
        <f>[1]Source!O690</f>
        <v>29487.919999999998</v>
      </c>
      <c r="L590">
        <v>20747</v>
      </c>
      <c r="M590" s="50">
        <f>L590*E590</f>
        <v>35269.9</v>
      </c>
      <c r="N590" s="51" t="s">
        <v>180</v>
      </c>
      <c r="Q590">
        <f>[1]Source!X689</f>
        <v>0</v>
      </c>
      <c r="R590">
        <f>[1]Source!X690</f>
        <v>0</v>
      </c>
      <c r="S590">
        <f>[1]Source!Y689</f>
        <v>0</v>
      </c>
      <c r="T590">
        <f>[1]Source!Y690</f>
        <v>0</v>
      </c>
      <c r="U590">
        <f>ROUND((175/100)*ROUND([1]Source!R689, 2), 2)</f>
        <v>0</v>
      </c>
      <c r="V590">
        <f>ROUND((0/100)*ROUND([1]Source!R690, 2), 2)</f>
        <v>0</v>
      </c>
      <c r="AC590">
        <v>3</v>
      </c>
    </row>
    <row r="591" spans="1:29" ht="14.4" hidden="1" x14ac:dyDescent="0.25">
      <c r="A591" s="27"/>
      <c r="B591" s="27"/>
      <c r="C591" s="27" t="s">
        <v>42</v>
      </c>
      <c r="D591" s="28" t="s">
        <v>43</v>
      </c>
      <c r="E591" s="29">
        <f>[1]Source!BZ688</f>
        <v>90</v>
      </c>
      <c r="F591" s="30"/>
      <c r="G591" s="31"/>
      <c r="H591" s="29"/>
      <c r="I591" s="30">
        <f>SUM(Q584:Q590)</f>
        <v>24.95</v>
      </c>
      <c r="J591" s="29">
        <f>[1]Source!AT688</f>
        <v>90</v>
      </c>
      <c r="K591" s="30">
        <f>SUM(R584:R590)</f>
        <v>1405.82</v>
      </c>
    </row>
    <row r="592" spans="1:29" ht="14.4" hidden="1" x14ac:dyDescent="0.25">
      <c r="A592" s="27"/>
      <c r="B592" s="27"/>
      <c r="C592" s="27" t="s">
        <v>44</v>
      </c>
      <c r="D592" s="28" t="s">
        <v>43</v>
      </c>
      <c r="E592" s="29">
        <f>[1]Source!CA688</f>
        <v>47</v>
      </c>
      <c r="F592" s="30"/>
      <c r="G592" s="31"/>
      <c r="H592" s="29"/>
      <c r="I592" s="30">
        <f>SUM(S584:S591)</f>
        <v>13.03</v>
      </c>
      <c r="J592" s="29">
        <f>[1]Source!AU688</f>
        <v>47</v>
      </c>
      <c r="K592" s="30">
        <f>SUM(T584:T591)</f>
        <v>734.15</v>
      </c>
    </row>
    <row r="593" spans="1:29" ht="14.4" hidden="1" x14ac:dyDescent="0.25">
      <c r="A593" s="34"/>
      <c r="B593" s="34"/>
      <c r="C593" s="34" t="s">
        <v>45</v>
      </c>
      <c r="D593" s="35" t="s">
        <v>46</v>
      </c>
      <c r="E593" s="36">
        <f>[1]Source!AQ687</f>
        <v>0.95</v>
      </c>
      <c r="F593" s="37"/>
      <c r="G593" s="38" t="s">
        <v>58</v>
      </c>
      <c r="H593" s="36">
        <f>[1]Source!AV688</f>
        <v>1.087</v>
      </c>
      <c r="I593" s="37">
        <f>[1]Source!U687</f>
        <v>2.1066059999999998</v>
      </c>
      <c r="J593" s="36"/>
      <c r="K593" s="37"/>
    </row>
    <row r="594" spans="1:29" ht="13.8" hidden="1" x14ac:dyDescent="0.25">
      <c r="C594" s="39" t="s">
        <v>47</v>
      </c>
      <c r="H594" s="40">
        <f>I586+I587+I589+I591+I592+SUM(I590:I590)-SUMIF(AC590:AC590, 5, I590:I590)-SUMIF(AC590:AC590, 6, I590:I590)</f>
        <v>3082.3599999999997</v>
      </c>
      <c r="I594" s="40"/>
      <c r="J594" s="40">
        <f>K586+K587+K589+K591+K592+SUM(K590:K590)-SUMIF(AC590:AC590, 5, K590:K590)-SUMIF(AC590:AC590, 6, K590:K590)</f>
        <v>33346.080000000002</v>
      </c>
      <c r="K594" s="40"/>
    </row>
    <row r="595" spans="1:29" ht="13.8" hidden="1" x14ac:dyDescent="0.25">
      <c r="C595" s="39" t="s">
        <v>48</v>
      </c>
      <c r="H595" s="41">
        <f>SUMIF(AC590:AC590, 5, I590:I590)+SUMIF(AC590:AC590, 6, I590:I590)</f>
        <v>0</v>
      </c>
      <c r="I595" s="41"/>
      <c r="J595" s="41">
        <f>SUMIF(AC590:AC590, 5, K590:K590)+SUMIF(AC590:AC590, 6, K590:K590)</f>
        <v>0</v>
      </c>
      <c r="K595" s="41"/>
    </row>
    <row r="596" spans="1:29" ht="13.8" hidden="1" x14ac:dyDescent="0.25">
      <c r="C596" s="39" t="s">
        <v>49</v>
      </c>
      <c r="H596" s="41">
        <f>I586+I587+I589+I591+I592+SUM(I590:I590)</f>
        <v>3082.3599999999997</v>
      </c>
      <c r="I596" s="41"/>
      <c r="J596" s="41">
        <f>K586+K587+K589+K591+K592+SUM(K590:K590)</f>
        <v>33346.080000000002</v>
      </c>
      <c r="K596" s="41"/>
      <c r="O596" s="42">
        <f>I586+I587+I589+I591+I592+SUM(I590:I590)</f>
        <v>3082.3599999999997</v>
      </c>
      <c r="P596" s="42">
        <f>K586+K587+K589+K591+K592+SUM(K590:K590)</f>
        <v>33346.080000000002</v>
      </c>
    </row>
    <row r="597" spans="1:29" hidden="1" x14ac:dyDescent="0.25"/>
    <row r="598" spans="1:29" hidden="1" x14ac:dyDescent="0.25"/>
    <row r="599" spans="1:29" ht="13.8" hidden="1" x14ac:dyDescent="0.25">
      <c r="A599" s="44" t="str">
        <f>CONCATENATE("Итого по разделу: ",IF([1]Source!G692&lt;&gt;"Новый раздел", [1]Source!G692, ""))</f>
        <v>Итого по разделу: Грязезащитные решетки. 2 шт</v>
      </c>
      <c r="B599" s="44"/>
      <c r="C599" s="44"/>
      <c r="D599" s="44"/>
      <c r="E599" s="44"/>
      <c r="F599" s="44"/>
      <c r="G599" s="44"/>
      <c r="H599" s="41">
        <f>SUM(O583:O598)</f>
        <v>3082.3599999999997</v>
      </c>
      <c r="I599" s="45"/>
      <c r="J599" s="41">
        <f>SUM(P583:P598)</f>
        <v>33346.080000000002</v>
      </c>
      <c r="K599" s="45"/>
    </row>
    <row r="600" spans="1:29" hidden="1" x14ac:dyDescent="0.25">
      <c r="A600" t="s">
        <v>55</v>
      </c>
      <c r="I600">
        <f>SUM(W583:W599)</f>
        <v>0</v>
      </c>
      <c r="J600">
        <f>SUM(X583:X599)</f>
        <v>0</v>
      </c>
    </row>
    <row r="601" spans="1:29" hidden="1" x14ac:dyDescent="0.25">
      <c r="A601" t="s">
        <v>56</v>
      </c>
      <c r="I601">
        <f>SUM(Y583:Y600)</f>
        <v>0</v>
      </c>
      <c r="J601">
        <f>SUM(Z583:Z600)</f>
        <v>0</v>
      </c>
    </row>
    <row r="602" spans="1:29" hidden="1" x14ac:dyDescent="0.25"/>
    <row r="603" spans="1:29" ht="16.8" hidden="1" x14ac:dyDescent="0.25">
      <c r="A603" s="11" t="str">
        <f>CONCATENATE("Раздел: ",IF([1]Source!G722&lt;&gt;"Новый раздел", [1]Source!G722, ""))</f>
        <v>Раздел: Кровля.</v>
      </c>
      <c r="B603" s="11"/>
      <c r="C603" s="11"/>
      <c r="D603" s="11"/>
      <c r="E603" s="11"/>
      <c r="F603" s="11"/>
      <c r="G603" s="11"/>
      <c r="H603" s="11"/>
      <c r="I603" s="11"/>
      <c r="J603" s="11"/>
      <c r="K603" s="11"/>
    </row>
    <row r="604" spans="1:29" hidden="1" x14ac:dyDescent="0.25"/>
    <row r="605" spans="1:29" ht="16.8" hidden="1" x14ac:dyDescent="0.25">
      <c r="A605" s="11" t="str">
        <f>CONCATENATE("Подраздел: ",IF([1]Source!G726&lt;&gt;"Новый подраздел", [1]Source!G726, ""))</f>
        <v>Подраздел: Демонтажные работы.</v>
      </c>
      <c r="B605" s="11"/>
      <c r="C605" s="11"/>
      <c r="D605" s="11"/>
      <c r="E605" s="11"/>
      <c r="F605" s="11"/>
      <c r="G605" s="11"/>
      <c r="H605" s="11"/>
      <c r="I605" s="11"/>
      <c r="J605" s="11"/>
      <c r="K605" s="11"/>
    </row>
    <row r="606" spans="1:29" ht="28.8" hidden="1" x14ac:dyDescent="0.25">
      <c r="A606" s="27">
        <v>41</v>
      </c>
      <c r="B606" s="27" t="str">
        <f>[1]Source!F730</f>
        <v>6.58-2-1</v>
      </c>
      <c r="C606" s="27" t="s">
        <v>187</v>
      </c>
      <c r="D606" s="28" t="str">
        <f>[1]Source!H730</f>
        <v>100 м2</v>
      </c>
      <c r="E606" s="29">
        <f>[1]Source!I730</f>
        <v>16.39</v>
      </c>
      <c r="F606" s="30"/>
      <c r="G606" s="31"/>
      <c r="H606" s="29"/>
      <c r="I606" s="30"/>
      <c r="J606" s="29"/>
      <c r="K606" s="30"/>
      <c r="Q606">
        <f>[1]Source!X730</f>
        <v>3546.14</v>
      </c>
      <c r="R606">
        <f>[1]Source!X731</f>
        <v>199824.71</v>
      </c>
      <c r="S606">
        <f>[1]Source!Y730</f>
        <v>1812.47</v>
      </c>
      <c r="T606">
        <f>[1]Source!Y731</f>
        <v>102132.63</v>
      </c>
      <c r="U606">
        <f>ROUND((175/100)*ROUND([1]Source!R730, 2), 2)</f>
        <v>0</v>
      </c>
      <c r="V606">
        <f>ROUND((0/100)*ROUND([1]Source!R731, 2), 2)</f>
        <v>0</v>
      </c>
      <c r="AC606">
        <v>0</v>
      </c>
    </row>
    <row r="607" spans="1:29" hidden="1" x14ac:dyDescent="0.25">
      <c r="C607" s="32" t="str">
        <f>"Объем: "&amp;[1]Source!I730&amp;"=(468+"&amp;"79+"&amp;"1092)/"&amp;"100"</f>
        <v>Объем: 16,39=(468+79+1092)/100</v>
      </c>
    </row>
    <row r="608" spans="1:29" ht="14.4" hidden="1" x14ac:dyDescent="0.25">
      <c r="A608" s="27"/>
      <c r="B608" s="27"/>
      <c r="C608" s="27" t="s">
        <v>36</v>
      </c>
      <c r="D608" s="28"/>
      <c r="E608" s="29"/>
      <c r="F608" s="30">
        <f>[1]Source!AO730</f>
        <v>191.34</v>
      </c>
      <c r="G608" s="31" t="s">
        <v>58</v>
      </c>
      <c r="H608" s="29">
        <f>[1]Source!AV731</f>
        <v>1.0469999999999999</v>
      </c>
      <c r="I608" s="30">
        <f>[1]Source!S730</f>
        <v>3940.15</v>
      </c>
      <c r="J608" s="29">
        <f>IF([1]Source!BA731&lt;&gt; 0, [1]Source!BA731, 1)</f>
        <v>56.35</v>
      </c>
      <c r="K608" s="30">
        <f>[1]Source!S731</f>
        <v>222027.45</v>
      </c>
    </row>
    <row r="609" spans="1:29" ht="14.4" hidden="1" x14ac:dyDescent="0.25">
      <c r="A609" s="27"/>
      <c r="B609" s="27"/>
      <c r="C609" s="27" t="s">
        <v>42</v>
      </c>
      <c r="D609" s="28" t="s">
        <v>43</v>
      </c>
      <c r="E609" s="29">
        <f>[1]Source!BZ731</f>
        <v>90</v>
      </c>
      <c r="F609" s="30"/>
      <c r="G609" s="31"/>
      <c r="H609" s="29"/>
      <c r="I609" s="30">
        <f>SUM(Q606:Q608)</f>
        <v>3546.14</v>
      </c>
      <c r="J609" s="29">
        <f>[1]Source!AT731</f>
        <v>90</v>
      </c>
      <c r="K609" s="30">
        <f>SUM(R606:R608)</f>
        <v>199824.71</v>
      </c>
    </row>
    <row r="610" spans="1:29" ht="14.4" hidden="1" x14ac:dyDescent="0.25">
      <c r="A610" s="27"/>
      <c r="B610" s="27"/>
      <c r="C610" s="27" t="s">
        <v>44</v>
      </c>
      <c r="D610" s="28" t="s">
        <v>43</v>
      </c>
      <c r="E610" s="29">
        <f>[1]Source!CA731</f>
        <v>46</v>
      </c>
      <c r="F610" s="30"/>
      <c r="G610" s="31"/>
      <c r="H610" s="29"/>
      <c r="I610" s="30">
        <f>SUM(S606:S609)</f>
        <v>1812.47</v>
      </c>
      <c r="J610" s="29">
        <f>[1]Source!AU731</f>
        <v>46</v>
      </c>
      <c r="K610" s="30">
        <f>SUM(T606:T609)</f>
        <v>102132.63</v>
      </c>
    </row>
    <row r="611" spans="1:29" ht="14.4" hidden="1" x14ac:dyDescent="0.25">
      <c r="A611" s="34"/>
      <c r="B611" s="34"/>
      <c r="C611" s="34" t="s">
        <v>45</v>
      </c>
      <c r="D611" s="35" t="s">
        <v>46</v>
      </c>
      <c r="E611" s="36">
        <f>[1]Source!AQ730</f>
        <v>17.41</v>
      </c>
      <c r="F611" s="37"/>
      <c r="G611" s="38" t="s">
        <v>58</v>
      </c>
      <c r="H611" s="36">
        <f>[1]Source!AV731</f>
        <v>1.0469999999999999</v>
      </c>
      <c r="I611" s="37">
        <f>[1]Source!U730</f>
        <v>358.51361436000002</v>
      </c>
      <c r="J611" s="36"/>
      <c r="K611" s="37"/>
    </row>
    <row r="612" spans="1:29" ht="13.8" hidden="1" x14ac:dyDescent="0.25">
      <c r="C612" s="39" t="s">
        <v>47</v>
      </c>
      <c r="H612" s="40">
        <f>I608+I609+I610+0-0-0</f>
        <v>9298.76</v>
      </c>
      <c r="I612" s="40"/>
      <c r="J612" s="40">
        <f>K608+K609+K610+0-0-0</f>
        <v>523984.79000000004</v>
      </c>
      <c r="K612" s="40"/>
    </row>
    <row r="613" spans="1:29" ht="13.8" hidden="1" x14ac:dyDescent="0.25">
      <c r="C613" s="39" t="s">
        <v>48</v>
      </c>
      <c r="H613" s="41">
        <f>0+0</f>
        <v>0</v>
      </c>
      <c r="I613" s="41"/>
      <c r="J613" s="41">
        <f>0+0</f>
        <v>0</v>
      </c>
      <c r="K613" s="41"/>
    </row>
    <row r="614" spans="1:29" ht="13.8" hidden="1" x14ac:dyDescent="0.25">
      <c r="C614" s="39" t="s">
        <v>49</v>
      </c>
      <c r="H614" s="41">
        <f>I608+I609+I610+0</f>
        <v>9298.76</v>
      </c>
      <c r="I614" s="41"/>
      <c r="J614" s="41">
        <f>K608+K609+K610+0</f>
        <v>523984.79000000004</v>
      </c>
      <c r="K614" s="41"/>
      <c r="O614" s="42">
        <f>I608+I609+I610+0</f>
        <v>9298.76</v>
      </c>
      <c r="P614" s="42">
        <f>K608+K609+K610+0</f>
        <v>523984.79000000004</v>
      </c>
    </row>
    <row r="615" spans="1:29" hidden="1" x14ac:dyDescent="0.25"/>
    <row r="616" spans="1:29" ht="57.6" hidden="1" x14ac:dyDescent="0.25">
      <c r="A616" s="27">
        <v>42</v>
      </c>
      <c r="B616" s="27" t="str">
        <f>[1]Source!F732</f>
        <v>6.57-2-8</v>
      </c>
      <c r="C616" s="27" t="s">
        <v>188</v>
      </c>
      <c r="D616" s="28" t="str">
        <f>[1]Source!H732</f>
        <v>100 м2 покрытия</v>
      </c>
      <c r="E616" s="29">
        <f>[1]Source!I732</f>
        <v>5.47</v>
      </c>
      <c r="F616" s="30"/>
      <c r="G616" s="31"/>
      <c r="H616" s="29"/>
      <c r="I616" s="30"/>
      <c r="J616" s="29"/>
      <c r="K616" s="30"/>
      <c r="Q616">
        <f>[1]Source!X732</f>
        <v>2485.0300000000002</v>
      </c>
      <c r="R616">
        <f>[1]Source!X733</f>
        <v>140031.51</v>
      </c>
      <c r="S616">
        <f>[1]Source!Y732</f>
        <v>1368.16</v>
      </c>
      <c r="T616">
        <f>[1]Source!Y733</f>
        <v>77096</v>
      </c>
      <c r="U616">
        <f>ROUND((175/100)*ROUND([1]Source!R732, 2), 2)</f>
        <v>1578.54</v>
      </c>
      <c r="V616">
        <f>ROUND((0/100)*ROUND([1]Source!R733, 2), 2)</f>
        <v>0</v>
      </c>
      <c r="AC616">
        <v>0</v>
      </c>
    </row>
    <row r="617" spans="1:29" hidden="1" x14ac:dyDescent="0.25">
      <c r="C617" s="32" t="str">
        <f>"Объем: "&amp;[1]Source!I732&amp;"=(468+"&amp;"79)/"&amp;"100"</f>
        <v>Объем: 5,47=(468+79)/100</v>
      </c>
    </row>
    <row r="618" spans="1:29" ht="14.4" hidden="1" x14ac:dyDescent="0.25">
      <c r="A618" s="27"/>
      <c r="B618" s="27"/>
      <c r="C618" s="27" t="s">
        <v>36</v>
      </c>
      <c r="D618" s="28"/>
      <c r="E618" s="29"/>
      <c r="F618" s="30">
        <f>[1]Source!AO732</f>
        <v>275.02999999999997</v>
      </c>
      <c r="G618" s="31" t="s">
        <v>58</v>
      </c>
      <c r="H618" s="29">
        <f>[1]Source!AV733</f>
        <v>1.0469999999999999</v>
      </c>
      <c r="I618" s="30">
        <f>[1]Source!S732</f>
        <v>1890.15</v>
      </c>
      <c r="J618" s="29">
        <f>IF([1]Source!BA733&lt;&gt; 0, [1]Source!BA733, 1)</f>
        <v>56.35</v>
      </c>
      <c r="K618" s="30">
        <f>[1]Source!S733</f>
        <v>106509.95</v>
      </c>
    </row>
    <row r="619" spans="1:29" ht="14.4" hidden="1" x14ac:dyDescent="0.25">
      <c r="A619" s="27"/>
      <c r="B619" s="27"/>
      <c r="C619" s="27" t="s">
        <v>38</v>
      </c>
      <c r="D619" s="28"/>
      <c r="E619" s="29"/>
      <c r="F619" s="30">
        <f>[1]Source!AM732</f>
        <v>363.79</v>
      </c>
      <c r="G619" s="31" t="s">
        <v>58</v>
      </c>
      <c r="H619" s="29">
        <f>[1]Source!AV733</f>
        <v>1.0469999999999999</v>
      </c>
      <c r="I619" s="30">
        <f>[1]Source!Q732</f>
        <v>2500.15</v>
      </c>
      <c r="J619" s="29">
        <f>IF([1]Source!BB733&lt;&gt; 0, [1]Source!BB733, 1)</f>
        <v>28.05</v>
      </c>
      <c r="K619" s="30">
        <f>[1]Source!Q733</f>
        <v>70129.210000000006</v>
      </c>
    </row>
    <row r="620" spans="1:29" ht="14.4" hidden="1" x14ac:dyDescent="0.25">
      <c r="A620" s="27"/>
      <c r="B620" s="27"/>
      <c r="C620" s="27" t="s">
        <v>40</v>
      </c>
      <c r="D620" s="28"/>
      <c r="E620" s="29"/>
      <c r="F620" s="30">
        <f>[1]Source!AN732</f>
        <v>131.25</v>
      </c>
      <c r="G620" s="31" t="s">
        <v>58</v>
      </c>
      <c r="H620" s="29">
        <f>[1]Source!AV733</f>
        <v>1.0469999999999999</v>
      </c>
      <c r="I620" s="33">
        <f>[1]Source!R732</f>
        <v>902.02</v>
      </c>
      <c r="J620" s="29">
        <f>IF([1]Source!BS733&lt;&gt; 0, [1]Source!BS733, 1)</f>
        <v>56.35</v>
      </c>
      <c r="K620" s="33">
        <f>[1]Source!R733</f>
        <v>50828.83</v>
      </c>
    </row>
    <row r="621" spans="1:29" ht="14.4" hidden="1" x14ac:dyDescent="0.25">
      <c r="A621" s="27"/>
      <c r="B621" s="27"/>
      <c r="C621" s="27" t="s">
        <v>42</v>
      </c>
      <c r="D621" s="28" t="s">
        <v>43</v>
      </c>
      <c r="E621" s="29">
        <f>[1]Source!BZ733</f>
        <v>89</v>
      </c>
      <c r="F621" s="30"/>
      <c r="G621" s="31"/>
      <c r="H621" s="29"/>
      <c r="I621" s="30">
        <f>SUM(Q616:Q620)</f>
        <v>2485.0300000000002</v>
      </c>
      <c r="J621" s="29">
        <f>[1]Source!AT733</f>
        <v>89</v>
      </c>
      <c r="K621" s="30">
        <f>SUM(R616:R620)</f>
        <v>140031.51</v>
      </c>
    </row>
    <row r="622" spans="1:29" ht="14.4" hidden="1" x14ac:dyDescent="0.25">
      <c r="A622" s="27"/>
      <c r="B622" s="27"/>
      <c r="C622" s="27" t="s">
        <v>44</v>
      </c>
      <c r="D622" s="28" t="s">
        <v>43</v>
      </c>
      <c r="E622" s="29">
        <f>[1]Source!CA733</f>
        <v>49</v>
      </c>
      <c r="F622" s="30"/>
      <c r="G622" s="31"/>
      <c r="H622" s="29"/>
      <c r="I622" s="30">
        <f>SUM(S616:S621)</f>
        <v>1368.16</v>
      </c>
      <c r="J622" s="29">
        <f>[1]Source!AU733</f>
        <v>49</v>
      </c>
      <c r="K622" s="30">
        <f>SUM(T616:T621)</f>
        <v>77096</v>
      </c>
    </row>
    <row r="623" spans="1:29" ht="14.4" hidden="1" x14ac:dyDescent="0.25">
      <c r="A623" s="34"/>
      <c r="B623" s="34"/>
      <c r="C623" s="34" t="s">
        <v>45</v>
      </c>
      <c r="D623" s="35" t="s">
        <v>46</v>
      </c>
      <c r="E623" s="36">
        <f>[1]Source!AQ732</f>
        <v>24.6</v>
      </c>
      <c r="F623" s="37"/>
      <c r="G623" s="38" t="s">
        <v>58</v>
      </c>
      <c r="H623" s="36">
        <f>[1]Source!AV733</f>
        <v>1.0469999999999999</v>
      </c>
      <c r="I623" s="37">
        <f>[1]Source!U732</f>
        <v>169.06369679999997</v>
      </c>
      <c r="J623" s="36"/>
      <c r="K623" s="37"/>
    </row>
    <row r="624" spans="1:29" ht="13.8" hidden="1" x14ac:dyDescent="0.25">
      <c r="C624" s="39" t="s">
        <v>47</v>
      </c>
      <c r="H624" s="40">
        <f>I618+I619+I621+I622+0-0-0</f>
        <v>8243.49</v>
      </c>
      <c r="I624" s="40"/>
      <c r="J624" s="40">
        <f>K618+K619+K621+K622+0-0-0</f>
        <v>393766.67000000004</v>
      </c>
      <c r="K624" s="40"/>
    </row>
    <row r="625" spans="1:29" ht="13.8" hidden="1" x14ac:dyDescent="0.25">
      <c r="C625" s="39" t="s">
        <v>48</v>
      </c>
      <c r="H625" s="41">
        <f>0+0</f>
        <v>0</v>
      </c>
      <c r="I625" s="41"/>
      <c r="J625" s="41">
        <f>0+0</f>
        <v>0</v>
      </c>
      <c r="K625" s="41"/>
    </row>
    <row r="626" spans="1:29" ht="13.8" hidden="1" x14ac:dyDescent="0.25">
      <c r="C626" s="39" t="s">
        <v>49</v>
      </c>
      <c r="H626" s="41">
        <f>I618+I619+I621+I622+0</f>
        <v>8243.49</v>
      </c>
      <c r="I626" s="41"/>
      <c r="J626" s="41">
        <f>K618+K619+K621+K622+0</f>
        <v>393766.67000000004</v>
      </c>
      <c r="K626" s="41"/>
      <c r="O626" s="42">
        <f>I618+I619+I621+I622+0</f>
        <v>8243.49</v>
      </c>
      <c r="P626" s="42">
        <f>K618+K619+K621+K622+0</f>
        <v>393766.67000000004</v>
      </c>
    </row>
    <row r="627" spans="1:29" hidden="1" x14ac:dyDescent="0.25"/>
    <row r="628" spans="1:29" ht="57.6" hidden="1" x14ac:dyDescent="0.25">
      <c r="A628" s="27">
        <v>43</v>
      </c>
      <c r="B628" s="27" t="str">
        <f>[1]Source!F734</f>
        <v>6.57-2-16</v>
      </c>
      <c r="C628" s="27" t="s">
        <v>189</v>
      </c>
      <c r="D628" s="28" t="str">
        <f>[1]Source!H734</f>
        <v>100 м2 покрытия</v>
      </c>
      <c r="E628" s="29">
        <f>[1]Source!I734</f>
        <v>5.47</v>
      </c>
      <c r="F628" s="30"/>
      <c r="G628" s="31"/>
      <c r="H628" s="29"/>
      <c r="I628" s="30"/>
      <c r="J628" s="29"/>
      <c r="K628" s="30"/>
      <c r="Q628">
        <f>[1]Source!X734</f>
        <v>820.6</v>
      </c>
      <c r="R628">
        <f>[1]Source!X735</f>
        <v>46240.69</v>
      </c>
      <c r="S628">
        <f>[1]Source!Y734</f>
        <v>451.79</v>
      </c>
      <c r="T628">
        <f>[1]Source!Y735</f>
        <v>25458.36</v>
      </c>
      <c r="U628">
        <f>ROUND((175/100)*ROUND([1]Source!R734, 2), 2)</f>
        <v>0</v>
      </c>
      <c r="V628">
        <f>ROUND((0/100)*ROUND([1]Source!R735, 2), 2)</f>
        <v>0</v>
      </c>
      <c r="AC628">
        <v>0</v>
      </c>
    </row>
    <row r="629" spans="1:29" hidden="1" x14ac:dyDescent="0.25">
      <c r="C629" s="32" t="str">
        <f>"Объем: "&amp;[1]Source!I734&amp;"=547/"&amp;"100"</f>
        <v>Объем: 5,47=547/100</v>
      </c>
    </row>
    <row r="630" spans="1:29" ht="14.4" hidden="1" x14ac:dyDescent="0.25">
      <c r="A630" s="27"/>
      <c r="B630" s="27"/>
      <c r="C630" s="27" t="s">
        <v>36</v>
      </c>
      <c r="D630" s="28"/>
      <c r="E630" s="29"/>
      <c r="F630" s="30">
        <f>[1]Source!AO734</f>
        <v>33.54</v>
      </c>
      <c r="G630" s="31" t="s">
        <v>190</v>
      </c>
      <c r="H630" s="29">
        <f>[1]Source!AV735</f>
        <v>1.0469999999999999</v>
      </c>
      <c r="I630" s="30">
        <f>[1]Source!S734</f>
        <v>922.02</v>
      </c>
      <c r="J630" s="29">
        <f>IF([1]Source!BA735&lt;&gt; 0, [1]Source!BA735, 1)</f>
        <v>56.35</v>
      </c>
      <c r="K630" s="30">
        <f>[1]Source!S735</f>
        <v>51955.83</v>
      </c>
    </row>
    <row r="631" spans="1:29" ht="14.4" hidden="1" x14ac:dyDescent="0.25">
      <c r="A631" s="27"/>
      <c r="B631" s="27"/>
      <c r="C631" s="27" t="s">
        <v>42</v>
      </c>
      <c r="D631" s="28" t="s">
        <v>43</v>
      </c>
      <c r="E631" s="29">
        <f>[1]Source!BZ735</f>
        <v>89</v>
      </c>
      <c r="F631" s="30"/>
      <c r="G631" s="31"/>
      <c r="H631" s="29"/>
      <c r="I631" s="30">
        <f>SUM(Q628:Q630)</f>
        <v>820.6</v>
      </c>
      <c r="J631" s="29">
        <f>[1]Source!AT735</f>
        <v>89</v>
      </c>
      <c r="K631" s="30">
        <f>SUM(R628:R630)</f>
        <v>46240.69</v>
      </c>
    </row>
    <row r="632" spans="1:29" ht="14.4" hidden="1" x14ac:dyDescent="0.25">
      <c r="A632" s="27"/>
      <c r="B632" s="27"/>
      <c r="C632" s="27" t="s">
        <v>44</v>
      </c>
      <c r="D632" s="28" t="s">
        <v>43</v>
      </c>
      <c r="E632" s="29">
        <f>[1]Source!CA735</f>
        <v>49</v>
      </c>
      <c r="F632" s="30"/>
      <c r="G632" s="31"/>
      <c r="H632" s="29"/>
      <c r="I632" s="30">
        <f>SUM(S628:S631)</f>
        <v>451.79</v>
      </c>
      <c r="J632" s="29">
        <f>[1]Source!AU735</f>
        <v>49</v>
      </c>
      <c r="K632" s="30">
        <f>SUM(T628:T631)</f>
        <v>25458.36</v>
      </c>
    </row>
    <row r="633" spans="1:29" ht="14.4" hidden="1" x14ac:dyDescent="0.25">
      <c r="A633" s="34"/>
      <c r="B633" s="34"/>
      <c r="C633" s="34" t="s">
        <v>45</v>
      </c>
      <c r="D633" s="35" t="s">
        <v>46</v>
      </c>
      <c r="E633" s="36">
        <f>[1]Source!AQ734</f>
        <v>3</v>
      </c>
      <c r="F633" s="37"/>
      <c r="G633" s="38" t="s">
        <v>190</v>
      </c>
      <c r="H633" s="36">
        <f>[1]Source!AV735</f>
        <v>1.0469999999999999</v>
      </c>
      <c r="I633" s="37">
        <f>[1]Source!U734</f>
        <v>82.470095999999984</v>
      </c>
      <c r="J633" s="36"/>
      <c r="K633" s="37"/>
    </row>
    <row r="634" spans="1:29" ht="13.8" hidden="1" x14ac:dyDescent="0.25">
      <c r="C634" s="39" t="s">
        <v>47</v>
      </c>
      <c r="H634" s="40">
        <f>I630+I631+I632+0-0-0</f>
        <v>2194.41</v>
      </c>
      <c r="I634" s="40"/>
      <c r="J634" s="40">
        <f>K630+K631+K632+0-0-0</f>
        <v>123654.88</v>
      </c>
      <c r="K634" s="40"/>
    </row>
    <row r="635" spans="1:29" ht="13.8" hidden="1" x14ac:dyDescent="0.25">
      <c r="C635" s="39" t="s">
        <v>48</v>
      </c>
      <c r="H635" s="41">
        <f>0+0</f>
        <v>0</v>
      </c>
      <c r="I635" s="41"/>
      <c r="J635" s="41">
        <f>0+0</f>
        <v>0</v>
      </c>
      <c r="K635" s="41"/>
    </row>
    <row r="636" spans="1:29" ht="13.8" hidden="1" x14ac:dyDescent="0.25">
      <c r="C636" s="39" t="s">
        <v>49</v>
      </c>
      <c r="H636" s="41">
        <f>I630+I631+I632+0</f>
        <v>2194.41</v>
      </c>
      <c r="I636" s="41"/>
      <c r="J636" s="41">
        <f>K630+K631+K632+0</f>
        <v>123654.88</v>
      </c>
      <c r="K636" s="41"/>
      <c r="O636" s="42">
        <f>I630+I631+I632+0</f>
        <v>2194.41</v>
      </c>
      <c r="P636" s="42">
        <f>K630+K631+K632+0</f>
        <v>123654.88</v>
      </c>
    </row>
    <row r="637" spans="1:29" hidden="1" x14ac:dyDescent="0.25"/>
    <row r="638" spans="1:29" ht="57.6" hidden="1" x14ac:dyDescent="0.25">
      <c r="A638" s="27">
        <v>44</v>
      </c>
      <c r="B638" s="27" t="str">
        <f>[1]Source!F736</f>
        <v>3.12-18-1</v>
      </c>
      <c r="C638" s="27" t="s">
        <v>191</v>
      </c>
      <c r="D638" s="28" t="str">
        <f>[1]Source!H736</f>
        <v>1 м3 утеплителя</v>
      </c>
      <c r="E638" s="29">
        <f>[1]Source!I736</f>
        <v>90.254999999999995</v>
      </c>
      <c r="F638" s="30"/>
      <c r="G638" s="31"/>
      <c r="H638" s="29"/>
      <c r="I638" s="30"/>
      <c r="J638" s="29"/>
      <c r="K638" s="30"/>
      <c r="Q638">
        <f>[1]Source!X736</f>
        <v>2809.59</v>
      </c>
      <c r="R638">
        <f>[1]Source!X737</f>
        <v>158320.48000000001</v>
      </c>
      <c r="S638">
        <f>[1]Source!Y736</f>
        <v>1376.13</v>
      </c>
      <c r="T638">
        <f>[1]Source!Y737</f>
        <v>77544.72</v>
      </c>
      <c r="U638">
        <f>ROUND((175/100)*ROUND([1]Source!R736, 2), 2)</f>
        <v>527.42999999999995</v>
      </c>
      <c r="V638">
        <f>ROUND((0/100)*ROUND([1]Source!R737, 2), 2)</f>
        <v>0</v>
      </c>
      <c r="AC638">
        <v>0</v>
      </c>
    </row>
    <row r="639" spans="1:29" hidden="1" x14ac:dyDescent="0.25">
      <c r="C639" s="32" t="str">
        <f>"Объем: "&amp;[1]Source!I736&amp;"=(468+"&amp;"79)*"&amp;"0,165"</f>
        <v>Объем: 90,255=(468+79)*0,165</v>
      </c>
    </row>
    <row r="640" spans="1:29" ht="14.4" hidden="1" x14ac:dyDescent="0.25">
      <c r="A640" s="27"/>
      <c r="B640" s="27"/>
      <c r="C640" s="27" t="s">
        <v>36</v>
      </c>
      <c r="D640" s="28"/>
      <c r="E640" s="29"/>
      <c r="F640" s="30">
        <f>[1]Source!AO736</f>
        <v>27.24</v>
      </c>
      <c r="G640" s="31" t="s">
        <v>60</v>
      </c>
      <c r="H640" s="29">
        <f>[1]Source!AV737</f>
        <v>1.087</v>
      </c>
      <c r="I640" s="30">
        <f>[1]Source!S736</f>
        <v>2565.54</v>
      </c>
      <c r="J640" s="29">
        <f>IF([1]Source!BA737&lt;&gt; 0, [1]Source!BA737, 1)</f>
        <v>56.35</v>
      </c>
      <c r="K640" s="30">
        <f>[1]Source!S737</f>
        <v>144568.18</v>
      </c>
    </row>
    <row r="641" spans="1:29" ht="14.4" hidden="1" x14ac:dyDescent="0.25">
      <c r="A641" s="27"/>
      <c r="B641" s="27"/>
      <c r="C641" s="27" t="s">
        <v>38</v>
      </c>
      <c r="D641" s="28"/>
      <c r="E641" s="29"/>
      <c r="F641" s="30">
        <f>[1]Source!AM736</f>
        <v>36.29</v>
      </c>
      <c r="G641" s="31" t="s">
        <v>60</v>
      </c>
      <c r="H641" s="29">
        <f>[1]Source!AV737</f>
        <v>1.087</v>
      </c>
      <c r="I641" s="30">
        <f>[1]Source!Q736</f>
        <v>3417.9</v>
      </c>
      <c r="J641" s="29">
        <f>IF([1]Source!BB737&lt;&gt; 0, [1]Source!BB737, 1)</f>
        <v>14.94</v>
      </c>
      <c r="K641" s="30">
        <f>[1]Source!Q737</f>
        <v>51063.43</v>
      </c>
    </row>
    <row r="642" spans="1:29" ht="14.4" hidden="1" x14ac:dyDescent="0.25">
      <c r="A642" s="27"/>
      <c r="B642" s="27"/>
      <c r="C642" s="27" t="s">
        <v>40</v>
      </c>
      <c r="D642" s="28"/>
      <c r="E642" s="29"/>
      <c r="F642" s="30">
        <f>[1]Source!AN736</f>
        <v>3.2</v>
      </c>
      <c r="G642" s="31" t="s">
        <v>60</v>
      </c>
      <c r="H642" s="29">
        <f>[1]Source!AV737</f>
        <v>1.087</v>
      </c>
      <c r="I642" s="33">
        <f>[1]Source!R736</f>
        <v>301.39</v>
      </c>
      <c r="J642" s="29">
        <f>IF([1]Source!BS737&lt;&gt; 0, [1]Source!BS737, 1)</f>
        <v>56.35</v>
      </c>
      <c r="K642" s="33">
        <f>[1]Source!R737</f>
        <v>16983.330000000002</v>
      </c>
    </row>
    <row r="643" spans="1:29" ht="14.4" hidden="1" x14ac:dyDescent="0.25">
      <c r="A643" s="27"/>
      <c r="B643" s="27"/>
      <c r="C643" s="27" t="s">
        <v>42</v>
      </c>
      <c r="D643" s="28" t="s">
        <v>43</v>
      </c>
      <c r="E643" s="29">
        <f>[1]Source!BZ737</f>
        <v>98</v>
      </c>
      <c r="F643" s="30"/>
      <c r="G643" s="31"/>
      <c r="H643" s="29"/>
      <c r="I643" s="30">
        <f>SUM(Q638:Q642)</f>
        <v>2809.59</v>
      </c>
      <c r="J643" s="29">
        <f>[1]Source!AT737</f>
        <v>98</v>
      </c>
      <c r="K643" s="30">
        <f>SUM(R638:R642)</f>
        <v>158320.48000000001</v>
      </c>
    </row>
    <row r="644" spans="1:29" ht="14.4" hidden="1" x14ac:dyDescent="0.25">
      <c r="A644" s="27"/>
      <c r="B644" s="27"/>
      <c r="C644" s="27" t="s">
        <v>44</v>
      </c>
      <c r="D644" s="28" t="s">
        <v>43</v>
      </c>
      <c r="E644" s="29">
        <f>[1]Source!CA737</f>
        <v>48</v>
      </c>
      <c r="F644" s="30"/>
      <c r="G644" s="31"/>
      <c r="H644" s="29"/>
      <c r="I644" s="30">
        <f>SUM(S638:S643)</f>
        <v>1376.13</v>
      </c>
      <c r="J644" s="29">
        <f>[1]Source!AU737</f>
        <v>48</v>
      </c>
      <c r="K644" s="30">
        <f>SUM(T638:T643)</f>
        <v>77544.72</v>
      </c>
    </row>
    <row r="645" spans="1:29" ht="14.4" hidden="1" x14ac:dyDescent="0.25">
      <c r="A645" s="34"/>
      <c r="B645" s="34"/>
      <c r="C645" s="34" t="s">
        <v>45</v>
      </c>
      <c r="D645" s="35" t="s">
        <v>46</v>
      </c>
      <c r="E645" s="36">
        <f>[1]Source!AQ736</f>
        <v>2.71</v>
      </c>
      <c r="F645" s="37"/>
      <c r="G645" s="38" t="s">
        <v>60</v>
      </c>
      <c r="H645" s="36">
        <f>[1]Source!AV737</f>
        <v>1.087</v>
      </c>
      <c r="I645" s="37">
        <f>[1]Source!U736</f>
        <v>255.23565249599997</v>
      </c>
      <c r="J645" s="36"/>
      <c r="K645" s="37"/>
    </row>
    <row r="646" spans="1:29" ht="13.8" hidden="1" x14ac:dyDescent="0.25">
      <c r="C646" s="39" t="s">
        <v>47</v>
      </c>
      <c r="H646" s="40">
        <f>I640+I641+I643+I644+0-0-0</f>
        <v>10169.16</v>
      </c>
      <c r="I646" s="40"/>
      <c r="J646" s="40">
        <f>K640+K641+K643+K644+0-0-0</f>
        <v>431496.80999999994</v>
      </c>
      <c r="K646" s="40"/>
    </row>
    <row r="647" spans="1:29" ht="13.8" hidden="1" x14ac:dyDescent="0.25">
      <c r="C647" s="39" t="s">
        <v>48</v>
      </c>
      <c r="H647" s="41">
        <f>0+0</f>
        <v>0</v>
      </c>
      <c r="I647" s="41"/>
      <c r="J647" s="41">
        <f>0+0</f>
        <v>0</v>
      </c>
      <c r="K647" s="41"/>
    </row>
    <row r="648" spans="1:29" ht="13.8" hidden="1" x14ac:dyDescent="0.25">
      <c r="C648" s="39" t="s">
        <v>49</v>
      </c>
      <c r="H648" s="41">
        <f>I640+I641+I643+I644+0</f>
        <v>10169.16</v>
      </c>
      <c r="I648" s="41"/>
      <c r="J648" s="41">
        <f>K640+K641+K643+K644+0</f>
        <v>431496.80999999994</v>
      </c>
      <c r="K648" s="41"/>
      <c r="O648" s="42">
        <f>I640+I641+I643+I644+0</f>
        <v>10169.16</v>
      </c>
      <c r="P648" s="42">
        <f>K640+K641+K643+K644+0</f>
        <v>431496.80999999994</v>
      </c>
    </row>
    <row r="649" spans="1:29" hidden="1" x14ac:dyDescent="0.25"/>
    <row r="650" spans="1:29" ht="28.8" hidden="1" x14ac:dyDescent="0.25">
      <c r="A650" s="27">
        <v>45</v>
      </c>
      <c r="B650" s="27" t="str">
        <f>[1]Source!F738</f>
        <v>6.69-45-1</v>
      </c>
      <c r="C650" s="27" t="s">
        <v>192</v>
      </c>
      <c r="D650" s="28" t="str">
        <f>[1]Source!H738</f>
        <v>100 м3</v>
      </c>
      <c r="E650" s="29">
        <f>[1]Source!I738</f>
        <v>0.93600000000000005</v>
      </c>
      <c r="F650" s="30"/>
      <c r="G650" s="31"/>
      <c r="H650" s="29"/>
      <c r="I650" s="30"/>
      <c r="J650" s="29"/>
      <c r="K650" s="30"/>
      <c r="Q650">
        <f>[1]Source!X738</f>
        <v>3739.21</v>
      </c>
      <c r="R650">
        <f>[1]Source!X739</f>
        <v>210704.55</v>
      </c>
      <c r="S650">
        <f>[1]Source!Y738</f>
        <v>1788.32</v>
      </c>
      <c r="T650">
        <f>[1]Source!Y739</f>
        <v>100771.74</v>
      </c>
      <c r="U650">
        <f>ROUND((175/100)*ROUND([1]Source!R738, 2), 2)</f>
        <v>0</v>
      </c>
      <c r="V650">
        <f>ROUND((0/100)*ROUND([1]Source!R739, 2), 2)</f>
        <v>0</v>
      </c>
      <c r="AC650">
        <v>0</v>
      </c>
    </row>
    <row r="651" spans="1:29" hidden="1" x14ac:dyDescent="0.25">
      <c r="C651" s="32" t="str">
        <f>"Объем: "&amp;[1]Source!I738&amp;"=(468*"&amp;"0,2)/"&amp;"100"</f>
        <v>Объем: 0,936=(468*0,2)/100</v>
      </c>
    </row>
    <row r="652" spans="1:29" ht="14.4" hidden="1" x14ac:dyDescent="0.25">
      <c r="A652" s="27"/>
      <c r="B652" s="27"/>
      <c r="C652" s="27" t="s">
        <v>36</v>
      </c>
      <c r="D652" s="28"/>
      <c r="E652" s="29"/>
      <c r="F652" s="30">
        <f>[1]Source!AO738</f>
        <v>3456.12</v>
      </c>
      <c r="G652" s="31" t="s">
        <v>58</v>
      </c>
      <c r="H652" s="29">
        <f>[1]Source!AV739</f>
        <v>1.0469999999999999</v>
      </c>
      <c r="I652" s="30">
        <f>[1]Source!S738</f>
        <v>4064.36</v>
      </c>
      <c r="J652" s="29">
        <f>IF([1]Source!BA739&lt;&gt; 0, [1]Source!BA739, 1)</f>
        <v>56.35</v>
      </c>
      <c r="K652" s="30">
        <f>[1]Source!S739</f>
        <v>229026.69</v>
      </c>
    </row>
    <row r="653" spans="1:29" ht="14.4" hidden="1" x14ac:dyDescent="0.25">
      <c r="A653" s="27"/>
      <c r="B653" s="27"/>
      <c r="C653" s="27" t="s">
        <v>42</v>
      </c>
      <c r="D653" s="28" t="s">
        <v>43</v>
      </c>
      <c r="E653" s="29">
        <f>[1]Source!BZ739</f>
        <v>92</v>
      </c>
      <c r="F653" s="30"/>
      <c r="G653" s="31"/>
      <c r="H653" s="29"/>
      <c r="I653" s="30">
        <f>SUM(Q650:Q652)</f>
        <v>3739.21</v>
      </c>
      <c r="J653" s="29">
        <f>[1]Source!AT739</f>
        <v>92</v>
      </c>
      <c r="K653" s="30">
        <f>SUM(R650:R652)</f>
        <v>210704.55</v>
      </c>
    </row>
    <row r="654" spans="1:29" ht="14.4" hidden="1" x14ac:dyDescent="0.25">
      <c r="A654" s="27"/>
      <c r="B654" s="27"/>
      <c r="C654" s="27" t="s">
        <v>44</v>
      </c>
      <c r="D654" s="28" t="s">
        <v>43</v>
      </c>
      <c r="E654" s="29">
        <f>[1]Source!CA739</f>
        <v>44</v>
      </c>
      <c r="F654" s="30"/>
      <c r="G654" s="31"/>
      <c r="H654" s="29"/>
      <c r="I654" s="30">
        <f>SUM(S650:S653)</f>
        <v>1788.32</v>
      </c>
      <c r="J654" s="29">
        <f>[1]Source!AU739</f>
        <v>44</v>
      </c>
      <c r="K654" s="30">
        <f>SUM(T650:T653)</f>
        <v>100771.74</v>
      </c>
    </row>
    <row r="655" spans="1:29" ht="14.4" hidden="1" x14ac:dyDescent="0.25">
      <c r="A655" s="34"/>
      <c r="B655" s="34"/>
      <c r="C655" s="34" t="s">
        <v>45</v>
      </c>
      <c r="D655" s="35" t="s">
        <v>46</v>
      </c>
      <c r="E655" s="36">
        <f>[1]Source!AQ738</f>
        <v>332</v>
      </c>
      <c r="F655" s="37"/>
      <c r="G655" s="38" t="s">
        <v>58</v>
      </c>
      <c r="H655" s="36">
        <f>[1]Source!AV739</f>
        <v>1.0469999999999999</v>
      </c>
      <c r="I655" s="37">
        <f>[1]Source!U738</f>
        <v>390.42881279999995</v>
      </c>
      <c r="J655" s="36"/>
      <c r="K655" s="37"/>
    </row>
    <row r="656" spans="1:29" ht="13.8" hidden="1" x14ac:dyDescent="0.25">
      <c r="C656" s="39" t="s">
        <v>47</v>
      </c>
      <c r="H656" s="40">
        <f>I652+I653+I654+0-0-0</f>
        <v>9591.89</v>
      </c>
      <c r="I656" s="40"/>
      <c r="J656" s="40">
        <f>K652+K653+K654+0-0-0</f>
        <v>540502.98</v>
      </c>
      <c r="K656" s="40"/>
    </row>
    <row r="657" spans="1:29" ht="13.8" hidden="1" x14ac:dyDescent="0.25">
      <c r="C657" s="39" t="s">
        <v>48</v>
      </c>
      <c r="H657" s="41">
        <f>0+0</f>
        <v>0</v>
      </c>
      <c r="I657" s="41"/>
      <c r="J657" s="41">
        <f>0+0</f>
        <v>0</v>
      </c>
      <c r="K657" s="41"/>
    </row>
    <row r="658" spans="1:29" ht="13.8" hidden="1" x14ac:dyDescent="0.25">
      <c r="C658" s="39" t="s">
        <v>49</v>
      </c>
      <c r="H658" s="41">
        <f>I652+I653+I654+0</f>
        <v>9591.89</v>
      </c>
      <c r="I658" s="41"/>
      <c r="J658" s="41">
        <f>K652+K653+K654+0</f>
        <v>540502.98</v>
      </c>
      <c r="K658" s="41"/>
      <c r="O658" s="42">
        <f>I652+I653+I654+0</f>
        <v>9591.89</v>
      </c>
      <c r="P658" s="42">
        <f>K652+K653+K654+0</f>
        <v>540502.98</v>
      </c>
    </row>
    <row r="659" spans="1:29" hidden="1" x14ac:dyDescent="0.25"/>
    <row r="660" spans="1:29" ht="115.2" hidden="1" x14ac:dyDescent="0.25">
      <c r="A660" s="27">
        <v>46</v>
      </c>
      <c r="B660" s="27" t="str">
        <f>[1]Source!F740</f>
        <v>3.12-19-1</v>
      </c>
      <c r="C660" s="27" t="s">
        <v>193</v>
      </c>
      <c r="D660" s="28" t="str">
        <f>[1]Source!H740</f>
        <v>100 м2 изолируемой поверхности</v>
      </c>
      <c r="E660" s="29">
        <f>[1]Source!I740</f>
        <v>4.68</v>
      </c>
      <c r="F660" s="30"/>
      <c r="G660" s="31"/>
      <c r="H660" s="29"/>
      <c r="I660" s="30"/>
      <c r="J660" s="29"/>
      <c r="K660" s="30"/>
      <c r="Q660">
        <f>[1]Source!X740</f>
        <v>880.05</v>
      </c>
      <c r="R660">
        <f>[1]Source!X741</f>
        <v>49590.8</v>
      </c>
      <c r="S660">
        <f>[1]Source!Y740</f>
        <v>431.04</v>
      </c>
      <c r="T660">
        <f>[1]Source!Y741</f>
        <v>24289.37</v>
      </c>
      <c r="U660">
        <f>ROUND((175/100)*ROUND([1]Source!R740, 2), 2)</f>
        <v>13.67</v>
      </c>
      <c r="V660">
        <f>ROUND((0/100)*ROUND([1]Source!R741, 2), 2)</f>
        <v>0</v>
      </c>
      <c r="AC660">
        <v>0</v>
      </c>
    </row>
    <row r="661" spans="1:29" hidden="1" x14ac:dyDescent="0.25">
      <c r="C661" s="32" t="str">
        <f>"Объем: "&amp;[1]Source!I740&amp;"=468/"&amp;"100"</f>
        <v>Объем: 4,68=468/100</v>
      </c>
    </row>
    <row r="662" spans="1:29" ht="14.4" hidden="1" x14ac:dyDescent="0.25">
      <c r="A662" s="27"/>
      <c r="B662" s="27"/>
      <c r="C662" s="27" t="s">
        <v>36</v>
      </c>
      <c r="D662" s="28"/>
      <c r="E662" s="29"/>
      <c r="F662" s="30">
        <f>[1]Source!AO740</f>
        <v>182.28</v>
      </c>
      <c r="G662" s="31" t="s">
        <v>60</v>
      </c>
      <c r="H662" s="29">
        <f>[1]Source!AV741</f>
        <v>1.087</v>
      </c>
      <c r="I662" s="30">
        <f>[1]Source!S740</f>
        <v>890.2</v>
      </c>
      <c r="J662" s="29">
        <f>IF([1]Source!BA741&lt;&gt; 0, [1]Source!BA741, 1)</f>
        <v>56.35</v>
      </c>
      <c r="K662" s="30">
        <f>[1]Source!S741</f>
        <v>50162.77</v>
      </c>
    </row>
    <row r="663" spans="1:29" ht="14.4" hidden="1" x14ac:dyDescent="0.25">
      <c r="A663" s="27"/>
      <c r="B663" s="27"/>
      <c r="C663" s="27" t="s">
        <v>38</v>
      </c>
      <c r="D663" s="28"/>
      <c r="E663" s="29"/>
      <c r="F663" s="30">
        <f>[1]Source!AM740</f>
        <v>36.24</v>
      </c>
      <c r="G663" s="31" t="s">
        <v>60</v>
      </c>
      <c r="H663" s="29">
        <f>[1]Source!AV741</f>
        <v>1.087</v>
      </c>
      <c r="I663" s="30">
        <f>[1]Source!Q740</f>
        <v>176.98</v>
      </c>
      <c r="J663" s="29">
        <f>IF([1]Source!BB741&lt;&gt; 0, [1]Source!BB741, 1)</f>
        <v>13.91</v>
      </c>
      <c r="K663" s="30">
        <f>[1]Source!Q741</f>
        <v>2461.79</v>
      </c>
    </row>
    <row r="664" spans="1:29" ht="14.4" hidden="1" x14ac:dyDescent="0.25">
      <c r="A664" s="27"/>
      <c r="B664" s="27"/>
      <c r="C664" s="27" t="s">
        <v>40</v>
      </c>
      <c r="D664" s="28"/>
      <c r="E664" s="29"/>
      <c r="F664" s="30">
        <f>[1]Source!AN740</f>
        <v>1.6</v>
      </c>
      <c r="G664" s="31" t="s">
        <v>60</v>
      </c>
      <c r="H664" s="29">
        <f>[1]Source!AV741</f>
        <v>1.087</v>
      </c>
      <c r="I664" s="33">
        <f>[1]Source!R740</f>
        <v>7.81</v>
      </c>
      <c r="J664" s="29">
        <f>IF([1]Source!BS741&lt;&gt; 0, [1]Source!BS741, 1)</f>
        <v>56.35</v>
      </c>
      <c r="K664" s="33">
        <f>[1]Source!R741</f>
        <v>440.09</v>
      </c>
    </row>
    <row r="665" spans="1:29" ht="14.4" hidden="1" x14ac:dyDescent="0.25">
      <c r="A665" s="27"/>
      <c r="B665" s="27"/>
      <c r="C665" s="27" t="s">
        <v>42</v>
      </c>
      <c r="D665" s="28" t="s">
        <v>43</v>
      </c>
      <c r="E665" s="29">
        <f>[1]Source!BZ741</f>
        <v>98</v>
      </c>
      <c r="F665" s="30"/>
      <c r="G665" s="31"/>
      <c r="H665" s="29"/>
      <c r="I665" s="30">
        <f>SUM(Q660:Q664)</f>
        <v>880.05</v>
      </c>
      <c r="J665" s="29">
        <f>[1]Source!AT741</f>
        <v>98</v>
      </c>
      <c r="K665" s="30">
        <f>SUM(R660:R664)</f>
        <v>49590.8</v>
      </c>
    </row>
    <row r="666" spans="1:29" ht="14.4" hidden="1" x14ac:dyDescent="0.25">
      <c r="A666" s="27"/>
      <c r="B666" s="27"/>
      <c r="C666" s="27" t="s">
        <v>44</v>
      </c>
      <c r="D666" s="28" t="s">
        <v>43</v>
      </c>
      <c r="E666" s="29">
        <f>[1]Source!CA741</f>
        <v>48</v>
      </c>
      <c r="F666" s="30"/>
      <c r="G666" s="31"/>
      <c r="H666" s="29"/>
      <c r="I666" s="30">
        <f>SUM(S660:S665)</f>
        <v>431.04</v>
      </c>
      <c r="J666" s="29">
        <f>[1]Source!AU741</f>
        <v>48</v>
      </c>
      <c r="K666" s="30">
        <f>SUM(T660:T665)</f>
        <v>24289.37</v>
      </c>
    </row>
    <row r="667" spans="1:29" ht="14.4" hidden="1" x14ac:dyDescent="0.25">
      <c r="A667" s="34"/>
      <c r="B667" s="34"/>
      <c r="C667" s="34" t="s">
        <v>45</v>
      </c>
      <c r="D667" s="35" t="s">
        <v>46</v>
      </c>
      <c r="E667" s="36">
        <f>[1]Source!AQ740</f>
        <v>15.5</v>
      </c>
      <c r="F667" s="37"/>
      <c r="G667" s="38" t="s">
        <v>60</v>
      </c>
      <c r="H667" s="36">
        <f>[1]Source!AV741</f>
        <v>1.087</v>
      </c>
      <c r="I667" s="37">
        <f>[1]Source!U740</f>
        <v>75.696940799999993</v>
      </c>
      <c r="J667" s="36"/>
      <c r="K667" s="37"/>
    </row>
    <row r="668" spans="1:29" ht="13.8" hidden="1" x14ac:dyDescent="0.25">
      <c r="C668" s="39" t="s">
        <v>47</v>
      </c>
      <c r="H668" s="40">
        <f>I662+I663+I665+I666+0-0-0</f>
        <v>2378.27</v>
      </c>
      <c r="I668" s="40"/>
      <c r="J668" s="40">
        <f>K662+K663+K665+K666+0-0-0</f>
        <v>126504.73</v>
      </c>
      <c r="K668" s="40"/>
    </row>
    <row r="669" spans="1:29" ht="13.8" hidden="1" x14ac:dyDescent="0.25">
      <c r="C669" s="39" t="s">
        <v>48</v>
      </c>
      <c r="H669" s="41">
        <f>0+0</f>
        <v>0</v>
      </c>
      <c r="I669" s="41"/>
      <c r="J669" s="41">
        <f>0+0</f>
        <v>0</v>
      </c>
      <c r="K669" s="41"/>
    </row>
    <row r="670" spans="1:29" ht="13.8" hidden="1" x14ac:dyDescent="0.25">
      <c r="C670" s="39" t="s">
        <v>49</v>
      </c>
      <c r="H670" s="41">
        <f>I662+I663+I665+I666+0</f>
        <v>2378.27</v>
      </c>
      <c r="I670" s="41"/>
      <c r="J670" s="41">
        <f>K662+K663+K665+K666+0</f>
        <v>126504.73</v>
      </c>
      <c r="K670" s="41"/>
      <c r="O670" s="42">
        <f>I662+I663+I665+I666+0</f>
        <v>2378.27</v>
      </c>
      <c r="P670" s="42">
        <f>K662+K663+K665+K666+0</f>
        <v>126504.73</v>
      </c>
    </row>
    <row r="671" spans="1:29" hidden="1" x14ac:dyDescent="0.25"/>
    <row r="672" spans="1:29" ht="57.6" hidden="1" x14ac:dyDescent="0.25">
      <c r="A672" s="27">
        <v>47</v>
      </c>
      <c r="B672" s="27" t="str">
        <f>[1]Source!F742</f>
        <v>3.12-7-1</v>
      </c>
      <c r="C672" s="27" t="s">
        <v>194</v>
      </c>
      <c r="D672" s="28" t="str">
        <f>[1]Source!H742</f>
        <v>100 м2 покрытия</v>
      </c>
      <c r="E672" s="29">
        <f>[1]Source!I742</f>
        <v>10.92</v>
      </c>
      <c r="F672" s="30"/>
      <c r="G672" s="31"/>
      <c r="H672" s="29"/>
      <c r="I672" s="30"/>
      <c r="J672" s="29"/>
      <c r="K672" s="30"/>
      <c r="Q672">
        <f>[1]Source!X742</f>
        <v>36486.11</v>
      </c>
      <c r="R672">
        <f>[1]Source!X743</f>
        <v>2055992.05</v>
      </c>
      <c r="S672">
        <f>[1]Source!Y742</f>
        <v>17870.75</v>
      </c>
      <c r="T672">
        <f>[1]Source!Y743</f>
        <v>1007016.51</v>
      </c>
      <c r="U672">
        <f>ROUND((175/100)*ROUND([1]Source!R742, 2), 2)</f>
        <v>1500.71</v>
      </c>
      <c r="V672">
        <f>ROUND((0/100)*ROUND([1]Source!R743, 2), 2)</f>
        <v>0</v>
      </c>
      <c r="AC672">
        <v>0</v>
      </c>
    </row>
    <row r="673" spans="1:16" hidden="1" x14ac:dyDescent="0.25">
      <c r="C673" s="32" t="str">
        <f>"Объем: "&amp;[1]Source!I742&amp;"=1092/"&amp;"100"</f>
        <v>Объем: 10,92=1092/100</v>
      </c>
    </row>
    <row r="674" spans="1:16" ht="14.4" hidden="1" x14ac:dyDescent="0.25">
      <c r="A674" s="27"/>
      <c r="B674" s="27"/>
      <c r="C674" s="27" t="s">
        <v>36</v>
      </c>
      <c r="D674" s="28"/>
      <c r="E674" s="29"/>
      <c r="F674" s="30">
        <f>[1]Source!AO742</f>
        <v>4255.95</v>
      </c>
      <c r="G674" s="31" t="s">
        <v>102</v>
      </c>
      <c r="H674" s="29">
        <f>[1]Source!AV743</f>
        <v>1.087</v>
      </c>
      <c r="I674" s="30">
        <f>[1]Source!S742</f>
        <v>36373.17</v>
      </c>
      <c r="J674" s="29">
        <f>IF([1]Source!BA743&lt;&gt; 0, [1]Source!BA743, 1)</f>
        <v>56.35</v>
      </c>
      <c r="K674" s="30">
        <f>[1]Source!S743</f>
        <v>2049628.13</v>
      </c>
    </row>
    <row r="675" spans="1:16" ht="14.4" hidden="1" x14ac:dyDescent="0.25">
      <c r="A675" s="27"/>
      <c r="B675" s="27"/>
      <c r="C675" s="27" t="s">
        <v>38</v>
      </c>
      <c r="D675" s="28"/>
      <c r="E675" s="29"/>
      <c r="F675" s="30">
        <f>[1]Source!AM742</f>
        <v>978.64</v>
      </c>
      <c r="G675" s="31" t="s">
        <v>102</v>
      </c>
      <c r="H675" s="29">
        <f>[1]Source!AV743</f>
        <v>1.087</v>
      </c>
      <c r="I675" s="30">
        <f>[1]Source!Q742</f>
        <v>8363.8799999999992</v>
      </c>
      <c r="J675" s="29">
        <f>IF([1]Source!BB743&lt;&gt; 0, [1]Source!BB743, 1)</f>
        <v>31.42</v>
      </c>
      <c r="K675" s="30">
        <f>[1]Source!Q743</f>
        <v>262793.11</v>
      </c>
    </row>
    <row r="676" spans="1:16" ht="14.4" hidden="1" x14ac:dyDescent="0.25">
      <c r="A676" s="27"/>
      <c r="B676" s="27"/>
      <c r="C676" s="27" t="s">
        <v>40</v>
      </c>
      <c r="D676" s="28"/>
      <c r="E676" s="29"/>
      <c r="F676" s="30">
        <f>[1]Source!AN742</f>
        <v>100.34</v>
      </c>
      <c r="G676" s="31" t="s">
        <v>102</v>
      </c>
      <c r="H676" s="29">
        <f>[1]Source!AV743</f>
        <v>1.087</v>
      </c>
      <c r="I676" s="33">
        <f>[1]Source!R742</f>
        <v>857.55</v>
      </c>
      <c r="J676" s="29">
        <f>IF([1]Source!BS743&lt;&gt; 0, [1]Source!BS743, 1)</f>
        <v>56.35</v>
      </c>
      <c r="K676" s="33">
        <f>[1]Source!R743</f>
        <v>48322.94</v>
      </c>
    </row>
    <row r="677" spans="1:16" ht="14.4" hidden="1" x14ac:dyDescent="0.25">
      <c r="A677" s="27"/>
      <c r="B677" s="27"/>
      <c r="C677" s="27" t="s">
        <v>41</v>
      </c>
      <c r="D677" s="28"/>
      <c r="E677" s="29"/>
      <c r="F677" s="30">
        <f>[1]Source!AL742</f>
        <v>25058.46</v>
      </c>
      <c r="G677" s="31" t="s">
        <v>64</v>
      </c>
      <c r="H677" s="29">
        <f>[1]Source!AW743</f>
        <v>1.0009999999999999</v>
      </c>
      <c r="I677" s="30">
        <f>[1]Source!P742</f>
        <v>164347.21</v>
      </c>
      <c r="J677" s="29">
        <f>IF([1]Source!BC743&lt;&gt; 0, [1]Source!BC743, 1)</f>
        <v>9.74</v>
      </c>
      <c r="K677" s="30">
        <f>[1]Source!P743</f>
        <v>1600741.83</v>
      </c>
    </row>
    <row r="678" spans="1:16" ht="14.4" hidden="1" x14ac:dyDescent="0.25">
      <c r="A678" s="27"/>
      <c r="B678" s="27"/>
      <c r="C678" s="27" t="s">
        <v>42</v>
      </c>
      <c r="D678" s="28" t="s">
        <v>43</v>
      </c>
      <c r="E678" s="29">
        <f>[1]Source!BZ743</f>
        <v>98</v>
      </c>
      <c r="F678" s="30"/>
      <c r="G678" s="31"/>
      <c r="H678" s="29"/>
      <c r="I678" s="30">
        <f>SUM(Q672:Q677)</f>
        <v>36486.11</v>
      </c>
      <c r="J678" s="29">
        <f>[1]Source!AT743</f>
        <v>98</v>
      </c>
      <c r="K678" s="30">
        <f>SUM(R672:R677)</f>
        <v>2055992.05</v>
      </c>
    </row>
    <row r="679" spans="1:16" ht="14.4" hidden="1" x14ac:dyDescent="0.25">
      <c r="A679" s="27"/>
      <c r="B679" s="27"/>
      <c r="C679" s="27" t="s">
        <v>44</v>
      </c>
      <c r="D679" s="28" t="s">
        <v>43</v>
      </c>
      <c r="E679" s="29">
        <f>[1]Source!CA743</f>
        <v>48</v>
      </c>
      <c r="F679" s="30"/>
      <c r="G679" s="31"/>
      <c r="H679" s="29"/>
      <c r="I679" s="30">
        <f>SUM(S672:S678)</f>
        <v>17870.75</v>
      </c>
      <c r="J679" s="29">
        <f>[1]Source!AU743</f>
        <v>48</v>
      </c>
      <c r="K679" s="30">
        <f>SUM(T672:T678)</f>
        <v>1007016.51</v>
      </c>
    </row>
    <row r="680" spans="1:16" ht="14.4" hidden="1" x14ac:dyDescent="0.25">
      <c r="A680" s="34"/>
      <c r="B680" s="34"/>
      <c r="C680" s="34" t="s">
        <v>45</v>
      </c>
      <c r="D680" s="35" t="s">
        <v>46</v>
      </c>
      <c r="E680" s="36">
        <f>[1]Source!AQ742</f>
        <v>255</v>
      </c>
      <c r="F680" s="37"/>
      <c r="G680" s="38" t="s">
        <v>102</v>
      </c>
      <c r="H680" s="36">
        <f>[1]Source!AV743</f>
        <v>1.087</v>
      </c>
      <c r="I680" s="37">
        <f>[1]Source!U742</f>
        <v>2179.339344</v>
      </c>
      <c r="J680" s="36"/>
      <c r="K680" s="37"/>
    </row>
    <row r="681" spans="1:16" ht="13.8" hidden="1" x14ac:dyDescent="0.25">
      <c r="C681" s="39" t="s">
        <v>47</v>
      </c>
      <c r="H681" s="40">
        <f>I674+I675+I677+I678+I679+0-0-0</f>
        <v>263441.12</v>
      </c>
      <c r="I681" s="40"/>
      <c r="J681" s="40">
        <f>K674+K675+K677+K678+K679+0-0-0</f>
        <v>6976171.6299999999</v>
      </c>
      <c r="K681" s="40"/>
    </row>
    <row r="682" spans="1:16" ht="13.8" hidden="1" x14ac:dyDescent="0.25">
      <c r="C682" s="39" t="s">
        <v>48</v>
      </c>
      <c r="H682" s="41">
        <f>0+0</f>
        <v>0</v>
      </c>
      <c r="I682" s="41"/>
      <c r="J682" s="41">
        <f>0+0</f>
        <v>0</v>
      </c>
      <c r="K682" s="41"/>
    </row>
    <row r="683" spans="1:16" ht="13.8" hidden="1" x14ac:dyDescent="0.25">
      <c r="C683" s="39" t="s">
        <v>49</v>
      </c>
      <c r="H683" s="41">
        <f>I674+I675+I677+I678+I679+0</f>
        <v>263441.12</v>
      </c>
      <c r="I683" s="41"/>
      <c r="J683" s="41">
        <f>K674+K675+K677+K678+K679+0</f>
        <v>6976171.6299999999</v>
      </c>
      <c r="K683" s="41"/>
      <c r="O683" s="42">
        <f>I674+I675+I677+I678+I679+0</f>
        <v>263441.12</v>
      </c>
      <c r="P683" s="42">
        <f>K674+K675+K677+K678+K679+0</f>
        <v>6976171.6299999999</v>
      </c>
    </row>
    <row r="684" spans="1:16" hidden="1" x14ac:dyDescent="0.25"/>
    <row r="685" spans="1:16" hidden="1" x14ac:dyDescent="0.25"/>
    <row r="686" spans="1:16" ht="13.8" hidden="1" x14ac:dyDescent="0.25">
      <c r="A686" s="44" t="str">
        <f>CONCATENATE("Итого по подразделу: ",IF([1]Source!G745&lt;&gt;"Новый подраздел", [1]Source!G745, ""))</f>
        <v>Итого по подразделу: Демонтажные работы.</v>
      </c>
      <c r="B686" s="44"/>
      <c r="C686" s="44"/>
      <c r="D686" s="44"/>
      <c r="E686" s="44"/>
      <c r="F686" s="44"/>
      <c r="G686" s="44"/>
      <c r="H686" s="41">
        <f>SUM(O605:O685)</f>
        <v>305317.09999999998</v>
      </c>
      <c r="I686" s="45"/>
      <c r="J686" s="41">
        <f>SUM(P605:P685)</f>
        <v>9116082.4900000002</v>
      </c>
      <c r="K686" s="45"/>
    </row>
    <row r="687" spans="1:16" hidden="1" x14ac:dyDescent="0.25">
      <c r="A687" t="s">
        <v>55</v>
      </c>
      <c r="I687">
        <f>SUM(W605:W686)</f>
        <v>0</v>
      </c>
      <c r="J687">
        <f>SUM(X605:X686)</f>
        <v>0</v>
      </c>
    </row>
    <row r="688" spans="1:16" hidden="1" x14ac:dyDescent="0.25">
      <c r="A688" t="s">
        <v>56</v>
      </c>
      <c r="I688">
        <f>SUM(Y605:Y687)</f>
        <v>0</v>
      </c>
      <c r="J688">
        <f>SUM(Z605:Z687)</f>
        <v>0</v>
      </c>
    </row>
    <row r="689" spans="1:29" hidden="1" x14ac:dyDescent="0.25"/>
    <row r="690" spans="1:29" ht="16.8" hidden="1" x14ac:dyDescent="0.25">
      <c r="A690" s="11" t="str">
        <f>CONCATENATE("Подраздел: ",IF([1]Source!G775&lt;&gt;"Новый подраздел", [1]Source!G775, ""))</f>
        <v>Подраздел: Монтажные работы. Ходовой настил</v>
      </c>
      <c r="B690" s="11"/>
      <c r="C690" s="11"/>
      <c r="D690" s="11"/>
      <c r="E690" s="11"/>
      <c r="F690" s="11"/>
      <c r="G690" s="11"/>
      <c r="H690" s="11"/>
      <c r="I690" s="11"/>
      <c r="J690" s="11"/>
      <c r="K690" s="11"/>
    </row>
    <row r="691" spans="1:29" ht="57.6" hidden="1" x14ac:dyDescent="0.25">
      <c r="A691" s="27">
        <v>48</v>
      </c>
      <c r="B691" s="27" t="str">
        <f>[1]Source!F779</f>
        <v>6.69-14-1</v>
      </c>
      <c r="C691" s="27" t="s">
        <v>195</v>
      </c>
      <c r="D691" s="28" t="str">
        <f>[1]Source!H779</f>
        <v>100 м2 настила</v>
      </c>
      <c r="E691" s="29">
        <f>[1]Source!I779</f>
        <v>0.41</v>
      </c>
      <c r="F691" s="30"/>
      <c r="G691" s="31"/>
      <c r="H691" s="29"/>
      <c r="I691" s="30"/>
      <c r="J691" s="29"/>
      <c r="K691" s="30"/>
      <c r="Q691">
        <f>[1]Source!X779</f>
        <v>88.83</v>
      </c>
      <c r="R691">
        <f>[1]Source!X780</f>
        <v>5005.34</v>
      </c>
      <c r="S691">
        <f>[1]Source!Y779</f>
        <v>42.48</v>
      </c>
      <c r="T691">
        <f>[1]Source!Y780</f>
        <v>2393.86</v>
      </c>
      <c r="U691">
        <f>ROUND((175/100)*ROUND([1]Source!R779, 2), 2)</f>
        <v>0</v>
      </c>
      <c r="V691">
        <f>ROUND((0/100)*ROUND([1]Source!R780, 2), 2)</f>
        <v>0</v>
      </c>
      <c r="AC691">
        <v>0</v>
      </c>
    </row>
    <row r="692" spans="1:29" hidden="1" x14ac:dyDescent="0.25">
      <c r="C692" s="32" t="str">
        <f>"Объем: "&amp;[1]Source!I779&amp;"=41/"&amp;"100"</f>
        <v>Объем: 0,41=41/100</v>
      </c>
    </row>
    <row r="693" spans="1:29" ht="14.4" hidden="1" x14ac:dyDescent="0.25">
      <c r="A693" s="27"/>
      <c r="B693" s="27"/>
      <c r="C693" s="27" t="s">
        <v>36</v>
      </c>
      <c r="D693" s="28"/>
      <c r="E693" s="29"/>
      <c r="F693" s="30">
        <f>[1]Source!AO779</f>
        <v>187.43</v>
      </c>
      <c r="G693" s="31" t="s">
        <v>58</v>
      </c>
      <c r="H693" s="29">
        <f>[1]Source!AV780</f>
        <v>1.0469999999999999</v>
      </c>
      <c r="I693" s="30">
        <f>[1]Source!S779</f>
        <v>96.55</v>
      </c>
      <c r="J693" s="29">
        <f>IF([1]Source!BA780&lt;&gt; 0, [1]Source!BA780, 1)</f>
        <v>56.35</v>
      </c>
      <c r="K693" s="30">
        <f>[1]Source!S780</f>
        <v>5440.59</v>
      </c>
    </row>
    <row r="694" spans="1:29" ht="14.4" hidden="1" x14ac:dyDescent="0.25">
      <c r="A694" s="27"/>
      <c r="B694" s="27"/>
      <c r="C694" s="27" t="s">
        <v>41</v>
      </c>
      <c r="D694" s="28"/>
      <c r="E694" s="29"/>
      <c r="F694" s="30">
        <f>[1]Source!AL779</f>
        <v>73.72</v>
      </c>
      <c r="G694" s="31"/>
      <c r="H694" s="29">
        <f>[1]Source!AW780</f>
        <v>1.002</v>
      </c>
      <c r="I694" s="30">
        <f>[1]Source!P779</f>
        <v>30.29</v>
      </c>
      <c r="J694" s="29">
        <f>IF([1]Source!BC780&lt;&gt; 0, [1]Source!BC780, 1)</f>
        <v>12.5</v>
      </c>
      <c r="K694" s="30">
        <f>[1]Source!P780</f>
        <v>378.63</v>
      </c>
    </row>
    <row r="695" spans="1:29" ht="41.4" hidden="1" x14ac:dyDescent="0.25">
      <c r="A695" s="27" t="s">
        <v>196</v>
      </c>
      <c r="B695" s="27" t="str">
        <f>[1]Source!F781</f>
        <v>1.9-14-4</v>
      </c>
      <c r="C695" s="27" t="s">
        <v>197</v>
      </c>
      <c r="D695" s="28" t="str">
        <f>[1]Source!H781</f>
        <v>м2</v>
      </c>
      <c r="E695" s="29">
        <f>[1]Source!I781</f>
        <v>41</v>
      </c>
      <c r="F695" s="30">
        <f>[1]Source!AK781</f>
        <v>45.02</v>
      </c>
      <c r="G695" s="43" t="s">
        <v>54</v>
      </c>
      <c r="H695" s="29">
        <f>[1]Source!AW782</f>
        <v>1.002</v>
      </c>
      <c r="I695" s="30">
        <f>[1]Source!O781</f>
        <v>1849.51</v>
      </c>
      <c r="J695" s="29">
        <f>IF([1]Source!BC782&lt;&gt; 0, [1]Source!BC782, 1)</f>
        <v>9</v>
      </c>
      <c r="K695" s="30">
        <f>[1]Source!O782</f>
        <v>16645.59</v>
      </c>
      <c r="Q695">
        <f>[1]Source!X781</f>
        <v>0</v>
      </c>
      <c r="R695">
        <f>[1]Source!X782</f>
        <v>0</v>
      </c>
      <c r="S695">
        <f>[1]Source!Y781</f>
        <v>0</v>
      </c>
      <c r="T695">
        <f>[1]Source!Y782</f>
        <v>0</v>
      </c>
      <c r="U695">
        <f>ROUND((175/100)*ROUND([1]Source!R781, 2), 2)</f>
        <v>0</v>
      </c>
      <c r="V695">
        <f>ROUND((0/100)*ROUND([1]Source!R782, 2), 2)</f>
        <v>0</v>
      </c>
      <c r="AC695">
        <v>3</v>
      </c>
    </row>
    <row r="696" spans="1:29" ht="14.4" hidden="1" x14ac:dyDescent="0.25">
      <c r="A696" s="27"/>
      <c r="B696" s="27"/>
      <c r="C696" s="27" t="s">
        <v>42</v>
      </c>
      <c r="D696" s="28" t="s">
        <v>43</v>
      </c>
      <c r="E696" s="29">
        <f>[1]Source!BZ780</f>
        <v>92</v>
      </c>
      <c r="F696" s="30"/>
      <c r="G696" s="31"/>
      <c r="H696" s="29"/>
      <c r="I696" s="30">
        <f>SUM(Q691:Q695)</f>
        <v>88.83</v>
      </c>
      <c r="J696" s="29">
        <f>[1]Source!AT780</f>
        <v>92</v>
      </c>
      <c r="K696" s="30">
        <f>SUM(R691:R695)</f>
        <v>5005.34</v>
      </c>
    </row>
    <row r="697" spans="1:29" ht="14.4" hidden="1" x14ac:dyDescent="0.25">
      <c r="A697" s="27"/>
      <c r="B697" s="27"/>
      <c r="C697" s="27" t="s">
        <v>44</v>
      </c>
      <c r="D697" s="28" t="s">
        <v>43</v>
      </c>
      <c r="E697" s="29">
        <f>[1]Source!CA780</f>
        <v>44</v>
      </c>
      <c r="F697" s="30"/>
      <c r="G697" s="31"/>
      <c r="H697" s="29"/>
      <c r="I697" s="30">
        <f>SUM(S691:S696)</f>
        <v>42.48</v>
      </c>
      <c r="J697" s="29">
        <f>[1]Source!AU780</f>
        <v>44</v>
      </c>
      <c r="K697" s="30">
        <f>SUM(T691:T696)</f>
        <v>2393.86</v>
      </c>
    </row>
    <row r="698" spans="1:29" ht="14.4" hidden="1" x14ac:dyDescent="0.25">
      <c r="A698" s="34"/>
      <c r="B698" s="34"/>
      <c r="C698" s="34" t="s">
        <v>45</v>
      </c>
      <c r="D698" s="35" t="s">
        <v>46</v>
      </c>
      <c r="E698" s="36">
        <f>[1]Source!AQ779</f>
        <v>18.649999999999999</v>
      </c>
      <c r="F698" s="37"/>
      <c r="G698" s="38" t="s">
        <v>58</v>
      </c>
      <c r="H698" s="36">
        <f>[1]Source!AV780</f>
        <v>1.0469999999999999</v>
      </c>
      <c r="I698" s="37">
        <f>[1]Source!U779</f>
        <v>9.6070625999999972</v>
      </c>
      <c r="J698" s="36"/>
      <c r="K698" s="37"/>
    </row>
    <row r="699" spans="1:29" ht="13.8" hidden="1" x14ac:dyDescent="0.25">
      <c r="C699" s="39" t="s">
        <v>47</v>
      </c>
      <c r="H699" s="40">
        <f>I693+I694+I696+I697+SUM(I695:I695)-SUMIF(AC695:AC695, 5, I695:I695)-SUMIF(AC695:AC695, 6, I695:I695)</f>
        <v>2107.66</v>
      </c>
      <c r="I699" s="40"/>
      <c r="J699" s="40">
        <f>K693+K694+K696+K697+SUM(K695:K695)-SUMIF(AC695:AC695, 5, K695:K695)-SUMIF(AC695:AC695, 6, K695:K695)</f>
        <v>29864.010000000002</v>
      </c>
      <c r="K699" s="40"/>
    </row>
    <row r="700" spans="1:29" ht="13.8" hidden="1" x14ac:dyDescent="0.25">
      <c r="C700" s="39" t="s">
        <v>48</v>
      </c>
      <c r="H700" s="41">
        <f>SUMIF(AC695:AC695, 5, I695:I695)+SUMIF(AC695:AC695, 6, I695:I695)</f>
        <v>0</v>
      </c>
      <c r="I700" s="41"/>
      <c r="J700" s="41">
        <f>SUMIF(AC695:AC695, 5, K695:K695)+SUMIF(AC695:AC695, 6, K695:K695)</f>
        <v>0</v>
      </c>
      <c r="K700" s="41"/>
    </row>
    <row r="701" spans="1:29" ht="13.8" hidden="1" x14ac:dyDescent="0.25">
      <c r="C701" s="39" t="s">
        <v>49</v>
      </c>
      <c r="H701" s="41">
        <f>I693+I694+I696+I697+SUM(I695:I695)</f>
        <v>2107.66</v>
      </c>
      <c r="I701" s="41"/>
      <c r="J701" s="41">
        <f>K693+K694+K696+K697+SUM(K695:K695)</f>
        <v>29864.010000000002</v>
      </c>
      <c r="K701" s="41"/>
      <c r="O701" s="42">
        <f>I693+I694+I696+I697+SUM(I695:I695)</f>
        <v>2107.66</v>
      </c>
      <c r="P701" s="42">
        <f>K693+K694+K696+K697+SUM(K695:K695)</f>
        <v>29864.010000000002</v>
      </c>
    </row>
    <row r="702" spans="1:29" hidden="1" x14ac:dyDescent="0.25"/>
    <row r="703" spans="1:29" hidden="1" x14ac:dyDescent="0.25"/>
    <row r="704" spans="1:29" ht="13.8" hidden="1" x14ac:dyDescent="0.25">
      <c r="A704" s="44" t="str">
        <f>CONCATENATE("Итого по подразделу: ",IF([1]Source!G784&lt;&gt;"Новый подраздел", [1]Source!G784, ""))</f>
        <v>Итого по подразделу: Монтажные работы. Ходовой настил</v>
      </c>
      <c r="B704" s="44"/>
      <c r="C704" s="44"/>
      <c r="D704" s="44"/>
      <c r="E704" s="44"/>
      <c r="F704" s="44"/>
      <c r="G704" s="44"/>
      <c r="H704" s="41">
        <f>SUM(O690:O703)</f>
        <v>2107.66</v>
      </c>
      <c r="I704" s="45"/>
      <c r="J704" s="41">
        <f>SUM(P690:P703)</f>
        <v>29864.010000000002</v>
      </c>
      <c r="K704" s="45"/>
    </row>
    <row r="705" spans="1:29" hidden="1" x14ac:dyDescent="0.25">
      <c r="A705" t="s">
        <v>55</v>
      </c>
      <c r="I705">
        <f>SUM(W690:W704)</f>
        <v>0</v>
      </c>
      <c r="J705">
        <f>SUM(X690:X704)</f>
        <v>0</v>
      </c>
    </row>
    <row r="706" spans="1:29" hidden="1" x14ac:dyDescent="0.25">
      <c r="A706" t="s">
        <v>56</v>
      </c>
      <c r="I706">
        <f>SUM(Y690:Y705)</f>
        <v>0</v>
      </c>
      <c r="J706">
        <f>SUM(Z690:Z705)</f>
        <v>0</v>
      </c>
    </row>
    <row r="707" spans="1:29" hidden="1" x14ac:dyDescent="0.25"/>
    <row r="708" spans="1:29" ht="16.8" hidden="1" x14ac:dyDescent="0.25">
      <c r="A708" s="11" t="str">
        <f>CONCATENATE("Подраздел: ",IF([1]Source!G814&lt;&gt;"Новый подраздел", [1]Source!G814, ""))</f>
        <v>Подраздел: Монтажные работы. Тип1</v>
      </c>
      <c r="B708" s="11"/>
      <c r="C708" s="11"/>
      <c r="D708" s="11"/>
      <c r="E708" s="11"/>
      <c r="F708" s="11"/>
      <c r="G708" s="11"/>
      <c r="H708" s="11"/>
      <c r="I708" s="11"/>
      <c r="J708" s="11"/>
      <c r="K708" s="11"/>
    </row>
    <row r="709" spans="1:29" ht="57.6" hidden="1" x14ac:dyDescent="0.25">
      <c r="A709" s="27">
        <v>49</v>
      </c>
      <c r="B709" s="27" t="str">
        <f>[1]Source!F818</f>
        <v>3.12-21-1</v>
      </c>
      <c r="C709" s="27" t="s">
        <v>198</v>
      </c>
      <c r="D709" s="28" t="str">
        <f>[1]Source!H818</f>
        <v>100 м2 стяжек</v>
      </c>
      <c r="E709" s="29">
        <f>[1]Source!I818</f>
        <v>3.12</v>
      </c>
      <c r="F709" s="30"/>
      <c r="G709" s="31"/>
      <c r="H709" s="29"/>
      <c r="I709" s="30"/>
      <c r="J709" s="29"/>
      <c r="K709" s="30"/>
      <c r="Q709">
        <f>[1]Source!X818</f>
        <v>1160.22</v>
      </c>
      <c r="R709">
        <f>[1]Source!X819</f>
        <v>65378.51</v>
      </c>
      <c r="S709">
        <f>[1]Source!Y818</f>
        <v>568.27</v>
      </c>
      <c r="T709">
        <f>[1]Source!Y819</f>
        <v>32022.13</v>
      </c>
      <c r="U709">
        <f>ROUND((175/100)*ROUND([1]Source!R818, 2), 2)</f>
        <v>0</v>
      </c>
      <c r="V709">
        <f>ROUND((0/100)*ROUND([1]Source!R819, 2), 2)</f>
        <v>0</v>
      </c>
      <c r="AC709">
        <v>0</v>
      </c>
    </row>
    <row r="710" spans="1:29" hidden="1" x14ac:dyDescent="0.25">
      <c r="C710" s="32" t="str">
        <f>"Объем: "&amp;[1]Source!I818&amp;"=312/"&amp;"100"</f>
        <v>Объем: 3,12=312/100</v>
      </c>
    </row>
    <row r="711" spans="1:29" ht="14.4" hidden="1" x14ac:dyDescent="0.25">
      <c r="A711" s="27"/>
      <c r="B711" s="27"/>
      <c r="C711" s="27" t="s">
        <v>36</v>
      </c>
      <c r="D711" s="28"/>
      <c r="E711" s="29"/>
      <c r="F711" s="30">
        <f>[1]Source!AO818</f>
        <v>252.96</v>
      </c>
      <c r="G711" s="31" t="s">
        <v>37</v>
      </c>
      <c r="H711" s="29">
        <f>[1]Source!AV819</f>
        <v>1.087</v>
      </c>
      <c r="I711" s="30">
        <f>[1]Source!S818</f>
        <v>1183.9000000000001</v>
      </c>
      <c r="J711" s="29">
        <f>IF([1]Source!BA819&lt;&gt; 0, [1]Source!BA819, 1)</f>
        <v>56.35</v>
      </c>
      <c r="K711" s="30">
        <f>[1]Source!S819</f>
        <v>66712.77</v>
      </c>
    </row>
    <row r="712" spans="1:29" ht="14.4" hidden="1" x14ac:dyDescent="0.25">
      <c r="A712" s="27"/>
      <c r="B712" s="27"/>
      <c r="C712" s="27" t="s">
        <v>38</v>
      </c>
      <c r="D712" s="28"/>
      <c r="E712" s="29"/>
      <c r="F712" s="30">
        <f>[1]Source!AM818</f>
        <v>22.76</v>
      </c>
      <c r="G712" s="31" t="s">
        <v>39</v>
      </c>
      <c r="H712" s="29">
        <f>[1]Source!AV819</f>
        <v>1.087</v>
      </c>
      <c r="I712" s="30">
        <f>[1]Source!Q818</f>
        <v>115.78</v>
      </c>
      <c r="J712" s="29">
        <f>IF([1]Source!BB819&lt;&gt; 0, [1]Source!BB819, 1)</f>
        <v>12.45</v>
      </c>
      <c r="K712" s="30">
        <f>[1]Source!Q819</f>
        <v>1441.46</v>
      </c>
    </row>
    <row r="713" spans="1:29" ht="14.4" hidden="1" x14ac:dyDescent="0.25">
      <c r="A713" s="27"/>
      <c r="B713" s="27"/>
      <c r="C713" s="27" t="s">
        <v>41</v>
      </c>
      <c r="D713" s="28"/>
      <c r="E713" s="29"/>
      <c r="F713" s="30">
        <f>[1]Source!AL818</f>
        <v>27.22</v>
      </c>
      <c r="G713" s="31"/>
      <c r="H713" s="29">
        <f>[1]Source!AW819</f>
        <v>1.0009999999999999</v>
      </c>
      <c r="I713" s="30">
        <f>[1]Source!P818</f>
        <v>85.01</v>
      </c>
      <c r="J713" s="29">
        <f>IF([1]Source!BC819&lt;&gt; 0, [1]Source!BC819, 1)</f>
        <v>7.75</v>
      </c>
      <c r="K713" s="30">
        <f>[1]Source!P819</f>
        <v>658.83</v>
      </c>
    </row>
    <row r="714" spans="1:29" ht="27.6" hidden="1" x14ac:dyDescent="0.25">
      <c r="A714" s="27" t="s">
        <v>199</v>
      </c>
      <c r="B714" s="27" t="str">
        <f>[1]Source!F820</f>
        <v>1.3-2-6</v>
      </c>
      <c r="C714" s="27" t="s">
        <v>149</v>
      </c>
      <c r="D714" s="28" t="str">
        <f>[1]Source!H820</f>
        <v>м3</v>
      </c>
      <c r="E714" s="29">
        <f>[1]Source!I820</f>
        <v>4.7736000000000001</v>
      </c>
      <c r="F714" s="30">
        <f>[1]Source!AK820</f>
        <v>467.32</v>
      </c>
      <c r="G714" s="43" t="s">
        <v>54</v>
      </c>
      <c r="H714" s="29">
        <f>[1]Source!AW821</f>
        <v>1.0009999999999999</v>
      </c>
      <c r="I714" s="30">
        <f>[1]Source!O820</f>
        <v>2233.0300000000002</v>
      </c>
      <c r="J714" s="29">
        <f>IF([1]Source!BC821&lt;&gt; 0, [1]Source!BC821, 1)</f>
        <v>11.07</v>
      </c>
      <c r="K714" s="30">
        <f>[1]Source!O821</f>
        <v>24719.64</v>
      </c>
      <c r="Q714">
        <f>[1]Source!X820</f>
        <v>0</v>
      </c>
      <c r="R714">
        <f>[1]Source!X821</f>
        <v>0</v>
      </c>
      <c r="S714">
        <f>[1]Source!Y820</f>
        <v>0</v>
      </c>
      <c r="T714">
        <f>[1]Source!Y821</f>
        <v>0</v>
      </c>
      <c r="U714">
        <f>ROUND((175/100)*ROUND([1]Source!R820, 2), 2)</f>
        <v>0</v>
      </c>
      <c r="V714">
        <f>ROUND((0/100)*ROUND([1]Source!R821, 2), 2)</f>
        <v>0</v>
      </c>
      <c r="AC714">
        <v>3</v>
      </c>
    </row>
    <row r="715" spans="1:29" ht="14.4" hidden="1" x14ac:dyDescent="0.25">
      <c r="A715" s="27"/>
      <c r="B715" s="27"/>
      <c r="C715" s="27" t="s">
        <v>42</v>
      </c>
      <c r="D715" s="28" t="s">
        <v>43</v>
      </c>
      <c r="E715" s="29">
        <f>[1]Source!BZ819</f>
        <v>98</v>
      </c>
      <c r="F715" s="30"/>
      <c r="G715" s="31"/>
      <c r="H715" s="29"/>
      <c r="I715" s="30">
        <f>SUM(Q709:Q714)</f>
        <v>1160.22</v>
      </c>
      <c r="J715" s="29">
        <f>[1]Source!AT819</f>
        <v>98</v>
      </c>
      <c r="K715" s="30">
        <f>SUM(R709:R714)</f>
        <v>65378.51</v>
      </c>
    </row>
    <row r="716" spans="1:29" ht="14.4" hidden="1" x14ac:dyDescent="0.25">
      <c r="A716" s="27"/>
      <c r="B716" s="27"/>
      <c r="C716" s="27" t="s">
        <v>44</v>
      </c>
      <c r="D716" s="28" t="s">
        <v>43</v>
      </c>
      <c r="E716" s="29">
        <f>[1]Source!CA819</f>
        <v>48</v>
      </c>
      <c r="F716" s="30"/>
      <c r="G716" s="31"/>
      <c r="H716" s="29"/>
      <c r="I716" s="30">
        <f>SUM(S709:S715)</f>
        <v>568.27</v>
      </c>
      <c r="J716" s="29">
        <f>[1]Source!AU819</f>
        <v>48</v>
      </c>
      <c r="K716" s="30">
        <f>SUM(T709:T715)</f>
        <v>32022.13</v>
      </c>
    </row>
    <row r="717" spans="1:29" ht="14.4" hidden="1" x14ac:dyDescent="0.25">
      <c r="A717" s="34"/>
      <c r="B717" s="34"/>
      <c r="C717" s="34" t="s">
        <v>45</v>
      </c>
      <c r="D717" s="35" t="s">
        <v>46</v>
      </c>
      <c r="E717" s="36">
        <f>[1]Source!AQ818</f>
        <v>24.3</v>
      </c>
      <c r="F717" s="37"/>
      <c r="G717" s="38" t="s">
        <v>37</v>
      </c>
      <c r="H717" s="36">
        <f>[1]Source!AV819</f>
        <v>1.087</v>
      </c>
      <c r="I717" s="37">
        <f>[1]Source!U818</f>
        <v>113.72854895999998</v>
      </c>
      <c r="J717" s="36"/>
      <c r="K717" s="37"/>
    </row>
    <row r="718" spans="1:29" ht="13.8" hidden="1" x14ac:dyDescent="0.25">
      <c r="C718" s="39" t="s">
        <v>47</v>
      </c>
      <c r="H718" s="40">
        <f>I711+I712+I713+I715+I716+SUM(I714:I714)-SUMIF(AC714:AC714, 5, I714:I714)-SUMIF(AC714:AC714, 6, I714:I714)</f>
        <v>5346.21</v>
      </c>
      <c r="I718" s="40"/>
      <c r="J718" s="40">
        <f>K711+K712+K713+K715+K716+SUM(K714:K714)-SUMIF(AC714:AC714, 5, K714:K714)-SUMIF(AC714:AC714, 6, K714:K714)</f>
        <v>190933.34000000003</v>
      </c>
      <c r="K718" s="40"/>
    </row>
    <row r="719" spans="1:29" ht="13.8" hidden="1" x14ac:dyDescent="0.25">
      <c r="C719" s="39" t="s">
        <v>48</v>
      </c>
      <c r="H719" s="41">
        <f>SUMIF(AC714:AC714, 5, I714:I714)+SUMIF(AC714:AC714, 6, I714:I714)</f>
        <v>0</v>
      </c>
      <c r="I719" s="41"/>
      <c r="J719" s="41">
        <f>SUMIF(AC714:AC714, 5, K714:K714)+SUMIF(AC714:AC714, 6, K714:K714)</f>
        <v>0</v>
      </c>
      <c r="K719" s="41"/>
    </row>
    <row r="720" spans="1:29" ht="13.8" hidden="1" x14ac:dyDescent="0.25">
      <c r="C720" s="39" t="s">
        <v>49</v>
      </c>
      <c r="H720" s="41">
        <f>I711+I712+I713+I715+I716+SUM(I714:I714)</f>
        <v>5346.21</v>
      </c>
      <c r="I720" s="41"/>
      <c r="J720" s="41">
        <f>K711+K712+K713+K715+K716+SUM(K714:K714)</f>
        <v>190933.34000000003</v>
      </c>
      <c r="K720" s="41"/>
      <c r="O720" s="42">
        <f>I711+I712+I713+I715+I716+SUM(I714:I714)</f>
        <v>5346.21</v>
      </c>
      <c r="P720" s="42">
        <f>K711+K712+K713+K715+K716+SUM(K714:K714)</f>
        <v>190933.34000000003</v>
      </c>
    </row>
    <row r="721" spans="1:29" hidden="1" x14ac:dyDescent="0.25"/>
    <row r="722" spans="1:29" ht="57.6" hidden="1" x14ac:dyDescent="0.25">
      <c r="A722" s="27">
        <v>50</v>
      </c>
      <c r="B722" s="27" t="str">
        <f>[1]Source!F822</f>
        <v>3.12-21-2</v>
      </c>
      <c r="C722" s="27" t="s">
        <v>200</v>
      </c>
      <c r="D722" s="28" t="str">
        <f>[1]Source!H822</f>
        <v>100 м2 стяжек</v>
      </c>
      <c r="E722" s="29">
        <f>[1]Source!I822</f>
        <v>3.12</v>
      </c>
      <c r="F722" s="30"/>
      <c r="G722" s="31"/>
      <c r="H722" s="29"/>
      <c r="I722" s="30"/>
      <c r="J722" s="29"/>
      <c r="K722" s="30"/>
      <c r="Q722">
        <f>[1]Source!X822</f>
        <v>21.1</v>
      </c>
      <c r="R722">
        <f>[1]Source!X823</f>
        <v>1188.96</v>
      </c>
      <c r="S722">
        <f>[1]Source!Y822</f>
        <v>10.33</v>
      </c>
      <c r="T722">
        <f>[1]Source!Y823</f>
        <v>582.35</v>
      </c>
      <c r="U722">
        <f>ROUND((175/100)*ROUND([1]Source!R822, 2), 2)</f>
        <v>0</v>
      </c>
      <c r="V722">
        <f>ROUND((0/100)*ROUND([1]Source!R823, 2), 2)</f>
        <v>0</v>
      </c>
      <c r="AC722">
        <v>0</v>
      </c>
    </row>
    <row r="723" spans="1:29" hidden="1" x14ac:dyDescent="0.25">
      <c r="C723" s="32" t="str">
        <f>"Объем: "&amp;[1]Source!I822&amp;"=312/"&amp;"100"</f>
        <v>Объем: 3,12=312/100</v>
      </c>
    </row>
    <row r="724" spans="1:29" ht="14.4" hidden="1" x14ac:dyDescent="0.25">
      <c r="A724" s="27"/>
      <c r="B724" s="27"/>
      <c r="C724" s="27" t="s">
        <v>36</v>
      </c>
      <c r="D724" s="28"/>
      <c r="E724" s="29"/>
      <c r="F724" s="30">
        <f>[1]Source!AO822</f>
        <v>0.92</v>
      </c>
      <c r="G724" s="31" t="s">
        <v>163</v>
      </c>
      <c r="H724" s="29">
        <f>[1]Source!AV823</f>
        <v>1.087</v>
      </c>
      <c r="I724" s="30">
        <f>[1]Source!S822</f>
        <v>21.53</v>
      </c>
      <c r="J724" s="29">
        <f>IF([1]Source!BA823&lt;&gt; 0, [1]Source!BA823, 1)</f>
        <v>56.35</v>
      </c>
      <c r="K724" s="30">
        <f>[1]Source!S823</f>
        <v>1213.22</v>
      </c>
    </row>
    <row r="725" spans="1:29" ht="27.6" hidden="1" x14ac:dyDescent="0.25">
      <c r="A725" s="27" t="s">
        <v>201</v>
      </c>
      <c r="B725" s="27" t="str">
        <f>[1]Source!F824</f>
        <v>1.3-2-6</v>
      </c>
      <c r="C725" s="27" t="s">
        <v>149</v>
      </c>
      <c r="D725" s="28" t="str">
        <f>[1]Source!H824</f>
        <v>м3</v>
      </c>
      <c r="E725" s="29">
        <f>[1]Source!I824</f>
        <v>1.5912000000000002</v>
      </c>
      <c r="F725" s="30">
        <f>[1]Source!AK824</f>
        <v>467.32</v>
      </c>
      <c r="G725" s="43" t="s">
        <v>54</v>
      </c>
      <c r="H725" s="29">
        <f>[1]Source!AW825</f>
        <v>1.0009999999999999</v>
      </c>
      <c r="I725" s="30">
        <f>[1]Source!O824</f>
        <v>744.34</v>
      </c>
      <c r="J725" s="29">
        <f>IF([1]Source!BC825&lt;&gt; 0, [1]Source!BC825, 1)</f>
        <v>11.07</v>
      </c>
      <c r="K725" s="30">
        <f>[1]Source!O825</f>
        <v>8239.84</v>
      </c>
      <c r="Q725">
        <f>[1]Source!X824</f>
        <v>0</v>
      </c>
      <c r="R725">
        <f>[1]Source!X825</f>
        <v>0</v>
      </c>
      <c r="S725">
        <f>[1]Source!Y824</f>
        <v>0</v>
      </c>
      <c r="T725">
        <f>[1]Source!Y825</f>
        <v>0</v>
      </c>
      <c r="U725">
        <f>ROUND((175/100)*ROUND([1]Source!R824, 2), 2)</f>
        <v>0</v>
      </c>
      <c r="V725">
        <f>ROUND((0/100)*ROUND([1]Source!R825, 2), 2)</f>
        <v>0</v>
      </c>
      <c r="AC725">
        <v>3</v>
      </c>
    </row>
    <row r="726" spans="1:29" ht="14.4" hidden="1" x14ac:dyDescent="0.25">
      <c r="A726" s="27"/>
      <c r="B726" s="27"/>
      <c r="C726" s="27" t="s">
        <v>42</v>
      </c>
      <c r="D726" s="28" t="s">
        <v>43</v>
      </c>
      <c r="E726" s="29">
        <f>[1]Source!BZ823</f>
        <v>98</v>
      </c>
      <c r="F726" s="30"/>
      <c r="G726" s="31"/>
      <c r="H726" s="29"/>
      <c r="I726" s="30">
        <f>SUM(Q722:Q725)</f>
        <v>21.1</v>
      </c>
      <c r="J726" s="29">
        <f>[1]Source!AT823</f>
        <v>98</v>
      </c>
      <c r="K726" s="30">
        <f>SUM(R722:R725)</f>
        <v>1188.96</v>
      </c>
    </row>
    <row r="727" spans="1:29" ht="14.4" hidden="1" x14ac:dyDescent="0.25">
      <c r="A727" s="27"/>
      <c r="B727" s="27"/>
      <c r="C727" s="27" t="s">
        <v>44</v>
      </c>
      <c r="D727" s="28" t="s">
        <v>43</v>
      </c>
      <c r="E727" s="29">
        <f>[1]Source!CA823</f>
        <v>48</v>
      </c>
      <c r="F727" s="30"/>
      <c r="G727" s="31"/>
      <c r="H727" s="29"/>
      <c r="I727" s="30">
        <f>SUM(S722:S726)</f>
        <v>10.33</v>
      </c>
      <c r="J727" s="29">
        <f>[1]Source!AU823</f>
        <v>48</v>
      </c>
      <c r="K727" s="30">
        <f>SUM(T722:T726)</f>
        <v>582.35</v>
      </c>
    </row>
    <row r="728" spans="1:29" ht="14.4" hidden="1" x14ac:dyDescent="0.25">
      <c r="A728" s="34"/>
      <c r="B728" s="34"/>
      <c r="C728" s="34" t="s">
        <v>45</v>
      </c>
      <c r="D728" s="35" t="s">
        <v>46</v>
      </c>
      <c r="E728" s="36">
        <f>[1]Source!AQ822</f>
        <v>0.09</v>
      </c>
      <c r="F728" s="37"/>
      <c r="G728" s="38" t="s">
        <v>163</v>
      </c>
      <c r="H728" s="36">
        <f>[1]Source!AV823</f>
        <v>1.087</v>
      </c>
      <c r="I728" s="37">
        <f>[1]Source!U822</f>
        <v>2.1060842399999999</v>
      </c>
      <c r="J728" s="36"/>
      <c r="K728" s="37"/>
    </row>
    <row r="729" spans="1:29" ht="13.8" hidden="1" x14ac:dyDescent="0.25">
      <c r="C729" s="39" t="s">
        <v>47</v>
      </c>
      <c r="H729" s="40">
        <f>I724+I726+I727+SUM(I725:I725)-SUMIF(AC725:AC725, 5, I725:I725)-SUMIF(AC725:AC725, 6, I725:I725)</f>
        <v>797.30000000000007</v>
      </c>
      <c r="I729" s="40"/>
      <c r="J729" s="40">
        <f>K724+K726+K727+SUM(K725:K725)-SUMIF(AC725:AC725, 5, K725:K725)-SUMIF(AC725:AC725, 6, K725:K725)</f>
        <v>11224.37</v>
      </c>
      <c r="K729" s="40"/>
    </row>
    <row r="730" spans="1:29" ht="13.8" hidden="1" x14ac:dyDescent="0.25">
      <c r="C730" s="39" t="s">
        <v>48</v>
      </c>
      <c r="H730" s="41">
        <f>SUMIF(AC725:AC725, 5, I725:I725)+SUMIF(AC725:AC725, 6, I725:I725)</f>
        <v>0</v>
      </c>
      <c r="I730" s="41"/>
      <c r="J730" s="41">
        <f>SUMIF(AC725:AC725, 5, K725:K725)+SUMIF(AC725:AC725, 6, K725:K725)</f>
        <v>0</v>
      </c>
      <c r="K730" s="41"/>
    </row>
    <row r="731" spans="1:29" ht="13.8" hidden="1" x14ac:dyDescent="0.25">
      <c r="C731" s="39" t="s">
        <v>49</v>
      </c>
      <c r="H731" s="41">
        <f>I724+I726+I727+SUM(I725:I725)</f>
        <v>797.30000000000007</v>
      </c>
      <c r="I731" s="41"/>
      <c r="J731" s="41">
        <f>K724+K726+K727+SUM(K725:K725)</f>
        <v>11224.37</v>
      </c>
      <c r="K731" s="41"/>
      <c r="O731" s="42">
        <f>I724+I726+I727+SUM(I725:I725)</f>
        <v>797.30000000000007</v>
      </c>
      <c r="P731" s="42">
        <f>K724+K726+K727+SUM(K725:K725)</f>
        <v>11224.37</v>
      </c>
    </row>
    <row r="732" spans="1:29" hidden="1" x14ac:dyDescent="0.25"/>
    <row r="733" spans="1:29" ht="115.2" hidden="1" x14ac:dyDescent="0.25">
      <c r="A733" s="27">
        <v>51</v>
      </c>
      <c r="B733" s="27" t="str">
        <f>[1]Source!F826</f>
        <v>3.12-19-3</v>
      </c>
      <c r="C733" s="27" t="s">
        <v>202</v>
      </c>
      <c r="D733" s="28" t="str">
        <f>[1]Source!H826</f>
        <v>100 м2 изолируемой поверхности</v>
      </c>
      <c r="E733" s="29">
        <f>[1]Source!I826</f>
        <v>3.12</v>
      </c>
      <c r="F733" s="30"/>
      <c r="G733" s="31"/>
      <c r="H733" s="29"/>
      <c r="I733" s="30"/>
      <c r="J733" s="29"/>
      <c r="K733" s="30"/>
      <c r="Q733">
        <f>[1]Source!X826</f>
        <v>378.75</v>
      </c>
      <c r="R733">
        <f>[1]Source!X827</f>
        <v>21342.59</v>
      </c>
      <c r="S733">
        <f>[1]Source!Y826</f>
        <v>185.51</v>
      </c>
      <c r="T733">
        <f>[1]Source!Y827</f>
        <v>10453.51</v>
      </c>
      <c r="U733">
        <f>ROUND((175/100)*ROUND([1]Source!R826, 2), 2)</f>
        <v>7.93</v>
      </c>
      <c r="V733">
        <f>ROUND((0/100)*ROUND([1]Source!R827, 2), 2)</f>
        <v>0</v>
      </c>
      <c r="AC733">
        <v>0</v>
      </c>
    </row>
    <row r="734" spans="1:29" hidden="1" x14ac:dyDescent="0.25">
      <c r="C734" s="32" t="str">
        <f>"Объем: "&amp;[1]Source!I826&amp;"=312/"&amp;"100"</f>
        <v>Объем: 3,12=312/100</v>
      </c>
    </row>
    <row r="735" spans="1:29" ht="14.4" hidden="1" x14ac:dyDescent="0.25">
      <c r="A735" s="27"/>
      <c r="B735" s="27"/>
      <c r="C735" s="27" t="s">
        <v>36</v>
      </c>
      <c r="D735" s="28"/>
      <c r="E735" s="29"/>
      <c r="F735" s="30">
        <f>[1]Source!AO826</f>
        <v>81.61</v>
      </c>
      <c r="G735" s="31" t="s">
        <v>37</v>
      </c>
      <c r="H735" s="29">
        <f>[1]Source!AV827</f>
        <v>1.087</v>
      </c>
      <c r="I735" s="30">
        <f>[1]Source!S826</f>
        <v>381.95</v>
      </c>
      <c r="J735" s="29">
        <f>IF([1]Source!BA827&lt;&gt; 0, [1]Source!BA827, 1)</f>
        <v>56.35</v>
      </c>
      <c r="K735" s="30">
        <f>[1]Source!S827</f>
        <v>21522.880000000001</v>
      </c>
    </row>
    <row r="736" spans="1:29" ht="14.4" hidden="1" x14ac:dyDescent="0.25">
      <c r="A736" s="27"/>
      <c r="B736" s="27"/>
      <c r="C736" s="27" t="s">
        <v>38</v>
      </c>
      <c r="D736" s="28"/>
      <c r="E736" s="29"/>
      <c r="F736" s="30">
        <f>[1]Source!AM826</f>
        <v>12.92</v>
      </c>
      <c r="G736" s="31" t="s">
        <v>39</v>
      </c>
      <c r="H736" s="29">
        <f>[1]Source!AV827</f>
        <v>1.087</v>
      </c>
      <c r="I736" s="30">
        <f>[1]Source!Q826</f>
        <v>65.73</v>
      </c>
      <c r="J736" s="29">
        <f>IF([1]Source!BB827&lt;&gt; 0, [1]Source!BB827, 1)</f>
        <v>14.38</v>
      </c>
      <c r="K736" s="30">
        <f>[1]Source!Q827</f>
        <v>945.2</v>
      </c>
    </row>
    <row r="737" spans="1:29" ht="14.4" hidden="1" x14ac:dyDescent="0.25">
      <c r="A737" s="27"/>
      <c r="B737" s="27"/>
      <c r="C737" s="27" t="s">
        <v>40</v>
      </c>
      <c r="D737" s="28"/>
      <c r="E737" s="29"/>
      <c r="F737" s="30">
        <f>[1]Source!AN826</f>
        <v>0.89</v>
      </c>
      <c r="G737" s="31" t="s">
        <v>39</v>
      </c>
      <c r="H737" s="29">
        <f>[1]Source!AV827</f>
        <v>1.087</v>
      </c>
      <c r="I737" s="33">
        <f>[1]Source!R826</f>
        <v>4.53</v>
      </c>
      <c r="J737" s="29">
        <f>IF([1]Source!BS827&lt;&gt; 0, [1]Source!BS827, 1)</f>
        <v>56.35</v>
      </c>
      <c r="K737" s="33">
        <f>[1]Source!R827</f>
        <v>255.27</v>
      </c>
    </row>
    <row r="738" spans="1:29" ht="14.4" hidden="1" x14ac:dyDescent="0.25">
      <c r="A738" s="27"/>
      <c r="B738" s="27"/>
      <c r="C738" s="27" t="s">
        <v>41</v>
      </c>
      <c r="D738" s="28"/>
      <c r="E738" s="29"/>
      <c r="F738" s="30">
        <f>[1]Source!AL826</f>
        <v>196.02</v>
      </c>
      <c r="G738" s="31"/>
      <c r="H738" s="29">
        <f>[1]Source!AW827</f>
        <v>1.0009999999999999</v>
      </c>
      <c r="I738" s="30">
        <f>[1]Source!P826</f>
        <v>612.19000000000005</v>
      </c>
      <c r="J738" s="29">
        <f>IF([1]Source!BC827&lt;&gt; 0, [1]Source!BC827, 1)</f>
        <v>14.8</v>
      </c>
      <c r="K738" s="30">
        <f>[1]Source!P827</f>
        <v>9060.41</v>
      </c>
    </row>
    <row r="739" spans="1:29" ht="138" hidden="1" x14ac:dyDescent="0.25">
      <c r="A739" s="27" t="s">
        <v>203</v>
      </c>
      <c r="B739" s="27" t="str">
        <f>[1]Source!F828</f>
        <v>1.1-1-2688</v>
      </c>
      <c r="C739" s="27" t="s">
        <v>204</v>
      </c>
      <c r="D739" s="28" t="str">
        <f>[1]Source!H828</f>
        <v>м2</v>
      </c>
      <c r="E739" s="29">
        <f>[1]Source!I828</f>
        <v>343.2</v>
      </c>
      <c r="F739" s="30">
        <f>[1]Source!AK828</f>
        <v>4.1900000000000004</v>
      </c>
      <c r="G739" s="43" t="s">
        <v>54</v>
      </c>
      <c r="H739" s="29">
        <f>[1]Source!AW829</f>
        <v>1.0009999999999999</v>
      </c>
      <c r="I739" s="30">
        <f>[1]Source!O828</f>
        <v>1439.45</v>
      </c>
      <c r="J739" s="29">
        <f>IF([1]Source!BC829&lt;&gt; 0, [1]Source!BC829, 1)</f>
        <v>7.54</v>
      </c>
      <c r="K739" s="30">
        <f>[1]Source!O829</f>
        <v>10853.45</v>
      </c>
      <c r="Q739">
        <f>[1]Source!X828</f>
        <v>0</v>
      </c>
      <c r="R739">
        <f>[1]Source!X829</f>
        <v>0</v>
      </c>
      <c r="S739">
        <f>[1]Source!Y828</f>
        <v>0</v>
      </c>
      <c r="T739">
        <f>[1]Source!Y829</f>
        <v>0</v>
      </c>
      <c r="U739">
        <f>ROUND((175/100)*ROUND([1]Source!R828, 2), 2)</f>
        <v>0</v>
      </c>
      <c r="V739">
        <f>ROUND((0/100)*ROUND([1]Source!R829, 2), 2)</f>
        <v>0</v>
      </c>
      <c r="AC739">
        <v>3</v>
      </c>
    </row>
    <row r="740" spans="1:29" ht="14.4" hidden="1" x14ac:dyDescent="0.25">
      <c r="A740" s="27"/>
      <c r="B740" s="27"/>
      <c r="C740" s="27" t="s">
        <v>42</v>
      </c>
      <c r="D740" s="28" t="s">
        <v>43</v>
      </c>
      <c r="E740" s="29">
        <f>[1]Source!BZ827</f>
        <v>98</v>
      </c>
      <c r="F740" s="30"/>
      <c r="G740" s="31"/>
      <c r="H740" s="29"/>
      <c r="I740" s="30">
        <f>SUM(Q733:Q739)</f>
        <v>378.75</v>
      </c>
      <c r="J740" s="29">
        <f>[1]Source!AT827</f>
        <v>98</v>
      </c>
      <c r="K740" s="30">
        <f>SUM(R733:R739)</f>
        <v>21342.59</v>
      </c>
    </row>
    <row r="741" spans="1:29" ht="14.4" hidden="1" x14ac:dyDescent="0.25">
      <c r="A741" s="27"/>
      <c r="B741" s="27"/>
      <c r="C741" s="27" t="s">
        <v>44</v>
      </c>
      <c r="D741" s="28" t="s">
        <v>43</v>
      </c>
      <c r="E741" s="29">
        <f>[1]Source!CA827</f>
        <v>48</v>
      </c>
      <c r="F741" s="30"/>
      <c r="G741" s="31"/>
      <c r="H741" s="29"/>
      <c r="I741" s="30">
        <f>SUM(S733:S740)</f>
        <v>185.51</v>
      </c>
      <c r="J741" s="29">
        <f>[1]Source!AU827</f>
        <v>48</v>
      </c>
      <c r="K741" s="30">
        <f>SUM(T733:T740)</f>
        <v>10453.51</v>
      </c>
    </row>
    <row r="742" spans="1:29" ht="14.4" hidden="1" x14ac:dyDescent="0.25">
      <c r="A742" s="34"/>
      <c r="B742" s="34"/>
      <c r="C742" s="34" t="s">
        <v>45</v>
      </c>
      <c r="D742" s="35" t="s">
        <v>46</v>
      </c>
      <c r="E742" s="36">
        <f>[1]Source!AQ826</f>
        <v>6.94</v>
      </c>
      <c r="F742" s="37"/>
      <c r="G742" s="38" t="s">
        <v>37</v>
      </c>
      <c r="H742" s="36">
        <f>[1]Source!AV827</f>
        <v>1.087</v>
      </c>
      <c r="I742" s="37">
        <f>[1]Source!U826</f>
        <v>32.480499168000001</v>
      </c>
      <c r="J742" s="36"/>
      <c r="K742" s="37"/>
    </row>
    <row r="743" spans="1:29" ht="13.8" hidden="1" x14ac:dyDescent="0.25">
      <c r="C743" s="39" t="s">
        <v>47</v>
      </c>
      <c r="H743" s="40">
        <f>I735+I736+I738+I740+I741+SUM(I739:I739)-SUMIF(AC739:AC739, 5, I739:I739)-SUMIF(AC739:AC739, 6, I739:I739)</f>
        <v>3063.58</v>
      </c>
      <c r="I743" s="40"/>
      <c r="J743" s="40">
        <f>K735+K736+K738+K740+K741+SUM(K739:K739)-SUMIF(AC739:AC739, 5, K739:K739)-SUMIF(AC739:AC739, 6, K739:K739)</f>
        <v>74178.040000000008</v>
      </c>
      <c r="K743" s="40"/>
    </row>
    <row r="744" spans="1:29" ht="13.8" hidden="1" x14ac:dyDescent="0.25">
      <c r="C744" s="39" t="s">
        <v>48</v>
      </c>
      <c r="H744" s="41">
        <f>SUMIF(AC739:AC739, 5, I739:I739)+SUMIF(AC739:AC739, 6, I739:I739)</f>
        <v>0</v>
      </c>
      <c r="I744" s="41"/>
      <c r="J744" s="41">
        <f>SUMIF(AC739:AC739, 5, K739:K739)+SUMIF(AC739:AC739, 6, K739:K739)</f>
        <v>0</v>
      </c>
      <c r="K744" s="41"/>
    </row>
    <row r="745" spans="1:29" ht="13.8" hidden="1" x14ac:dyDescent="0.25">
      <c r="C745" s="39" t="s">
        <v>49</v>
      </c>
      <c r="H745" s="41">
        <f>I735+I736+I738+I740+I741+SUM(I739:I739)</f>
        <v>3063.58</v>
      </c>
      <c r="I745" s="41"/>
      <c r="J745" s="41">
        <f>K735+K736+K738+K740+K741+SUM(K739:K739)</f>
        <v>74178.040000000008</v>
      </c>
      <c r="K745" s="41"/>
      <c r="O745" s="42">
        <f>I735+I736+I738+I740+I741+SUM(I739:I739)</f>
        <v>3063.58</v>
      </c>
      <c r="P745" s="42">
        <f>K735+K736+K738+K740+K741+SUM(K739:K739)</f>
        <v>74178.040000000008</v>
      </c>
    </row>
    <row r="746" spans="1:29" hidden="1" x14ac:dyDescent="0.25"/>
    <row r="747" spans="1:29" ht="100.8" hidden="1" x14ac:dyDescent="0.25">
      <c r="A747" s="27">
        <v>52</v>
      </c>
      <c r="B747" s="27" t="str">
        <f>[1]Source!F830</f>
        <v>3.12-17-6</v>
      </c>
      <c r="C747" s="27" t="s">
        <v>205</v>
      </c>
      <c r="D747" s="28" t="str">
        <f>[1]Source!H830</f>
        <v>100 м2 утепляемого покрытия</v>
      </c>
      <c r="E747" s="29">
        <f>[1]Source!I830</f>
        <v>3.12</v>
      </c>
      <c r="F747" s="30"/>
      <c r="G747" s="31"/>
      <c r="H747" s="29"/>
      <c r="I747" s="30"/>
      <c r="J747" s="29"/>
      <c r="K747" s="30"/>
      <c r="Q747">
        <f>[1]Source!X830</f>
        <v>1478.43</v>
      </c>
      <c r="R747">
        <f>[1]Source!X831</f>
        <v>83309.42</v>
      </c>
      <c r="S747">
        <f>[1]Source!Y830</f>
        <v>724.13</v>
      </c>
      <c r="T747">
        <f>[1]Source!Y831</f>
        <v>40804.61</v>
      </c>
      <c r="U747">
        <f>ROUND((175/100)*ROUND([1]Source!R830, 2), 2)</f>
        <v>118.41</v>
      </c>
      <c r="V747">
        <f>ROUND((0/100)*ROUND([1]Source!R831, 2), 2)</f>
        <v>0</v>
      </c>
      <c r="AC747">
        <v>0</v>
      </c>
    </row>
    <row r="748" spans="1:29" hidden="1" x14ac:dyDescent="0.25">
      <c r="C748" s="32" t="str">
        <f>"Объем: "&amp;[1]Source!I830&amp;"=312/"&amp;"100"</f>
        <v>Объем: 3,12=312/100</v>
      </c>
    </row>
    <row r="749" spans="1:29" ht="14.4" hidden="1" x14ac:dyDescent="0.25">
      <c r="A749" s="27"/>
      <c r="B749" s="27"/>
      <c r="C749" s="27" t="s">
        <v>36</v>
      </c>
      <c r="D749" s="28"/>
      <c r="E749" s="29"/>
      <c r="F749" s="30">
        <f>[1]Source!AO830</f>
        <v>307.88</v>
      </c>
      <c r="G749" s="31" t="s">
        <v>37</v>
      </c>
      <c r="H749" s="29">
        <f>[1]Source!AV831</f>
        <v>1.087</v>
      </c>
      <c r="I749" s="30">
        <f>[1]Source!S830</f>
        <v>1440.94</v>
      </c>
      <c r="J749" s="29">
        <f>IF([1]Source!BA831&lt;&gt; 0, [1]Source!BA831, 1)</f>
        <v>56.35</v>
      </c>
      <c r="K749" s="30">
        <f>[1]Source!S831</f>
        <v>81196.97</v>
      </c>
    </row>
    <row r="750" spans="1:29" ht="14.4" hidden="1" x14ac:dyDescent="0.25">
      <c r="A750" s="27"/>
      <c r="B750" s="27"/>
      <c r="C750" s="27" t="s">
        <v>38</v>
      </c>
      <c r="D750" s="28"/>
      <c r="E750" s="29"/>
      <c r="F750" s="30">
        <f>[1]Source!AM830</f>
        <v>122.12</v>
      </c>
      <c r="G750" s="31" t="s">
        <v>39</v>
      </c>
      <c r="H750" s="29">
        <f>[1]Source!AV831</f>
        <v>1.087</v>
      </c>
      <c r="I750" s="30">
        <f>[1]Source!Q830</f>
        <v>621.24</v>
      </c>
      <c r="J750" s="29">
        <f>IF([1]Source!BB831&lt;&gt; 0, [1]Source!BB831, 1)</f>
        <v>15.1</v>
      </c>
      <c r="K750" s="30">
        <f>[1]Source!Q831</f>
        <v>9380.7199999999993</v>
      </c>
    </row>
    <row r="751" spans="1:29" ht="14.4" hidden="1" x14ac:dyDescent="0.25">
      <c r="A751" s="27"/>
      <c r="B751" s="27"/>
      <c r="C751" s="27" t="s">
        <v>40</v>
      </c>
      <c r="D751" s="28"/>
      <c r="E751" s="29"/>
      <c r="F751" s="30">
        <f>[1]Source!AN830</f>
        <v>13.3</v>
      </c>
      <c r="G751" s="31" t="s">
        <v>39</v>
      </c>
      <c r="H751" s="29">
        <f>[1]Source!AV831</f>
        <v>1.087</v>
      </c>
      <c r="I751" s="33">
        <f>[1]Source!R830</f>
        <v>67.66</v>
      </c>
      <c r="J751" s="29">
        <f>IF([1]Source!BS831&lt;&gt; 0, [1]Source!BS831, 1)</f>
        <v>56.35</v>
      </c>
      <c r="K751" s="33">
        <f>[1]Source!R831</f>
        <v>3812.64</v>
      </c>
    </row>
    <row r="752" spans="1:29" ht="124.2" hidden="1" x14ac:dyDescent="0.25">
      <c r="A752" s="27" t="s">
        <v>206</v>
      </c>
      <c r="B752" s="27" t="str">
        <f>[1]Source!F832</f>
        <v>1.1-1-2921</v>
      </c>
      <c r="C752" s="27" t="s">
        <v>207</v>
      </c>
      <c r="D752" s="28" t="str">
        <f>[1]Source!H832</f>
        <v>м3</v>
      </c>
      <c r="E752" s="29">
        <f>[1]Source!I832</f>
        <v>31.200000000000003</v>
      </c>
      <c r="F752" s="30">
        <f>[1]Source!AK832</f>
        <v>2200.7600000000002</v>
      </c>
      <c r="G752" s="43" t="s">
        <v>54</v>
      </c>
      <c r="H752" s="29">
        <f>[1]Source!AW833</f>
        <v>1.0009999999999999</v>
      </c>
      <c r="I752" s="30">
        <f>[1]Source!O832</f>
        <v>68732.38</v>
      </c>
      <c r="J752" s="29">
        <f>IF([1]Source!BC833&lt;&gt; 0, [1]Source!BC833, 1)</f>
        <v>7.28</v>
      </c>
      <c r="K752" s="30">
        <f>[1]Source!O833</f>
        <v>500371.73</v>
      </c>
      <c r="Q752">
        <f>[1]Source!X832</f>
        <v>0</v>
      </c>
      <c r="R752">
        <f>[1]Source!X833</f>
        <v>0</v>
      </c>
      <c r="S752">
        <f>[1]Source!Y832</f>
        <v>0</v>
      </c>
      <c r="T752">
        <f>[1]Source!Y833</f>
        <v>0</v>
      </c>
      <c r="U752">
        <f>ROUND((175/100)*ROUND([1]Source!R832, 2), 2)</f>
        <v>0</v>
      </c>
      <c r="V752">
        <f>ROUND((0/100)*ROUND([1]Source!R833, 2), 2)</f>
        <v>0</v>
      </c>
      <c r="AC752">
        <v>3</v>
      </c>
    </row>
    <row r="753" spans="1:29" ht="14.4" hidden="1" x14ac:dyDescent="0.25">
      <c r="A753" s="27"/>
      <c r="B753" s="27"/>
      <c r="C753" s="27" t="s">
        <v>42</v>
      </c>
      <c r="D753" s="28" t="s">
        <v>43</v>
      </c>
      <c r="E753" s="29">
        <f>[1]Source!BZ831</f>
        <v>98</v>
      </c>
      <c r="F753" s="30"/>
      <c r="G753" s="31"/>
      <c r="H753" s="29"/>
      <c r="I753" s="30">
        <f>SUM(Q747:Q752)</f>
        <v>1478.43</v>
      </c>
      <c r="J753" s="29">
        <f>[1]Source!AT831</f>
        <v>98</v>
      </c>
      <c r="K753" s="30">
        <f>SUM(R747:R752)</f>
        <v>83309.42</v>
      </c>
    </row>
    <row r="754" spans="1:29" ht="14.4" hidden="1" x14ac:dyDescent="0.25">
      <c r="A754" s="27"/>
      <c r="B754" s="27"/>
      <c r="C754" s="27" t="s">
        <v>44</v>
      </c>
      <c r="D754" s="28" t="s">
        <v>43</v>
      </c>
      <c r="E754" s="29">
        <f>[1]Source!CA831</f>
        <v>48</v>
      </c>
      <c r="F754" s="30"/>
      <c r="G754" s="31"/>
      <c r="H754" s="29"/>
      <c r="I754" s="30">
        <f>SUM(S747:S753)</f>
        <v>724.13</v>
      </c>
      <c r="J754" s="29">
        <f>[1]Source!AU831</f>
        <v>48</v>
      </c>
      <c r="K754" s="30">
        <f>SUM(T747:T753)</f>
        <v>40804.61</v>
      </c>
    </row>
    <row r="755" spans="1:29" ht="14.4" hidden="1" x14ac:dyDescent="0.25">
      <c r="A755" s="34"/>
      <c r="B755" s="34"/>
      <c r="C755" s="34" t="s">
        <v>45</v>
      </c>
      <c r="D755" s="35" t="s">
        <v>46</v>
      </c>
      <c r="E755" s="36">
        <f>[1]Source!AQ830</f>
        <v>26.16</v>
      </c>
      <c r="F755" s="37"/>
      <c r="G755" s="38" t="s">
        <v>37</v>
      </c>
      <c r="H755" s="36">
        <f>[1]Source!AV831</f>
        <v>1.087</v>
      </c>
      <c r="I755" s="37">
        <f>[1]Source!U830</f>
        <v>122.43369715199998</v>
      </c>
      <c r="J755" s="36"/>
      <c r="K755" s="37"/>
    </row>
    <row r="756" spans="1:29" ht="13.8" hidden="1" x14ac:dyDescent="0.25">
      <c r="C756" s="39" t="s">
        <v>47</v>
      </c>
      <c r="H756" s="40">
        <f>I749+I750+I753+I754+SUM(I752:I752)-SUMIF(AC752:AC752, 5, I752:I752)-SUMIF(AC752:AC752, 6, I752:I752)</f>
        <v>72997.12000000001</v>
      </c>
      <c r="I756" s="40"/>
      <c r="J756" s="40">
        <f>K749+K750+K753+K754+SUM(K752:K752)-SUMIF(AC752:AC752, 5, K752:K752)-SUMIF(AC752:AC752, 6, K752:K752)</f>
        <v>715063.45</v>
      </c>
      <c r="K756" s="40"/>
    </row>
    <row r="757" spans="1:29" ht="13.8" hidden="1" x14ac:dyDescent="0.25">
      <c r="C757" s="39" t="s">
        <v>48</v>
      </c>
      <c r="H757" s="41">
        <f>SUMIF(AC752:AC752, 5, I752:I752)+SUMIF(AC752:AC752, 6, I752:I752)</f>
        <v>0</v>
      </c>
      <c r="I757" s="41"/>
      <c r="J757" s="41">
        <f>SUMIF(AC752:AC752, 5, K752:K752)+SUMIF(AC752:AC752, 6, K752:K752)</f>
        <v>0</v>
      </c>
      <c r="K757" s="41"/>
    </row>
    <row r="758" spans="1:29" ht="13.8" hidden="1" x14ac:dyDescent="0.25">
      <c r="C758" s="39" t="s">
        <v>49</v>
      </c>
      <c r="H758" s="41">
        <f>I749+I750+I753+I754+SUM(I752:I752)</f>
        <v>72997.12000000001</v>
      </c>
      <c r="I758" s="41"/>
      <c r="J758" s="41">
        <f>K749+K750+K753+K754+SUM(K752:K752)</f>
        <v>715063.45</v>
      </c>
      <c r="K758" s="41"/>
      <c r="O758" s="42">
        <f>I749+I750+I753+I754+SUM(I752:I752)</f>
        <v>72997.12000000001</v>
      </c>
      <c r="P758" s="42">
        <f>K749+K750+K753+K754+SUM(K752:K752)</f>
        <v>715063.45</v>
      </c>
    </row>
    <row r="759" spans="1:29" hidden="1" x14ac:dyDescent="0.25"/>
    <row r="760" spans="1:29" ht="100.8" hidden="1" x14ac:dyDescent="0.25">
      <c r="A760" s="27">
        <v>53</v>
      </c>
      <c r="B760" s="27" t="str">
        <f>[1]Source!F834</f>
        <v>3.12-17-7</v>
      </c>
      <c r="C760" s="27" t="s">
        <v>208</v>
      </c>
      <c r="D760" s="28" t="str">
        <f>[1]Source!H834</f>
        <v>100 м2 утепляемого покрытия</v>
      </c>
      <c r="E760" s="29">
        <f>[1]Source!I834</f>
        <v>3.12</v>
      </c>
      <c r="F760" s="30"/>
      <c r="G760" s="31"/>
      <c r="H760" s="29"/>
      <c r="I760" s="30"/>
      <c r="J760" s="29"/>
      <c r="K760" s="30"/>
      <c r="Q760">
        <f>[1]Source!X834</f>
        <v>833.54</v>
      </c>
      <c r="R760">
        <f>[1]Source!X835</f>
        <v>46969.93</v>
      </c>
      <c r="S760">
        <f>[1]Source!Y834</f>
        <v>408.26</v>
      </c>
      <c r="T760">
        <f>[1]Source!Y835</f>
        <v>23005.68</v>
      </c>
      <c r="U760">
        <f>ROUND((175/100)*ROUND([1]Source!R834, 2), 2)</f>
        <v>48.53</v>
      </c>
      <c r="V760">
        <f>ROUND((0/100)*ROUND([1]Source!R835, 2), 2)</f>
        <v>0</v>
      </c>
      <c r="AC760">
        <v>0</v>
      </c>
    </row>
    <row r="761" spans="1:29" hidden="1" x14ac:dyDescent="0.25">
      <c r="C761" s="32" t="str">
        <f>"Объем: "&amp;[1]Source!I834&amp;"=312/"&amp;"100"</f>
        <v>Объем: 3,12=312/100</v>
      </c>
    </row>
    <row r="762" spans="1:29" ht="14.4" hidden="1" x14ac:dyDescent="0.25">
      <c r="A762" s="27"/>
      <c r="B762" s="27"/>
      <c r="C762" s="27" t="s">
        <v>36</v>
      </c>
      <c r="D762" s="28"/>
      <c r="E762" s="29"/>
      <c r="F762" s="30">
        <f>[1]Source!AO834</f>
        <v>175.81</v>
      </c>
      <c r="G762" s="31" t="s">
        <v>37</v>
      </c>
      <c r="H762" s="29">
        <f>[1]Source!AV835</f>
        <v>1.087</v>
      </c>
      <c r="I762" s="30">
        <f>[1]Source!S834</f>
        <v>822.82</v>
      </c>
      <c r="J762" s="29">
        <f>IF([1]Source!BA835&lt;&gt; 0, [1]Source!BA835, 1)</f>
        <v>56.35</v>
      </c>
      <c r="K762" s="30">
        <f>[1]Source!S835</f>
        <v>46365.91</v>
      </c>
    </row>
    <row r="763" spans="1:29" ht="14.4" hidden="1" x14ac:dyDescent="0.25">
      <c r="A763" s="27"/>
      <c r="B763" s="27"/>
      <c r="C763" s="27" t="s">
        <v>38</v>
      </c>
      <c r="D763" s="28"/>
      <c r="E763" s="29"/>
      <c r="F763" s="30">
        <f>[1]Source!AM834</f>
        <v>50.09</v>
      </c>
      <c r="G763" s="31" t="s">
        <v>39</v>
      </c>
      <c r="H763" s="29">
        <f>[1]Source!AV835</f>
        <v>1.087</v>
      </c>
      <c r="I763" s="30">
        <f>[1]Source!Q834</f>
        <v>254.82</v>
      </c>
      <c r="J763" s="29">
        <f>IF([1]Source!BB835&lt;&gt; 0, [1]Source!BB835, 1)</f>
        <v>15.09</v>
      </c>
      <c r="K763" s="30">
        <f>[1]Source!Q835</f>
        <v>3845.23</v>
      </c>
    </row>
    <row r="764" spans="1:29" ht="14.4" hidden="1" x14ac:dyDescent="0.25">
      <c r="A764" s="27"/>
      <c r="B764" s="27"/>
      <c r="C764" s="27" t="s">
        <v>40</v>
      </c>
      <c r="D764" s="28"/>
      <c r="E764" s="29"/>
      <c r="F764" s="30">
        <f>[1]Source!AN834</f>
        <v>5.45</v>
      </c>
      <c r="G764" s="31" t="s">
        <v>39</v>
      </c>
      <c r="H764" s="29">
        <f>[1]Source!AV835</f>
        <v>1.087</v>
      </c>
      <c r="I764" s="33">
        <f>[1]Source!R834</f>
        <v>27.73</v>
      </c>
      <c r="J764" s="29">
        <f>IF([1]Source!BS835&lt;&gt; 0, [1]Source!BS835, 1)</f>
        <v>56.35</v>
      </c>
      <c r="K764" s="33">
        <f>[1]Source!R835</f>
        <v>1562.59</v>
      </c>
    </row>
    <row r="765" spans="1:29" ht="138" hidden="1" x14ac:dyDescent="0.25">
      <c r="A765" s="27" t="s">
        <v>209</v>
      </c>
      <c r="B765" s="27" t="str">
        <f>[1]Source!F836</f>
        <v>1.1-1-2922</v>
      </c>
      <c r="C765" s="27" t="s">
        <v>81</v>
      </c>
      <c r="D765" s="28" t="str">
        <f>[1]Source!H836</f>
        <v>м3</v>
      </c>
      <c r="E765" s="29">
        <f>[1]Source!I836</f>
        <v>31.200000000000003</v>
      </c>
      <c r="F765" s="30">
        <f>[1]Source!AK836</f>
        <v>1245.78</v>
      </c>
      <c r="G765" s="43" t="s">
        <v>54</v>
      </c>
      <c r="H765" s="29">
        <f>[1]Source!AW837</f>
        <v>1.0009999999999999</v>
      </c>
      <c r="I765" s="30">
        <f>[1]Source!O836</f>
        <v>38907.199999999997</v>
      </c>
      <c r="J765" s="29">
        <f>IF([1]Source!BC837&lt;&gt; 0, [1]Source!BC837, 1)</f>
        <v>6.23</v>
      </c>
      <c r="K765" s="30">
        <f>[1]Source!O837</f>
        <v>242391.86</v>
      </c>
      <c r="Q765">
        <f>[1]Source!X836</f>
        <v>0</v>
      </c>
      <c r="R765">
        <f>[1]Source!X837</f>
        <v>0</v>
      </c>
      <c r="S765">
        <f>[1]Source!Y836</f>
        <v>0</v>
      </c>
      <c r="T765">
        <f>[1]Source!Y837</f>
        <v>0</v>
      </c>
      <c r="U765">
        <f>ROUND((175/100)*ROUND([1]Source!R836, 2), 2)</f>
        <v>0</v>
      </c>
      <c r="V765">
        <f>ROUND((0/100)*ROUND([1]Source!R837, 2), 2)</f>
        <v>0</v>
      </c>
      <c r="AC765">
        <v>3</v>
      </c>
    </row>
    <row r="766" spans="1:29" ht="14.4" hidden="1" x14ac:dyDescent="0.25">
      <c r="A766" s="27"/>
      <c r="B766" s="27"/>
      <c r="C766" s="27" t="s">
        <v>42</v>
      </c>
      <c r="D766" s="28" t="s">
        <v>43</v>
      </c>
      <c r="E766" s="29">
        <f>[1]Source!BZ835</f>
        <v>98</v>
      </c>
      <c r="F766" s="30"/>
      <c r="G766" s="31"/>
      <c r="H766" s="29"/>
      <c r="I766" s="30">
        <f>SUM(Q760:Q765)</f>
        <v>833.54</v>
      </c>
      <c r="J766" s="29">
        <f>[1]Source!AT835</f>
        <v>98</v>
      </c>
      <c r="K766" s="30">
        <f>SUM(R760:R765)</f>
        <v>46969.93</v>
      </c>
    </row>
    <row r="767" spans="1:29" ht="14.4" hidden="1" x14ac:dyDescent="0.25">
      <c r="A767" s="27"/>
      <c r="B767" s="27"/>
      <c r="C767" s="27" t="s">
        <v>44</v>
      </c>
      <c r="D767" s="28" t="s">
        <v>43</v>
      </c>
      <c r="E767" s="29">
        <f>[1]Source!CA835</f>
        <v>48</v>
      </c>
      <c r="F767" s="30"/>
      <c r="G767" s="31"/>
      <c r="H767" s="29"/>
      <c r="I767" s="30">
        <f>SUM(S760:S766)</f>
        <v>408.26</v>
      </c>
      <c r="J767" s="29">
        <f>[1]Source!AU835</f>
        <v>48</v>
      </c>
      <c r="K767" s="30">
        <f>SUM(T760:T766)</f>
        <v>23005.68</v>
      </c>
    </row>
    <row r="768" spans="1:29" ht="14.4" hidden="1" x14ac:dyDescent="0.25">
      <c r="A768" s="34"/>
      <c r="B768" s="34"/>
      <c r="C768" s="34" t="s">
        <v>45</v>
      </c>
      <c r="D768" s="35" t="s">
        <v>46</v>
      </c>
      <c r="E768" s="36">
        <f>[1]Source!AQ834</f>
        <v>14.7</v>
      </c>
      <c r="F768" s="37"/>
      <c r="G768" s="38" t="s">
        <v>37</v>
      </c>
      <c r="H768" s="36">
        <f>[1]Source!AV835</f>
        <v>1.087</v>
      </c>
      <c r="I768" s="37">
        <f>[1]Source!U834</f>
        <v>68.798751839999994</v>
      </c>
      <c r="J768" s="36"/>
      <c r="K768" s="37"/>
    </row>
    <row r="769" spans="1:29" ht="13.8" hidden="1" x14ac:dyDescent="0.25">
      <c r="C769" s="39" t="s">
        <v>47</v>
      </c>
      <c r="H769" s="40">
        <f>I762+I763+I766+I767+SUM(I765:I765)-SUMIF(AC765:AC765, 5, I765:I765)-SUMIF(AC765:AC765, 6, I765:I765)</f>
        <v>41226.639999999999</v>
      </c>
      <c r="I769" s="40"/>
      <c r="J769" s="40">
        <f>K762+K763+K766+K767+SUM(K765:K765)-SUMIF(AC765:AC765, 5, K765:K765)-SUMIF(AC765:AC765, 6, K765:K765)</f>
        <v>362578.61</v>
      </c>
      <c r="K769" s="40"/>
    </row>
    <row r="770" spans="1:29" ht="13.8" hidden="1" x14ac:dyDescent="0.25">
      <c r="C770" s="39" t="s">
        <v>48</v>
      </c>
      <c r="H770" s="41">
        <f>SUMIF(AC765:AC765, 5, I765:I765)+SUMIF(AC765:AC765, 6, I765:I765)</f>
        <v>0</v>
      </c>
      <c r="I770" s="41"/>
      <c r="J770" s="41">
        <f>SUMIF(AC765:AC765, 5, K765:K765)+SUMIF(AC765:AC765, 6, K765:K765)</f>
        <v>0</v>
      </c>
      <c r="K770" s="41"/>
    </row>
    <row r="771" spans="1:29" ht="13.8" hidden="1" x14ac:dyDescent="0.25">
      <c r="C771" s="39" t="s">
        <v>49</v>
      </c>
      <c r="H771" s="41">
        <f>I762+I763+I766+I767+SUM(I765:I765)</f>
        <v>41226.639999999999</v>
      </c>
      <c r="I771" s="41"/>
      <c r="J771" s="41">
        <f>K762+K763+K766+K767+SUM(K765:K765)</f>
        <v>362578.61</v>
      </c>
      <c r="K771" s="41"/>
      <c r="O771" s="42">
        <f>I762+I763+I766+I767+SUM(I765:I765)</f>
        <v>41226.639999999999</v>
      </c>
      <c r="P771" s="42">
        <f>K762+K763+K766+K767+SUM(K765:K765)</f>
        <v>362578.61</v>
      </c>
    </row>
    <row r="772" spans="1:29" hidden="1" x14ac:dyDescent="0.25"/>
    <row r="773" spans="1:29" ht="115.2" hidden="1" x14ac:dyDescent="0.25">
      <c r="A773" s="27">
        <v>54</v>
      </c>
      <c r="B773" s="27" t="str">
        <f>[1]Source!F838</f>
        <v>3.12-19-3</v>
      </c>
      <c r="C773" s="27" t="s">
        <v>202</v>
      </c>
      <c r="D773" s="28" t="str">
        <f>[1]Source!H838</f>
        <v>100 м2 изолируемой поверхности</v>
      </c>
      <c r="E773" s="29">
        <f>[1]Source!I838</f>
        <v>3.12</v>
      </c>
      <c r="F773" s="30"/>
      <c r="G773" s="31"/>
      <c r="H773" s="29"/>
      <c r="I773" s="30"/>
      <c r="J773" s="29"/>
      <c r="K773" s="30"/>
      <c r="Q773">
        <f>[1]Source!X838</f>
        <v>378.75</v>
      </c>
      <c r="R773">
        <f>[1]Source!X839</f>
        <v>21342.59</v>
      </c>
      <c r="S773">
        <f>[1]Source!Y838</f>
        <v>185.51</v>
      </c>
      <c r="T773">
        <f>[1]Source!Y839</f>
        <v>10453.51</v>
      </c>
      <c r="U773">
        <f>ROUND((175/100)*ROUND([1]Source!R838, 2), 2)</f>
        <v>7.93</v>
      </c>
      <c r="V773">
        <f>ROUND((0/100)*ROUND([1]Source!R839, 2), 2)</f>
        <v>0</v>
      </c>
      <c r="AC773">
        <v>0</v>
      </c>
    </row>
    <row r="774" spans="1:29" hidden="1" x14ac:dyDescent="0.25">
      <c r="C774" s="32" t="str">
        <f>"Объем: "&amp;[1]Source!I838&amp;"=312/"&amp;"100"</f>
        <v>Объем: 3,12=312/100</v>
      </c>
    </row>
    <row r="775" spans="1:29" ht="14.4" hidden="1" x14ac:dyDescent="0.25">
      <c r="A775" s="27"/>
      <c r="B775" s="27"/>
      <c r="C775" s="27" t="s">
        <v>36</v>
      </c>
      <c r="D775" s="28"/>
      <c r="E775" s="29"/>
      <c r="F775" s="30">
        <f>[1]Source!AO838</f>
        <v>81.61</v>
      </c>
      <c r="G775" s="31" t="s">
        <v>37</v>
      </c>
      <c r="H775" s="29">
        <f>[1]Source!AV839</f>
        <v>1.087</v>
      </c>
      <c r="I775" s="30">
        <f>[1]Source!S838</f>
        <v>381.95</v>
      </c>
      <c r="J775" s="29">
        <f>IF([1]Source!BA839&lt;&gt; 0, [1]Source!BA839, 1)</f>
        <v>56.35</v>
      </c>
      <c r="K775" s="30">
        <f>[1]Source!S839</f>
        <v>21522.880000000001</v>
      </c>
    </row>
    <row r="776" spans="1:29" ht="14.4" hidden="1" x14ac:dyDescent="0.25">
      <c r="A776" s="27"/>
      <c r="B776" s="27"/>
      <c r="C776" s="27" t="s">
        <v>38</v>
      </c>
      <c r="D776" s="28"/>
      <c r="E776" s="29"/>
      <c r="F776" s="30">
        <f>[1]Source!AM838</f>
        <v>12.92</v>
      </c>
      <c r="G776" s="31" t="s">
        <v>39</v>
      </c>
      <c r="H776" s="29">
        <f>[1]Source!AV839</f>
        <v>1.087</v>
      </c>
      <c r="I776" s="30">
        <f>[1]Source!Q838</f>
        <v>65.73</v>
      </c>
      <c r="J776" s="29">
        <f>IF([1]Source!BB839&lt;&gt; 0, [1]Source!BB839, 1)</f>
        <v>14.38</v>
      </c>
      <c r="K776" s="30">
        <f>[1]Source!Q839</f>
        <v>945.2</v>
      </c>
    </row>
    <row r="777" spans="1:29" ht="14.4" hidden="1" x14ac:dyDescent="0.25">
      <c r="A777" s="27"/>
      <c r="B777" s="27"/>
      <c r="C777" s="27" t="s">
        <v>40</v>
      </c>
      <c r="D777" s="28"/>
      <c r="E777" s="29"/>
      <c r="F777" s="30">
        <f>[1]Source!AN838</f>
        <v>0.89</v>
      </c>
      <c r="G777" s="31" t="s">
        <v>39</v>
      </c>
      <c r="H777" s="29">
        <f>[1]Source!AV839</f>
        <v>1.087</v>
      </c>
      <c r="I777" s="33">
        <f>[1]Source!R838</f>
        <v>4.53</v>
      </c>
      <c r="J777" s="29">
        <f>IF([1]Source!BS839&lt;&gt; 0, [1]Source!BS839, 1)</f>
        <v>56.35</v>
      </c>
      <c r="K777" s="33">
        <f>[1]Source!R839</f>
        <v>255.27</v>
      </c>
    </row>
    <row r="778" spans="1:29" ht="14.4" hidden="1" x14ac:dyDescent="0.25">
      <c r="A778" s="27"/>
      <c r="B778" s="27"/>
      <c r="C778" s="27" t="s">
        <v>41</v>
      </c>
      <c r="D778" s="28"/>
      <c r="E778" s="29"/>
      <c r="F778" s="30">
        <f>[1]Source!AL838</f>
        <v>196.02</v>
      </c>
      <c r="G778" s="31"/>
      <c r="H778" s="29">
        <f>[1]Source!AW839</f>
        <v>1.0009999999999999</v>
      </c>
      <c r="I778" s="30">
        <f>[1]Source!P838</f>
        <v>612.19000000000005</v>
      </c>
      <c r="J778" s="29">
        <f>IF([1]Source!BC839&lt;&gt; 0, [1]Source!BC839, 1)</f>
        <v>14.8</v>
      </c>
      <c r="K778" s="30">
        <f>[1]Source!P839</f>
        <v>9060.41</v>
      </c>
    </row>
    <row r="779" spans="1:29" ht="27.6" hidden="1" x14ac:dyDescent="0.25">
      <c r="A779" s="27" t="s">
        <v>210</v>
      </c>
      <c r="B779" s="27" t="str">
        <f>[1]Source!F840</f>
        <v>1.1-1-764</v>
      </c>
      <c r="C779" s="27" t="s">
        <v>211</v>
      </c>
      <c r="D779" s="28" t="str">
        <f>[1]Source!H840</f>
        <v>м2</v>
      </c>
      <c r="E779" s="29">
        <f>[1]Source!I840</f>
        <v>343.2</v>
      </c>
      <c r="F779" s="30">
        <f>[1]Source!AK840</f>
        <v>5.5</v>
      </c>
      <c r="G779" s="43" t="s">
        <v>54</v>
      </c>
      <c r="H779" s="29">
        <f>[1]Source!AW841</f>
        <v>1.0009999999999999</v>
      </c>
      <c r="I779" s="30">
        <f>[1]Source!O840</f>
        <v>1889.49</v>
      </c>
      <c r="J779" s="29">
        <f>IF([1]Source!BC841&lt;&gt; 0, [1]Source!BC841, 1)</f>
        <v>3.24</v>
      </c>
      <c r="K779" s="30">
        <f>[1]Source!O841</f>
        <v>6121.95</v>
      </c>
      <c r="Q779">
        <f>[1]Source!X840</f>
        <v>0</v>
      </c>
      <c r="R779">
        <f>[1]Source!X841</f>
        <v>0</v>
      </c>
      <c r="S779">
        <f>[1]Source!Y840</f>
        <v>0</v>
      </c>
      <c r="T779">
        <f>[1]Source!Y841</f>
        <v>0</v>
      </c>
      <c r="U779">
        <f>ROUND((175/100)*ROUND([1]Source!R840, 2), 2)</f>
        <v>0</v>
      </c>
      <c r="V779">
        <f>ROUND((0/100)*ROUND([1]Source!R841, 2), 2)</f>
        <v>0</v>
      </c>
      <c r="AC779">
        <v>3</v>
      </c>
    </row>
    <row r="780" spans="1:29" ht="14.4" hidden="1" x14ac:dyDescent="0.25">
      <c r="A780" s="27"/>
      <c r="B780" s="27"/>
      <c r="C780" s="27" t="s">
        <v>42</v>
      </c>
      <c r="D780" s="28" t="s">
        <v>43</v>
      </c>
      <c r="E780" s="29">
        <f>[1]Source!BZ839</f>
        <v>98</v>
      </c>
      <c r="F780" s="30"/>
      <c r="G780" s="31"/>
      <c r="H780" s="29"/>
      <c r="I780" s="30">
        <f>SUM(Q773:Q779)</f>
        <v>378.75</v>
      </c>
      <c r="J780" s="29">
        <f>[1]Source!AT839</f>
        <v>98</v>
      </c>
      <c r="K780" s="30">
        <f>SUM(R773:R779)</f>
        <v>21342.59</v>
      </c>
    </row>
    <row r="781" spans="1:29" ht="14.4" hidden="1" x14ac:dyDescent="0.25">
      <c r="A781" s="27"/>
      <c r="B781" s="27"/>
      <c r="C781" s="27" t="s">
        <v>44</v>
      </c>
      <c r="D781" s="28" t="s">
        <v>43</v>
      </c>
      <c r="E781" s="29">
        <f>[1]Source!CA839</f>
        <v>48</v>
      </c>
      <c r="F781" s="30"/>
      <c r="G781" s="31"/>
      <c r="H781" s="29"/>
      <c r="I781" s="30">
        <f>SUM(S773:S780)</f>
        <v>185.51</v>
      </c>
      <c r="J781" s="29">
        <f>[1]Source!AU839</f>
        <v>48</v>
      </c>
      <c r="K781" s="30">
        <f>SUM(T773:T780)</f>
        <v>10453.51</v>
      </c>
    </row>
    <row r="782" spans="1:29" ht="14.4" hidden="1" x14ac:dyDescent="0.25">
      <c r="A782" s="34"/>
      <c r="B782" s="34"/>
      <c r="C782" s="34" t="s">
        <v>45</v>
      </c>
      <c r="D782" s="35" t="s">
        <v>46</v>
      </c>
      <c r="E782" s="36">
        <f>[1]Source!AQ838</f>
        <v>6.94</v>
      </c>
      <c r="F782" s="37"/>
      <c r="G782" s="38" t="s">
        <v>37</v>
      </c>
      <c r="H782" s="36">
        <f>[1]Source!AV839</f>
        <v>1.087</v>
      </c>
      <c r="I782" s="37">
        <f>[1]Source!U838</f>
        <v>32.480499168000001</v>
      </c>
      <c r="J782" s="36"/>
      <c r="K782" s="37"/>
    </row>
    <row r="783" spans="1:29" ht="13.8" hidden="1" x14ac:dyDescent="0.25">
      <c r="C783" s="39" t="s">
        <v>47</v>
      </c>
      <c r="H783" s="40">
        <f>I775+I776+I778+I780+I781+SUM(I779:I779)-SUMIF(AC779:AC779, 5, I779:I779)-SUMIF(AC779:AC779, 6, I779:I779)</f>
        <v>3513.62</v>
      </c>
      <c r="I783" s="40"/>
      <c r="J783" s="40">
        <f>K775+K776+K778+K780+K781+SUM(K779:K779)-SUMIF(AC779:AC779, 5, K779:K779)-SUMIF(AC779:AC779, 6, K779:K779)</f>
        <v>69446.540000000008</v>
      </c>
      <c r="K783" s="40"/>
    </row>
    <row r="784" spans="1:29" ht="13.8" hidden="1" x14ac:dyDescent="0.25">
      <c r="C784" s="39" t="s">
        <v>48</v>
      </c>
      <c r="H784" s="41">
        <f>SUMIF(AC779:AC779, 5, I779:I779)+SUMIF(AC779:AC779, 6, I779:I779)</f>
        <v>0</v>
      </c>
      <c r="I784" s="41"/>
      <c r="J784" s="41">
        <f>SUMIF(AC779:AC779, 5, K779:K779)+SUMIF(AC779:AC779, 6, K779:K779)</f>
        <v>0</v>
      </c>
      <c r="K784" s="41"/>
    </row>
    <row r="785" spans="1:29" ht="13.8" hidden="1" x14ac:dyDescent="0.25">
      <c r="C785" s="39" t="s">
        <v>49</v>
      </c>
      <c r="H785" s="41">
        <f>I775+I776+I778+I780+I781+SUM(I779:I779)</f>
        <v>3513.62</v>
      </c>
      <c r="I785" s="41"/>
      <c r="J785" s="41">
        <f>K775+K776+K778+K780+K781+SUM(K779:K779)</f>
        <v>69446.540000000008</v>
      </c>
      <c r="K785" s="41"/>
      <c r="O785" s="42">
        <f>I775+I776+I778+I780+I781+SUM(I779:I779)</f>
        <v>3513.62</v>
      </c>
      <c r="P785" s="42">
        <f>K775+K776+K778+K780+K781+SUM(K779:K779)</f>
        <v>69446.540000000008</v>
      </c>
    </row>
    <row r="786" spans="1:29" hidden="1" x14ac:dyDescent="0.25"/>
    <row r="787" spans="1:29" ht="57.6" hidden="1" x14ac:dyDescent="0.25">
      <c r="A787" s="27">
        <v>55</v>
      </c>
      <c r="B787" s="27" t="str">
        <f>[1]Source!F842</f>
        <v>3.12-18-1</v>
      </c>
      <c r="C787" s="27" t="s">
        <v>212</v>
      </c>
      <c r="D787" s="28" t="str">
        <f>[1]Source!H842</f>
        <v>1 м3 утеплителя</v>
      </c>
      <c r="E787" s="29">
        <f>[1]Source!I842</f>
        <v>215.16</v>
      </c>
      <c r="F787" s="30"/>
      <c r="G787" s="31"/>
      <c r="H787" s="29"/>
      <c r="I787" s="30"/>
      <c r="J787" s="29"/>
      <c r="K787" s="30"/>
      <c r="Q787">
        <f>[1]Source!X842</f>
        <v>9716.1200000000008</v>
      </c>
      <c r="R787">
        <f>[1]Source!X843</f>
        <v>547503.47</v>
      </c>
      <c r="S787">
        <f>[1]Source!Y842</f>
        <v>4758.92</v>
      </c>
      <c r="T787">
        <f>[1]Source!Y843</f>
        <v>268164.96000000002</v>
      </c>
      <c r="U787">
        <f>ROUND((175/100)*ROUND([1]Source!R842, 2), 2)</f>
        <v>1964.59</v>
      </c>
      <c r="V787">
        <f>ROUND((0/100)*ROUND([1]Source!R843, 2), 2)</f>
        <v>0</v>
      </c>
      <c r="AC787">
        <v>0</v>
      </c>
    </row>
    <row r="788" spans="1:29" hidden="1" x14ac:dyDescent="0.25">
      <c r="C788" s="32" t="str">
        <f>"Объем: "&amp;[1]Source!I842&amp;"=((0,03+"&amp;"0,3)/"&amp;"2)*"&amp;"1304"</f>
        <v>Объем: 215,16=((0,03+0,3)/2)*1304</v>
      </c>
    </row>
    <row r="789" spans="1:29" ht="14.4" hidden="1" x14ac:dyDescent="0.25">
      <c r="A789" s="27"/>
      <c r="B789" s="27"/>
      <c r="C789" s="27" t="s">
        <v>36</v>
      </c>
      <c r="D789" s="28"/>
      <c r="E789" s="29"/>
      <c r="F789" s="30">
        <f>[1]Source!AO842</f>
        <v>27.24</v>
      </c>
      <c r="G789" s="31" t="s">
        <v>37</v>
      </c>
      <c r="H789" s="29">
        <f>[1]Source!AV843</f>
        <v>1.087</v>
      </c>
      <c r="I789" s="30">
        <f>[1]Source!S842</f>
        <v>8791.7900000000009</v>
      </c>
      <c r="J789" s="29">
        <f>IF([1]Source!BA843&lt;&gt; 0, [1]Source!BA843, 1)</f>
        <v>56.35</v>
      </c>
      <c r="K789" s="30">
        <f>[1]Source!S843</f>
        <v>495417.37</v>
      </c>
    </row>
    <row r="790" spans="1:29" ht="14.4" hidden="1" x14ac:dyDescent="0.25">
      <c r="A790" s="27"/>
      <c r="B790" s="27"/>
      <c r="C790" s="27" t="s">
        <v>38</v>
      </c>
      <c r="D790" s="28"/>
      <c r="E790" s="29"/>
      <c r="F790" s="30">
        <f>[1]Source!AM842</f>
        <v>36.29</v>
      </c>
      <c r="G790" s="31" t="s">
        <v>39</v>
      </c>
      <c r="H790" s="29">
        <f>[1]Source!AV843</f>
        <v>1.087</v>
      </c>
      <c r="I790" s="30">
        <f>[1]Source!Q842</f>
        <v>12731.2</v>
      </c>
      <c r="J790" s="29">
        <f>IF([1]Source!BB843&lt;&gt; 0, [1]Source!BB843, 1)</f>
        <v>14.94</v>
      </c>
      <c r="K790" s="30">
        <f>[1]Source!Q843</f>
        <v>190204.13</v>
      </c>
    </row>
    <row r="791" spans="1:29" ht="14.4" hidden="1" x14ac:dyDescent="0.25">
      <c r="A791" s="27"/>
      <c r="B791" s="27"/>
      <c r="C791" s="27" t="s">
        <v>40</v>
      </c>
      <c r="D791" s="28"/>
      <c r="E791" s="29"/>
      <c r="F791" s="30">
        <f>[1]Source!AN842</f>
        <v>3.2</v>
      </c>
      <c r="G791" s="31" t="s">
        <v>39</v>
      </c>
      <c r="H791" s="29">
        <f>[1]Source!AV843</f>
        <v>1.087</v>
      </c>
      <c r="I791" s="33">
        <f>[1]Source!R842</f>
        <v>1122.6199999999999</v>
      </c>
      <c r="J791" s="29">
        <f>IF([1]Source!BS843&lt;&gt; 0, [1]Source!BS843, 1)</f>
        <v>56.35</v>
      </c>
      <c r="K791" s="33">
        <f>[1]Source!R843</f>
        <v>63259.64</v>
      </c>
    </row>
    <row r="792" spans="1:29" ht="14.4" hidden="1" x14ac:dyDescent="0.25">
      <c r="A792" s="27"/>
      <c r="B792" s="27"/>
      <c r="C792" s="27" t="s">
        <v>41</v>
      </c>
      <c r="D792" s="28"/>
      <c r="E792" s="29"/>
      <c r="F792" s="30">
        <f>[1]Source!AL842</f>
        <v>363.75</v>
      </c>
      <c r="G792" s="31"/>
      <c r="H792" s="29">
        <f>[1]Source!AW843</f>
        <v>1.0009999999999999</v>
      </c>
      <c r="I792" s="30">
        <f>[1]Source!P842</f>
        <v>78342.710000000006</v>
      </c>
      <c r="J792" s="29">
        <f>IF([1]Source!BC843&lt;&gt; 0, [1]Source!BC843, 1)</f>
        <v>5.69</v>
      </c>
      <c r="K792" s="30">
        <f>[1]Source!P843</f>
        <v>445770.02</v>
      </c>
    </row>
    <row r="793" spans="1:29" ht="14.4" hidden="1" x14ac:dyDescent="0.25">
      <c r="A793" s="27"/>
      <c r="B793" s="27"/>
      <c r="C793" s="27" t="s">
        <v>42</v>
      </c>
      <c r="D793" s="28" t="s">
        <v>43</v>
      </c>
      <c r="E793" s="29">
        <f>[1]Source!BZ843</f>
        <v>98</v>
      </c>
      <c r="F793" s="30"/>
      <c r="G793" s="31"/>
      <c r="H793" s="29"/>
      <c r="I793" s="30">
        <f>SUM(Q787:Q792)</f>
        <v>9716.1200000000008</v>
      </c>
      <c r="J793" s="29">
        <f>[1]Source!AT843</f>
        <v>98</v>
      </c>
      <c r="K793" s="30">
        <f>SUM(R787:R792)</f>
        <v>547503.47</v>
      </c>
    </row>
    <row r="794" spans="1:29" ht="14.4" hidden="1" x14ac:dyDescent="0.25">
      <c r="A794" s="27"/>
      <c r="B794" s="27"/>
      <c r="C794" s="27" t="s">
        <v>44</v>
      </c>
      <c r="D794" s="28" t="s">
        <v>43</v>
      </c>
      <c r="E794" s="29">
        <f>[1]Source!CA843</f>
        <v>48</v>
      </c>
      <c r="F794" s="30"/>
      <c r="G794" s="31"/>
      <c r="H794" s="29"/>
      <c r="I794" s="30">
        <f>SUM(S787:S793)</f>
        <v>4758.92</v>
      </c>
      <c r="J794" s="29">
        <f>[1]Source!AU843</f>
        <v>48</v>
      </c>
      <c r="K794" s="30">
        <f>SUM(T787:T793)</f>
        <v>268164.96000000002</v>
      </c>
    </row>
    <row r="795" spans="1:29" ht="14.4" hidden="1" x14ac:dyDescent="0.25">
      <c r="A795" s="34"/>
      <c r="B795" s="34"/>
      <c r="C795" s="34" t="s">
        <v>45</v>
      </c>
      <c r="D795" s="35" t="s">
        <v>46</v>
      </c>
      <c r="E795" s="36">
        <f>[1]Source!AQ842</f>
        <v>2.71</v>
      </c>
      <c r="F795" s="37"/>
      <c r="G795" s="38" t="s">
        <v>37</v>
      </c>
      <c r="H795" s="36">
        <f>[1]Source!AV843</f>
        <v>1.087</v>
      </c>
      <c r="I795" s="37">
        <f>[1]Source!U842</f>
        <v>874.66038501599996</v>
      </c>
      <c r="J795" s="36"/>
      <c r="K795" s="37"/>
    </row>
    <row r="796" spans="1:29" ht="13.8" hidden="1" x14ac:dyDescent="0.25">
      <c r="C796" s="39" t="s">
        <v>47</v>
      </c>
      <c r="H796" s="40">
        <f>I789+I790+I792+I793+I794+0-0-0</f>
        <v>114340.74</v>
      </c>
      <c r="I796" s="40"/>
      <c r="J796" s="40">
        <f>K789+K790+K792+K793+K794+0-0-0</f>
        <v>1947059.95</v>
      </c>
      <c r="K796" s="40"/>
    </row>
    <row r="797" spans="1:29" ht="13.8" hidden="1" x14ac:dyDescent="0.25">
      <c r="C797" s="39" t="s">
        <v>48</v>
      </c>
      <c r="H797" s="41">
        <f>0+0</f>
        <v>0</v>
      </c>
      <c r="I797" s="41"/>
      <c r="J797" s="41">
        <f>0+0</f>
        <v>0</v>
      </c>
      <c r="K797" s="41"/>
    </row>
    <row r="798" spans="1:29" ht="13.8" hidden="1" x14ac:dyDescent="0.25">
      <c r="C798" s="39" t="s">
        <v>49</v>
      </c>
      <c r="H798" s="41">
        <f>I789+I790+I792+I793+I794+0</f>
        <v>114340.74</v>
      </c>
      <c r="I798" s="41"/>
      <c r="J798" s="41">
        <f>K789+K790+K792+K793+K794+0</f>
        <v>1947059.95</v>
      </c>
      <c r="K798" s="41"/>
      <c r="O798" s="42">
        <f>I789+I790+I792+I793+I794+0</f>
        <v>114340.74</v>
      </c>
      <c r="P798" s="42">
        <f>K789+K790+K792+K793+K794+0</f>
        <v>1947059.95</v>
      </c>
    </row>
    <row r="799" spans="1:29" hidden="1" x14ac:dyDescent="0.25"/>
    <row r="800" spans="1:29" ht="27.6" hidden="1" x14ac:dyDescent="0.25">
      <c r="A800" s="27">
        <v>56</v>
      </c>
      <c r="B800" s="27" t="str">
        <f>[1]Source!F844</f>
        <v>3.11-40-1</v>
      </c>
      <c r="C800" s="27" t="s">
        <v>213</v>
      </c>
      <c r="D800" s="28" t="str">
        <f>[1]Source!H844</f>
        <v>1 м3</v>
      </c>
      <c r="E800" s="29">
        <f>[1]Source!I844</f>
        <v>215.16</v>
      </c>
      <c r="F800" s="30"/>
      <c r="G800" s="31"/>
      <c r="H800" s="29"/>
      <c r="I800" s="30"/>
      <c r="J800" s="29"/>
      <c r="K800" s="30"/>
      <c r="Q800">
        <f>[1]Source!X844</f>
        <v>7691.4</v>
      </c>
      <c r="R800">
        <f>[1]Source!X845</f>
        <v>433410.53</v>
      </c>
      <c r="S800">
        <f>[1]Source!Y844</f>
        <v>4188.3900000000003</v>
      </c>
      <c r="T800">
        <f>[1]Source!Y845</f>
        <v>236015.64</v>
      </c>
      <c r="U800">
        <f>ROUND((175/100)*ROUND([1]Source!R844, 2), 2)</f>
        <v>857.45</v>
      </c>
      <c r="V800">
        <f>ROUND((0/100)*ROUND([1]Source!R845, 2), 2)</f>
        <v>0</v>
      </c>
      <c r="AC800">
        <v>0</v>
      </c>
    </row>
    <row r="801" spans="1:29" ht="14.4" hidden="1" x14ac:dyDescent="0.25">
      <c r="A801" s="27"/>
      <c r="B801" s="27"/>
      <c r="C801" s="27" t="s">
        <v>36</v>
      </c>
      <c r="D801" s="28"/>
      <c r="E801" s="29"/>
      <c r="F801" s="30">
        <f>[1]Source!AO844</f>
        <v>22.92</v>
      </c>
      <c r="G801" s="31" t="s">
        <v>37</v>
      </c>
      <c r="H801" s="29">
        <f>[1]Source!AV845</f>
        <v>1.0469999999999999</v>
      </c>
      <c r="I801" s="30">
        <f>[1]Source!S844</f>
        <v>7125.28</v>
      </c>
      <c r="J801" s="29">
        <f>IF([1]Source!BA845&lt;&gt; 0, [1]Source!BA845, 1)</f>
        <v>56.35</v>
      </c>
      <c r="K801" s="30">
        <f>[1]Source!S845</f>
        <v>401509.53</v>
      </c>
    </row>
    <row r="802" spans="1:29" ht="14.4" hidden="1" x14ac:dyDescent="0.25">
      <c r="A802" s="27"/>
      <c r="B802" s="27"/>
      <c r="C802" s="27" t="s">
        <v>38</v>
      </c>
      <c r="D802" s="28"/>
      <c r="E802" s="29"/>
      <c r="F802" s="30">
        <f>[1]Source!AM844</f>
        <v>2.14</v>
      </c>
      <c r="G802" s="31" t="s">
        <v>39</v>
      </c>
      <c r="H802" s="29">
        <f>[1]Source!AV845</f>
        <v>1.0469999999999999</v>
      </c>
      <c r="I802" s="30">
        <f>[1]Source!Q844</f>
        <v>723.12</v>
      </c>
      <c r="J802" s="29">
        <f>IF([1]Source!BB845&lt;&gt; 0, [1]Source!BB845, 1)</f>
        <v>46.17</v>
      </c>
      <c r="K802" s="30">
        <f>[1]Source!Q845</f>
        <v>33386.449999999997</v>
      </c>
    </row>
    <row r="803" spans="1:29" ht="14.4" hidden="1" x14ac:dyDescent="0.25">
      <c r="A803" s="27"/>
      <c r="B803" s="27"/>
      <c r="C803" s="27" t="s">
        <v>40</v>
      </c>
      <c r="D803" s="28"/>
      <c r="E803" s="29"/>
      <c r="F803" s="30">
        <f>[1]Source!AN844</f>
        <v>1.45</v>
      </c>
      <c r="G803" s="31" t="s">
        <v>39</v>
      </c>
      <c r="H803" s="29">
        <f>[1]Source!AV845</f>
        <v>1.0469999999999999</v>
      </c>
      <c r="I803" s="33">
        <f>[1]Source!R844</f>
        <v>489.97</v>
      </c>
      <c r="J803" s="29">
        <f>IF([1]Source!BS845&lt;&gt; 0, [1]Source!BS845, 1)</f>
        <v>56.35</v>
      </c>
      <c r="K803" s="33">
        <f>[1]Source!R845</f>
        <v>27609.81</v>
      </c>
    </row>
    <row r="804" spans="1:29" ht="27.6" hidden="1" x14ac:dyDescent="0.25">
      <c r="A804" s="27" t="s">
        <v>214</v>
      </c>
      <c r="B804" s="27" t="str">
        <f>[1]Source!F846</f>
        <v>1.3-2-181</v>
      </c>
      <c r="C804" s="27" t="s">
        <v>215</v>
      </c>
      <c r="D804" s="28" t="str">
        <f>[1]Source!H846</f>
        <v>м3</v>
      </c>
      <c r="E804" s="29">
        <f>[1]Source!I846</f>
        <v>96.822000000000003</v>
      </c>
      <c r="F804" s="30">
        <f>[1]Source!AK846</f>
        <v>1653.47</v>
      </c>
      <c r="G804" s="43" t="s">
        <v>54</v>
      </c>
      <c r="H804" s="29">
        <f>[1]Source!AW847</f>
        <v>1</v>
      </c>
      <c r="I804" s="30">
        <f>[1]Source!O846</f>
        <v>160092.26999999999</v>
      </c>
      <c r="J804" s="29">
        <f>IF([1]Source!BC847&lt;&gt; 0, [1]Source!BC847, 1)</f>
        <v>4.0599999999999996</v>
      </c>
      <c r="K804" s="30">
        <f>[1]Source!O847</f>
        <v>649974.62</v>
      </c>
      <c r="Q804">
        <f>[1]Source!X846</f>
        <v>0</v>
      </c>
      <c r="R804">
        <f>[1]Source!X847</f>
        <v>0</v>
      </c>
      <c r="S804">
        <f>[1]Source!Y846</f>
        <v>0</v>
      </c>
      <c r="T804">
        <f>[1]Source!Y847</f>
        <v>0</v>
      </c>
      <c r="U804">
        <f>ROUND((175/100)*ROUND([1]Source!R846, 2), 2)</f>
        <v>0</v>
      </c>
      <c r="V804">
        <f>ROUND((0/100)*ROUND([1]Source!R847, 2), 2)</f>
        <v>0</v>
      </c>
      <c r="AC804">
        <v>3</v>
      </c>
    </row>
    <row r="805" spans="1:29" ht="14.4" hidden="1" x14ac:dyDescent="0.25">
      <c r="A805" s="27"/>
      <c r="B805" s="27"/>
      <c r="C805" s="27" t="s">
        <v>42</v>
      </c>
      <c r="D805" s="28" t="s">
        <v>43</v>
      </c>
      <c r="E805" s="29">
        <f>[1]Source!BZ845</f>
        <v>101</v>
      </c>
      <c r="F805" s="30"/>
      <c r="G805" s="31"/>
      <c r="H805" s="29"/>
      <c r="I805" s="30">
        <f>SUM(Q800:Q804)</f>
        <v>7691.4</v>
      </c>
      <c r="J805" s="29">
        <f>[1]Source!AT845</f>
        <v>101</v>
      </c>
      <c r="K805" s="30">
        <f>SUM(R800:R804)</f>
        <v>433410.53</v>
      </c>
    </row>
    <row r="806" spans="1:29" ht="14.4" hidden="1" x14ac:dyDescent="0.25">
      <c r="A806" s="27"/>
      <c r="B806" s="27"/>
      <c r="C806" s="27" t="s">
        <v>44</v>
      </c>
      <c r="D806" s="28" t="s">
        <v>43</v>
      </c>
      <c r="E806" s="29">
        <f>[1]Source!CA845</f>
        <v>55</v>
      </c>
      <c r="F806" s="30"/>
      <c r="G806" s="31"/>
      <c r="H806" s="29"/>
      <c r="I806" s="30">
        <f>SUM(S800:S805)</f>
        <v>4188.3900000000003</v>
      </c>
      <c r="J806" s="29">
        <f>[1]Source!AU845</f>
        <v>55</v>
      </c>
      <c r="K806" s="30">
        <f>SUM(T800:T805)</f>
        <v>236015.64</v>
      </c>
    </row>
    <row r="807" spans="1:29" ht="14.4" hidden="1" x14ac:dyDescent="0.25">
      <c r="A807" s="34"/>
      <c r="B807" s="34"/>
      <c r="C807" s="34" t="s">
        <v>45</v>
      </c>
      <c r="D807" s="35" t="s">
        <v>46</v>
      </c>
      <c r="E807" s="36">
        <f>[1]Source!AQ844</f>
        <v>2.0499999999999998</v>
      </c>
      <c r="F807" s="37"/>
      <c r="G807" s="38" t="s">
        <v>37</v>
      </c>
      <c r="H807" s="36">
        <f>[1]Source!AV845</f>
        <v>1.0469999999999999</v>
      </c>
      <c r="I807" s="37">
        <f>[1]Source!U844</f>
        <v>637.29595907999976</v>
      </c>
      <c r="J807" s="36"/>
      <c r="K807" s="37"/>
    </row>
    <row r="808" spans="1:29" ht="13.8" hidden="1" x14ac:dyDescent="0.25">
      <c r="C808" s="39" t="s">
        <v>47</v>
      </c>
      <c r="H808" s="40">
        <f>I801+I802+I805+I806+SUM(I804:I804)-SUMIF(AC804:AC804, 5, I804:I804)-SUMIF(AC804:AC804, 6, I804:I804)</f>
        <v>179820.46</v>
      </c>
      <c r="I808" s="40"/>
      <c r="J808" s="40">
        <f>K801+K802+K805+K806+SUM(K804:K804)-SUMIF(AC804:AC804, 5, K804:K804)-SUMIF(AC804:AC804, 6, K804:K804)</f>
        <v>1754296.77</v>
      </c>
      <c r="K808" s="40"/>
    </row>
    <row r="809" spans="1:29" ht="13.8" hidden="1" x14ac:dyDescent="0.25">
      <c r="C809" s="39" t="s">
        <v>48</v>
      </c>
      <c r="H809" s="41">
        <f>SUMIF(AC804:AC804, 5, I804:I804)+SUMIF(AC804:AC804, 6, I804:I804)</f>
        <v>0</v>
      </c>
      <c r="I809" s="41"/>
      <c r="J809" s="41">
        <f>SUMIF(AC804:AC804, 5, K804:K804)+SUMIF(AC804:AC804, 6, K804:K804)</f>
        <v>0</v>
      </c>
      <c r="K809" s="41"/>
    </row>
    <row r="810" spans="1:29" ht="13.8" hidden="1" x14ac:dyDescent="0.25">
      <c r="C810" s="39" t="s">
        <v>49</v>
      </c>
      <c r="H810" s="41">
        <f>I801+I802+I805+I806+SUM(I804:I804)</f>
        <v>179820.46</v>
      </c>
      <c r="I810" s="41"/>
      <c r="J810" s="41">
        <f>K801+K802+K805+K806+SUM(K804:K804)</f>
        <v>1754296.77</v>
      </c>
      <c r="K810" s="41"/>
      <c r="O810" s="42">
        <f>I801+I802+I805+I806+SUM(I804:I804)</f>
        <v>179820.46</v>
      </c>
      <c r="P810" s="42">
        <f>K801+K802+K805+K806+SUM(K804:K804)</f>
        <v>1754296.77</v>
      </c>
    </row>
    <row r="811" spans="1:29" hidden="1" x14ac:dyDescent="0.25"/>
    <row r="812" spans="1:29" ht="57.6" hidden="1" x14ac:dyDescent="0.25">
      <c r="A812" s="27">
        <v>57</v>
      </c>
      <c r="B812" s="27" t="str">
        <f>[1]Source!F848</f>
        <v>3.12-21-1</v>
      </c>
      <c r="C812" s="27" t="s">
        <v>216</v>
      </c>
      <c r="D812" s="28" t="str">
        <f>[1]Source!H848</f>
        <v>100 м2 стяжек</v>
      </c>
      <c r="E812" s="29">
        <f>[1]Source!I848</f>
        <v>3.12</v>
      </c>
      <c r="F812" s="30"/>
      <c r="G812" s="31"/>
      <c r="H812" s="29"/>
      <c r="I812" s="30"/>
      <c r="J812" s="29"/>
      <c r="K812" s="30"/>
      <c r="Q812">
        <f>[1]Source!X848</f>
        <v>1160.22</v>
      </c>
      <c r="R812">
        <f>[1]Source!X849</f>
        <v>65378.51</v>
      </c>
      <c r="S812">
        <f>[1]Source!Y848</f>
        <v>568.27</v>
      </c>
      <c r="T812">
        <f>[1]Source!Y849</f>
        <v>32022.13</v>
      </c>
      <c r="U812">
        <f>ROUND((175/100)*ROUND([1]Source!R848, 2), 2)</f>
        <v>0</v>
      </c>
      <c r="V812">
        <f>ROUND((0/100)*ROUND([1]Source!R849, 2), 2)</f>
        <v>0</v>
      </c>
      <c r="AC812">
        <v>0</v>
      </c>
    </row>
    <row r="813" spans="1:29" hidden="1" x14ac:dyDescent="0.25">
      <c r="C813" s="32" t="str">
        <f>"Объем: "&amp;[1]Source!I848&amp;"=312/"&amp;"100"</f>
        <v>Объем: 3,12=312/100</v>
      </c>
    </row>
    <row r="814" spans="1:29" ht="14.4" hidden="1" x14ac:dyDescent="0.25">
      <c r="A814" s="27"/>
      <c r="B814" s="27"/>
      <c r="C814" s="27" t="s">
        <v>36</v>
      </c>
      <c r="D814" s="28"/>
      <c r="E814" s="29"/>
      <c r="F814" s="30">
        <f>[1]Source!AO848</f>
        <v>252.96</v>
      </c>
      <c r="G814" s="31" t="s">
        <v>37</v>
      </c>
      <c r="H814" s="29">
        <f>[1]Source!AV849</f>
        <v>1.087</v>
      </c>
      <c r="I814" s="30">
        <f>[1]Source!S848</f>
        <v>1183.9000000000001</v>
      </c>
      <c r="J814" s="29">
        <f>IF([1]Source!BA849&lt;&gt; 0, [1]Source!BA849, 1)</f>
        <v>56.35</v>
      </c>
      <c r="K814" s="30">
        <f>[1]Source!S849</f>
        <v>66712.77</v>
      </c>
    </row>
    <row r="815" spans="1:29" ht="14.4" hidden="1" x14ac:dyDescent="0.25">
      <c r="A815" s="27"/>
      <c r="B815" s="27"/>
      <c r="C815" s="27" t="s">
        <v>38</v>
      </c>
      <c r="D815" s="28"/>
      <c r="E815" s="29"/>
      <c r="F815" s="30">
        <f>[1]Source!AM848</f>
        <v>22.76</v>
      </c>
      <c r="G815" s="31" t="s">
        <v>39</v>
      </c>
      <c r="H815" s="29">
        <f>[1]Source!AV849</f>
        <v>1.087</v>
      </c>
      <c r="I815" s="30">
        <f>[1]Source!Q848</f>
        <v>115.78</v>
      </c>
      <c r="J815" s="29">
        <f>IF([1]Source!BB849&lt;&gt; 0, [1]Source!BB849, 1)</f>
        <v>12.45</v>
      </c>
      <c r="K815" s="30">
        <f>[1]Source!Q849</f>
        <v>1441.46</v>
      </c>
    </row>
    <row r="816" spans="1:29" ht="14.4" hidden="1" x14ac:dyDescent="0.25">
      <c r="A816" s="27"/>
      <c r="B816" s="27"/>
      <c r="C816" s="27" t="s">
        <v>41</v>
      </c>
      <c r="D816" s="28"/>
      <c r="E816" s="29"/>
      <c r="F816" s="30">
        <f>[1]Source!AL848</f>
        <v>27.22</v>
      </c>
      <c r="G816" s="31"/>
      <c r="H816" s="29">
        <f>[1]Source!AW849</f>
        <v>1.0009999999999999</v>
      </c>
      <c r="I816" s="30">
        <f>[1]Source!P848</f>
        <v>85.01</v>
      </c>
      <c r="J816" s="29">
        <f>IF([1]Source!BC849&lt;&gt; 0, [1]Source!BC849, 1)</f>
        <v>7.75</v>
      </c>
      <c r="K816" s="30">
        <f>[1]Source!P849</f>
        <v>658.83</v>
      </c>
    </row>
    <row r="817" spans="1:29" ht="27.6" hidden="1" x14ac:dyDescent="0.25">
      <c r="A817" s="27" t="s">
        <v>217</v>
      </c>
      <c r="B817" s="27" t="str">
        <f>[1]Source!F850</f>
        <v>1.3-2-6</v>
      </c>
      <c r="C817" s="27" t="s">
        <v>149</v>
      </c>
      <c r="D817" s="28" t="str">
        <f>[1]Source!H850</f>
        <v>м3</v>
      </c>
      <c r="E817" s="29">
        <f>[1]Source!I850</f>
        <v>4.7736000000000001</v>
      </c>
      <c r="F817" s="30">
        <f>[1]Source!AK850</f>
        <v>467.32</v>
      </c>
      <c r="G817" s="43" t="s">
        <v>54</v>
      </c>
      <c r="H817" s="29">
        <f>[1]Source!AW851</f>
        <v>1.0009999999999999</v>
      </c>
      <c r="I817" s="30">
        <f>[1]Source!O850</f>
        <v>2233.0300000000002</v>
      </c>
      <c r="J817" s="29">
        <f>IF([1]Source!BC851&lt;&gt; 0, [1]Source!BC851, 1)</f>
        <v>11.07</v>
      </c>
      <c r="K817" s="30">
        <f>[1]Source!O851</f>
        <v>24719.64</v>
      </c>
      <c r="Q817">
        <f>[1]Source!X850</f>
        <v>0</v>
      </c>
      <c r="R817">
        <f>[1]Source!X851</f>
        <v>0</v>
      </c>
      <c r="S817">
        <f>[1]Source!Y850</f>
        <v>0</v>
      </c>
      <c r="T817">
        <f>[1]Source!Y851</f>
        <v>0</v>
      </c>
      <c r="U817">
        <f>ROUND((175/100)*ROUND([1]Source!R850, 2), 2)</f>
        <v>0</v>
      </c>
      <c r="V817">
        <f>ROUND((0/100)*ROUND([1]Source!R851, 2), 2)</f>
        <v>0</v>
      </c>
      <c r="AC817">
        <v>3</v>
      </c>
    </row>
    <row r="818" spans="1:29" ht="14.4" hidden="1" x14ac:dyDescent="0.25">
      <c r="A818" s="27"/>
      <c r="B818" s="27"/>
      <c r="C818" s="27" t="s">
        <v>42</v>
      </c>
      <c r="D818" s="28" t="s">
        <v>43</v>
      </c>
      <c r="E818" s="29">
        <f>[1]Source!BZ849</f>
        <v>98</v>
      </c>
      <c r="F818" s="30"/>
      <c r="G818" s="31"/>
      <c r="H818" s="29"/>
      <c r="I818" s="30">
        <f>SUM(Q812:Q817)</f>
        <v>1160.22</v>
      </c>
      <c r="J818" s="29">
        <f>[1]Source!AT849</f>
        <v>98</v>
      </c>
      <c r="K818" s="30">
        <f>SUM(R812:R817)</f>
        <v>65378.51</v>
      </c>
    </row>
    <row r="819" spans="1:29" ht="14.4" hidden="1" x14ac:dyDescent="0.25">
      <c r="A819" s="27"/>
      <c r="B819" s="27"/>
      <c r="C819" s="27" t="s">
        <v>44</v>
      </c>
      <c r="D819" s="28" t="s">
        <v>43</v>
      </c>
      <c r="E819" s="29">
        <f>[1]Source!CA849</f>
        <v>48</v>
      </c>
      <c r="F819" s="30"/>
      <c r="G819" s="31"/>
      <c r="H819" s="29"/>
      <c r="I819" s="30">
        <f>SUM(S812:S818)</f>
        <v>568.27</v>
      </c>
      <c r="J819" s="29">
        <f>[1]Source!AU849</f>
        <v>48</v>
      </c>
      <c r="K819" s="30">
        <f>SUM(T812:T818)</f>
        <v>32022.13</v>
      </c>
    </row>
    <row r="820" spans="1:29" ht="14.4" hidden="1" x14ac:dyDescent="0.25">
      <c r="A820" s="34"/>
      <c r="B820" s="34"/>
      <c r="C820" s="34" t="s">
        <v>45</v>
      </c>
      <c r="D820" s="35" t="s">
        <v>46</v>
      </c>
      <c r="E820" s="36">
        <f>[1]Source!AQ848</f>
        <v>24.3</v>
      </c>
      <c r="F820" s="37"/>
      <c r="G820" s="38" t="s">
        <v>37</v>
      </c>
      <c r="H820" s="36">
        <f>[1]Source!AV849</f>
        <v>1.087</v>
      </c>
      <c r="I820" s="37">
        <f>[1]Source!U848</f>
        <v>113.72854895999998</v>
      </c>
      <c r="J820" s="36"/>
      <c r="K820" s="37"/>
    </row>
    <row r="821" spans="1:29" ht="13.8" hidden="1" x14ac:dyDescent="0.25">
      <c r="C821" s="39" t="s">
        <v>47</v>
      </c>
      <c r="H821" s="40">
        <f>I814+I815+I816+I818+I819+SUM(I817:I817)-SUMIF(AC817:AC817, 5, I817:I817)-SUMIF(AC817:AC817, 6, I817:I817)</f>
        <v>5346.21</v>
      </c>
      <c r="I821" s="40"/>
      <c r="J821" s="40">
        <f>K814+K815+K816+K818+K819+SUM(K817:K817)-SUMIF(AC817:AC817, 5, K817:K817)-SUMIF(AC817:AC817, 6, K817:K817)</f>
        <v>190933.34000000003</v>
      </c>
      <c r="K821" s="40"/>
    </row>
    <row r="822" spans="1:29" ht="13.8" hidden="1" x14ac:dyDescent="0.25">
      <c r="C822" s="39" t="s">
        <v>48</v>
      </c>
      <c r="H822" s="41">
        <f>SUMIF(AC817:AC817, 5, I817:I817)+SUMIF(AC817:AC817, 6, I817:I817)</f>
        <v>0</v>
      </c>
      <c r="I822" s="41"/>
      <c r="J822" s="41">
        <f>SUMIF(AC817:AC817, 5, K817:K817)+SUMIF(AC817:AC817, 6, K817:K817)</f>
        <v>0</v>
      </c>
      <c r="K822" s="41"/>
    </row>
    <row r="823" spans="1:29" ht="13.8" hidden="1" x14ac:dyDescent="0.25">
      <c r="C823" s="39" t="s">
        <v>49</v>
      </c>
      <c r="H823" s="41">
        <f>I814+I815+I816+I818+I819+SUM(I817:I817)</f>
        <v>5346.21</v>
      </c>
      <c r="I823" s="41"/>
      <c r="J823" s="41">
        <f>K814+K815+K816+K818+K819+SUM(K817:K817)</f>
        <v>190933.34000000003</v>
      </c>
      <c r="K823" s="41"/>
      <c r="O823" s="42">
        <f>I814+I815+I816+I818+I819+SUM(I817:I817)</f>
        <v>5346.21</v>
      </c>
      <c r="P823" s="42">
        <f>K814+K815+K816+K818+K819+SUM(K817:K817)</f>
        <v>190933.34000000003</v>
      </c>
    </row>
    <row r="824" spans="1:29" hidden="1" x14ac:dyDescent="0.25"/>
    <row r="825" spans="1:29" ht="57.6" hidden="1" x14ac:dyDescent="0.25">
      <c r="A825" s="27">
        <v>58</v>
      </c>
      <c r="B825" s="27" t="str">
        <f>[1]Source!F852</f>
        <v>3.12-21-2</v>
      </c>
      <c r="C825" s="27" t="s">
        <v>200</v>
      </c>
      <c r="D825" s="28" t="str">
        <f>[1]Source!H852</f>
        <v>100 м2 стяжек</v>
      </c>
      <c r="E825" s="29">
        <f>[1]Source!I852</f>
        <v>3.12</v>
      </c>
      <c r="F825" s="30"/>
      <c r="G825" s="31"/>
      <c r="H825" s="29"/>
      <c r="I825" s="30"/>
      <c r="J825" s="29"/>
      <c r="K825" s="30"/>
      <c r="Q825">
        <f>[1]Source!X852</f>
        <v>147.69</v>
      </c>
      <c r="R825">
        <f>[1]Source!X853</f>
        <v>8322.11</v>
      </c>
      <c r="S825">
        <f>[1]Source!Y852</f>
        <v>72.34</v>
      </c>
      <c r="T825">
        <f>[1]Source!Y853</f>
        <v>4076.14</v>
      </c>
      <c r="U825">
        <f>ROUND((175/100)*ROUND([1]Source!R852, 2), 2)</f>
        <v>0</v>
      </c>
      <c r="V825">
        <f>ROUND((0/100)*ROUND([1]Source!R853, 2), 2)</f>
        <v>0</v>
      </c>
      <c r="AC825">
        <v>0</v>
      </c>
    </row>
    <row r="826" spans="1:29" hidden="1" x14ac:dyDescent="0.25">
      <c r="C826" s="32" t="str">
        <f>"Объем: "&amp;[1]Source!I852&amp;"=312/"&amp;"100"</f>
        <v>Объем: 3,12=312/100</v>
      </c>
    </row>
    <row r="827" spans="1:29" ht="14.4" hidden="1" x14ac:dyDescent="0.25">
      <c r="A827" s="27"/>
      <c r="B827" s="27"/>
      <c r="C827" s="27" t="s">
        <v>36</v>
      </c>
      <c r="D827" s="28"/>
      <c r="E827" s="29"/>
      <c r="F827" s="30">
        <f>[1]Source!AO852</f>
        <v>0.92</v>
      </c>
      <c r="G827" s="31" t="s">
        <v>218</v>
      </c>
      <c r="H827" s="29">
        <f>[1]Source!AV853</f>
        <v>1.087</v>
      </c>
      <c r="I827" s="30">
        <f>[1]Source!S852</f>
        <v>150.69999999999999</v>
      </c>
      <c r="J827" s="29">
        <f>IF([1]Source!BA853&lt;&gt; 0, [1]Source!BA853, 1)</f>
        <v>56.35</v>
      </c>
      <c r="K827" s="30">
        <f>[1]Source!S853</f>
        <v>8491.9500000000007</v>
      </c>
    </row>
    <row r="828" spans="1:29" ht="27.6" hidden="1" x14ac:dyDescent="0.25">
      <c r="A828" s="27" t="s">
        <v>219</v>
      </c>
      <c r="B828" s="27" t="str">
        <f>[1]Source!F854</f>
        <v>1.3-2-6</v>
      </c>
      <c r="C828" s="27" t="s">
        <v>149</v>
      </c>
      <c r="D828" s="28" t="str">
        <f>[1]Source!H854</f>
        <v>м3</v>
      </c>
      <c r="E828" s="29">
        <f>[1]Source!I854</f>
        <v>11.138400000000001</v>
      </c>
      <c r="F828" s="30">
        <f>[1]Source!AK854</f>
        <v>467.32</v>
      </c>
      <c r="G828" s="43" t="s">
        <v>54</v>
      </c>
      <c r="H828" s="29">
        <f>[1]Source!AW855</f>
        <v>1.0009999999999999</v>
      </c>
      <c r="I828" s="30">
        <f>[1]Source!O854</f>
        <v>5210.3999999999996</v>
      </c>
      <c r="J828" s="29">
        <f>IF([1]Source!BC855&lt;&gt; 0, [1]Source!BC855, 1)</f>
        <v>11.07</v>
      </c>
      <c r="K828" s="30">
        <f>[1]Source!O855</f>
        <v>57679.13</v>
      </c>
      <c r="Q828">
        <f>[1]Source!X854</f>
        <v>0</v>
      </c>
      <c r="R828">
        <f>[1]Source!X855</f>
        <v>0</v>
      </c>
      <c r="S828">
        <f>[1]Source!Y854</f>
        <v>0</v>
      </c>
      <c r="T828">
        <f>[1]Source!Y855</f>
        <v>0</v>
      </c>
      <c r="U828">
        <f>ROUND((175/100)*ROUND([1]Source!R854, 2), 2)</f>
        <v>0</v>
      </c>
      <c r="V828">
        <f>ROUND((0/100)*ROUND([1]Source!R855, 2), 2)</f>
        <v>0</v>
      </c>
      <c r="AC828">
        <v>3</v>
      </c>
    </row>
    <row r="829" spans="1:29" ht="14.4" hidden="1" x14ac:dyDescent="0.25">
      <c r="A829" s="27"/>
      <c r="B829" s="27"/>
      <c r="C829" s="27" t="s">
        <v>42</v>
      </c>
      <c r="D829" s="28" t="s">
        <v>43</v>
      </c>
      <c r="E829" s="29">
        <f>[1]Source!BZ853</f>
        <v>98</v>
      </c>
      <c r="F829" s="30"/>
      <c r="G829" s="31"/>
      <c r="H829" s="29"/>
      <c r="I829" s="30">
        <f>SUM(Q825:Q828)</f>
        <v>147.69</v>
      </c>
      <c r="J829" s="29">
        <f>[1]Source!AT853</f>
        <v>98</v>
      </c>
      <c r="K829" s="30">
        <f>SUM(R825:R828)</f>
        <v>8322.11</v>
      </c>
    </row>
    <row r="830" spans="1:29" ht="14.4" hidden="1" x14ac:dyDescent="0.25">
      <c r="A830" s="27"/>
      <c r="B830" s="27"/>
      <c r="C830" s="27" t="s">
        <v>44</v>
      </c>
      <c r="D830" s="28" t="s">
        <v>43</v>
      </c>
      <c r="E830" s="29">
        <f>[1]Source!CA853</f>
        <v>48</v>
      </c>
      <c r="F830" s="30"/>
      <c r="G830" s="31"/>
      <c r="H830" s="29"/>
      <c r="I830" s="30">
        <f>SUM(S825:S829)</f>
        <v>72.34</v>
      </c>
      <c r="J830" s="29">
        <f>[1]Source!AU853</f>
        <v>48</v>
      </c>
      <c r="K830" s="30">
        <f>SUM(T825:T829)</f>
        <v>4076.14</v>
      </c>
    </row>
    <row r="831" spans="1:29" ht="14.4" hidden="1" x14ac:dyDescent="0.25">
      <c r="A831" s="34"/>
      <c r="B831" s="34"/>
      <c r="C831" s="34" t="s">
        <v>45</v>
      </c>
      <c r="D831" s="35" t="s">
        <v>46</v>
      </c>
      <c r="E831" s="36">
        <f>[1]Source!AQ852</f>
        <v>0.09</v>
      </c>
      <c r="F831" s="37"/>
      <c r="G831" s="38" t="s">
        <v>218</v>
      </c>
      <c r="H831" s="36">
        <f>[1]Source!AV853</f>
        <v>1.087</v>
      </c>
      <c r="I831" s="37">
        <f>[1]Source!U852</f>
        <v>14.742589679999998</v>
      </c>
      <c r="J831" s="36"/>
      <c r="K831" s="37"/>
    </row>
    <row r="832" spans="1:29" ht="13.8" hidden="1" x14ac:dyDescent="0.25">
      <c r="C832" s="39" t="s">
        <v>47</v>
      </c>
      <c r="H832" s="40">
        <f>I827+I829+I830+SUM(I828:I828)-SUMIF(AC828:AC828, 5, I828:I828)-SUMIF(AC828:AC828, 6, I828:I828)</f>
        <v>5581.1299999999992</v>
      </c>
      <c r="I832" s="40"/>
      <c r="J832" s="40">
        <f>K827+K829+K830+SUM(K828:K828)-SUMIF(AC828:AC828, 5, K828:K828)-SUMIF(AC828:AC828, 6, K828:K828)</f>
        <v>78569.33</v>
      </c>
      <c r="K832" s="40"/>
    </row>
    <row r="833" spans="1:29" ht="13.8" hidden="1" x14ac:dyDescent="0.25">
      <c r="C833" s="39" t="s">
        <v>48</v>
      </c>
      <c r="H833" s="41">
        <f>SUMIF(AC828:AC828, 5, I828:I828)+SUMIF(AC828:AC828, 6, I828:I828)</f>
        <v>0</v>
      </c>
      <c r="I833" s="41"/>
      <c r="J833" s="41">
        <f>SUMIF(AC828:AC828, 5, K828:K828)+SUMIF(AC828:AC828, 6, K828:K828)</f>
        <v>0</v>
      </c>
      <c r="K833" s="41"/>
    </row>
    <row r="834" spans="1:29" ht="13.8" hidden="1" x14ac:dyDescent="0.25">
      <c r="C834" s="39" t="s">
        <v>49</v>
      </c>
      <c r="H834" s="41">
        <f>I827+I829+I830+SUM(I828:I828)</f>
        <v>5581.1299999999992</v>
      </c>
      <c r="I834" s="41"/>
      <c r="J834" s="41">
        <f>K827+K829+K830+SUM(K828:K828)</f>
        <v>78569.33</v>
      </c>
      <c r="K834" s="41"/>
      <c r="O834" s="42">
        <f>I827+I829+I830+SUM(I828:I828)</f>
        <v>5581.1299999999992</v>
      </c>
      <c r="P834" s="42">
        <f>K827+K829+K830+SUM(K828:K828)</f>
        <v>78569.33</v>
      </c>
    </row>
    <row r="835" spans="1:29" hidden="1" x14ac:dyDescent="0.25"/>
    <row r="836" spans="1:29" ht="41.4" hidden="1" x14ac:dyDescent="0.25">
      <c r="A836" s="27">
        <v>59</v>
      </c>
      <c r="B836" s="27" t="str">
        <f>[1]Source!F856</f>
        <v>3.6-6-10</v>
      </c>
      <c r="C836" s="27" t="s">
        <v>220</v>
      </c>
      <c r="D836" s="28" t="str">
        <f>[1]Source!H856</f>
        <v>1 Т</v>
      </c>
      <c r="E836" s="29">
        <f>[1]Source!I856</f>
        <v>0.43680000000000002</v>
      </c>
      <c r="F836" s="30"/>
      <c r="G836" s="31"/>
      <c r="H836" s="29"/>
      <c r="I836" s="30"/>
      <c r="J836" s="29"/>
      <c r="K836" s="30"/>
      <c r="Q836">
        <f>[1]Source!X856</f>
        <v>81.39</v>
      </c>
      <c r="R836">
        <f>[1]Source!X857</f>
        <v>4586.46</v>
      </c>
      <c r="S836">
        <f>[1]Source!Y856</f>
        <v>43.35</v>
      </c>
      <c r="T836">
        <f>[1]Source!Y857</f>
        <v>2442.79</v>
      </c>
      <c r="U836">
        <f>ROUND((175/100)*ROUND([1]Source!R856, 2), 2)</f>
        <v>6.07</v>
      </c>
      <c r="V836">
        <f>ROUND((0/100)*ROUND([1]Source!R857, 2), 2)</f>
        <v>0</v>
      </c>
      <c r="AC836">
        <v>0</v>
      </c>
    </row>
    <row r="837" spans="1:29" hidden="1" x14ac:dyDescent="0.25">
      <c r="C837" s="32" t="str">
        <f>"Объем: "&amp;[1]Source!I856&amp;"=312*"&amp;"(1,4/"&amp;"1000)"</f>
        <v>Объем: 0,4368=312*(1,4/1000)</v>
      </c>
    </row>
    <row r="838" spans="1:29" ht="14.4" hidden="1" x14ac:dyDescent="0.25">
      <c r="A838" s="27"/>
      <c r="B838" s="27"/>
      <c r="C838" s="27" t="s">
        <v>36</v>
      </c>
      <c r="D838" s="28"/>
      <c r="E838" s="29"/>
      <c r="F838" s="30">
        <f>[1]Source!AO856</f>
        <v>134.68</v>
      </c>
      <c r="G838" s="31" t="s">
        <v>37</v>
      </c>
      <c r="H838" s="29">
        <f>[1]Source!AV857</f>
        <v>1.0469999999999999</v>
      </c>
      <c r="I838" s="30">
        <f>[1]Source!S856</f>
        <v>85</v>
      </c>
      <c r="J838" s="29">
        <f>IF([1]Source!BA857&lt;&gt; 0, [1]Source!BA857, 1)</f>
        <v>56.35</v>
      </c>
      <c r="K838" s="30">
        <f>[1]Source!S857</f>
        <v>4789.75</v>
      </c>
    </row>
    <row r="839" spans="1:29" ht="14.4" hidden="1" x14ac:dyDescent="0.25">
      <c r="A839" s="27"/>
      <c r="B839" s="27"/>
      <c r="C839" s="27" t="s">
        <v>38</v>
      </c>
      <c r="D839" s="28"/>
      <c r="E839" s="29"/>
      <c r="F839" s="30">
        <f>[1]Source!AM856</f>
        <v>43.5</v>
      </c>
      <c r="G839" s="31" t="s">
        <v>39</v>
      </c>
      <c r="H839" s="29">
        <f>[1]Source!AV857</f>
        <v>1.0469999999999999</v>
      </c>
      <c r="I839" s="30">
        <f>[1]Source!Q856</f>
        <v>29.84</v>
      </c>
      <c r="J839" s="29">
        <f>IF([1]Source!BB857&lt;&gt; 0, [1]Source!BB857, 1)</f>
        <v>15.44</v>
      </c>
      <c r="K839" s="30">
        <f>[1]Source!Q857</f>
        <v>460.73</v>
      </c>
    </row>
    <row r="840" spans="1:29" ht="14.4" hidden="1" x14ac:dyDescent="0.25">
      <c r="A840" s="27"/>
      <c r="B840" s="27"/>
      <c r="C840" s="27" t="s">
        <v>40</v>
      </c>
      <c r="D840" s="28"/>
      <c r="E840" s="29"/>
      <c r="F840" s="30">
        <f>[1]Source!AN856</f>
        <v>5.0599999999999996</v>
      </c>
      <c r="G840" s="31" t="s">
        <v>39</v>
      </c>
      <c r="H840" s="29">
        <f>[1]Source!AV857</f>
        <v>1.0469999999999999</v>
      </c>
      <c r="I840" s="33">
        <f>[1]Source!R856</f>
        <v>3.47</v>
      </c>
      <c r="J840" s="29">
        <f>IF([1]Source!BS857&lt;&gt; 0, [1]Source!BS857, 1)</f>
        <v>56.35</v>
      </c>
      <c r="K840" s="33">
        <f>[1]Source!R857</f>
        <v>195.53</v>
      </c>
    </row>
    <row r="841" spans="1:29" ht="14.4" hidden="1" x14ac:dyDescent="0.25">
      <c r="A841" s="27"/>
      <c r="B841" s="27"/>
      <c r="C841" s="27" t="s">
        <v>41</v>
      </c>
      <c r="D841" s="28"/>
      <c r="E841" s="29"/>
      <c r="F841" s="30">
        <f>[1]Source!AL856</f>
        <v>258.67</v>
      </c>
      <c r="G841" s="31"/>
      <c r="H841" s="29">
        <f>[1]Source!AW857</f>
        <v>1.022</v>
      </c>
      <c r="I841" s="30">
        <f>[1]Source!P856</f>
        <v>115.47</v>
      </c>
      <c r="J841" s="29">
        <f>IF([1]Source!BC857&lt;&gt; 0, [1]Source!BC857, 1)</f>
        <v>7.5</v>
      </c>
      <c r="K841" s="30">
        <f>[1]Source!P857</f>
        <v>866.03</v>
      </c>
    </row>
    <row r="842" spans="1:29" ht="55.2" hidden="1" x14ac:dyDescent="0.25">
      <c r="A842" s="27" t="s">
        <v>221</v>
      </c>
      <c r="B842" s="27" t="str">
        <f>[1]Source!F858</f>
        <v>1.3-4-75</v>
      </c>
      <c r="C842" s="27" t="s">
        <v>156</v>
      </c>
      <c r="D842" s="28" t="str">
        <f>[1]Source!H858</f>
        <v>т</v>
      </c>
      <c r="E842" s="29">
        <f>[1]Source!I858</f>
        <v>0.43680000000000002</v>
      </c>
      <c r="F842" s="30">
        <f>[1]Source!AK858</f>
        <v>9724.69</v>
      </c>
      <c r="G842" s="43" t="s">
        <v>54</v>
      </c>
      <c r="H842" s="29">
        <f>[1]Source!AW859</f>
        <v>1.022</v>
      </c>
      <c r="I842" s="30">
        <f>[1]Source!O858</f>
        <v>4341.1899999999996</v>
      </c>
      <c r="J842" s="29">
        <f>IF([1]Source!BC859&lt;&gt; 0, [1]Source!BC859, 1)</f>
        <v>3.88</v>
      </c>
      <c r="K842" s="30">
        <f>[1]Source!O859</f>
        <v>16843.82</v>
      </c>
      <c r="Q842">
        <f>[1]Source!X858</f>
        <v>0</v>
      </c>
      <c r="R842">
        <f>[1]Source!X859</f>
        <v>0</v>
      </c>
      <c r="S842">
        <f>[1]Source!Y858</f>
        <v>0</v>
      </c>
      <c r="T842">
        <f>[1]Source!Y859</f>
        <v>0</v>
      </c>
      <c r="U842">
        <f>ROUND((175/100)*ROUND([1]Source!R858, 2), 2)</f>
        <v>0</v>
      </c>
      <c r="V842">
        <f>ROUND((0/100)*ROUND([1]Source!R859, 2), 2)</f>
        <v>0</v>
      </c>
      <c r="AC842">
        <v>3</v>
      </c>
    </row>
    <row r="843" spans="1:29" ht="14.4" hidden="1" x14ac:dyDescent="0.25">
      <c r="A843" s="27"/>
      <c r="B843" s="27"/>
      <c r="C843" s="27" t="s">
        <v>42</v>
      </c>
      <c r="D843" s="28" t="s">
        <v>43</v>
      </c>
      <c r="E843" s="29">
        <f>[1]Source!BZ857</f>
        <v>92</v>
      </c>
      <c r="F843" s="30"/>
      <c r="G843" s="31"/>
      <c r="H843" s="29"/>
      <c r="I843" s="30">
        <f>SUM(Q836:Q842)</f>
        <v>81.39</v>
      </c>
      <c r="J843" s="29">
        <f>[1]Source!AT857</f>
        <v>92</v>
      </c>
      <c r="K843" s="30">
        <f>SUM(R836:R842)</f>
        <v>4586.46</v>
      </c>
    </row>
    <row r="844" spans="1:29" ht="14.4" hidden="1" x14ac:dyDescent="0.25">
      <c r="A844" s="27"/>
      <c r="B844" s="27"/>
      <c r="C844" s="27" t="s">
        <v>44</v>
      </c>
      <c r="D844" s="28" t="s">
        <v>43</v>
      </c>
      <c r="E844" s="29">
        <f>[1]Source!CA857</f>
        <v>49</v>
      </c>
      <c r="F844" s="30"/>
      <c r="G844" s="31"/>
      <c r="H844" s="29"/>
      <c r="I844" s="30">
        <f>SUM(S836:S843)</f>
        <v>43.35</v>
      </c>
      <c r="J844" s="29">
        <f>[1]Source!AU857</f>
        <v>49</v>
      </c>
      <c r="K844" s="30">
        <f>SUM(T836:T843)</f>
        <v>2442.79</v>
      </c>
    </row>
    <row r="845" spans="1:29" ht="14.4" hidden="1" x14ac:dyDescent="0.25">
      <c r="A845" s="34"/>
      <c r="B845" s="34"/>
      <c r="C845" s="34" t="s">
        <v>45</v>
      </c>
      <c r="D845" s="35" t="s">
        <v>46</v>
      </c>
      <c r="E845" s="36">
        <f>[1]Source!AQ856</f>
        <v>11.6</v>
      </c>
      <c r="F845" s="37"/>
      <c r="G845" s="38" t="s">
        <v>37</v>
      </c>
      <c r="H845" s="36">
        <f>[1]Source!AV857</f>
        <v>1.0469999999999999</v>
      </c>
      <c r="I845" s="37">
        <f>[1]Source!U856</f>
        <v>7.3209322367999974</v>
      </c>
      <c r="J845" s="36"/>
      <c r="K845" s="37"/>
    </row>
    <row r="846" spans="1:29" ht="13.8" hidden="1" x14ac:dyDescent="0.25">
      <c r="C846" s="39" t="s">
        <v>47</v>
      </c>
      <c r="H846" s="40">
        <f>I838+I839+I841+I843+I844+SUM(I842:I842)-SUMIF(AC842:AC842, 5, I842:I842)-SUMIF(AC842:AC842, 6, I842:I842)</f>
        <v>4696.24</v>
      </c>
      <c r="I846" s="40"/>
      <c r="J846" s="40">
        <f>K838+K839+K841+K843+K844+SUM(K842:K842)-SUMIF(AC842:AC842, 5, K842:K842)-SUMIF(AC842:AC842, 6, K842:K842)</f>
        <v>29989.579999999998</v>
      </c>
      <c r="K846" s="40"/>
    </row>
    <row r="847" spans="1:29" ht="13.8" hidden="1" x14ac:dyDescent="0.25">
      <c r="C847" s="39" t="s">
        <v>48</v>
      </c>
      <c r="H847" s="41">
        <f>SUMIF(AC842:AC842, 5, I842:I842)+SUMIF(AC842:AC842, 6, I842:I842)</f>
        <v>0</v>
      </c>
      <c r="I847" s="41"/>
      <c r="J847" s="41">
        <f>SUMIF(AC842:AC842, 5, K842:K842)+SUMIF(AC842:AC842, 6, K842:K842)</f>
        <v>0</v>
      </c>
      <c r="K847" s="41"/>
    </row>
    <row r="848" spans="1:29" ht="13.8" hidden="1" x14ac:dyDescent="0.25">
      <c r="C848" s="39" t="s">
        <v>49</v>
      </c>
      <c r="H848" s="41">
        <f>I838+I839+I841+I843+I844+SUM(I842:I842)</f>
        <v>4696.24</v>
      </c>
      <c r="I848" s="41"/>
      <c r="J848" s="41">
        <f>K838+K839+K841+K843+K844+SUM(K842:K842)</f>
        <v>29989.579999999998</v>
      </c>
      <c r="K848" s="41"/>
      <c r="O848" s="42">
        <f>I838+I839+I841+I843+I844+SUM(I842:I842)</f>
        <v>4696.24</v>
      </c>
      <c r="P848" s="42">
        <f>K838+K839+K841+K843+K844+SUM(K842:K842)</f>
        <v>29989.579999999998</v>
      </c>
    </row>
    <row r="849" spans="1:29" hidden="1" x14ac:dyDescent="0.25"/>
    <row r="850" spans="1:29" ht="57.6" hidden="1" x14ac:dyDescent="0.25">
      <c r="A850" s="27">
        <v>60</v>
      </c>
      <c r="B850" s="27" t="str">
        <f>[1]Source!F860</f>
        <v>3.12-20-1</v>
      </c>
      <c r="C850" s="27" t="s">
        <v>222</v>
      </c>
      <c r="D850" s="28" t="str">
        <f>[1]Source!H860</f>
        <v>100 м2 кровли</v>
      </c>
      <c r="E850" s="29">
        <f>[1]Source!I860</f>
        <v>3.12</v>
      </c>
      <c r="F850" s="30"/>
      <c r="G850" s="31"/>
      <c r="H850" s="29"/>
      <c r="I850" s="30"/>
      <c r="J850" s="29"/>
      <c r="K850" s="30"/>
      <c r="Q850">
        <f>[1]Source!X860</f>
        <v>234.65</v>
      </c>
      <c r="R850">
        <f>[1]Source!X861</f>
        <v>13222.59</v>
      </c>
      <c r="S850">
        <f>[1]Source!Y860</f>
        <v>114.93</v>
      </c>
      <c r="T850">
        <f>[1]Source!Y861</f>
        <v>6476.37</v>
      </c>
      <c r="U850">
        <f>ROUND((175/100)*ROUND([1]Source!R860, 2), 2)</f>
        <v>0</v>
      </c>
      <c r="V850">
        <f>ROUND((0/100)*ROUND([1]Source!R861, 2), 2)</f>
        <v>0</v>
      </c>
      <c r="AC850">
        <v>0</v>
      </c>
    </row>
    <row r="851" spans="1:29" hidden="1" x14ac:dyDescent="0.25">
      <c r="C851" s="32" t="str">
        <f>"Объем: "&amp;[1]Source!I860&amp;"=312/"&amp;"100"</f>
        <v>Объем: 3,12=312/100</v>
      </c>
    </row>
    <row r="852" spans="1:29" ht="14.4" hidden="1" x14ac:dyDescent="0.25">
      <c r="A852" s="27"/>
      <c r="B852" s="27"/>
      <c r="C852" s="27" t="s">
        <v>36</v>
      </c>
      <c r="D852" s="28"/>
      <c r="E852" s="29"/>
      <c r="F852" s="30">
        <f>[1]Source!AO860</f>
        <v>51.16</v>
      </c>
      <c r="G852" s="31" t="s">
        <v>37</v>
      </c>
      <c r="H852" s="29">
        <f>[1]Source!AV861</f>
        <v>1.087</v>
      </c>
      <c r="I852" s="30">
        <f>[1]Source!S860</f>
        <v>239.44</v>
      </c>
      <c r="J852" s="29">
        <f>IF([1]Source!BA861&lt;&gt; 0, [1]Source!BA861, 1)</f>
        <v>56.35</v>
      </c>
      <c r="K852" s="30">
        <f>[1]Source!S861</f>
        <v>13492.44</v>
      </c>
    </row>
    <row r="853" spans="1:29" ht="193.2" hidden="1" x14ac:dyDescent="0.25">
      <c r="A853" s="27" t="s">
        <v>223</v>
      </c>
      <c r="B853" s="27" t="str">
        <f>[1]Source!F862</f>
        <v>1.1-1-609</v>
      </c>
      <c r="C853" s="27" t="s">
        <v>224</v>
      </c>
      <c r="D853" s="28" t="str">
        <f>[1]Source!H862</f>
        <v>т</v>
      </c>
      <c r="E853" s="29">
        <f>[1]Source!I862</f>
        <v>0.10920000000000002</v>
      </c>
      <c r="F853" s="30">
        <f>[1]Source!AK862</f>
        <v>12877.09</v>
      </c>
      <c r="G853" s="43" t="s">
        <v>54</v>
      </c>
      <c r="H853" s="29">
        <f>[1]Source!AW863</f>
        <v>1.0009999999999999</v>
      </c>
      <c r="I853" s="30">
        <f>[1]Source!O862</f>
        <v>1407.58</v>
      </c>
      <c r="J853" s="29">
        <f>IF([1]Source!BC863&lt;&gt; 0, [1]Source!BC863, 1)</f>
        <v>6.34</v>
      </c>
      <c r="K853" s="30">
        <f>[1]Source!O863</f>
        <v>8924.06</v>
      </c>
      <c r="Q853">
        <f>[1]Source!X862</f>
        <v>0</v>
      </c>
      <c r="R853">
        <f>[1]Source!X863</f>
        <v>0</v>
      </c>
      <c r="S853">
        <f>[1]Source!Y862</f>
        <v>0</v>
      </c>
      <c r="T853">
        <f>[1]Source!Y863</f>
        <v>0</v>
      </c>
      <c r="U853">
        <f>ROUND((175/100)*ROUND([1]Source!R862, 2), 2)</f>
        <v>0</v>
      </c>
      <c r="V853">
        <f>ROUND((0/100)*ROUND([1]Source!R863, 2), 2)</f>
        <v>0</v>
      </c>
      <c r="AC853">
        <v>3</v>
      </c>
    </row>
    <row r="854" spans="1:29" ht="14.4" hidden="1" x14ac:dyDescent="0.25">
      <c r="A854" s="27"/>
      <c r="B854" s="27"/>
      <c r="C854" s="27" t="s">
        <v>42</v>
      </c>
      <c r="D854" s="28" t="s">
        <v>43</v>
      </c>
      <c r="E854" s="29">
        <f>[1]Source!BZ861</f>
        <v>98</v>
      </c>
      <c r="F854" s="30"/>
      <c r="G854" s="31"/>
      <c r="H854" s="29"/>
      <c r="I854" s="30">
        <f>SUM(Q850:Q853)</f>
        <v>234.65</v>
      </c>
      <c r="J854" s="29">
        <f>[1]Source!AT861</f>
        <v>98</v>
      </c>
      <c r="K854" s="30">
        <f>SUM(R850:R853)</f>
        <v>13222.59</v>
      </c>
    </row>
    <row r="855" spans="1:29" ht="14.4" hidden="1" x14ac:dyDescent="0.25">
      <c r="A855" s="27"/>
      <c r="B855" s="27"/>
      <c r="C855" s="27" t="s">
        <v>44</v>
      </c>
      <c r="D855" s="28" t="s">
        <v>43</v>
      </c>
      <c r="E855" s="29">
        <f>[1]Source!CA861</f>
        <v>48</v>
      </c>
      <c r="F855" s="30"/>
      <c r="G855" s="31"/>
      <c r="H855" s="29"/>
      <c r="I855" s="30">
        <f>SUM(S850:S854)</f>
        <v>114.93</v>
      </c>
      <c r="J855" s="29">
        <f>[1]Source!AU861</f>
        <v>48</v>
      </c>
      <c r="K855" s="30">
        <f>SUM(T850:T854)</f>
        <v>6476.37</v>
      </c>
    </row>
    <row r="856" spans="1:29" ht="14.4" hidden="1" x14ac:dyDescent="0.25">
      <c r="A856" s="34"/>
      <c r="B856" s="34"/>
      <c r="C856" s="34" t="s">
        <v>45</v>
      </c>
      <c r="D856" s="35" t="s">
        <v>46</v>
      </c>
      <c r="E856" s="36">
        <f>[1]Source!AQ860</f>
        <v>4.46</v>
      </c>
      <c r="F856" s="37"/>
      <c r="G856" s="38" t="s">
        <v>37</v>
      </c>
      <c r="H856" s="36">
        <f>[1]Source!AV861</f>
        <v>1.087</v>
      </c>
      <c r="I856" s="37">
        <f>[1]Source!U860</f>
        <v>20.873634911999996</v>
      </c>
      <c r="J856" s="36"/>
      <c r="K856" s="37"/>
    </row>
    <row r="857" spans="1:29" ht="13.8" hidden="1" x14ac:dyDescent="0.25">
      <c r="C857" s="39" t="s">
        <v>47</v>
      </c>
      <c r="H857" s="40">
        <f>I852+I854+I855+SUM(I853:I853)-SUMIF(AC853:AC853, 5, I853:I853)-SUMIF(AC853:AC853, 6, I853:I853)</f>
        <v>1996.6</v>
      </c>
      <c r="I857" s="40"/>
      <c r="J857" s="40">
        <f>K852+K854+K855+SUM(K853:K853)-SUMIF(AC853:AC853, 5, K853:K853)-SUMIF(AC853:AC853, 6, K853:K853)</f>
        <v>42115.46</v>
      </c>
      <c r="K857" s="40"/>
    </row>
    <row r="858" spans="1:29" ht="13.8" hidden="1" x14ac:dyDescent="0.25">
      <c r="C858" s="39" t="s">
        <v>48</v>
      </c>
      <c r="H858" s="41">
        <f>SUMIF(AC853:AC853, 5, I853:I853)+SUMIF(AC853:AC853, 6, I853:I853)</f>
        <v>0</v>
      </c>
      <c r="I858" s="41"/>
      <c r="J858" s="41">
        <f>SUMIF(AC853:AC853, 5, K853:K853)+SUMIF(AC853:AC853, 6, K853:K853)</f>
        <v>0</v>
      </c>
      <c r="K858" s="41"/>
    </row>
    <row r="859" spans="1:29" ht="13.8" hidden="1" x14ac:dyDescent="0.25">
      <c r="C859" s="39" t="s">
        <v>49</v>
      </c>
      <c r="H859" s="41">
        <f>I852+I854+I855+SUM(I853:I853)</f>
        <v>1996.6</v>
      </c>
      <c r="I859" s="41"/>
      <c r="J859" s="41">
        <f>K852+K854+K855+SUM(K853:K853)</f>
        <v>42115.46</v>
      </c>
      <c r="K859" s="41"/>
      <c r="O859" s="42">
        <f>I852+I854+I855+SUM(I853:I853)</f>
        <v>1996.6</v>
      </c>
      <c r="P859" s="42">
        <f>K852+K854+K855+SUM(K853:K853)</f>
        <v>42115.46</v>
      </c>
    </row>
    <row r="860" spans="1:29" hidden="1" x14ac:dyDescent="0.25"/>
    <row r="861" spans="1:29" ht="96.6" hidden="1" x14ac:dyDescent="0.25">
      <c r="A861" s="27">
        <v>61</v>
      </c>
      <c r="B861" s="27" t="str">
        <f>[1]Source!F864</f>
        <v>3.12-3-1</v>
      </c>
      <c r="C861" s="27" t="s">
        <v>225</v>
      </c>
      <c r="D861" s="28" t="str">
        <f>[1]Source!H864</f>
        <v>100 м2</v>
      </c>
      <c r="E861" s="29">
        <f>[1]Source!I864</f>
        <v>3.12</v>
      </c>
      <c r="F861" s="30"/>
      <c r="G861" s="31"/>
      <c r="H861" s="29"/>
      <c r="I861" s="30"/>
      <c r="J861" s="29"/>
      <c r="K861" s="30"/>
      <c r="Q861">
        <f>[1]Source!X864</f>
        <v>5046.8500000000004</v>
      </c>
      <c r="R861">
        <f>[1]Source!X865</f>
        <v>284390.15999999997</v>
      </c>
      <c r="S861">
        <f>[1]Source!Y864</f>
        <v>2471.9299999999998</v>
      </c>
      <c r="T861">
        <f>[1]Source!Y865</f>
        <v>139293.14000000001</v>
      </c>
      <c r="U861">
        <f>ROUND((175/100)*ROUND([1]Source!R864, 2), 2)</f>
        <v>639.91999999999996</v>
      </c>
      <c r="V861">
        <f>ROUND((0/100)*ROUND([1]Source!R865, 2), 2)</f>
        <v>0</v>
      </c>
      <c r="AC861">
        <v>0</v>
      </c>
    </row>
    <row r="862" spans="1:29" hidden="1" x14ac:dyDescent="0.25">
      <c r="C862" s="32" t="str">
        <f>"Объем: "&amp;[1]Source!I864&amp;"=312/"&amp;"100"</f>
        <v>Объем: 3,12=312/100</v>
      </c>
    </row>
    <row r="863" spans="1:29" ht="14.4" hidden="1" x14ac:dyDescent="0.25">
      <c r="A863" s="27"/>
      <c r="B863" s="27"/>
      <c r="C863" s="27" t="s">
        <v>36</v>
      </c>
      <c r="D863" s="28"/>
      <c r="E863" s="29"/>
      <c r="F863" s="30">
        <f>[1]Source!AO864</f>
        <v>1022.22</v>
      </c>
      <c r="G863" s="31" t="s">
        <v>37</v>
      </c>
      <c r="H863" s="29">
        <f>[1]Source!AV865</f>
        <v>1.087</v>
      </c>
      <c r="I863" s="30">
        <f>[1]Source!S864</f>
        <v>4784.18</v>
      </c>
      <c r="J863" s="29">
        <f>IF([1]Source!BA865&lt;&gt; 0, [1]Source!BA865, 1)</f>
        <v>56.35</v>
      </c>
      <c r="K863" s="30">
        <f>[1]Source!S865</f>
        <v>269588.53999999998</v>
      </c>
    </row>
    <row r="864" spans="1:29" ht="14.4" hidden="1" x14ac:dyDescent="0.25">
      <c r="A864" s="27"/>
      <c r="B864" s="27"/>
      <c r="C864" s="27" t="s">
        <v>38</v>
      </c>
      <c r="D864" s="28"/>
      <c r="E864" s="29"/>
      <c r="F864" s="30">
        <f>[1]Source!AM864</f>
        <v>276.88</v>
      </c>
      <c r="G864" s="31" t="s">
        <v>39</v>
      </c>
      <c r="H864" s="29">
        <f>[1]Source!AV865</f>
        <v>1.087</v>
      </c>
      <c r="I864" s="30">
        <f>[1]Source!Q864</f>
        <v>1408.53</v>
      </c>
      <c r="J864" s="29">
        <f>IF([1]Source!BB865&lt;&gt; 0, [1]Source!BB865, 1)</f>
        <v>14.35</v>
      </c>
      <c r="K864" s="30">
        <f>[1]Source!Q865</f>
        <v>20212.41</v>
      </c>
    </row>
    <row r="865" spans="1:29" ht="14.4" hidden="1" x14ac:dyDescent="0.25">
      <c r="A865" s="27"/>
      <c r="B865" s="27"/>
      <c r="C865" s="27" t="s">
        <v>40</v>
      </c>
      <c r="D865" s="28"/>
      <c r="E865" s="29"/>
      <c r="F865" s="30">
        <f>[1]Source!AN864</f>
        <v>71.88</v>
      </c>
      <c r="G865" s="31" t="s">
        <v>39</v>
      </c>
      <c r="H865" s="29">
        <f>[1]Source!AV865</f>
        <v>1.087</v>
      </c>
      <c r="I865" s="33">
        <f>[1]Source!R864</f>
        <v>365.67</v>
      </c>
      <c r="J865" s="29">
        <f>IF([1]Source!BS865&lt;&gt; 0, [1]Source!BS865, 1)</f>
        <v>56.35</v>
      </c>
      <c r="K865" s="33">
        <f>[1]Source!R865</f>
        <v>20605.5</v>
      </c>
    </row>
    <row r="866" spans="1:29" ht="14.4" hidden="1" x14ac:dyDescent="0.25">
      <c r="A866" s="27"/>
      <c r="B866" s="27"/>
      <c r="C866" s="27" t="s">
        <v>41</v>
      </c>
      <c r="D866" s="28"/>
      <c r="E866" s="29"/>
      <c r="F866" s="30">
        <f>[1]Source!AL864</f>
        <v>878.01</v>
      </c>
      <c r="G866" s="31"/>
      <c r="H866" s="29">
        <f>[1]Source!AW865</f>
        <v>1.0009999999999999</v>
      </c>
      <c r="I866" s="30">
        <f>[1]Source!P864</f>
        <v>2742.13</v>
      </c>
      <c r="J866" s="29">
        <f>IF([1]Source!BC865&lt;&gt; 0, [1]Source!BC865, 1)</f>
        <v>7.58</v>
      </c>
      <c r="K866" s="30">
        <f>[1]Source!P865</f>
        <v>20785.349999999999</v>
      </c>
    </row>
    <row r="867" spans="1:29" ht="14.4" hidden="1" x14ac:dyDescent="0.25">
      <c r="A867" s="27"/>
      <c r="B867" s="27"/>
      <c r="C867" s="27" t="s">
        <v>42</v>
      </c>
      <c r="D867" s="28" t="s">
        <v>43</v>
      </c>
      <c r="E867" s="29">
        <f>[1]Source!BZ865</f>
        <v>98</v>
      </c>
      <c r="F867" s="30"/>
      <c r="G867" s="31"/>
      <c r="H867" s="29"/>
      <c r="I867" s="30">
        <f>SUM(Q861:Q866)</f>
        <v>5046.8500000000004</v>
      </c>
      <c r="J867" s="29">
        <f>[1]Source!AT865</f>
        <v>98</v>
      </c>
      <c r="K867" s="30">
        <f>SUM(R861:R866)</f>
        <v>284390.15999999997</v>
      </c>
    </row>
    <row r="868" spans="1:29" ht="14.4" hidden="1" x14ac:dyDescent="0.25">
      <c r="A868" s="27"/>
      <c r="B868" s="27"/>
      <c r="C868" s="27" t="s">
        <v>44</v>
      </c>
      <c r="D868" s="28" t="s">
        <v>43</v>
      </c>
      <c r="E868" s="29">
        <f>[1]Source!CA865</f>
        <v>48</v>
      </c>
      <c r="F868" s="30"/>
      <c r="G868" s="31"/>
      <c r="H868" s="29"/>
      <c r="I868" s="30">
        <f>SUM(S861:S867)</f>
        <v>2471.9299999999998</v>
      </c>
      <c r="J868" s="29">
        <f>[1]Source!AU865</f>
        <v>48</v>
      </c>
      <c r="K868" s="30">
        <f>SUM(T861:T867)</f>
        <v>139293.14000000001</v>
      </c>
    </row>
    <row r="869" spans="1:29" ht="14.4" hidden="1" x14ac:dyDescent="0.25">
      <c r="A869" s="34"/>
      <c r="B869" s="34"/>
      <c r="C869" s="34" t="s">
        <v>45</v>
      </c>
      <c r="D869" s="35" t="s">
        <v>46</v>
      </c>
      <c r="E869" s="36">
        <f>[1]Source!AQ864</f>
        <v>81</v>
      </c>
      <c r="F869" s="37"/>
      <c r="G869" s="38" t="s">
        <v>37</v>
      </c>
      <c r="H869" s="36">
        <f>[1]Source!AV865</f>
        <v>1.087</v>
      </c>
      <c r="I869" s="37">
        <f>[1]Source!U864</f>
        <v>379.09516319999994</v>
      </c>
      <c r="J869" s="36"/>
      <c r="K869" s="37"/>
    </row>
    <row r="870" spans="1:29" ht="13.8" hidden="1" x14ac:dyDescent="0.25">
      <c r="C870" s="39" t="s">
        <v>47</v>
      </c>
      <c r="H870" s="40">
        <f>I863+I864+I866+I867+I868+0-0-0</f>
        <v>16453.62</v>
      </c>
      <c r="I870" s="40"/>
      <c r="J870" s="40">
        <f>K863+K864+K866+K867+K868+0-0-0</f>
        <v>734269.6</v>
      </c>
      <c r="K870" s="40"/>
    </row>
    <row r="871" spans="1:29" ht="13.8" hidden="1" x14ac:dyDescent="0.25">
      <c r="C871" s="39" t="s">
        <v>48</v>
      </c>
      <c r="H871" s="41">
        <f>0+0</f>
        <v>0</v>
      </c>
      <c r="I871" s="41"/>
      <c r="J871" s="41">
        <f>0+0</f>
        <v>0</v>
      </c>
      <c r="K871" s="41"/>
    </row>
    <row r="872" spans="1:29" ht="13.8" hidden="1" x14ac:dyDescent="0.25">
      <c r="C872" s="39" t="s">
        <v>49</v>
      </c>
      <c r="H872" s="41">
        <f>I863+I864+I866+I867+I868+0</f>
        <v>16453.62</v>
      </c>
      <c r="I872" s="41"/>
      <c r="J872" s="41">
        <f>K863+K864+K866+K867+K868+0</f>
        <v>734269.6</v>
      </c>
      <c r="K872" s="41"/>
      <c r="O872" s="42">
        <f>I863+I864+I866+I867+I868+0</f>
        <v>16453.62</v>
      </c>
      <c r="P872" s="42">
        <f>K863+K864+K866+K867+K868+0</f>
        <v>734269.6</v>
      </c>
    </row>
    <row r="873" spans="1:29" hidden="1" x14ac:dyDescent="0.25"/>
    <row r="874" spans="1:29" ht="96.6" hidden="1" x14ac:dyDescent="0.25">
      <c r="A874" s="34">
        <v>62</v>
      </c>
      <c r="B874" s="34" t="str">
        <f>[1]Source!F866</f>
        <v>1.1-1-295</v>
      </c>
      <c r="C874" s="34" t="s">
        <v>226</v>
      </c>
      <c r="D874" s="35" t="str">
        <f>[1]Source!H866</f>
        <v>м2</v>
      </c>
      <c r="E874" s="36">
        <f>[1]Source!I866</f>
        <v>831.16800000000001</v>
      </c>
      <c r="F874" s="37">
        <f>[1]Source!AL866</f>
        <v>47.75</v>
      </c>
      <c r="G874" s="38"/>
      <c r="H874" s="36">
        <f>[1]Source!AW867</f>
        <v>1</v>
      </c>
      <c r="I874" s="37">
        <f>[1]Source!P866</f>
        <v>39688.269999999997</v>
      </c>
      <c r="J874" s="36">
        <f>IF([1]Source!BC867&lt;&gt; 0, [1]Source!BC867, 1)</f>
        <v>7.25</v>
      </c>
      <c r="K874" s="37">
        <f>[1]Source!P867</f>
        <v>287739.96000000002</v>
      </c>
      <c r="Q874">
        <f>[1]Source!X866</f>
        <v>0</v>
      </c>
      <c r="R874">
        <f>[1]Source!X867</f>
        <v>0</v>
      </c>
      <c r="S874">
        <f>[1]Source!Y866</f>
        <v>0</v>
      </c>
      <c r="T874">
        <f>[1]Source!Y867</f>
        <v>0</v>
      </c>
      <c r="U874">
        <f>ROUND((175/100)*ROUND([1]Source!R866, 2), 2)</f>
        <v>0</v>
      </c>
      <c r="V874">
        <f>ROUND((0/100)*ROUND([1]Source!R867, 2), 2)</f>
        <v>0</v>
      </c>
      <c r="AC874">
        <v>3</v>
      </c>
    </row>
    <row r="875" spans="1:29" ht="13.8" hidden="1" x14ac:dyDescent="0.25">
      <c r="C875" s="39" t="s">
        <v>49</v>
      </c>
      <c r="H875" s="40">
        <f>I874+0</f>
        <v>39688.269999999997</v>
      </c>
      <c r="I875" s="40"/>
      <c r="J875" s="40">
        <f>K874+0</f>
        <v>287739.96000000002</v>
      </c>
      <c r="K875" s="40"/>
      <c r="O875" s="42">
        <f>I874+0</f>
        <v>39688.269999999997</v>
      </c>
      <c r="P875" s="42">
        <f>K874+0</f>
        <v>287739.96000000002</v>
      </c>
    </row>
    <row r="876" spans="1:29" hidden="1" x14ac:dyDescent="0.25"/>
    <row r="877" spans="1:29" ht="96.6" hidden="1" x14ac:dyDescent="0.25">
      <c r="A877" s="34">
        <v>63</v>
      </c>
      <c r="B877" s="34" t="str">
        <f>[1]Source!F868</f>
        <v>1.1-1-294</v>
      </c>
      <c r="C877" s="34" t="s">
        <v>227</v>
      </c>
      <c r="D877" s="35" t="str">
        <f>[1]Source!H868</f>
        <v>м2</v>
      </c>
      <c r="E877" s="36">
        <f>[1]Source!I868</f>
        <v>415.584</v>
      </c>
      <c r="F877" s="37">
        <f>[1]Source!AL868</f>
        <v>56.56</v>
      </c>
      <c r="G877" s="38"/>
      <c r="H877" s="36">
        <f>[1]Source!AW869</f>
        <v>1</v>
      </c>
      <c r="I877" s="37">
        <f>[1]Source!P868</f>
        <v>23505.43</v>
      </c>
      <c r="J877" s="36">
        <f>IF([1]Source!BC869&lt;&gt; 0, [1]Source!BC869, 1)</f>
        <v>6.68</v>
      </c>
      <c r="K877" s="37">
        <f>[1]Source!P869</f>
        <v>157016.26999999999</v>
      </c>
      <c r="Q877">
        <f>[1]Source!X868</f>
        <v>0</v>
      </c>
      <c r="R877">
        <f>[1]Source!X869</f>
        <v>0</v>
      </c>
      <c r="S877">
        <f>[1]Source!Y868</f>
        <v>0</v>
      </c>
      <c r="T877">
        <f>[1]Source!Y869</f>
        <v>0</v>
      </c>
      <c r="U877">
        <f>ROUND((175/100)*ROUND([1]Source!R868, 2), 2)</f>
        <v>0</v>
      </c>
      <c r="V877">
        <f>ROUND((0/100)*ROUND([1]Source!R869, 2), 2)</f>
        <v>0</v>
      </c>
      <c r="AC877">
        <v>3</v>
      </c>
    </row>
    <row r="878" spans="1:29" ht="13.8" hidden="1" x14ac:dyDescent="0.25">
      <c r="C878" s="39" t="s">
        <v>49</v>
      </c>
      <c r="H878" s="40">
        <f>I877+0</f>
        <v>23505.43</v>
      </c>
      <c r="I878" s="40"/>
      <c r="J878" s="40">
        <f>K877+0</f>
        <v>157016.26999999999</v>
      </c>
      <c r="K878" s="40"/>
      <c r="O878" s="42">
        <f>I877+0</f>
        <v>23505.43</v>
      </c>
      <c r="P878" s="42">
        <f>K877+0</f>
        <v>157016.26999999999</v>
      </c>
    </row>
    <row r="879" spans="1:29" hidden="1" x14ac:dyDescent="0.25"/>
    <row r="880" spans="1:29" hidden="1" x14ac:dyDescent="0.25"/>
    <row r="881" spans="1:29" ht="13.8" hidden="1" x14ac:dyDescent="0.25">
      <c r="A881" s="44" t="str">
        <f>CONCATENATE("Итого по подразделу: ",IF([1]Source!G871&lt;&gt;"Новый подраздел", [1]Source!G871, ""))</f>
        <v>Итого по подразделу: Монтажные работы. Тип1</v>
      </c>
      <c r="B881" s="44"/>
      <c r="C881" s="44"/>
      <c r="D881" s="44"/>
      <c r="E881" s="44"/>
      <c r="F881" s="44"/>
      <c r="G881" s="44"/>
      <c r="H881" s="41">
        <f>SUM(O708:O880)</f>
        <v>518373.17000000004</v>
      </c>
      <c r="I881" s="45"/>
      <c r="J881" s="41">
        <f>SUM(P708:P880)</f>
        <v>6645414.6099999994</v>
      </c>
      <c r="K881" s="45"/>
    </row>
    <row r="882" spans="1:29" hidden="1" x14ac:dyDescent="0.25">
      <c r="A882" t="s">
        <v>55</v>
      </c>
      <c r="I882">
        <f>SUM(W708:W881)</f>
        <v>0</v>
      </c>
      <c r="J882">
        <f>SUM(X708:X881)</f>
        <v>0</v>
      </c>
    </row>
    <row r="883" spans="1:29" hidden="1" x14ac:dyDescent="0.25">
      <c r="A883" t="s">
        <v>56</v>
      </c>
      <c r="I883">
        <f>SUM(Y708:Y882)</f>
        <v>0</v>
      </c>
      <c r="J883">
        <f>SUM(Z708:Z882)</f>
        <v>0</v>
      </c>
    </row>
    <row r="884" spans="1:29" hidden="1" x14ac:dyDescent="0.25"/>
    <row r="885" spans="1:29" ht="16.8" hidden="1" x14ac:dyDescent="0.25">
      <c r="A885" s="11" t="str">
        <f>CONCATENATE("Подраздел: ",IF([1]Source!G901&lt;&gt;"Новый подраздел", [1]Source!G901, ""))</f>
        <v>Подраздел: Монтажные работы. Тип2</v>
      </c>
      <c r="B885" s="11"/>
      <c r="C885" s="11"/>
      <c r="D885" s="11"/>
      <c r="E885" s="11"/>
      <c r="F885" s="11"/>
      <c r="G885" s="11"/>
      <c r="H885" s="11"/>
      <c r="I885" s="11"/>
      <c r="J885" s="11"/>
      <c r="K885" s="11"/>
    </row>
    <row r="886" spans="1:29" ht="57.6" hidden="1" x14ac:dyDescent="0.25">
      <c r="A886" s="27">
        <v>64</v>
      </c>
      <c r="B886" s="27" t="str">
        <f>[1]Source!F905</f>
        <v>3.12-18-1</v>
      </c>
      <c r="C886" s="27" t="s">
        <v>228</v>
      </c>
      <c r="D886" s="28" t="str">
        <f>[1]Source!H905</f>
        <v>1 м3 утеплителя</v>
      </c>
      <c r="E886" s="29">
        <f>[1]Source!I905</f>
        <v>7.11</v>
      </c>
      <c r="F886" s="30"/>
      <c r="G886" s="31"/>
      <c r="H886" s="29"/>
      <c r="I886" s="30"/>
      <c r="J886" s="29"/>
      <c r="K886" s="30"/>
      <c r="Q886">
        <f>[1]Source!X905</f>
        <v>321.08</v>
      </c>
      <c r="R886">
        <f>[1]Source!X906</f>
        <v>18092.72</v>
      </c>
      <c r="S886">
        <f>[1]Source!Y905</f>
        <v>157.26</v>
      </c>
      <c r="T886">
        <f>[1]Source!Y906</f>
        <v>8861.74</v>
      </c>
      <c r="U886">
        <f>ROUND((175/100)*ROUND([1]Source!R905, 2), 2)</f>
        <v>64.930000000000007</v>
      </c>
      <c r="V886">
        <f>ROUND((0/100)*ROUND([1]Source!R906, 2), 2)</f>
        <v>0</v>
      </c>
      <c r="AC886">
        <v>0</v>
      </c>
    </row>
    <row r="887" spans="1:29" hidden="1" x14ac:dyDescent="0.25">
      <c r="C887" s="32" t="str">
        <f>"Объем: "&amp;[1]Source!I905&amp;"=((0,03+"&amp;"0,15)/"&amp;"2)*"&amp;"79"</f>
        <v>Объем: 7,11=((0,03+0,15)/2)*79</v>
      </c>
    </row>
    <row r="888" spans="1:29" ht="14.4" hidden="1" x14ac:dyDescent="0.25">
      <c r="A888" s="27"/>
      <c r="B888" s="27"/>
      <c r="C888" s="27" t="s">
        <v>36</v>
      </c>
      <c r="D888" s="28"/>
      <c r="E888" s="29"/>
      <c r="F888" s="30">
        <f>[1]Source!AO905</f>
        <v>27.24</v>
      </c>
      <c r="G888" s="31" t="s">
        <v>37</v>
      </c>
      <c r="H888" s="29">
        <f>[1]Source!AV906</f>
        <v>1.087</v>
      </c>
      <c r="I888" s="30">
        <f>[1]Source!S905</f>
        <v>290.52999999999997</v>
      </c>
      <c r="J888" s="29">
        <f>IF([1]Source!BA906&lt;&gt; 0, [1]Source!BA906, 1)</f>
        <v>56.35</v>
      </c>
      <c r="K888" s="30">
        <f>[1]Source!S906</f>
        <v>16371.37</v>
      </c>
    </row>
    <row r="889" spans="1:29" ht="14.4" hidden="1" x14ac:dyDescent="0.25">
      <c r="A889" s="27"/>
      <c r="B889" s="27"/>
      <c r="C889" s="27" t="s">
        <v>38</v>
      </c>
      <c r="D889" s="28"/>
      <c r="E889" s="29"/>
      <c r="F889" s="30">
        <f>[1]Source!AM905</f>
        <v>36.29</v>
      </c>
      <c r="G889" s="31" t="s">
        <v>39</v>
      </c>
      <c r="H889" s="29">
        <f>[1]Source!AV906</f>
        <v>1.087</v>
      </c>
      <c r="I889" s="30">
        <f>[1]Source!Q905</f>
        <v>420.7</v>
      </c>
      <c r="J889" s="29">
        <f>IF([1]Source!BB906&lt;&gt; 0, [1]Source!BB906, 1)</f>
        <v>14.94</v>
      </c>
      <c r="K889" s="30">
        <f>[1]Source!Q906</f>
        <v>6285.26</v>
      </c>
    </row>
    <row r="890" spans="1:29" ht="14.4" hidden="1" x14ac:dyDescent="0.25">
      <c r="A890" s="27"/>
      <c r="B890" s="27"/>
      <c r="C890" s="27" t="s">
        <v>40</v>
      </c>
      <c r="D890" s="28"/>
      <c r="E890" s="29"/>
      <c r="F890" s="30">
        <f>[1]Source!AN905</f>
        <v>3.2</v>
      </c>
      <c r="G890" s="31" t="s">
        <v>39</v>
      </c>
      <c r="H890" s="29">
        <f>[1]Source!AV906</f>
        <v>1.087</v>
      </c>
      <c r="I890" s="33">
        <f>[1]Source!R905</f>
        <v>37.1</v>
      </c>
      <c r="J890" s="29">
        <f>IF([1]Source!BS906&lt;&gt; 0, [1]Source!BS906, 1)</f>
        <v>56.35</v>
      </c>
      <c r="K890" s="33">
        <f>[1]Source!R906</f>
        <v>2090.59</v>
      </c>
    </row>
    <row r="891" spans="1:29" ht="14.4" hidden="1" x14ac:dyDescent="0.25">
      <c r="A891" s="27"/>
      <c r="B891" s="27"/>
      <c r="C891" s="27" t="s">
        <v>41</v>
      </c>
      <c r="D891" s="28"/>
      <c r="E891" s="29"/>
      <c r="F891" s="30">
        <f>[1]Source!AL905</f>
        <v>363.75</v>
      </c>
      <c r="G891" s="31"/>
      <c r="H891" s="29">
        <f>[1]Source!AW906</f>
        <v>1.0009999999999999</v>
      </c>
      <c r="I891" s="30">
        <f>[1]Source!P905</f>
        <v>2588.85</v>
      </c>
      <c r="J891" s="29">
        <f>IF([1]Source!BC906&lt;&gt; 0, [1]Source!BC906, 1)</f>
        <v>5.69</v>
      </c>
      <c r="K891" s="30">
        <f>[1]Source!P906</f>
        <v>14730.56</v>
      </c>
    </row>
    <row r="892" spans="1:29" ht="14.4" hidden="1" x14ac:dyDescent="0.25">
      <c r="A892" s="27"/>
      <c r="B892" s="27"/>
      <c r="C892" s="27" t="s">
        <v>42</v>
      </c>
      <c r="D892" s="28" t="s">
        <v>43</v>
      </c>
      <c r="E892" s="29">
        <f>[1]Source!BZ906</f>
        <v>98</v>
      </c>
      <c r="F892" s="30"/>
      <c r="G892" s="31"/>
      <c r="H892" s="29"/>
      <c r="I892" s="30">
        <f>SUM(Q886:Q891)</f>
        <v>321.08</v>
      </c>
      <c r="J892" s="29">
        <f>[1]Source!AT906</f>
        <v>98</v>
      </c>
      <c r="K892" s="30">
        <f>SUM(R886:R891)</f>
        <v>18092.72</v>
      </c>
    </row>
    <row r="893" spans="1:29" ht="14.4" hidden="1" x14ac:dyDescent="0.25">
      <c r="A893" s="27"/>
      <c r="B893" s="27"/>
      <c r="C893" s="27" t="s">
        <v>44</v>
      </c>
      <c r="D893" s="28" t="s">
        <v>43</v>
      </c>
      <c r="E893" s="29">
        <f>[1]Source!CA906</f>
        <v>48</v>
      </c>
      <c r="F893" s="30"/>
      <c r="G893" s="31"/>
      <c r="H893" s="29"/>
      <c r="I893" s="30">
        <f>SUM(S886:S892)</f>
        <v>157.26</v>
      </c>
      <c r="J893" s="29">
        <f>[1]Source!AU906</f>
        <v>48</v>
      </c>
      <c r="K893" s="30">
        <f>SUM(T886:T892)</f>
        <v>8861.74</v>
      </c>
    </row>
    <row r="894" spans="1:29" ht="14.4" hidden="1" x14ac:dyDescent="0.25">
      <c r="A894" s="34"/>
      <c r="B894" s="34"/>
      <c r="C894" s="34" t="s">
        <v>45</v>
      </c>
      <c r="D894" s="35" t="s">
        <v>46</v>
      </c>
      <c r="E894" s="36">
        <f>[1]Source!AQ905</f>
        <v>2.71</v>
      </c>
      <c r="F894" s="37"/>
      <c r="G894" s="38" t="s">
        <v>37</v>
      </c>
      <c r="H894" s="36">
        <f>[1]Source!AV906</f>
        <v>1.087</v>
      </c>
      <c r="I894" s="37">
        <f>[1]Source!U905</f>
        <v>28.903306086000001</v>
      </c>
      <c r="J894" s="36"/>
      <c r="K894" s="37"/>
    </row>
    <row r="895" spans="1:29" ht="13.8" hidden="1" x14ac:dyDescent="0.25">
      <c r="C895" s="39" t="s">
        <v>47</v>
      </c>
      <c r="H895" s="40">
        <f>I888+I889+I891+I892+I893+0-0-0</f>
        <v>3778.42</v>
      </c>
      <c r="I895" s="40"/>
      <c r="J895" s="40">
        <f>K888+K889+K891+K892+K893+0-0-0</f>
        <v>64341.65</v>
      </c>
      <c r="K895" s="40"/>
    </row>
    <row r="896" spans="1:29" ht="13.8" hidden="1" x14ac:dyDescent="0.25">
      <c r="C896" s="39" t="s">
        <v>48</v>
      </c>
      <c r="H896" s="41">
        <f>0+0</f>
        <v>0</v>
      </c>
      <c r="I896" s="41"/>
      <c r="J896" s="41">
        <f>0+0</f>
        <v>0</v>
      </c>
      <c r="K896" s="41"/>
    </row>
    <row r="897" spans="1:29" ht="13.8" hidden="1" x14ac:dyDescent="0.25">
      <c r="C897" s="39" t="s">
        <v>49</v>
      </c>
      <c r="H897" s="41">
        <f>I888+I889+I891+I892+I893+0</f>
        <v>3778.42</v>
      </c>
      <c r="I897" s="41"/>
      <c r="J897" s="41">
        <f>K888+K889+K891+K892+K893+0</f>
        <v>64341.65</v>
      </c>
      <c r="K897" s="41"/>
      <c r="O897" s="42">
        <f>I888+I889+I891+I892+I893+0</f>
        <v>3778.42</v>
      </c>
      <c r="P897" s="42">
        <f>K888+K889+K891+K892+K893+0</f>
        <v>64341.65</v>
      </c>
    </row>
    <row r="898" spans="1:29" hidden="1" x14ac:dyDescent="0.25"/>
    <row r="899" spans="1:29" ht="57.6" hidden="1" x14ac:dyDescent="0.25">
      <c r="A899" s="27">
        <v>65</v>
      </c>
      <c r="B899" s="27" t="str">
        <f>[1]Source!F907</f>
        <v>3.12-21-1</v>
      </c>
      <c r="C899" s="27" t="s">
        <v>216</v>
      </c>
      <c r="D899" s="28" t="str">
        <f>[1]Source!H907</f>
        <v>100 м2 стяжек</v>
      </c>
      <c r="E899" s="29">
        <f>[1]Source!I907</f>
        <v>0.79</v>
      </c>
      <c r="F899" s="30"/>
      <c r="G899" s="31"/>
      <c r="H899" s="29"/>
      <c r="I899" s="30"/>
      <c r="J899" s="29"/>
      <c r="K899" s="30"/>
      <c r="Q899">
        <f>[1]Source!X907</f>
        <v>293.77</v>
      </c>
      <c r="R899">
        <f>[1]Source!X908</f>
        <v>16554.2</v>
      </c>
      <c r="S899">
        <f>[1]Source!Y907</f>
        <v>143.88999999999999</v>
      </c>
      <c r="T899">
        <f>[1]Source!Y908</f>
        <v>8108.18</v>
      </c>
      <c r="U899">
        <f>ROUND((175/100)*ROUND([1]Source!R907, 2), 2)</f>
        <v>0</v>
      </c>
      <c r="V899">
        <f>ROUND((0/100)*ROUND([1]Source!R908, 2), 2)</f>
        <v>0</v>
      </c>
      <c r="AC899">
        <v>0</v>
      </c>
    </row>
    <row r="900" spans="1:29" hidden="1" x14ac:dyDescent="0.25">
      <c r="C900" s="32" t="str">
        <f>"Объем: "&amp;[1]Source!I907&amp;"=79/"&amp;"100"</f>
        <v>Объем: 0,79=79/100</v>
      </c>
    </row>
    <row r="901" spans="1:29" ht="14.4" hidden="1" x14ac:dyDescent="0.25">
      <c r="A901" s="27"/>
      <c r="B901" s="27"/>
      <c r="C901" s="27" t="s">
        <v>36</v>
      </c>
      <c r="D901" s="28"/>
      <c r="E901" s="29"/>
      <c r="F901" s="30">
        <f>[1]Source!AO907</f>
        <v>252.96</v>
      </c>
      <c r="G901" s="31" t="s">
        <v>37</v>
      </c>
      <c r="H901" s="29">
        <f>[1]Source!AV908</f>
        <v>1.087</v>
      </c>
      <c r="I901" s="30">
        <f>[1]Source!S907</f>
        <v>299.77</v>
      </c>
      <c r="J901" s="29">
        <f>IF([1]Source!BA908&lt;&gt; 0, [1]Source!BA908, 1)</f>
        <v>56.35</v>
      </c>
      <c r="K901" s="30">
        <f>[1]Source!S908</f>
        <v>16892.04</v>
      </c>
    </row>
    <row r="902" spans="1:29" ht="14.4" hidden="1" x14ac:dyDescent="0.25">
      <c r="A902" s="27"/>
      <c r="B902" s="27"/>
      <c r="C902" s="27" t="s">
        <v>38</v>
      </c>
      <c r="D902" s="28"/>
      <c r="E902" s="29"/>
      <c r="F902" s="30">
        <f>[1]Source!AM907</f>
        <v>22.76</v>
      </c>
      <c r="G902" s="31" t="s">
        <v>39</v>
      </c>
      <c r="H902" s="29">
        <f>[1]Source!AV908</f>
        <v>1.087</v>
      </c>
      <c r="I902" s="30">
        <f>[1]Source!Q907</f>
        <v>29.32</v>
      </c>
      <c r="J902" s="29">
        <f>IF([1]Source!BB908&lt;&gt; 0, [1]Source!BB908, 1)</f>
        <v>12.45</v>
      </c>
      <c r="K902" s="30">
        <f>[1]Source!Q908</f>
        <v>365.03</v>
      </c>
    </row>
    <row r="903" spans="1:29" ht="14.4" hidden="1" x14ac:dyDescent="0.25">
      <c r="A903" s="27"/>
      <c r="B903" s="27"/>
      <c r="C903" s="27" t="s">
        <v>41</v>
      </c>
      <c r="D903" s="28"/>
      <c r="E903" s="29"/>
      <c r="F903" s="30">
        <f>[1]Source!AL907</f>
        <v>27.22</v>
      </c>
      <c r="G903" s="31"/>
      <c r="H903" s="29">
        <f>[1]Source!AW908</f>
        <v>1.0009999999999999</v>
      </c>
      <c r="I903" s="30">
        <f>[1]Source!P907</f>
        <v>21.53</v>
      </c>
      <c r="J903" s="29">
        <f>IF([1]Source!BC908&lt;&gt; 0, [1]Source!BC908, 1)</f>
        <v>7.75</v>
      </c>
      <c r="K903" s="30">
        <f>[1]Source!P908</f>
        <v>166.86</v>
      </c>
    </row>
    <row r="904" spans="1:29" ht="27.6" hidden="1" x14ac:dyDescent="0.25">
      <c r="A904" s="27" t="s">
        <v>229</v>
      </c>
      <c r="B904" s="27" t="str">
        <f>[1]Source!F909</f>
        <v>1.3-2-6</v>
      </c>
      <c r="C904" s="27" t="s">
        <v>149</v>
      </c>
      <c r="D904" s="28" t="str">
        <f>[1]Source!H909</f>
        <v>м3</v>
      </c>
      <c r="E904" s="29">
        <f>[1]Source!I909</f>
        <v>1.2087000000000001</v>
      </c>
      <c r="F904" s="30">
        <f>[1]Source!AK909</f>
        <v>467.32</v>
      </c>
      <c r="G904" s="43" t="s">
        <v>54</v>
      </c>
      <c r="H904" s="29">
        <f>[1]Source!AW910</f>
        <v>1.0009999999999999</v>
      </c>
      <c r="I904" s="30">
        <f>[1]Source!O909</f>
        <v>565.41</v>
      </c>
      <c r="J904" s="29">
        <f>IF([1]Source!BC910&lt;&gt; 0, [1]Source!BC910, 1)</f>
        <v>11.07</v>
      </c>
      <c r="K904" s="30">
        <f>[1]Source!O910</f>
        <v>6259.09</v>
      </c>
      <c r="Q904">
        <f>[1]Source!X909</f>
        <v>0</v>
      </c>
      <c r="R904">
        <f>[1]Source!X910</f>
        <v>0</v>
      </c>
      <c r="S904">
        <f>[1]Source!Y909</f>
        <v>0</v>
      </c>
      <c r="T904">
        <f>[1]Source!Y910</f>
        <v>0</v>
      </c>
      <c r="U904">
        <f>ROUND((175/100)*ROUND([1]Source!R909, 2), 2)</f>
        <v>0</v>
      </c>
      <c r="V904">
        <f>ROUND((0/100)*ROUND([1]Source!R910, 2), 2)</f>
        <v>0</v>
      </c>
      <c r="AC904">
        <v>3</v>
      </c>
    </row>
    <row r="905" spans="1:29" ht="14.4" hidden="1" x14ac:dyDescent="0.25">
      <c r="A905" s="27"/>
      <c r="B905" s="27"/>
      <c r="C905" s="27" t="s">
        <v>42</v>
      </c>
      <c r="D905" s="28" t="s">
        <v>43</v>
      </c>
      <c r="E905" s="29">
        <f>[1]Source!BZ908</f>
        <v>98</v>
      </c>
      <c r="F905" s="30"/>
      <c r="G905" s="31"/>
      <c r="H905" s="29"/>
      <c r="I905" s="30">
        <f>SUM(Q899:Q904)</f>
        <v>293.77</v>
      </c>
      <c r="J905" s="29">
        <f>[1]Source!AT908</f>
        <v>98</v>
      </c>
      <c r="K905" s="30">
        <f>SUM(R899:R904)</f>
        <v>16554.2</v>
      </c>
    </row>
    <row r="906" spans="1:29" ht="14.4" hidden="1" x14ac:dyDescent="0.25">
      <c r="A906" s="27"/>
      <c r="B906" s="27"/>
      <c r="C906" s="27" t="s">
        <v>44</v>
      </c>
      <c r="D906" s="28" t="s">
        <v>43</v>
      </c>
      <c r="E906" s="29">
        <f>[1]Source!CA908</f>
        <v>48</v>
      </c>
      <c r="F906" s="30"/>
      <c r="G906" s="31"/>
      <c r="H906" s="29"/>
      <c r="I906" s="30">
        <f>SUM(S899:S905)</f>
        <v>143.88999999999999</v>
      </c>
      <c r="J906" s="29">
        <f>[1]Source!AU908</f>
        <v>48</v>
      </c>
      <c r="K906" s="30">
        <f>SUM(T899:T905)</f>
        <v>8108.18</v>
      </c>
    </row>
    <row r="907" spans="1:29" ht="14.4" hidden="1" x14ac:dyDescent="0.25">
      <c r="A907" s="34"/>
      <c r="B907" s="34"/>
      <c r="C907" s="34" t="s">
        <v>45</v>
      </c>
      <c r="D907" s="35" t="s">
        <v>46</v>
      </c>
      <c r="E907" s="36">
        <f>[1]Source!AQ907</f>
        <v>24.3</v>
      </c>
      <c r="F907" s="37"/>
      <c r="G907" s="38" t="s">
        <v>37</v>
      </c>
      <c r="H907" s="36">
        <f>[1]Source!AV908</f>
        <v>1.087</v>
      </c>
      <c r="I907" s="37">
        <f>[1]Source!U907</f>
        <v>28.796651819999997</v>
      </c>
      <c r="J907" s="36"/>
      <c r="K907" s="37"/>
    </row>
    <row r="908" spans="1:29" ht="13.8" hidden="1" x14ac:dyDescent="0.25">
      <c r="C908" s="39" t="s">
        <v>47</v>
      </c>
      <c r="H908" s="40">
        <f>I901+I902+I903+I905+I906+SUM(I904:I904)-SUMIF(AC904:AC904, 5, I904:I904)-SUMIF(AC904:AC904, 6, I904:I904)</f>
        <v>1353.69</v>
      </c>
      <c r="I908" s="40"/>
      <c r="J908" s="40">
        <f>K901+K902+K903+K905+K906+SUM(K904:K904)-SUMIF(AC904:AC904, 5, K904:K904)-SUMIF(AC904:AC904, 6, K904:K904)</f>
        <v>48345.400000000009</v>
      </c>
      <c r="K908" s="40"/>
    </row>
    <row r="909" spans="1:29" ht="13.8" hidden="1" x14ac:dyDescent="0.25">
      <c r="C909" s="39" t="s">
        <v>48</v>
      </c>
      <c r="H909" s="41">
        <f>SUMIF(AC904:AC904, 5, I904:I904)+SUMIF(AC904:AC904, 6, I904:I904)</f>
        <v>0</v>
      </c>
      <c r="I909" s="41"/>
      <c r="J909" s="41">
        <f>SUMIF(AC904:AC904, 5, K904:K904)+SUMIF(AC904:AC904, 6, K904:K904)</f>
        <v>0</v>
      </c>
      <c r="K909" s="41"/>
    </row>
    <row r="910" spans="1:29" ht="13.8" hidden="1" x14ac:dyDescent="0.25">
      <c r="C910" s="39" t="s">
        <v>49</v>
      </c>
      <c r="H910" s="41">
        <f>I901+I902+I903+I905+I906+SUM(I904:I904)</f>
        <v>1353.69</v>
      </c>
      <c r="I910" s="41"/>
      <c r="J910" s="41">
        <f>K901+K902+K903+K905+K906+SUM(K904:K904)</f>
        <v>48345.400000000009</v>
      </c>
      <c r="K910" s="41"/>
      <c r="O910" s="42">
        <f>I901+I902+I903+I905+I906+SUM(I904:I904)</f>
        <v>1353.69</v>
      </c>
      <c r="P910" s="42">
        <f>K901+K902+K903+K905+K906+SUM(K904:K904)</f>
        <v>48345.400000000009</v>
      </c>
    </row>
    <row r="911" spans="1:29" hidden="1" x14ac:dyDescent="0.25"/>
    <row r="912" spans="1:29" ht="57.6" hidden="1" x14ac:dyDescent="0.25">
      <c r="A912" s="27">
        <v>66</v>
      </c>
      <c r="B912" s="27" t="str">
        <f>[1]Source!F911</f>
        <v>3.12-21-2</v>
      </c>
      <c r="C912" s="27" t="s">
        <v>200</v>
      </c>
      <c r="D912" s="28" t="str">
        <f>[1]Source!H911</f>
        <v>100 м2 стяжек</v>
      </c>
      <c r="E912" s="29">
        <f>[1]Source!I911</f>
        <v>0.79</v>
      </c>
      <c r="F912" s="30"/>
      <c r="G912" s="31"/>
      <c r="H912" s="29"/>
      <c r="I912" s="30"/>
      <c r="J912" s="29"/>
      <c r="K912" s="30"/>
      <c r="Q912">
        <f>[1]Source!X911</f>
        <v>37.4</v>
      </c>
      <c r="R912">
        <f>[1]Source!X912</f>
        <v>2107.31</v>
      </c>
      <c r="S912">
        <f>[1]Source!Y911</f>
        <v>18.32</v>
      </c>
      <c r="T912">
        <f>[1]Source!Y912</f>
        <v>1032.1500000000001</v>
      </c>
      <c r="U912">
        <f>ROUND((175/100)*ROUND([1]Source!R911, 2), 2)</f>
        <v>0</v>
      </c>
      <c r="V912">
        <f>ROUND((0/100)*ROUND([1]Source!R912, 2), 2)</f>
        <v>0</v>
      </c>
      <c r="AC912">
        <v>0</v>
      </c>
    </row>
    <row r="913" spans="1:29" hidden="1" x14ac:dyDescent="0.25">
      <c r="C913" s="32" t="str">
        <f>"Объем: "&amp;[1]Source!I911&amp;"=79/"&amp;"100"</f>
        <v>Объем: 0,79=79/100</v>
      </c>
    </row>
    <row r="914" spans="1:29" ht="14.4" hidden="1" x14ac:dyDescent="0.25">
      <c r="A914" s="27"/>
      <c r="B914" s="27"/>
      <c r="C914" s="27" t="s">
        <v>36</v>
      </c>
      <c r="D914" s="28"/>
      <c r="E914" s="29"/>
      <c r="F914" s="30">
        <f>[1]Source!AO911</f>
        <v>0.92</v>
      </c>
      <c r="G914" s="31" t="s">
        <v>218</v>
      </c>
      <c r="H914" s="29">
        <f>[1]Source!AV912</f>
        <v>1.087</v>
      </c>
      <c r="I914" s="30">
        <f>[1]Source!S911</f>
        <v>38.159999999999997</v>
      </c>
      <c r="J914" s="29">
        <f>IF([1]Source!BA912&lt;&gt; 0, [1]Source!BA912, 1)</f>
        <v>56.35</v>
      </c>
      <c r="K914" s="30">
        <f>[1]Source!S912</f>
        <v>2150.3200000000002</v>
      </c>
    </row>
    <row r="915" spans="1:29" ht="27.6" hidden="1" x14ac:dyDescent="0.25">
      <c r="A915" s="27" t="s">
        <v>230</v>
      </c>
      <c r="B915" s="27" t="str">
        <f>[1]Source!F913</f>
        <v>1.3-2-6</v>
      </c>
      <c r="C915" s="27" t="s">
        <v>149</v>
      </c>
      <c r="D915" s="28" t="str">
        <f>[1]Source!H913</f>
        <v>м3</v>
      </c>
      <c r="E915" s="29">
        <f>[1]Source!I913</f>
        <v>2.8203</v>
      </c>
      <c r="F915" s="30">
        <f>[1]Source!AK913</f>
        <v>467.32</v>
      </c>
      <c r="G915" s="43" t="s">
        <v>54</v>
      </c>
      <c r="H915" s="29">
        <f>[1]Source!AW914</f>
        <v>1.0009999999999999</v>
      </c>
      <c r="I915" s="30">
        <f>[1]Source!O913</f>
        <v>1319.3</v>
      </c>
      <c r="J915" s="29">
        <f>IF([1]Source!BC914&lt;&gt; 0, [1]Source!BC914, 1)</f>
        <v>11.07</v>
      </c>
      <c r="K915" s="30">
        <f>[1]Source!O914</f>
        <v>14604.65</v>
      </c>
      <c r="Q915">
        <f>[1]Source!X913</f>
        <v>0</v>
      </c>
      <c r="R915">
        <f>[1]Source!X914</f>
        <v>0</v>
      </c>
      <c r="S915">
        <f>[1]Source!Y913</f>
        <v>0</v>
      </c>
      <c r="T915">
        <f>[1]Source!Y914</f>
        <v>0</v>
      </c>
      <c r="U915">
        <f>ROUND((175/100)*ROUND([1]Source!R913, 2), 2)</f>
        <v>0</v>
      </c>
      <c r="V915">
        <f>ROUND((0/100)*ROUND([1]Source!R914, 2), 2)</f>
        <v>0</v>
      </c>
      <c r="AC915">
        <v>3</v>
      </c>
    </row>
    <row r="916" spans="1:29" ht="14.4" hidden="1" x14ac:dyDescent="0.25">
      <c r="A916" s="27"/>
      <c r="B916" s="27"/>
      <c r="C916" s="27" t="s">
        <v>42</v>
      </c>
      <c r="D916" s="28" t="s">
        <v>43</v>
      </c>
      <c r="E916" s="29">
        <f>[1]Source!BZ912</f>
        <v>98</v>
      </c>
      <c r="F916" s="30"/>
      <c r="G916" s="31"/>
      <c r="H916" s="29"/>
      <c r="I916" s="30">
        <f>SUM(Q912:Q915)</f>
        <v>37.4</v>
      </c>
      <c r="J916" s="29">
        <f>[1]Source!AT912</f>
        <v>98</v>
      </c>
      <c r="K916" s="30">
        <f>SUM(R912:R915)</f>
        <v>2107.31</v>
      </c>
    </row>
    <row r="917" spans="1:29" ht="14.4" hidden="1" x14ac:dyDescent="0.25">
      <c r="A917" s="27"/>
      <c r="B917" s="27"/>
      <c r="C917" s="27" t="s">
        <v>44</v>
      </c>
      <c r="D917" s="28" t="s">
        <v>43</v>
      </c>
      <c r="E917" s="29">
        <f>[1]Source!CA912</f>
        <v>48</v>
      </c>
      <c r="F917" s="30"/>
      <c r="G917" s="31"/>
      <c r="H917" s="29"/>
      <c r="I917" s="30">
        <f>SUM(S912:S916)</f>
        <v>18.32</v>
      </c>
      <c r="J917" s="29">
        <f>[1]Source!AU912</f>
        <v>48</v>
      </c>
      <c r="K917" s="30">
        <f>SUM(T912:T916)</f>
        <v>1032.1500000000001</v>
      </c>
    </row>
    <row r="918" spans="1:29" ht="14.4" hidden="1" x14ac:dyDescent="0.25">
      <c r="A918" s="34"/>
      <c r="B918" s="34"/>
      <c r="C918" s="34" t="s">
        <v>45</v>
      </c>
      <c r="D918" s="35" t="s">
        <v>46</v>
      </c>
      <c r="E918" s="36">
        <f>[1]Source!AQ911</f>
        <v>0.09</v>
      </c>
      <c r="F918" s="37"/>
      <c r="G918" s="38" t="s">
        <v>218</v>
      </c>
      <c r="H918" s="36">
        <f>[1]Source!AV912</f>
        <v>1.087</v>
      </c>
      <c r="I918" s="37">
        <f>[1]Source!U911</f>
        <v>3.7328993099999996</v>
      </c>
      <c r="J918" s="36"/>
      <c r="K918" s="37"/>
    </row>
    <row r="919" spans="1:29" ht="13.8" hidden="1" x14ac:dyDescent="0.25">
      <c r="C919" s="39" t="s">
        <v>47</v>
      </c>
      <c r="H919" s="40">
        <f>I914+I916+I917+SUM(I915:I915)-SUMIF(AC915:AC915, 5, I915:I915)-SUMIF(AC915:AC915, 6, I915:I915)</f>
        <v>1413.1799999999998</v>
      </c>
      <c r="I919" s="40"/>
      <c r="J919" s="40">
        <f>K914+K916+K917+SUM(K915:K915)-SUMIF(AC915:AC915, 5, K915:K915)-SUMIF(AC915:AC915, 6, K915:K915)</f>
        <v>19894.43</v>
      </c>
      <c r="K919" s="40"/>
    </row>
    <row r="920" spans="1:29" ht="13.8" hidden="1" x14ac:dyDescent="0.25">
      <c r="C920" s="39" t="s">
        <v>48</v>
      </c>
      <c r="H920" s="41">
        <f>SUMIF(AC915:AC915, 5, I915:I915)+SUMIF(AC915:AC915, 6, I915:I915)</f>
        <v>0</v>
      </c>
      <c r="I920" s="41"/>
      <c r="J920" s="41">
        <f>SUMIF(AC915:AC915, 5, K915:K915)+SUMIF(AC915:AC915, 6, K915:K915)</f>
        <v>0</v>
      </c>
      <c r="K920" s="41"/>
    </row>
    <row r="921" spans="1:29" ht="13.8" hidden="1" x14ac:dyDescent="0.25">
      <c r="C921" s="39" t="s">
        <v>49</v>
      </c>
      <c r="H921" s="41">
        <f>I914+I916+I917+SUM(I915:I915)</f>
        <v>1413.1799999999998</v>
      </c>
      <c r="I921" s="41"/>
      <c r="J921" s="41">
        <f>K914+K916+K917+SUM(K915:K915)</f>
        <v>19894.43</v>
      </c>
      <c r="K921" s="41"/>
      <c r="O921" s="42">
        <f>I914+I916+I917+SUM(I915:I915)</f>
        <v>1413.1799999999998</v>
      </c>
      <c r="P921" s="42">
        <f>K914+K916+K917+SUM(K915:K915)</f>
        <v>19894.43</v>
      </c>
    </row>
    <row r="922" spans="1:29" hidden="1" x14ac:dyDescent="0.25"/>
    <row r="923" spans="1:29" ht="41.4" hidden="1" x14ac:dyDescent="0.25">
      <c r="A923" s="27">
        <v>67</v>
      </c>
      <c r="B923" s="27" t="str">
        <f>[1]Source!F915</f>
        <v>3.6-6-10</v>
      </c>
      <c r="C923" s="27" t="s">
        <v>220</v>
      </c>
      <c r="D923" s="28" t="str">
        <f>[1]Source!H915</f>
        <v>1 Т</v>
      </c>
      <c r="E923" s="29">
        <f>[1]Source!I915</f>
        <v>0.1106</v>
      </c>
      <c r="F923" s="30"/>
      <c r="G923" s="31"/>
      <c r="H923" s="29"/>
      <c r="I923" s="30"/>
      <c r="J923" s="29"/>
      <c r="K923" s="30"/>
      <c r="Q923">
        <f>[1]Source!X915</f>
        <v>20.61</v>
      </c>
      <c r="R923">
        <f>[1]Source!X916</f>
        <v>1161.26</v>
      </c>
      <c r="S923">
        <f>[1]Source!Y915</f>
        <v>10.98</v>
      </c>
      <c r="T923">
        <f>[1]Source!Y916</f>
        <v>618.5</v>
      </c>
      <c r="U923">
        <f>ROUND((175/100)*ROUND([1]Source!R915, 2), 2)</f>
        <v>1.54</v>
      </c>
      <c r="V923">
        <f>ROUND((0/100)*ROUND([1]Source!R916, 2), 2)</f>
        <v>0</v>
      </c>
      <c r="AC923">
        <v>0</v>
      </c>
    </row>
    <row r="924" spans="1:29" hidden="1" x14ac:dyDescent="0.25">
      <c r="C924" s="32" t="str">
        <f>"Объем: "&amp;[1]Source!I915&amp;"=79*"&amp;"(1,4/"&amp;"1000)"</f>
        <v>Объем: 0,1106=79*(1,4/1000)</v>
      </c>
    </row>
    <row r="925" spans="1:29" ht="14.4" hidden="1" x14ac:dyDescent="0.25">
      <c r="A925" s="27"/>
      <c r="B925" s="27"/>
      <c r="C925" s="27" t="s">
        <v>36</v>
      </c>
      <c r="D925" s="28"/>
      <c r="E925" s="29"/>
      <c r="F925" s="30">
        <f>[1]Source!AO915</f>
        <v>134.68</v>
      </c>
      <c r="G925" s="31" t="s">
        <v>37</v>
      </c>
      <c r="H925" s="29">
        <f>[1]Source!AV916</f>
        <v>1.0469999999999999</v>
      </c>
      <c r="I925" s="30">
        <f>[1]Source!S915</f>
        <v>21.52</v>
      </c>
      <c r="J925" s="29">
        <f>IF([1]Source!BA916&lt;&gt; 0, [1]Source!BA916, 1)</f>
        <v>56.35</v>
      </c>
      <c r="K925" s="30">
        <f>[1]Source!S916</f>
        <v>1212.6500000000001</v>
      </c>
    </row>
    <row r="926" spans="1:29" ht="14.4" hidden="1" x14ac:dyDescent="0.25">
      <c r="A926" s="27"/>
      <c r="B926" s="27"/>
      <c r="C926" s="27" t="s">
        <v>38</v>
      </c>
      <c r="D926" s="28"/>
      <c r="E926" s="29"/>
      <c r="F926" s="30">
        <f>[1]Source!AM915</f>
        <v>43.5</v>
      </c>
      <c r="G926" s="31" t="s">
        <v>39</v>
      </c>
      <c r="H926" s="29">
        <f>[1]Source!AV916</f>
        <v>1.0469999999999999</v>
      </c>
      <c r="I926" s="30">
        <f>[1]Source!Q915</f>
        <v>7.56</v>
      </c>
      <c r="J926" s="29">
        <f>IF([1]Source!BB916&lt;&gt; 0, [1]Source!BB916, 1)</f>
        <v>15.44</v>
      </c>
      <c r="K926" s="30">
        <f>[1]Source!Q916</f>
        <v>116.73</v>
      </c>
    </row>
    <row r="927" spans="1:29" ht="14.4" hidden="1" x14ac:dyDescent="0.25">
      <c r="A927" s="27"/>
      <c r="B927" s="27"/>
      <c r="C927" s="27" t="s">
        <v>40</v>
      </c>
      <c r="D927" s="28"/>
      <c r="E927" s="29"/>
      <c r="F927" s="30">
        <f>[1]Source!AN915</f>
        <v>5.0599999999999996</v>
      </c>
      <c r="G927" s="31" t="s">
        <v>39</v>
      </c>
      <c r="H927" s="29">
        <f>[1]Source!AV916</f>
        <v>1.0469999999999999</v>
      </c>
      <c r="I927" s="33">
        <f>[1]Source!R915</f>
        <v>0.88</v>
      </c>
      <c r="J927" s="29">
        <f>IF([1]Source!BS916&lt;&gt; 0, [1]Source!BS916, 1)</f>
        <v>56.35</v>
      </c>
      <c r="K927" s="33">
        <f>[1]Source!R916</f>
        <v>49.59</v>
      </c>
    </row>
    <row r="928" spans="1:29" ht="14.4" hidden="1" x14ac:dyDescent="0.25">
      <c r="A928" s="27"/>
      <c r="B928" s="27"/>
      <c r="C928" s="27" t="s">
        <v>41</v>
      </c>
      <c r="D928" s="28"/>
      <c r="E928" s="29"/>
      <c r="F928" s="30">
        <f>[1]Source!AL915</f>
        <v>258.67</v>
      </c>
      <c r="G928" s="31"/>
      <c r="H928" s="29">
        <f>[1]Source!AW916</f>
        <v>1.022</v>
      </c>
      <c r="I928" s="30">
        <f>[1]Source!P915</f>
        <v>29.24</v>
      </c>
      <c r="J928" s="29">
        <f>IF([1]Source!BC916&lt;&gt; 0, [1]Source!BC916, 1)</f>
        <v>7.5</v>
      </c>
      <c r="K928" s="30">
        <f>[1]Source!P916</f>
        <v>219.3</v>
      </c>
    </row>
    <row r="929" spans="1:29" ht="55.2" hidden="1" x14ac:dyDescent="0.25">
      <c r="A929" s="27" t="s">
        <v>231</v>
      </c>
      <c r="B929" s="27" t="str">
        <f>[1]Source!F917</f>
        <v>1.3-4-75</v>
      </c>
      <c r="C929" s="27" t="s">
        <v>156</v>
      </c>
      <c r="D929" s="28" t="str">
        <f>[1]Source!H917</f>
        <v>т</v>
      </c>
      <c r="E929" s="29">
        <f>[1]Source!I917</f>
        <v>0.1106</v>
      </c>
      <c r="F929" s="30">
        <f>[1]Source!AK917</f>
        <v>9724.69</v>
      </c>
      <c r="G929" s="43" t="s">
        <v>54</v>
      </c>
      <c r="H929" s="29">
        <f>[1]Source!AW918</f>
        <v>1.022</v>
      </c>
      <c r="I929" s="30">
        <f>[1]Source!O917</f>
        <v>1099.21</v>
      </c>
      <c r="J929" s="29">
        <f>IF([1]Source!BC918&lt;&gt; 0, [1]Source!BC918, 1)</f>
        <v>3.88</v>
      </c>
      <c r="K929" s="30">
        <f>[1]Source!O918</f>
        <v>4264.93</v>
      </c>
      <c r="Q929">
        <f>[1]Source!X917</f>
        <v>0</v>
      </c>
      <c r="R929">
        <f>[1]Source!X918</f>
        <v>0</v>
      </c>
      <c r="S929">
        <f>[1]Source!Y917</f>
        <v>0</v>
      </c>
      <c r="T929">
        <f>[1]Source!Y918</f>
        <v>0</v>
      </c>
      <c r="U929">
        <f>ROUND((175/100)*ROUND([1]Source!R917, 2), 2)</f>
        <v>0</v>
      </c>
      <c r="V929">
        <f>ROUND((0/100)*ROUND([1]Source!R918, 2), 2)</f>
        <v>0</v>
      </c>
      <c r="AC929">
        <v>3</v>
      </c>
    </row>
    <row r="930" spans="1:29" ht="14.4" hidden="1" x14ac:dyDescent="0.25">
      <c r="A930" s="27"/>
      <c r="B930" s="27"/>
      <c r="C930" s="27" t="s">
        <v>42</v>
      </c>
      <c r="D930" s="28" t="s">
        <v>43</v>
      </c>
      <c r="E930" s="29">
        <f>[1]Source!BZ916</f>
        <v>92</v>
      </c>
      <c r="F930" s="30"/>
      <c r="G930" s="31"/>
      <c r="H930" s="29"/>
      <c r="I930" s="30">
        <f>SUM(Q923:Q929)</f>
        <v>20.61</v>
      </c>
      <c r="J930" s="29">
        <f>[1]Source!AT916</f>
        <v>92</v>
      </c>
      <c r="K930" s="30">
        <f>SUM(R923:R929)</f>
        <v>1161.26</v>
      </c>
    </row>
    <row r="931" spans="1:29" ht="14.4" hidden="1" x14ac:dyDescent="0.25">
      <c r="A931" s="27"/>
      <c r="B931" s="27"/>
      <c r="C931" s="27" t="s">
        <v>44</v>
      </c>
      <c r="D931" s="28" t="s">
        <v>43</v>
      </c>
      <c r="E931" s="29">
        <f>[1]Source!CA916</f>
        <v>49</v>
      </c>
      <c r="F931" s="30"/>
      <c r="G931" s="31"/>
      <c r="H931" s="29"/>
      <c r="I931" s="30">
        <f>SUM(S923:S930)</f>
        <v>10.98</v>
      </c>
      <c r="J931" s="29">
        <f>[1]Source!AU916</f>
        <v>49</v>
      </c>
      <c r="K931" s="30">
        <f>SUM(T923:T930)</f>
        <v>618.5</v>
      </c>
    </row>
    <row r="932" spans="1:29" ht="14.4" hidden="1" x14ac:dyDescent="0.25">
      <c r="A932" s="34"/>
      <c r="B932" s="34"/>
      <c r="C932" s="34" t="s">
        <v>45</v>
      </c>
      <c r="D932" s="35" t="s">
        <v>46</v>
      </c>
      <c r="E932" s="36">
        <f>[1]Source!AQ915</f>
        <v>11.6</v>
      </c>
      <c r="F932" s="37"/>
      <c r="G932" s="38" t="s">
        <v>37</v>
      </c>
      <c r="H932" s="36">
        <f>[1]Source!AV916</f>
        <v>1.0469999999999999</v>
      </c>
      <c r="I932" s="37">
        <f>[1]Source!U915</f>
        <v>1.8536975855999993</v>
      </c>
      <c r="J932" s="36"/>
      <c r="K932" s="37"/>
    </row>
    <row r="933" spans="1:29" ht="13.8" hidden="1" x14ac:dyDescent="0.25">
      <c r="C933" s="39" t="s">
        <v>47</v>
      </c>
      <c r="H933" s="40">
        <f>I925+I926+I928+I930+I931+SUM(I929:I929)-SUMIF(AC929:AC929, 5, I929:I929)-SUMIF(AC929:AC929, 6, I929:I929)</f>
        <v>1189.1200000000001</v>
      </c>
      <c r="I933" s="40"/>
      <c r="J933" s="40">
        <f>K925+K926+K928+K930+K931+SUM(K929:K929)-SUMIF(AC929:AC929, 5, K929:K929)-SUMIF(AC929:AC929, 6, K929:K929)</f>
        <v>7593.3700000000008</v>
      </c>
      <c r="K933" s="40"/>
    </row>
    <row r="934" spans="1:29" ht="13.8" hidden="1" x14ac:dyDescent="0.25">
      <c r="C934" s="39" t="s">
        <v>48</v>
      </c>
      <c r="H934" s="41">
        <f>SUMIF(AC929:AC929, 5, I929:I929)+SUMIF(AC929:AC929, 6, I929:I929)</f>
        <v>0</v>
      </c>
      <c r="I934" s="41"/>
      <c r="J934" s="41">
        <f>SUMIF(AC929:AC929, 5, K929:K929)+SUMIF(AC929:AC929, 6, K929:K929)</f>
        <v>0</v>
      </c>
      <c r="K934" s="41"/>
    </row>
    <row r="935" spans="1:29" ht="13.8" hidden="1" x14ac:dyDescent="0.25">
      <c r="C935" s="39" t="s">
        <v>49</v>
      </c>
      <c r="H935" s="41">
        <f>I925+I926+I928+I930+I931+SUM(I929:I929)</f>
        <v>1189.1200000000001</v>
      </c>
      <c r="I935" s="41"/>
      <c r="J935" s="41">
        <f>K925+K926+K928+K930+K931+SUM(K929:K929)</f>
        <v>7593.3700000000008</v>
      </c>
      <c r="K935" s="41"/>
      <c r="O935" s="42">
        <f>I925+I926+I928+I930+I931+SUM(I929:I929)</f>
        <v>1189.1200000000001</v>
      </c>
      <c r="P935" s="42">
        <f>K925+K926+K928+K930+K931+SUM(K929:K929)</f>
        <v>7593.3700000000008</v>
      </c>
    </row>
    <row r="936" spans="1:29" hidden="1" x14ac:dyDescent="0.25"/>
    <row r="937" spans="1:29" ht="57.6" hidden="1" x14ac:dyDescent="0.25">
      <c r="A937" s="27">
        <v>68</v>
      </c>
      <c r="B937" s="27" t="str">
        <f>[1]Source!F919</f>
        <v>3.12-20-1</v>
      </c>
      <c r="C937" s="27" t="s">
        <v>222</v>
      </c>
      <c r="D937" s="28" t="str">
        <f>[1]Source!H919</f>
        <v>100 м2 кровли</v>
      </c>
      <c r="E937" s="29">
        <f>[1]Source!I919</f>
        <v>0.79</v>
      </c>
      <c r="F937" s="30"/>
      <c r="G937" s="31"/>
      <c r="H937" s="29"/>
      <c r="I937" s="30"/>
      <c r="J937" s="29"/>
      <c r="K937" s="30"/>
      <c r="Q937">
        <f>[1]Source!X919</f>
        <v>59.42</v>
      </c>
      <c r="R937">
        <f>[1]Source!X920</f>
        <v>3348.17</v>
      </c>
      <c r="S937">
        <f>[1]Source!Y919</f>
        <v>29.1</v>
      </c>
      <c r="T937">
        <f>[1]Source!Y920</f>
        <v>1639.92</v>
      </c>
      <c r="U937">
        <f>ROUND((175/100)*ROUND([1]Source!R919, 2), 2)</f>
        <v>0</v>
      </c>
      <c r="V937">
        <f>ROUND((0/100)*ROUND([1]Source!R920, 2), 2)</f>
        <v>0</v>
      </c>
      <c r="AC937">
        <v>0</v>
      </c>
    </row>
    <row r="938" spans="1:29" hidden="1" x14ac:dyDescent="0.25">
      <c r="C938" s="32" t="str">
        <f>"Объем: "&amp;[1]Source!I919&amp;"=79/"&amp;"100"</f>
        <v>Объем: 0,79=79/100</v>
      </c>
    </row>
    <row r="939" spans="1:29" ht="14.4" hidden="1" x14ac:dyDescent="0.25">
      <c r="A939" s="27"/>
      <c r="B939" s="27"/>
      <c r="C939" s="27" t="s">
        <v>36</v>
      </c>
      <c r="D939" s="28"/>
      <c r="E939" s="29"/>
      <c r="F939" s="30">
        <f>[1]Source!AO919</f>
        <v>51.16</v>
      </c>
      <c r="G939" s="31" t="s">
        <v>37</v>
      </c>
      <c r="H939" s="29">
        <f>[1]Source!AV920</f>
        <v>1.087</v>
      </c>
      <c r="I939" s="30">
        <f>[1]Source!S919</f>
        <v>60.63</v>
      </c>
      <c r="J939" s="29">
        <f>IF([1]Source!BA920&lt;&gt; 0, [1]Source!BA920, 1)</f>
        <v>56.35</v>
      </c>
      <c r="K939" s="30">
        <f>[1]Source!S920</f>
        <v>3416.5</v>
      </c>
    </row>
    <row r="940" spans="1:29" ht="193.2" hidden="1" x14ac:dyDescent="0.25">
      <c r="A940" s="27" t="s">
        <v>232</v>
      </c>
      <c r="B940" s="27" t="str">
        <f>[1]Source!F921</f>
        <v>1.1-1-609</v>
      </c>
      <c r="C940" s="27" t="s">
        <v>224</v>
      </c>
      <c r="D940" s="28" t="str">
        <f>[1]Source!H921</f>
        <v>т</v>
      </c>
      <c r="E940" s="29">
        <f>[1]Source!I921</f>
        <v>2.7649999999999997E-2</v>
      </c>
      <c r="F940" s="30">
        <f>[1]Source!AK921</f>
        <v>12877.09</v>
      </c>
      <c r="G940" s="43" t="s">
        <v>54</v>
      </c>
      <c r="H940" s="29">
        <f>[1]Source!AW922</f>
        <v>1.0009999999999999</v>
      </c>
      <c r="I940" s="30">
        <f>[1]Source!O921</f>
        <v>356.41</v>
      </c>
      <c r="J940" s="29">
        <f>IF([1]Source!BC922&lt;&gt; 0, [1]Source!BC922, 1)</f>
        <v>6.34</v>
      </c>
      <c r="K940" s="30">
        <f>[1]Source!O922</f>
        <v>2259.64</v>
      </c>
      <c r="Q940">
        <f>[1]Source!X921</f>
        <v>0</v>
      </c>
      <c r="R940">
        <f>[1]Source!X922</f>
        <v>0</v>
      </c>
      <c r="S940">
        <f>[1]Source!Y921</f>
        <v>0</v>
      </c>
      <c r="T940">
        <f>[1]Source!Y922</f>
        <v>0</v>
      </c>
      <c r="U940">
        <f>ROUND((175/100)*ROUND([1]Source!R921, 2), 2)</f>
        <v>0</v>
      </c>
      <c r="V940">
        <f>ROUND((0/100)*ROUND([1]Source!R922, 2), 2)</f>
        <v>0</v>
      </c>
      <c r="AC940">
        <v>3</v>
      </c>
    </row>
    <row r="941" spans="1:29" ht="14.4" hidden="1" x14ac:dyDescent="0.25">
      <c r="A941" s="27"/>
      <c r="B941" s="27"/>
      <c r="C941" s="27" t="s">
        <v>42</v>
      </c>
      <c r="D941" s="28" t="s">
        <v>43</v>
      </c>
      <c r="E941" s="29">
        <f>[1]Source!BZ920</f>
        <v>98</v>
      </c>
      <c r="F941" s="30"/>
      <c r="G941" s="31"/>
      <c r="H941" s="29"/>
      <c r="I941" s="30">
        <f>SUM(Q937:Q940)</f>
        <v>59.42</v>
      </c>
      <c r="J941" s="29">
        <f>[1]Source!AT920</f>
        <v>98</v>
      </c>
      <c r="K941" s="30">
        <f>SUM(R937:R940)</f>
        <v>3348.17</v>
      </c>
    </row>
    <row r="942" spans="1:29" ht="14.4" hidden="1" x14ac:dyDescent="0.25">
      <c r="A942" s="27"/>
      <c r="B942" s="27"/>
      <c r="C942" s="27" t="s">
        <v>44</v>
      </c>
      <c r="D942" s="28" t="s">
        <v>43</v>
      </c>
      <c r="E942" s="29">
        <f>[1]Source!CA920</f>
        <v>48</v>
      </c>
      <c r="F942" s="30"/>
      <c r="G942" s="31"/>
      <c r="H942" s="29"/>
      <c r="I942" s="30">
        <f>SUM(S937:S941)</f>
        <v>29.1</v>
      </c>
      <c r="J942" s="29">
        <f>[1]Source!AU920</f>
        <v>48</v>
      </c>
      <c r="K942" s="30">
        <f>SUM(T937:T941)</f>
        <v>1639.92</v>
      </c>
    </row>
    <row r="943" spans="1:29" ht="14.4" hidden="1" x14ac:dyDescent="0.25">
      <c r="A943" s="34"/>
      <c r="B943" s="34"/>
      <c r="C943" s="34" t="s">
        <v>45</v>
      </c>
      <c r="D943" s="35" t="s">
        <v>46</v>
      </c>
      <c r="E943" s="36">
        <f>[1]Source!AQ919</f>
        <v>4.46</v>
      </c>
      <c r="F943" s="37"/>
      <c r="G943" s="38" t="s">
        <v>37</v>
      </c>
      <c r="H943" s="36">
        <f>[1]Source!AV920</f>
        <v>1.087</v>
      </c>
      <c r="I943" s="37">
        <f>[1]Source!U919</f>
        <v>5.2853114039999989</v>
      </c>
      <c r="J943" s="36"/>
      <c r="K943" s="37"/>
    </row>
    <row r="944" spans="1:29" ht="13.8" hidden="1" x14ac:dyDescent="0.25">
      <c r="C944" s="39" t="s">
        <v>47</v>
      </c>
      <c r="H944" s="40">
        <f>I939+I941+I942+SUM(I940:I940)-SUMIF(AC940:AC940, 5, I940:I940)-SUMIF(AC940:AC940, 6, I940:I940)</f>
        <v>505.56000000000006</v>
      </c>
      <c r="I944" s="40"/>
      <c r="J944" s="40">
        <f>K939+K941+K942+SUM(K940:K940)-SUMIF(AC940:AC940, 5, K940:K940)-SUMIF(AC940:AC940, 6, K940:K940)</f>
        <v>10664.23</v>
      </c>
      <c r="K944" s="40"/>
    </row>
    <row r="945" spans="1:29" ht="13.8" hidden="1" x14ac:dyDescent="0.25">
      <c r="C945" s="39" t="s">
        <v>48</v>
      </c>
      <c r="H945" s="41">
        <f>SUMIF(AC940:AC940, 5, I940:I940)+SUMIF(AC940:AC940, 6, I940:I940)</f>
        <v>0</v>
      </c>
      <c r="I945" s="41"/>
      <c r="J945" s="41">
        <f>SUMIF(AC940:AC940, 5, K940:K940)+SUMIF(AC940:AC940, 6, K940:K940)</f>
        <v>0</v>
      </c>
      <c r="K945" s="41"/>
    </row>
    <row r="946" spans="1:29" ht="13.8" hidden="1" x14ac:dyDescent="0.25">
      <c r="C946" s="39" t="s">
        <v>49</v>
      </c>
      <c r="H946" s="41">
        <f>I939+I941+I942+SUM(I940:I940)</f>
        <v>505.56000000000006</v>
      </c>
      <c r="I946" s="41"/>
      <c r="J946" s="41">
        <f>K939+K941+K942+SUM(K940:K940)</f>
        <v>10664.23</v>
      </c>
      <c r="K946" s="41"/>
      <c r="O946" s="42">
        <f>I939+I941+I942+SUM(I940:I940)</f>
        <v>505.56000000000006</v>
      </c>
      <c r="P946" s="42">
        <f>K939+K941+K942+SUM(K940:K940)</f>
        <v>10664.23</v>
      </c>
    </row>
    <row r="947" spans="1:29" hidden="1" x14ac:dyDescent="0.25"/>
    <row r="948" spans="1:29" ht="96.6" hidden="1" x14ac:dyDescent="0.25">
      <c r="A948" s="27">
        <v>69</v>
      </c>
      <c r="B948" s="27" t="str">
        <f>[1]Source!F923</f>
        <v>3.12-3-1</v>
      </c>
      <c r="C948" s="27" t="s">
        <v>225</v>
      </c>
      <c r="D948" s="28" t="str">
        <f>[1]Source!H923</f>
        <v>100 м2</v>
      </c>
      <c r="E948" s="29">
        <f>[1]Source!I923</f>
        <v>0.79</v>
      </c>
      <c r="F948" s="30"/>
      <c r="G948" s="31"/>
      <c r="H948" s="29"/>
      <c r="I948" s="30"/>
      <c r="J948" s="29"/>
      <c r="K948" s="30"/>
      <c r="Q948">
        <f>[1]Source!X923</f>
        <v>1277.8900000000001</v>
      </c>
      <c r="R948">
        <f>[1]Source!X924</f>
        <v>72009.14</v>
      </c>
      <c r="S948">
        <f>[1]Source!Y923</f>
        <v>625.91</v>
      </c>
      <c r="T948">
        <f>[1]Source!Y924</f>
        <v>35269.78</v>
      </c>
      <c r="U948">
        <f>ROUND((175/100)*ROUND([1]Source!R923, 2), 2)</f>
        <v>162.03</v>
      </c>
      <c r="V948">
        <f>ROUND((0/100)*ROUND([1]Source!R924, 2), 2)</f>
        <v>0</v>
      </c>
      <c r="AC948">
        <v>0</v>
      </c>
    </row>
    <row r="949" spans="1:29" hidden="1" x14ac:dyDescent="0.25">
      <c r="C949" s="32" t="str">
        <f>"Объем: "&amp;[1]Source!I923&amp;"=79/"&amp;"100"</f>
        <v>Объем: 0,79=79/100</v>
      </c>
    </row>
    <row r="950" spans="1:29" ht="14.4" hidden="1" x14ac:dyDescent="0.25">
      <c r="A950" s="27"/>
      <c r="B950" s="27"/>
      <c r="C950" s="27" t="s">
        <v>36</v>
      </c>
      <c r="D950" s="28"/>
      <c r="E950" s="29"/>
      <c r="F950" s="30">
        <f>[1]Source!AO923</f>
        <v>1022.22</v>
      </c>
      <c r="G950" s="31" t="s">
        <v>37</v>
      </c>
      <c r="H950" s="29">
        <f>[1]Source!AV924</f>
        <v>1.087</v>
      </c>
      <c r="I950" s="30">
        <f>[1]Source!S923</f>
        <v>1211.3800000000001</v>
      </c>
      <c r="J950" s="29">
        <f>IF([1]Source!BA924&lt;&gt; 0, [1]Source!BA924, 1)</f>
        <v>56.35</v>
      </c>
      <c r="K950" s="30">
        <f>[1]Source!S924</f>
        <v>68261.259999999995</v>
      </c>
    </row>
    <row r="951" spans="1:29" ht="14.4" hidden="1" x14ac:dyDescent="0.25">
      <c r="A951" s="27"/>
      <c r="B951" s="27"/>
      <c r="C951" s="27" t="s">
        <v>38</v>
      </c>
      <c r="D951" s="28"/>
      <c r="E951" s="29"/>
      <c r="F951" s="30">
        <f>[1]Source!AM923</f>
        <v>276.88</v>
      </c>
      <c r="G951" s="31" t="s">
        <v>39</v>
      </c>
      <c r="H951" s="29">
        <f>[1]Source!AV924</f>
        <v>1.087</v>
      </c>
      <c r="I951" s="30">
        <f>[1]Source!Q923</f>
        <v>356.65</v>
      </c>
      <c r="J951" s="29">
        <f>IF([1]Source!BB924&lt;&gt; 0, [1]Source!BB924, 1)</f>
        <v>14.35</v>
      </c>
      <c r="K951" s="30">
        <f>[1]Source!Q924</f>
        <v>5117.93</v>
      </c>
    </row>
    <row r="952" spans="1:29" ht="14.4" hidden="1" x14ac:dyDescent="0.25">
      <c r="A952" s="27"/>
      <c r="B952" s="27"/>
      <c r="C952" s="27" t="s">
        <v>40</v>
      </c>
      <c r="D952" s="28"/>
      <c r="E952" s="29"/>
      <c r="F952" s="30">
        <f>[1]Source!AN923</f>
        <v>71.88</v>
      </c>
      <c r="G952" s="31" t="s">
        <v>39</v>
      </c>
      <c r="H952" s="29">
        <f>[1]Source!AV924</f>
        <v>1.087</v>
      </c>
      <c r="I952" s="33">
        <f>[1]Source!R923</f>
        <v>92.59</v>
      </c>
      <c r="J952" s="29">
        <f>IF([1]Source!BS924&lt;&gt; 0, [1]Source!BS924, 1)</f>
        <v>56.35</v>
      </c>
      <c r="K952" s="33">
        <f>[1]Source!R924</f>
        <v>5217.45</v>
      </c>
    </row>
    <row r="953" spans="1:29" ht="14.4" hidden="1" x14ac:dyDescent="0.25">
      <c r="A953" s="27"/>
      <c r="B953" s="27"/>
      <c r="C953" s="27" t="s">
        <v>41</v>
      </c>
      <c r="D953" s="28"/>
      <c r="E953" s="29"/>
      <c r="F953" s="30">
        <f>[1]Source!AL923</f>
        <v>878.01</v>
      </c>
      <c r="G953" s="31"/>
      <c r="H953" s="29">
        <f>[1]Source!AW924</f>
        <v>1.0009999999999999</v>
      </c>
      <c r="I953" s="30">
        <f>[1]Source!P923</f>
        <v>694.32</v>
      </c>
      <c r="J953" s="29">
        <f>IF([1]Source!BC924&lt;&gt; 0, [1]Source!BC924, 1)</f>
        <v>7.58</v>
      </c>
      <c r="K953" s="30">
        <f>[1]Source!P924</f>
        <v>5262.95</v>
      </c>
    </row>
    <row r="954" spans="1:29" ht="14.4" hidden="1" x14ac:dyDescent="0.25">
      <c r="A954" s="27"/>
      <c r="B954" s="27"/>
      <c r="C954" s="27" t="s">
        <v>42</v>
      </c>
      <c r="D954" s="28" t="s">
        <v>43</v>
      </c>
      <c r="E954" s="29">
        <f>[1]Source!BZ924</f>
        <v>98</v>
      </c>
      <c r="F954" s="30"/>
      <c r="G954" s="31"/>
      <c r="H954" s="29"/>
      <c r="I954" s="30">
        <f>SUM(Q948:Q953)</f>
        <v>1277.8900000000001</v>
      </c>
      <c r="J954" s="29">
        <f>[1]Source!AT924</f>
        <v>98</v>
      </c>
      <c r="K954" s="30">
        <f>SUM(R948:R953)</f>
        <v>72009.14</v>
      </c>
    </row>
    <row r="955" spans="1:29" ht="14.4" hidden="1" x14ac:dyDescent="0.25">
      <c r="A955" s="27"/>
      <c r="B955" s="27"/>
      <c r="C955" s="27" t="s">
        <v>44</v>
      </c>
      <c r="D955" s="28" t="s">
        <v>43</v>
      </c>
      <c r="E955" s="29">
        <f>[1]Source!CA924</f>
        <v>48</v>
      </c>
      <c r="F955" s="30"/>
      <c r="G955" s="31"/>
      <c r="H955" s="29"/>
      <c r="I955" s="30">
        <f>SUM(S948:S954)</f>
        <v>625.91</v>
      </c>
      <c r="J955" s="29">
        <f>[1]Source!AU924</f>
        <v>48</v>
      </c>
      <c r="K955" s="30">
        <f>SUM(T948:T954)</f>
        <v>35269.78</v>
      </c>
    </row>
    <row r="956" spans="1:29" ht="14.4" hidden="1" x14ac:dyDescent="0.25">
      <c r="A956" s="34"/>
      <c r="B956" s="34"/>
      <c r="C956" s="34" t="s">
        <v>45</v>
      </c>
      <c r="D956" s="35" t="s">
        <v>46</v>
      </c>
      <c r="E956" s="36">
        <f>[1]Source!AQ923</f>
        <v>81</v>
      </c>
      <c r="F956" s="37"/>
      <c r="G956" s="38" t="s">
        <v>37</v>
      </c>
      <c r="H956" s="36">
        <f>[1]Source!AV924</f>
        <v>1.087</v>
      </c>
      <c r="I956" s="37">
        <f>[1]Source!U923</f>
        <v>95.988839399999989</v>
      </c>
      <c r="J956" s="36"/>
      <c r="K956" s="37"/>
    </row>
    <row r="957" spans="1:29" ht="13.8" hidden="1" x14ac:dyDescent="0.25">
      <c r="C957" s="39" t="s">
        <v>47</v>
      </c>
      <c r="H957" s="40">
        <f>I950+I951+I953+I954+I955+0-0-0</f>
        <v>4166.1500000000005</v>
      </c>
      <c r="I957" s="40"/>
      <c r="J957" s="40">
        <f>K950+K951+K953+K954+K955+0-0-0</f>
        <v>185921.06</v>
      </c>
      <c r="K957" s="40"/>
    </row>
    <row r="958" spans="1:29" ht="13.8" hidden="1" x14ac:dyDescent="0.25">
      <c r="C958" s="39" t="s">
        <v>48</v>
      </c>
      <c r="H958" s="41">
        <f>0+0</f>
        <v>0</v>
      </c>
      <c r="I958" s="41"/>
      <c r="J958" s="41">
        <f>0+0</f>
        <v>0</v>
      </c>
      <c r="K958" s="41"/>
    </row>
    <row r="959" spans="1:29" ht="13.8" hidden="1" x14ac:dyDescent="0.25">
      <c r="C959" s="39" t="s">
        <v>49</v>
      </c>
      <c r="H959" s="41">
        <f>I950+I951+I953+I954+I955+0</f>
        <v>4166.1500000000005</v>
      </c>
      <c r="I959" s="41"/>
      <c r="J959" s="41">
        <f>K950+K951+K953+K954+K955+0</f>
        <v>185921.06</v>
      </c>
      <c r="K959" s="41"/>
      <c r="O959" s="42">
        <f>I950+I951+I953+I954+I955+0</f>
        <v>4166.1500000000005</v>
      </c>
      <c r="P959" s="42">
        <f>K950+K951+K953+K954+K955+0</f>
        <v>185921.06</v>
      </c>
    </row>
    <row r="960" spans="1:29" hidden="1" x14ac:dyDescent="0.25"/>
    <row r="961" spans="1:29" ht="96.6" hidden="1" x14ac:dyDescent="0.25">
      <c r="A961" s="34">
        <v>70</v>
      </c>
      <c r="B961" s="34" t="str">
        <f>[1]Source!F925</f>
        <v>1.1-1-295</v>
      </c>
      <c r="C961" s="34" t="s">
        <v>226</v>
      </c>
      <c r="D961" s="35" t="str">
        <f>[1]Source!H925</f>
        <v>м2</v>
      </c>
      <c r="E961" s="36">
        <f>[1]Source!I925</f>
        <v>210.45599999999999</v>
      </c>
      <c r="F961" s="37">
        <f>[1]Source!AL925</f>
        <v>47.75</v>
      </c>
      <c r="G961" s="38"/>
      <c r="H961" s="36">
        <f>[1]Source!AW926</f>
        <v>1</v>
      </c>
      <c r="I961" s="37">
        <f>[1]Source!P925</f>
        <v>10049.27</v>
      </c>
      <c r="J961" s="36">
        <f>IF([1]Source!BC926&lt;&gt; 0, [1]Source!BC926, 1)</f>
        <v>7.25</v>
      </c>
      <c r="K961" s="37">
        <f>[1]Source!P926</f>
        <v>72857.210000000006</v>
      </c>
      <c r="Q961">
        <f>[1]Source!X925</f>
        <v>0</v>
      </c>
      <c r="R961">
        <f>[1]Source!X926</f>
        <v>0</v>
      </c>
      <c r="S961">
        <f>[1]Source!Y925</f>
        <v>0</v>
      </c>
      <c r="T961">
        <f>[1]Source!Y926</f>
        <v>0</v>
      </c>
      <c r="U961">
        <f>ROUND((175/100)*ROUND([1]Source!R925, 2), 2)</f>
        <v>0</v>
      </c>
      <c r="V961">
        <f>ROUND((0/100)*ROUND([1]Source!R926, 2), 2)</f>
        <v>0</v>
      </c>
      <c r="AC961">
        <v>3</v>
      </c>
    </row>
    <row r="962" spans="1:29" ht="13.8" hidden="1" x14ac:dyDescent="0.25">
      <c r="C962" s="39" t="s">
        <v>49</v>
      </c>
      <c r="H962" s="40">
        <f>I961+0</f>
        <v>10049.27</v>
      </c>
      <c r="I962" s="40"/>
      <c r="J962" s="40">
        <f>K961+0</f>
        <v>72857.210000000006</v>
      </c>
      <c r="K962" s="40"/>
      <c r="O962" s="42">
        <f>I961+0</f>
        <v>10049.27</v>
      </c>
      <c r="P962" s="42">
        <f>K961+0</f>
        <v>72857.210000000006</v>
      </c>
    </row>
    <row r="963" spans="1:29" hidden="1" x14ac:dyDescent="0.25"/>
    <row r="964" spans="1:29" ht="96.6" hidden="1" x14ac:dyDescent="0.25">
      <c r="A964" s="34">
        <v>71</v>
      </c>
      <c r="B964" s="34" t="str">
        <f>[1]Source!F927</f>
        <v>1.1-1-294</v>
      </c>
      <c r="C964" s="34" t="s">
        <v>227</v>
      </c>
      <c r="D964" s="35" t="str">
        <f>[1]Source!H927</f>
        <v>м2</v>
      </c>
      <c r="E964" s="36">
        <f>[1]Source!I927</f>
        <v>105.22799999999999</v>
      </c>
      <c r="F964" s="37">
        <f>[1]Source!AL927</f>
        <v>56.56</v>
      </c>
      <c r="G964" s="38"/>
      <c r="H964" s="36">
        <f>[1]Source!AW928</f>
        <v>1</v>
      </c>
      <c r="I964" s="37">
        <f>[1]Source!P927</f>
        <v>5951.7</v>
      </c>
      <c r="J964" s="36">
        <f>IF([1]Source!BC928&lt;&gt; 0, [1]Source!BC928, 1)</f>
        <v>6.68</v>
      </c>
      <c r="K964" s="37">
        <f>[1]Source!P928</f>
        <v>39757.360000000001</v>
      </c>
      <c r="Q964">
        <f>[1]Source!X927</f>
        <v>0</v>
      </c>
      <c r="R964">
        <f>[1]Source!X928</f>
        <v>0</v>
      </c>
      <c r="S964">
        <f>[1]Source!Y927</f>
        <v>0</v>
      </c>
      <c r="T964">
        <f>[1]Source!Y928</f>
        <v>0</v>
      </c>
      <c r="U964">
        <f>ROUND((175/100)*ROUND([1]Source!R927, 2), 2)</f>
        <v>0</v>
      </c>
      <c r="V964">
        <f>ROUND((0/100)*ROUND([1]Source!R928, 2), 2)</f>
        <v>0</v>
      </c>
      <c r="AC964">
        <v>3</v>
      </c>
    </row>
    <row r="965" spans="1:29" ht="13.8" hidden="1" x14ac:dyDescent="0.25">
      <c r="C965" s="39" t="s">
        <v>49</v>
      </c>
      <c r="H965" s="40">
        <f>I964+0</f>
        <v>5951.7</v>
      </c>
      <c r="I965" s="40"/>
      <c r="J965" s="40">
        <f>K964+0</f>
        <v>39757.360000000001</v>
      </c>
      <c r="K965" s="40"/>
      <c r="O965" s="42">
        <f>I964+0</f>
        <v>5951.7</v>
      </c>
      <c r="P965" s="42">
        <f>K964+0</f>
        <v>39757.360000000001</v>
      </c>
    </row>
    <row r="966" spans="1:29" hidden="1" x14ac:dyDescent="0.25"/>
    <row r="967" spans="1:29" hidden="1" x14ac:dyDescent="0.25"/>
    <row r="968" spans="1:29" ht="13.8" hidden="1" x14ac:dyDescent="0.25">
      <c r="A968" s="44" t="str">
        <f>CONCATENATE("Итого по подразделу: ",IF([1]Source!G930&lt;&gt;"Новый подраздел", [1]Source!G930, ""))</f>
        <v>Итого по подразделу: Монтажные работы. Тип2</v>
      </c>
      <c r="B968" s="44"/>
      <c r="C968" s="44"/>
      <c r="D968" s="44"/>
      <c r="E968" s="44"/>
      <c r="F968" s="44"/>
      <c r="G968" s="44"/>
      <c r="H968" s="41">
        <f>SUM(O885:O967)</f>
        <v>28407.090000000004</v>
      </c>
      <c r="I968" s="45"/>
      <c r="J968" s="41">
        <f>SUM(P885:P967)</f>
        <v>449374.71</v>
      </c>
      <c r="K968" s="45"/>
    </row>
    <row r="969" spans="1:29" hidden="1" x14ac:dyDescent="0.25">
      <c r="A969" t="s">
        <v>55</v>
      </c>
      <c r="I969">
        <f>SUM(W885:W968)</f>
        <v>0</v>
      </c>
      <c r="J969">
        <f>SUM(X885:X968)</f>
        <v>0</v>
      </c>
    </row>
    <row r="970" spans="1:29" hidden="1" x14ac:dyDescent="0.25">
      <c r="A970" t="s">
        <v>56</v>
      </c>
      <c r="I970">
        <f>SUM(Y885:Y969)</f>
        <v>0</v>
      </c>
      <c r="J970">
        <f>SUM(Z885:Z969)</f>
        <v>0</v>
      </c>
    </row>
    <row r="971" spans="1:29" hidden="1" x14ac:dyDescent="0.25"/>
    <row r="972" spans="1:29" ht="16.8" hidden="1" x14ac:dyDescent="0.25">
      <c r="A972" s="11" t="str">
        <f>CONCATENATE("Подраздел: ",IF([1]Source!G960&lt;&gt;"Новый подраздел", [1]Source!G960, ""))</f>
        <v>Подраздел: Монтажные работы. Тип3</v>
      </c>
      <c r="B972" s="11"/>
      <c r="C972" s="11"/>
      <c r="D972" s="11"/>
      <c r="E972" s="11"/>
      <c r="F972" s="11"/>
      <c r="G972" s="11"/>
      <c r="H972" s="11"/>
      <c r="I972" s="11"/>
      <c r="J972" s="11"/>
      <c r="K972" s="11"/>
    </row>
    <row r="973" spans="1:29" ht="57.6" hidden="1" x14ac:dyDescent="0.25">
      <c r="A973" s="27">
        <v>72</v>
      </c>
      <c r="B973" s="27" t="str">
        <f>[1]Source!F964</f>
        <v>3.12-21-1</v>
      </c>
      <c r="C973" s="27" t="s">
        <v>198</v>
      </c>
      <c r="D973" s="28" t="str">
        <f>[1]Source!H964</f>
        <v>100 м2 стяжек</v>
      </c>
      <c r="E973" s="29">
        <f>[1]Source!I964</f>
        <v>1.56</v>
      </c>
      <c r="F973" s="30"/>
      <c r="G973" s="31"/>
      <c r="H973" s="29"/>
      <c r="I973" s="30"/>
      <c r="J973" s="29"/>
      <c r="K973" s="30"/>
      <c r="Q973">
        <f>[1]Source!X964</f>
        <v>580.11</v>
      </c>
      <c r="R973">
        <f>[1]Source!X965</f>
        <v>32689.25</v>
      </c>
      <c r="S973">
        <f>[1]Source!Y964</f>
        <v>284.14</v>
      </c>
      <c r="T973">
        <f>[1]Source!Y965</f>
        <v>16011.06</v>
      </c>
      <c r="U973">
        <f>ROUND((175/100)*ROUND([1]Source!R964, 2), 2)</f>
        <v>0</v>
      </c>
      <c r="V973">
        <f>ROUND((0/100)*ROUND([1]Source!R965, 2), 2)</f>
        <v>0</v>
      </c>
      <c r="AC973">
        <v>0</v>
      </c>
    </row>
    <row r="974" spans="1:29" hidden="1" x14ac:dyDescent="0.25">
      <c r="C974" s="32" t="str">
        <f>"Объем: "&amp;[1]Source!I964&amp;"=156/"&amp;"100"</f>
        <v>Объем: 1,56=156/100</v>
      </c>
    </row>
    <row r="975" spans="1:29" ht="14.4" hidden="1" x14ac:dyDescent="0.25">
      <c r="A975" s="27"/>
      <c r="B975" s="27"/>
      <c r="C975" s="27" t="s">
        <v>36</v>
      </c>
      <c r="D975" s="28"/>
      <c r="E975" s="29"/>
      <c r="F975" s="30">
        <f>[1]Source!AO964</f>
        <v>252.96</v>
      </c>
      <c r="G975" s="31" t="s">
        <v>37</v>
      </c>
      <c r="H975" s="29">
        <f>[1]Source!AV965</f>
        <v>1.087</v>
      </c>
      <c r="I975" s="30">
        <f>[1]Source!S964</f>
        <v>591.95000000000005</v>
      </c>
      <c r="J975" s="29">
        <f>IF([1]Source!BA965&lt;&gt; 0, [1]Source!BA965, 1)</f>
        <v>56.35</v>
      </c>
      <c r="K975" s="30">
        <f>[1]Source!S965</f>
        <v>33356.379999999997</v>
      </c>
    </row>
    <row r="976" spans="1:29" ht="14.4" hidden="1" x14ac:dyDescent="0.25">
      <c r="A976" s="27"/>
      <c r="B976" s="27"/>
      <c r="C976" s="27" t="s">
        <v>38</v>
      </c>
      <c r="D976" s="28"/>
      <c r="E976" s="29"/>
      <c r="F976" s="30">
        <f>[1]Source!AM964</f>
        <v>22.76</v>
      </c>
      <c r="G976" s="31" t="s">
        <v>39</v>
      </c>
      <c r="H976" s="29">
        <f>[1]Source!AV965</f>
        <v>1.087</v>
      </c>
      <c r="I976" s="30">
        <f>[1]Source!Q964</f>
        <v>57.89</v>
      </c>
      <c r="J976" s="29">
        <f>IF([1]Source!BB965&lt;&gt; 0, [1]Source!BB965, 1)</f>
        <v>12.45</v>
      </c>
      <c r="K976" s="30">
        <f>[1]Source!Q965</f>
        <v>720.73</v>
      </c>
    </row>
    <row r="977" spans="1:29" ht="14.4" hidden="1" x14ac:dyDescent="0.25">
      <c r="A977" s="27"/>
      <c r="B977" s="27"/>
      <c r="C977" s="27" t="s">
        <v>41</v>
      </c>
      <c r="D977" s="28"/>
      <c r="E977" s="29"/>
      <c r="F977" s="30">
        <f>[1]Source!AL964</f>
        <v>27.22</v>
      </c>
      <c r="G977" s="31"/>
      <c r="H977" s="29">
        <f>[1]Source!AW965</f>
        <v>1.0009999999999999</v>
      </c>
      <c r="I977" s="30">
        <f>[1]Source!P964</f>
        <v>42.51</v>
      </c>
      <c r="J977" s="29">
        <f>IF([1]Source!BC965&lt;&gt; 0, [1]Source!BC965, 1)</f>
        <v>7.75</v>
      </c>
      <c r="K977" s="30">
        <f>[1]Source!P965</f>
        <v>329.45</v>
      </c>
    </row>
    <row r="978" spans="1:29" ht="27.6" hidden="1" x14ac:dyDescent="0.25">
      <c r="A978" s="27" t="s">
        <v>233</v>
      </c>
      <c r="B978" s="27" t="str">
        <f>[1]Source!F966</f>
        <v>1.3-2-6</v>
      </c>
      <c r="C978" s="27" t="s">
        <v>149</v>
      </c>
      <c r="D978" s="28" t="str">
        <f>[1]Source!H966</f>
        <v>м3</v>
      </c>
      <c r="E978" s="29">
        <f>[1]Source!I966</f>
        <v>2.3868</v>
      </c>
      <c r="F978" s="30">
        <f>[1]Source!AK966</f>
        <v>467.32</v>
      </c>
      <c r="G978" s="43" t="s">
        <v>54</v>
      </c>
      <c r="H978" s="29">
        <f>[1]Source!AW967</f>
        <v>1.0009999999999999</v>
      </c>
      <c r="I978" s="30">
        <f>[1]Source!O966</f>
        <v>1116.51</v>
      </c>
      <c r="J978" s="29">
        <f>IF([1]Source!BC967&lt;&gt; 0, [1]Source!BC967, 1)</f>
        <v>11.07</v>
      </c>
      <c r="K978" s="30">
        <f>[1]Source!O967</f>
        <v>12359.77</v>
      </c>
      <c r="Q978">
        <f>[1]Source!X966</f>
        <v>0</v>
      </c>
      <c r="R978">
        <f>[1]Source!X967</f>
        <v>0</v>
      </c>
      <c r="S978">
        <f>[1]Source!Y966</f>
        <v>0</v>
      </c>
      <c r="T978">
        <f>[1]Source!Y967</f>
        <v>0</v>
      </c>
      <c r="U978">
        <f>ROUND((175/100)*ROUND([1]Source!R966, 2), 2)</f>
        <v>0</v>
      </c>
      <c r="V978">
        <f>ROUND((0/100)*ROUND([1]Source!R967, 2), 2)</f>
        <v>0</v>
      </c>
      <c r="AC978">
        <v>3</v>
      </c>
    </row>
    <row r="979" spans="1:29" ht="14.4" hidden="1" x14ac:dyDescent="0.25">
      <c r="A979" s="27"/>
      <c r="B979" s="27"/>
      <c r="C979" s="27" t="s">
        <v>42</v>
      </c>
      <c r="D979" s="28" t="s">
        <v>43</v>
      </c>
      <c r="E979" s="29">
        <f>[1]Source!BZ965</f>
        <v>98</v>
      </c>
      <c r="F979" s="30"/>
      <c r="G979" s="31"/>
      <c r="H979" s="29"/>
      <c r="I979" s="30">
        <f>SUM(Q973:Q978)</f>
        <v>580.11</v>
      </c>
      <c r="J979" s="29">
        <f>[1]Source!AT965</f>
        <v>98</v>
      </c>
      <c r="K979" s="30">
        <f>SUM(R973:R978)</f>
        <v>32689.25</v>
      </c>
    </row>
    <row r="980" spans="1:29" ht="14.4" hidden="1" x14ac:dyDescent="0.25">
      <c r="A980" s="27"/>
      <c r="B980" s="27"/>
      <c r="C980" s="27" t="s">
        <v>44</v>
      </c>
      <c r="D980" s="28" t="s">
        <v>43</v>
      </c>
      <c r="E980" s="29">
        <f>[1]Source!CA965</f>
        <v>48</v>
      </c>
      <c r="F980" s="30"/>
      <c r="G980" s="31"/>
      <c r="H980" s="29"/>
      <c r="I980" s="30">
        <f>SUM(S973:S979)</f>
        <v>284.14</v>
      </c>
      <c r="J980" s="29">
        <f>[1]Source!AU965</f>
        <v>48</v>
      </c>
      <c r="K980" s="30">
        <f>SUM(T973:T979)</f>
        <v>16011.06</v>
      </c>
    </row>
    <row r="981" spans="1:29" ht="14.4" hidden="1" x14ac:dyDescent="0.25">
      <c r="A981" s="34"/>
      <c r="B981" s="34"/>
      <c r="C981" s="34" t="s">
        <v>45</v>
      </c>
      <c r="D981" s="35" t="s">
        <v>46</v>
      </c>
      <c r="E981" s="36">
        <f>[1]Source!AQ964</f>
        <v>24.3</v>
      </c>
      <c r="F981" s="37"/>
      <c r="G981" s="38" t="s">
        <v>37</v>
      </c>
      <c r="H981" s="36">
        <f>[1]Source!AV965</f>
        <v>1.087</v>
      </c>
      <c r="I981" s="37">
        <f>[1]Source!U964</f>
        <v>56.864274479999992</v>
      </c>
      <c r="J981" s="36"/>
      <c r="K981" s="37"/>
    </row>
    <row r="982" spans="1:29" ht="13.8" hidden="1" x14ac:dyDescent="0.25">
      <c r="C982" s="39" t="s">
        <v>47</v>
      </c>
      <c r="H982" s="40">
        <f>I975+I976+I977+I979+I980+SUM(I978:I978)-SUMIF(AC978:AC978, 5, I978:I978)-SUMIF(AC978:AC978, 6, I978:I978)</f>
        <v>2673.1099999999997</v>
      </c>
      <c r="I982" s="40"/>
      <c r="J982" s="40">
        <f>K975+K976+K977+K979+K980+SUM(K978:K978)-SUMIF(AC978:AC978, 5, K978:K978)-SUMIF(AC978:AC978, 6, K978:K978)</f>
        <v>95466.64</v>
      </c>
      <c r="K982" s="40"/>
    </row>
    <row r="983" spans="1:29" ht="13.8" hidden="1" x14ac:dyDescent="0.25">
      <c r="C983" s="39" t="s">
        <v>48</v>
      </c>
      <c r="H983" s="41">
        <f>SUMIF(AC978:AC978, 5, I978:I978)+SUMIF(AC978:AC978, 6, I978:I978)</f>
        <v>0</v>
      </c>
      <c r="I983" s="41"/>
      <c r="J983" s="41">
        <f>SUMIF(AC978:AC978, 5, K978:K978)+SUMIF(AC978:AC978, 6, K978:K978)</f>
        <v>0</v>
      </c>
      <c r="K983" s="41"/>
    </row>
    <row r="984" spans="1:29" ht="13.8" hidden="1" x14ac:dyDescent="0.25">
      <c r="C984" s="39" t="s">
        <v>49</v>
      </c>
      <c r="H984" s="41">
        <f>I975+I976+I977+I979+I980+SUM(I978:I978)</f>
        <v>2673.1099999999997</v>
      </c>
      <c r="I984" s="41"/>
      <c r="J984" s="41">
        <f>K975+K976+K977+K979+K980+SUM(K978:K978)</f>
        <v>95466.64</v>
      </c>
      <c r="K984" s="41"/>
      <c r="O984" s="42">
        <f>I975+I976+I977+I979+I980+SUM(I978:I978)</f>
        <v>2673.1099999999997</v>
      </c>
      <c r="P984" s="42">
        <f>K975+K976+K977+K979+K980+SUM(K978:K978)</f>
        <v>95466.64</v>
      </c>
    </row>
    <row r="985" spans="1:29" hidden="1" x14ac:dyDescent="0.25"/>
    <row r="986" spans="1:29" ht="57.6" hidden="1" x14ac:dyDescent="0.25">
      <c r="A986" s="27">
        <v>73</v>
      </c>
      <c r="B986" s="27" t="str">
        <f>[1]Source!F968</f>
        <v>3.12-21-2</v>
      </c>
      <c r="C986" s="27" t="s">
        <v>200</v>
      </c>
      <c r="D986" s="28" t="str">
        <f>[1]Source!H968</f>
        <v>100 м2 стяжек</v>
      </c>
      <c r="E986" s="29">
        <f>[1]Source!I968</f>
        <v>1.56</v>
      </c>
      <c r="F986" s="30"/>
      <c r="G986" s="31"/>
      <c r="H986" s="29"/>
      <c r="I986" s="30"/>
      <c r="J986" s="29"/>
      <c r="K986" s="30"/>
      <c r="Q986">
        <f>[1]Source!X968</f>
        <v>10.54</v>
      </c>
      <c r="R986">
        <f>[1]Source!X969</f>
        <v>594.20000000000005</v>
      </c>
      <c r="S986">
        <f>[1]Source!Y968</f>
        <v>5.16</v>
      </c>
      <c r="T986">
        <f>[1]Source!Y969</f>
        <v>291.04000000000002</v>
      </c>
      <c r="U986">
        <f>ROUND((175/100)*ROUND([1]Source!R968, 2), 2)</f>
        <v>0</v>
      </c>
      <c r="V986">
        <f>ROUND((0/100)*ROUND([1]Source!R969, 2), 2)</f>
        <v>0</v>
      </c>
      <c r="AC986">
        <v>0</v>
      </c>
    </row>
    <row r="987" spans="1:29" hidden="1" x14ac:dyDescent="0.25">
      <c r="C987" s="32" t="str">
        <f>"Объем: "&amp;[1]Source!I968&amp;"=156/"&amp;"100"</f>
        <v>Объем: 1,56=156/100</v>
      </c>
    </row>
    <row r="988" spans="1:29" ht="14.4" hidden="1" x14ac:dyDescent="0.25">
      <c r="A988" s="27"/>
      <c r="B988" s="27"/>
      <c r="C988" s="27" t="s">
        <v>36</v>
      </c>
      <c r="D988" s="28"/>
      <c r="E988" s="29"/>
      <c r="F988" s="30">
        <f>[1]Source!AO968</f>
        <v>0.92</v>
      </c>
      <c r="G988" s="31" t="s">
        <v>163</v>
      </c>
      <c r="H988" s="29">
        <f>[1]Source!AV969</f>
        <v>1.087</v>
      </c>
      <c r="I988" s="30">
        <f>[1]Source!S968</f>
        <v>10.76</v>
      </c>
      <c r="J988" s="29">
        <f>IF([1]Source!BA969&lt;&gt; 0, [1]Source!BA969, 1)</f>
        <v>56.35</v>
      </c>
      <c r="K988" s="30">
        <f>[1]Source!S969</f>
        <v>606.33000000000004</v>
      </c>
    </row>
    <row r="989" spans="1:29" ht="27.6" hidden="1" x14ac:dyDescent="0.25">
      <c r="A989" s="27" t="s">
        <v>234</v>
      </c>
      <c r="B989" s="27" t="str">
        <f>[1]Source!F970</f>
        <v>1.3-2-6</v>
      </c>
      <c r="C989" s="27" t="s">
        <v>149</v>
      </c>
      <c r="D989" s="28" t="str">
        <f>[1]Source!H970</f>
        <v>м3</v>
      </c>
      <c r="E989" s="29">
        <f>[1]Source!I970</f>
        <v>0.79560000000000008</v>
      </c>
      <c r="F989" s="30">
        <f>[1]Source!AK970</f>
        <v>467.32</v>
      </c>
      <c r="G989" s="43" t="s">
        <v>54</v>
      </c>
      <c r="H989" s="29">
        <f>[1]Source!AW971</f>
        <v>1.0009999999999999</v>
      </c>
      <c r="I989" s="30">
        <f>[1]Source!O970</f>
        <v>372.17</v>
      </c>
      <c r="J989" s="29">
        <f>IF([1]Source!BC971&lt;&gt; 0, [1]Source!BC971, 1)</f>
        <v>11.07</v>
      </c>
      <c r="K989" s="30">
        <f>[1]Source!O971</f>
        <v>4119.92</v>
      </c>
      <c r="Q989">
        <f>[1]Source!X970</f>
        <v>0</v>
      </c>
      <c r="R989">
        <f>[1]Source!X971</f>
        <v>0</v>
      </c>
      <c r="S989">
        <f>[1]Source!Y970</f>
        <v>0</v>
      </c>
      <c r="T989">
        <f>[1]Source!Y971</f>
        <v>0</v>
      </c>
      <c r="U989">
        <f>ROUND((175/100)*ROUND([1]Source!R970, 2), 2)</f>
        <v>0</v>
      </c>
      <c r="V989">
        <f>ROUND((0/100)*ROUND([1]Source!R971, 2), 2)</f>
        <v>0</v>
      </c>
      <c r="AC989">
        <v>3</v>
      </c>
    </row>
    <row r="990" spans="1:29" ht="14.4" hidden="1" x14ac:dyDescent="0.25">
      <c r="A990" s="27"/>
      <c r="B990" s="27"/>
      <c r="C990" s="27" t="s">
        <v>42</v>
      </c>
      <c r="D990" s="28" t="s">
        <v>43</v>
      </c>
      <c r="E990" s="29">
        <f>[1]Source!BZ969</f>
        <v>98</v>
      </c>
      <c r="F990" s="30"/>
      <c r="G990" s="31"/>
      <c r="H990" s="29"/>
      <c r="I990" s="30">
        <f>SUM(Q986:Q989)</f>
        <v>10.54</v>
      </c>
      <c r="J990" s="29">
        <f>[1]Source!AT969</f>
        <v>98</v>
      </c>
      <c r="K990" s="30">
        <f>SUM(R986:R989)</f>
        <v>594.20000000000005</v>
      </c>
    </row>
    <row r="991" spans="1:29" ht="14.4" hidden="1" x14ac:dyDescent="0.25">
      <c r="A991" s="27"/>
      <c r="B991" s="27"/>
      <c r="C991" s="27" t="s">
        <v>44</v>
      </c>
      <c r="D991" s="28" t="s">
        <v>43</v>
      </c>
      <c r="E991" s="29">
        <f>[1]Source!CA969</f>
        <v>48</v>
      </c>
      <c r="F991" s="30"/>
      <c r="G991" s="31"/>
      <c r="H991" s="29"/>
      <c r="I991" s="30">
        <f>SUM(S986:S990)</f>
        <v>5.16</v>
      </c>
      <c r="J991" s="29">
        <f>[1]Source!AU969</f>
        <v>48</v>
      </c>
      <c r="K991" s="30">
        <f>SUM(T986:T990)</f>
        <v>291.04000000000002</v>
      </c>
    </row>
    <row r="992" spans="1:29" ht="14.4" hidden="1" x14ac:dyDescent="0.25">
      <c r="A992" s="34"/>
      <c r="B992" s="34"/>
      <c r="C992" s="34" t="s">
        <v>45</v>
      </c>
      <c r="D992" s="35" t="s">
        <v>46</v>
      </c>
      <c r="E992" s="36">
        <f>[1]Source!AQ968</f>
        <v>0.09</v>
      </c>
      <c r="F992" s="37"/>
      <c r="G992" s="38" t="s">
        <v>163</v>
      </c>
      <c r="H992" s="36">
        <f>[1]Source!AV969</f>
        <v>1.087</v>
      </c>
      <c r="I992" s="37">
        <f>[1]Source!U968</f>
        <v>1.05304212</v>
      </c>
      <c r="J992" s="36"/>
      <c r="K992" s="37"/>
    </row>
    <row r="993" spans="1:29" ht="13.8" hidden="1" x14ac:dyDescent="0.25">
      <c r="C993" s="39" t="s">
        <v>47</v>
      </c>
      <c r="H993" s="40">
        <f>I988+I990+I991+SUM(I989:I989)-SUMIF(AC989:AC989, 5, I989:I989)-SUMIF(AC989:AC989, 6, I989:I989)</f>
        <v>398.63</v>
      </c>
      <c r="I993" s="40"/>
      <c r="J993" s="40">
        <f>K988+K990+K991+SUM(K989:K989)-SUMIF(AC989:AC989, 5, K989:K989)-SUMIF(AC989:AC989, 6, K989:K989)</f>
        <v>5611.49</v>
      </c>
      <c r="K993" s="40"/>
    </row>
    <row r="994" spans="1:29" ht="13.8" hidden="1" x14ac:dyDescent="0.25">
      <c r="C994" s="39" t="s">
        <v>48</v>
      </c>
      <c r="H994" s="41">
        <f>SUMIF(AC989:AC989, 5, I989:I989)+SUMIF(AC989:AC989, 6, I989:I989)</f>
        <v>0</v>
      </c>
      <c r="I994" s="41"/>
      <c r="J994" s="41">
        <f>SUMIF(AC989:AC989, 5, K989:K989)+SUMIF(AC989:AC989, 6, K989:K989)</f>
        <v>0</v>
      </c>
      <c r="K994" s="41"/>
    </row>
    <row r="995" spans="1:29" ht="13.8" hidden="1" x14ac:dyDescent="0.25">
      <c r="C995" s="39" t="s">
        <v>49</v>
      </c>
      <c r="H995" s="41">
        <f>I988+I990+I991+SUM(I989:I989)</f>
        <v>398.63</v>
      </c>
      <c r="I995" s="41"/>
      <c r="J995" s="41">
        <f>K988+K990+K991+SUM(K989:K989)</f>
        <v>5611.49</v>
      </c>
      <c r="K995" s="41"/>
      <c r="O995" s="42">
        <f>I988+I990+I991+SUM(I989:I989)</f>
        <v>398.63</v>
      </c>
      <c r="P995" s="42">
        <f>K988+K990+K991+SUM(K989:K989)</f>
        <v>5611.49</v>
      </c>
    </row>
    <row r="996" spans="1:29" hidden="1" x14ac:dyDescent="0.25"/>
    <row r="997" spans="1:29" ht="115.2" hidden="1" x14ac:dyDescent="0.25">
      <c r="A997" s="27">
        <v>74</v>
      </c>
      <c r="B997" s="27" t="str">
        <f>[1]Source!F972</f>
        <v>3.12-19-3</v>
      </c>
      <c r="C997" s="27" t="s">
        <v>202</v>
      </c>
      <c r="D997" s="28" t="str">
        <f>[1]Source!H972</f>
        <v>100 м2 изолируемой поверхности</v>
      </c>
      <c r="E997" s="29">
        <f>[1]Source!I972</f>
        <v>1.56</v>
      </c>
      <c r="F997" s="30"/>
      <c r="G997" s="31"/>
      <c r="H997" s="29"/>
      <c r="I997" s="30"/>
      <c r="J997" s="29"/>
      <c r="K997" s="30"/>
      <c r="Q997">
        <f>[1]Source!X972</f>
        <v>189.38</v>
      </c>
      <c r="R997">
        <f>[1]Source!X973</f>
        <v>10671.29</v>
      </c>
      <c r="S997">
        <f>[1]Source!Y972</f>
        <v>92.76</v>
      </c>
      <c r="T997">
        <f>[1]Source!Y973</f>
        <v>5226.75</v>
      </c>
      <c r="U997">
        <f>ROUND((175/100)*ROUND([1]Source!R972, 2), 2)</f>
        <v>3.96</v>
      </c>
      <c r="V997">
        <f>ROUND((0/100)*ROUND([1]Source!R973, 2), 2)</f>
        <v>0</v>
      </c>
      <c r="AC997">
        <v>0</v>
      </c>
    </row>
    <row r="998" spans="1:29" hidden="1" x14ac:dyDescent="0.25">
      <c r="C998" s="32" t="str">
        <f>"Объем: "&amp;[1]Source!I972&amp;"=156/"&amp;"100"</f>
        <v>Объем: 1,56=156/100</v>
      </c>
    </row>
    <row r="999" spans="1:29" ht="14.4" hidden="1" x14ac:dyDescent="0.25">
      <c r="A999" s="27"/>
      <c r="B999" s="27"/>
      <c r="C999" s="27" t="s">
        <v>36</v>
      </c>
      <c r="D999" s="28"/>
      <c r="E999" s="29"/>
      <c r="F999" s="30">
        <f>[1]Source!AO972</f>
        <v>81.61</v>
      </c>
      <c r="G999" s="31" t="s">
        <v>37</v>
      </c>
      <c r="H999" s="29">
        <f>[1]Source!AV973</f>
        <v>1.087</v>
      </c>
      <c r="I999" s="30">
        <f>[1]Source!S972</f>
        <v>190.98</v>
      </c>
      <c r="J999" s="29">
        <f>IF([1]Source!BA973&lt;&gt; 0, [1]Source!BA973, 1)</f>
        <v>56.35</v>
      </c>
      <c r="K999" s="30">
        <f>[1]Source!S973</f>
        <v>10761.72</v>
      </c>
    </row>
    <row r="1000" spans="1:29" ht="14.4" hidden="1" x14ac:dyDescent="0.25">
      <c r="A1000" s="27"/>
      <c r="B1000" s="27"/>
      <c r="C1000" s="27" t="s">
        <v>38</v>
      </c>
      <c r="D1000" s="28"/>
      <c r="E1000" s="29"/>
      <c r="F1000" s="30">
        <f>[1]Source!AM972</f>
        <v>12.92</v>
      </c>
      <c r="G1000" s="31" t="s">
        <v>39</v>
      </c>
      <c r="H1000" s="29">
        <f>[1]Source!AV973</f>
        <v>1.087</v>
      </c>
      <c r="I1000" s="30">
        <f>[1]Source!Q972</f>
        <v>32.86</v>
      </c>
      <c r="J1000" s="29">
        <f>IF([1]Source!BB973&lt;&gt; 0, [1]Source!BB973, 1)</f>
        <v>14.38</v>
      </c>
      <c r="K1000" s="30">
        <f>[1]Source!Q973</f>
        <v>472.53</v>
      </c>
    </row>
    <row r="1001" spans="1:29" ht="14.4" hidden="1" x14ac:dyDescent="0.25">
      <c r="A1001" s="27"/>
      <c r="B1001" s="27"/>
      <c r="C1001" s="27" t="s">
        <v>40</v>
      </c>
      <c r="D1001" s="28"/>
      <c r="E1001" s="29"/>
      <c r="F1001" s="30">
        <f>[1]Source!AN972</f>
        <v>0.89</v>
      </c>
      <c r="G1001" s="31" t="s">
        <v>39</v>
      </c>
      <c r="H1001" s="29">
        <f>[1]Source!AV973</f>
        <v>1.087</v>
      </c>
      <c r="I1001" s="33">
        <f>[1]Source!R972</f>
        <v>2.2599999999999998</v>
      </c>
      <c r="J1001" s="29">
        <f>IF([1]Source!BS973&lt;&gt; 0, [1]Source!BS973, 1)</f>
        <v>56.35</v>
      </c>
      <c r="K1001" s="33">
        <f>[1]Source!R973</f>
        <v>127.35</v>
      </c>
    </row>
    <row r="1002" spans="1:29" ht="14.4" hidden="1" x14ac:dyDescent="0.25">
      <c r="A1002" s="27"/>
      <c r="B1002" s="27"/>
      <c r="C1002" s="27" t="s">
        <v>41</v>
      </c>
      <c r="D1002" s="28"/>
      <c r="E1002" s="29"/>
      <c r="F1002" s="30">
        <f>[1]Source!AL972</f>
        <v>196.02</v>
      </c>
      <c r="G1002" s="31"/>
      <c r="H1002" s="29">
        <f>[1]Source!AW973</f>
        <v>1.0009999999999999</v>
      </c>
      <c r="I1002" s="30">
        <f>[1]Source!P972</f>
        <v>306.10000000000002</v>
      </c>
      <c r="J1002" s="29">
        <f>IF([1]Source!BC973&lt;&gt; 0, [1]Source!BC973, 1)</f>
        <v>14.8</v>
      </c>
      <c r="K1002" s="30">
        <f>[1]Source!P973</f>
        <v>4530.28</v>
      </c>
    </row>
    <row r="1003" spans="1:29" ht="138" hidden="1" x14ac:dyDescent="0.25">
      <c r="A1003" s="27" t="s">
        <v>235</v>
      </c>
      <c r="B1003" s="27" t="str">
        <f>[1]Source!F974</f>
        <v>1.1-1-2688</v>
      </c>
      <c r="C1003" s="27" t="s">
        <v>204</v>
      </c>
      <c r="D1003" s="28" t="str">
        <f>[1]Source!H974</f>
        <v>м2</v>
      </c>
      <c r="E1003" s="29">
        <f>[1]Source!I974</f>
        <v>171.6</v>
      </c>
      <c r="F1003" s="30">
        <f>[1]Source!AK974</f>
        <v>4.1900000000000004</v>
      </c>
      <c r="G1003" s="43" t="s">
        <v>54</v>
      </c>
      <c r="H1003" s="29">
        <f>[1]Source!AW975</f>
        <v>1.0009999999999999</v>
      </c>
      <c r="I1003" s="30">
        <f>[1]Source!O974</f>
        <v>719.72</v>
      </c>
      <c r="J1003" s="29">
        <f>IF([1]Source!BC975&lt;&gt; 0, [1]Source!BC975, 1)</f>
        <v>7.54</v>
      </c>
      <c r="K1003" s="30">
        <f>[1]Source!O975</f>
        <v>5426.69</v>
      </c>
      <c r="Q1003">
        <f>[1]Source!X974</f>
        <v>0</v>
      </c>
      <c r="R1003">
        <f>[1]Source!X975</f>
        <v>0</v>
      </c>
      <c r="S1003">
        <f>[1]Source!Y974</f>
        <v>0</v>
      </c>
      <c r="T1003">
        <f>[1]Source!Y975</f>
        <v>0</v>
      </c>
      <c r="U1003">
        <f>ROUND((175/100)*ROUND([1]Source!R974, 2), 2)</f>
        <v>0</v>
      </c>
      <c r="V1003">
        <f>ROUND((0/100)*ROUND([1]Source!R975, 2), 2)</f>
        <v>0</v>
      </c>
      <c r="AC1003">
        <v>3</v>
      </c>
    </row>
    <row r="1004" spans="1:29" ht="14.4" hidden="1" x14ac:dyDescent="0.25">
      <c r="A1004" s="27"/>
      <c r="B1004" s="27"/>
      <c r="C1004" s="27" t="s">
        <v>42</v>
      </c>
      <c r="D1004" s="28" t="s">
        <v>43</v>
      </c>
      <c r="E1004" s="29">
        <f>[1]Source!BZ973</f>
        <v>98</v>
      </c>
      <c r="F1004" s="30"/>
      <c r="G1004" s="31"/>
      <c r="H1004" s="29"/>
      <c r="I1004" s="30">
        <f>SUM(Q997:Q1003)</f>
        <v>189.38</v>
      </c>
      <c r="J1004" s="29">
        <f>[1]Source!AT973</f>
        <v>98</v>
      </c>
      <c r="K1004" s="30">
        <f>SUM(R997:R1003)</f>
        <v>10671.29</v>
      </c>
    </row>
    <row r="1005" spans="1:29" ht="14.4" hidden="1" x14ac:dyDescent="0.25">
      <c r="A1005" s="27"/>
      <c r="B1005" s="27"/>
      <c r="C1005" s="27" t="s">
        <v>44</v>
      </c>
      <c r="D1005" s="28" t="s">
        <v>43</v>
      </c>
      <c r="E1005" s="29">
        <f>[1]Source!CA973</f>
        <v>48</v>
      </c>
      <c r="F1005" s="30"/>
      <c r="G1005" s="31"/>
      <c r="H1005" s="29"/>
      <c r="I1005" s="30">
        <f>SUM(S997:S1004)</f>
        <v>92.76</v>
      </c>
      <c r="J1005" s="29">
        <f>[1]Source!AU973</f>
        <v>48</v>
      </c>
      <c r="K1005" s="30">
        <f>SUM(T997:T1004)</f>
        <v>5226.75</v>
      </c>
    </row>
    <row r="1006" spans="1:29" ht="14.4" hidden="1" x14ac:dyDescent="0.25">
      <c r="A1006" s="34"/>
      <c r="B1006" s="34"/>
      <c r="C1006" s="34" t="s">
        <v>45</v>
      </c>
      <c r="D1006" s="35" t="s">
        <v>46</v>
      </c>
      <c r="E1006" s="36">
        <f>[1]Source!AQ972</f>
        <v>6.94</v>
      </c>
      <c r="F1006" s="37"/>
      <c r="G1006" s="38" t="s">
        <v>37</v>
      </c>
      <c r="H1006" s="36">
        <f>[1]Source!AV973</f>
        <v>1.087</v>
      </c>
      <c r="I1006" s="37">
        <f>[1]Source!U972</f>
        <v>16.240249584000001</v>
      </c>
      <c r="J1006" s="36"/>
      <c r="K1006" s="37"/>
    </row>
    <row r="1007" spans="1:29" ht="13.8" hidden="1" x14ac:dyDescent="0.25">
      <c r="C1007" s="39" t="s">
        <v>47</v>
      </c>
      <c r="H1007" s="40">
        <f>I999+I1000+I1002+I1004+I1005+SUM(I1003:I1003)-SUMIF(AC1003:AC1003, 5, I1003:I1003)-SUMIF(AC1003:AC1003, 6, I1003:I1003)</f>
        <v>1531.8000000000002</v>
      </c>
      <c r="I1007" s="40"/>
      <c r="J1007" s="40">
        <f>K999+K1000+K1002+K1004+K1005+SUM(K1003:K1003)-SUMIF(AC1003:AC1003, 5, K1003:K1003)-SUMIF(AC1003:AC1003, 6, K1003:K1003)</f>
        <v>37089.26</v>
      </c>
      <c r="K1007" s="40"/>
    </row>
    <row r="1008" spans="1:29" ht="13.8" hidden="1" x14ac:dyDescent="0.25">
      <c r="C1008" s="39" t="s">
        <v>48</v>
      </c>
      <c r="H1008" s="41">
        <f>SUMIF(AC1003:AC1003, 5, I1003:I1003)+SUMIF(AC1003:AC1003, 6, I1003:I1003)</f>
        <v>0</v>
      </c>
      <c r="I1008" s="41"/>
      <c r="J1008" s="41">
        <f>SUMIF(AC1003:AC1003, 5, K1003:K1003)+SUMIF(AC1003:AC1003, 6, K1003:K1003)</f>
        <v>0</v>
      </c>
      <c r="K1008" s="41"/>
    </row>
    <row r="1009" spans="1:29" ht="13.8" hidden="1" x14ac:dyDescent="0.25">
      <c r="C1009" s="39" t="s">
        <v>49</v>
      </c>
      <c r="H1009" s="41">
        <f>I999+I1000+I1002+I1004+I1005+SUM(I1003:I1003)</f>
        <v>1531.8000000000002</v>
      </c>
      <c r="I1009" s="41"/>
      <c r="J1009" s="41">
        <f>K999+K1000+K1002+K1004+K1005+SUM(K1003:K1003)</f>
        <v>37089.26</v>
      </c>
      <c r="K1009" s="41"/>
      <c r="O1009" s="42">
        <f>I999+I1000+I1002+I1004+I1005+SUM(I1003:I1003)</f>
        <v>1531.8000000000002</v>
      </c>
      <c r="P1009" s="42">
        <f>K999+K1000+K1002+K1004+K1005+SUM(K1003:K1003)</f>
        <v>37089.26</v>
      </c>
    </row>
    <row r="1010" spans="1:29" hidden="1" x14ac:dyDescent="0.25"/>
    <row r="1011" spans="1:29" ht="100.8" hidden="1" x14ac:dyDescent="0.25">
      <c r="A1011" s="27">
        <v>75</v>
      </c>
      <c r="B1011" s="27" t="str">
        <f>[1]Source!F976</f>
        <v>3.12-17-6</v>
      </c>
      <c r="C1011" s="27" t="s">
        <v>205</v>
      </c>
      <c r="D1011" s="28" t="str">
        <f>[1]Source!H976</f>
        <v>100 м2 утепляемого покрытия</v>
      </c>
      <c r="E1011" s="29">
        <f>[1]Source!I976</f>
        <v>1.56</v>
      </c>
      <c r="F1011" s="30"/>
      <c r="G1011" s="31"/>
      <c r="H1011" s="29"/>
      <c r="I1011" s="30"/>
      <c r="J1011" s="29"/>
      <c r="K1011" s="30"/>
      <c r="Q1011">
        <f>[1]Source!X976</f>
        <v>739.21</v>
      </c>
      <c r="R1011">
        <f>[1]Source!X977</f>
        <v>41654.699999999997</v>
      </c>
      <c r="S1011">
        <f>[1]Source!Y976</f>
        <v>362.06</v>
      </c>
      <c r="T1011">
        <f>[1]Source!Y977</f>
        <v>20402.3</v>
      </c>
      <c r="U1011">
        <f>ROUND((175/100)*ROUND([1]Source!R976, 2), 2)</f>
        <v>59.2</v>
      </c>
      <c r="V1011">
        <f>ROUND((0/100)*ROUND([1]Source!R977, 2), 2)</f>
        <v>0</v>
      </c>
      <c r="AC1011">
        <v>0</v>
      </c>
    </row>
    <row r="1012" spans="1:29" hidden="1" x14ac:dyDescent="0.25">
      <c r="C1012" s="32" t="str">
        <f>"Объем: "&amp;[1]Source!I976&amp;"=156/"&amp;"100"</f>
        <v>Объем: 1,56=156/100</v>
      </c>
    </row>
    <row r="1013" spans="1:29" ht="14.4" hidden="1" x14ac:dyDescent="0.25">
      <c r="A1013" s="27"/>
      <c r="B1013" s="27"/>
      <c r="C1013" s="27" t="s">
        <v>36</v>
      </c>
      <c r="D1013" s="28"/>
      <c r="E1013" s="29"/>
      <c r="F1013" s="30">
        <f>[1]Source!AO976</f>
        <v>307.88</v>
      </c>
      <c r="G1013" s="31" t="s">
        <v>37</v>
      </c>
      <c r="H1013" s="29">
        <f>[1]Source!AV977</f>
        <v>1.087</v>
      </c>
      <c r="I1013" s="30">
        <f>[1]Source!S976</f>
        <v>720.47</v>
      </c>
      <c r="J1013" s="29">
        <f>IF([1]Source!BA977&lt;&gt; 0, [1]Source!BA977, 1)</f>
        <v>56.35</v>
      </c>
      <c r="K1013" s="30">
        <f>[1]Source!S977</f>
        <v>40598.480000000003</v>
      </c>
    </row>
    <row r="1014" spans="1:29" ht="14.4" hidden="1" x14ac:dyDescent="0.25">
      <c r="A1014" s="27"/>
      <c r="B1014" s="27"/>
      <c r="C1014" s="27" t="s">
        <v>38</v>
      </c>
      <c r="D1014" s="28"/>
      <c r="E1014" s="29"/>
      <c r="F1014" s="30">
        <f>[1]Source!AM976</f>
        <v>122.12</v>
      </c>
      <c r="G1014" s="31" t="s">
        <v>39</v>
      </c>
      <c r="H1014" s="29">
        <f>[1]Source!AV977</f>
        <v>1.087</v>
      </c>
      <c r="I1014" s="30">
        <f>[1]Source!Q976</f>
        <v>310.62</v>
      </c>
      <c r="J1014" s="29">
        <f>IF([1]Source!BB977&lt;&gt; 0, [1]Source!BB977, 1)</f>
        <v>15.1</v>
      </c>
      <c r="K1014" s="30">
        <f>[1]Source!Q977</f>
        <v>4690.3599999999997</v>
      </c>
    </row>
    <row r="1015" spans="1:29" ht="14.4" hidden="1" x14ac:dyDescent="0.25">
      <c r="A1015" s="27"/>
      <c r="B1015" s="27"/>
      <c r="C1015" s="27" t="s">
        <v>40</v>
      </c>
      <c r="D1015" s="28"/>
      <c r="E1015" s="29"/>
      <c r="F1015" s="30">
        <f>[1]Source!AN976</f>
        <v>13.3</v>
      </c>
      <c r="G1015" s="31" t="s">
        <v>39</v>
      </c>
      <c r="H1015" s="29">
        <f>[1]Source!AV977</f>
        <v>1.087</v>
      </c>
      <c r="I1015" s="33">
        <f>[1]Source!R976</f>
        <v>33.83</v>
      </c>
      <c r="J1015" s="29">
        <f>IF([1]Source!BS977&lt;&gt; 0, [1]Source!BS977, 1)</f>
        <v>56.35</v>
      </c>
      <c r="K1015" s="33">
        <f>[1]Source!R977</f>
        <v>1906.32</v>
      </c>
    </row>
    <row r="1016" spans="1:29" ht="124.2" hidden="1" x14ac:dyDescent="0.25">
      <c r="A1016" s="27" t="s">
        <v>236</v>
      </c>
      <c r="B1016" s="27" t="str">
        <f>[1]Source!F978</f>
        <v>1.1-1-2921</v>
      </c>
      <c r="C1016" s="27" t="s">
        <v>207</v>
      </c>
      <c r="D1016" s="28" t="str">
        <f>[1]Source!H978</f>
        <v>м3</v>
      </c>
      <c r="E1016" s="29">
        <f>[1]Source!I978</f>
        <v>15.600000000000001</v>
      </c>
      <c r="F1016" s="30">
        <f>[1]Source!AK978</f>
        <v>2200.7600000000002</v>
      </c>
      <c r="G1016" s="43" t="s">
        <v>54</v>
      </c>
      <c r="H1016" s="29">
        <f>[1]Source!AW979</f>
        <v>1.0009999999999999</v>
      </c>
      <c r="I1016" s="30">
        <f>[1]Source!O978</f>
        <v>34366.19</v>
      </c>
      <c r="J1016" s="29">
        <f>IF([1]Source!BC979&lt;&gt; 0, [1]Source!BC979, 1)</f>
        <v>7.28</v>
      </c>
      <c r="K1016" s="30">
        <f>[1]Source!O979</f>
        <v>250185.86</v>
      </c>
      <c r="Q1016">
        <f>[1]Source!X978</f>
        <v>0</v>
      </c>
      <c r="R1016">
        <f>[1]Source!X979</f>
        <v>0</v>
      </c>
      <c r="S1016">
        <f>[1]Source!Y978</f>
        <v>0</v>
      </c>
      <c r="T1016">
        <f>[1]Source!Y979</f>
        <v>0</v>
      </c>
      <c r="U1016">
        <f>ROUND((175/100)*ROUND([1]Source!R978, 2), 2)</f>
        <v>0</v>
      </c>
      <c r="V1016">
        <f>ROUND((0/100)*ROUND([1]Source!R979, 2), 2)</f>
        <v>0</v>
      </c>
      <c r="AC1016">
        <v>3</v>
      </c>
    </row>
    <row r="1017" spans="1:29" ht="14.4" hidden="1" x14ac:dyDescent="0.25">
      <c r="A1017" s="27"/>
      <c r="B1017" s="27"/>
      <c r="C1017" s="27" t="s">
        <v>42</v>
      </c>
      <c r="D1017" s="28" t="s">
        <v>43</v>
      </c>
      <c r="E1017" s="29">
        <f>[1]Source!BZ977</f>
        <v>98</v>
      </c>
      <c r="F1017" s="30"/>
      <c r="G1017" s="31"/>
      <c r="H1017" s="29"/>
      <c r="I1017" s="30">
        <f>SUM(Q1011:Q1016)</f>
        <v>739.21</v>
      </c>
      <c r="J1017" s="29">
        <f>[1]Source!AT977</f>
        <v>98</v>
      </c>
      <c r="K1017" s="30">
        <f>SUM(R1011:R1016)</f>
        <v>41654.699999999997</v>
      </c>
    </row>
    <row r="1018" spans="1:29" ht="14.4" hidden="1" x14ac:dyDescent="0.25">
      <c r="A1018" s="27"/>
      <c r="B1018" s="27"/>
      <c r="C1018" s="27" t="s">
        <v>44</v>
      </c>
      <c r="D1018" s="28" t="s">
        <v>43</v>
      </c>
      <c r="E1018" s="29">
        <f>[1]Source!CA977</f>
        <v>48</v>
      </c>
      <c r="F1018" s="30"/>
      <c r="G1018" s="31"/>
      <c r="H1018" s="29"/>
      <c r="I1018" s="30">
        <f>SUM(S1011:S1017)</f>
        <v>362.06</v>
      </c>
      <c r="J1018" s="29">
        <f>[1]Source!AU977</f>
        <v>48</v>
      </c>
      <c r="K1018" s="30">
        <f>SUM(T1011:T1017)</f>
        <v>20402.3</v>
      </c>
    </row>
    <row r="1019" spans="1:29" ht="14.4" hidden="1" x14ac:dyDescent="0.25">
      <c r="A1019" s="34"/>
      <c r="B1019" s="34"/>
      <c r="C1019" s="34" t="s">
        <v>45</v>
      </c>
      <c r="D1019" s="35" t="s">
        <v>46</v>
      </c>
      <c r="E1019" s="36">
        <f>[1]Source!AQ976</f>
        <v>26.16</v>
      </c>
      <c r="F1019" s="37"/>
      <c r="G1019" s="38" t="s">
        <v>37</v>
      </c>
      <c r="H1019" s="36">
        <f>[1]Source!AV977</f>
        <v>1.087</v>
      </c>
      <c r="I1019" s="37">
        <f>[1]Source!U976</f>
        <v>61.21684857599999</v>
      </c>
      <c r="J1019" s="36"/>
      <c r="K1019" s="37"/>
    </row>
    <row r="1020" spans="1:29" ht="13.8" hidden="1" x14ac:dyDescent="0.25">
      <c r="C1020" s="39" t="s">
        <v>47</v>
      </c>
      <c r="H1020" s="40">
        <f>I1013+I1014+I1017+I1018+SUM(I1016:I1016)-SUMIF(AC1016:AC1016, 5, I1016:I1016)-SUMIF(AC1016:AC1016, 6, I1016:I1016)</f>
        <v>36498.550000000003</v>
      </c>
      <c r="I1020" s="40"/>
      <c r="J1020" s="40">
        <f>K1013+K1014+K1017+K1018+SUM(K1016:K1016)-SUMIF(AC1016:AC1016, 5, K1016:K1016)-SUMIF(AC1016:AC1016, 6, K1016:K1016)</f>
        <v>357531.7</v>
      </c>
      <c r="K1020" s="40"/>
    </row>
    <row r="1021" spans="1:29" ht="13.8" hidden="1" x14ac:dyDescent="0.25">
      <c r="C1021" s="39" t="s">
        <v>48</v>
      </c>
      <c r="H1021" s="41">
        <f>SUMIF(AC1016:AC1016, 5, I1016:I1016)+SUMIF(AC1016:AC1016, 6, I1016:I1016)</f>
        <v>0</v>
      </c>
      <c r="I1021" s="41"/>
      <c r="J1021" s="41">
        <f>SUMIF(AC1016:AC1016, 5, K1016:K1016)+SUMIF(AC1016:AC1016, 6, K1016:K1016)</f>
        <v>0</v>
      </c>
      <c r="K1021" s="41"/>
    </row>
    <row r="1022" spans="1:29" ht="13.8" hidden="1" x14ac:dyDescent="0.25">
      <c r="C1022" s="39" t="s">
        <v>49</v>
      </c>
      <c r="H1022" s="41">
        <f>I1013+I1014+I1017+I1018+SUM(I1016:I1016)</f>
        <v>36498.550000000003</v>
      </c>
      <c r="I1022" s="41"/>
      <c r="J1022" s="41">
        <f>K1013+K1014+K1017+K1018+SUM(K1016:K1016)</f>
        <v>357531.7</v>
      </c>
      <c r="K1022" s="41"/>
      <c r="O1022" s="42">
        <f>I1013+I1014+I1017+I1018+SUM(I1016:I1016)</f>
        <v>36498.550000000003</v>
      </c>
      <c r="P1022" s="42">
        <f>K1013+K1014+K1017+K1018+SUM(K1016:K1016)</f>
        <v>357531.7</v>
      </c>
    </row>
    <row r="1023" spans="1:29" hidden="1" x14ac:dyDescent="0.25"/>
    <row r="1024" spans="1:29" ht="100.8" hidden="1" x14ac:dyDescent="0.25">
      <c r="A1024" s="27">
        <v>76</v>
      </c>
      <c r="B1024" s="27" t="str">
        <f>[1]Source!F980</f>
        <v>3.12-17-7</v>
      </c>
      <c r="C1024" s="27" t="s">
        <v>208</v>
      </c>
      <c r="D1024" s="28" t="str">
        <f>[1]Source!H980</f>
        <v>100 м2 утепляемого покрытия</v>
      </c>
      <c r="E1024" s="29">
        <f>[1]Source!I980</f>
        <v>1.56</v>
      </c>
      <c r="F1024" s="30"/>
      <c r="G1024" s="31"/>
      <c r="H1024" s="29"/>
      <c r="I1024" s="30"/>
      <c r="J1024" s="29"/>
      <c r="K1024" s="30"/>
      <c r="Q1024">
        <f>[1]Source!X980</f>
        <v>416.76</v>
      </c>
      <c r="R1024">
        <f>[1]Source!X981</f>
        <v>23484.68</v>
      </c>
      <c r="S1024">
        <f>[1]Source!Y980</f>
        <v>204.13</v>
      </c>
      <c r="T1024">
        <f>[1]Source!Y981</f>
        <v>11502.7</v>
      </c>
      <c r="U1024">
        <f>ROUND((175/100)*ROUND([1]Source!R980, 2), 2)</f>
        <v>24.26</v>
      </c>
      <c r="V1024">
        <f>ROUND((0/100)*ROUND([1]Source!R981, 2), 2)</f>
        <v>0</v>
      </c>
      <c r="AC1024">
        <v>0</v>
      </c>
    </row>
    <row r="1025" spans="1:29" hidden="1" x14ac:dyDescent="0.25">
      <c r="C1025" s="32" t="str">
        <f>"Объем: "&amp;[1]Source!I980&amp;"=156/"&amp;"100"</f>
        <v>Объем: 1,56=156/100</v>
      </c>
    </row>
    <row r="1026" spans="1:29" ht="14.4" hidden="1" x14ac:dyDescent="0.25">
      <c r="A1026" s="27"/>
      <c r="B1026" s="27"/>
      <c r="C1026" s="27" t="s">
        <v>36</v>
      </c>
      <c r="D1026" s="28"/>
      <c r="E1026" s="29"/>
      <c r="F1026" s="30">
        <f>[1]Source!AO980</f>
        <v>175.81</v>
      </c>
      <c r="G1026" s="31" t="s">
        <v>37</v>
      </c>
      <c r="H1026" s="29">
        <f>[1]Source!AV981</f>
        <v>1.087</v>
      </c>
      <c r="I1026" s="30">
        <f>[1]Source!S980</f>
        <v>411.41</v>
      </c>
      <c r="J1026" s="29">
        <f>IF([1]Source!BA981&lt;&gt; 0, [1]Source!BA981, 1)</f>
        <v>56.35</v>
      </c>
      <c r="K1026" s="30">
        <f>[1]Source!S981</f>
        <v>23182.95</v>
      </c>
    </row>
    <row r="1027" spans="1:29" ht="14.4" hidden="1" x14ac:dyDescent="0.25">
      <c r="A1027" s="27"/>
      <c r="B1027" s="27"/>
      <c r="C1027" s="27" t="s">
        <v>38</v>
      </c>
      <c r="D1027" s="28"/>
      <c r="E1027" s="29"/>
      <c r="F1027" s="30">
        <f>[1]Source!AM980</f>
        <v>50.09</v>
      </c>
      <c r="G1027" s="31" t="s">
        <v>39</v>
      </c>
      <c r="H1027" s="29">
        <f>[1]Source!AV981</f>
        <v>1.087</v>
      </c>
      <c r="I1027" s="30">
        <f>[1]Source!Q980</f>
        <v>127.41</v>
      </c>
      <c r="J1027" s="29">
        <f>IF([1]Source!BB981&lt;&gt; 0, [1]Source!BB981, 1)</f>
        <v>15.09</v>
      </c>
      <c r="K1027" s="30">
        <f>[1]Source!Q981</f>
        <v>1922.62</v>
      </c>
    </row>
    <row r="1028" spans="1:29" ht="14.4" hidden="1" x14ac:dyDescent="0.25">
      <c r="A1028" s="27"/>
      <c r="B1028" s="27"/>
      <c r="C1028" s="27" t="s">
        <v>40</v>
      </c>
      <c r="D1028" s="28"/>
      <c r="E1028" s="29"/>
      <c r="F1028" s="30">
        <f>[1]Source!AN980</f>
        <v>5.45</v>
      </c>
      <c r="G1028" s="31" t="s">
        <v>39</v>
      </c>
      <c r="H1028" s="29">
        <f>[1]Source!AV981</f>
        <v>1.087</v>
      </c>
      <c r="I1028" s="33">
        <f>[1]Source!R980</f>
        <v>13.86</v>
      </c>
      <c r="J1028" s="29">
        <f>IF([1]Source!BS981&lt;&gt; 0, [1]Source!BS981, 1)</f>
        <v>56.35</v>
      </c>
      <c r="K1028" s="33">
        <f>[1]Source!R981</f>
        <v>781.01</v>
      </c>
    </row>
    <row r="1029" spans="1:29" ht="138" hidden="1" x14ac:dyDescent="0.25">
      <c r="A1029" s="27" t="s">
        <v>237</v>
      </c>
      <c r="B1029" s="27" t="str">
        <f>[1]Source!F982</f>
        <v>1.1-1-2922</v>
      </c>
      <c r="C1029" s="27" t="s">
        <v>81</v>
      </c>
      <c r="D1029" s="28" t="str">
        <f>[1]Source!H982</f>
        <v>м3</v>
      </c>
      <c r="E1029" s="29">
        <f>[1]Source!I982</f>
        <v>15.600000000000001</v>
      </c>
      <c r="F1029" s="30">
        <f>[1]Source!AK982</f>
        <v>1245.78</v>
      </c>
      <c r="G1029" s="43" t="s">
        <v>54</v>
      </c>
      <c r="H1029" s="29">
        <f>[1]Source!AW983</f>
        <v>1.0009999999999999</v>
      </c>
      <c r="I1029" s="30">
        <f>[1]Source!O982</f>
        <v>19453.599999999999</v>
      </c>
      <c r="J1029" s="29">
        <f>IF([1]Source!BC983&lt;&gt; 0, [1]Source!BC983, 1)</f>
        <v>6.23</v>
      </c>
      <c r="K1029" s="30">
        <f>[1]Source!O983</f>
        <v>121195.93</v>
      </c>
      <c r="Q1029">
        <f>[1]Source!X982</f>
        <v>0</v>
      </c>
      <c r="R1029">
        <f>[1]Source!X983</f>
        <v>0</v>
      </c>
      <c r="S1029">
        <f>[1]Source!Y982</f>
        <v>0</v>
      </c>
      <c r="T1029">
        <f>[1]Source!Y983</f>
        <v>0</v>
      </c>
      <c r="U1029">
        <f>ROUND((175/100)*ROUND([1]Source!R982, 2), 2)</f>
        <v>0</v>
      </c>
      <c r="V1029">
        <f>ROUND((0/100)*ROUND([1]Source!R983, 2), 2)</f>
        <v>0</v>
      </c>
      <c r="AC1029">
        <v>3</v>
      </c>
    </row>
    <row r="1030" spans="1:29" ht="14.4" hidden="1" x14ac:dyDescent="0.25">
      <c r="A1030" s="27"/>
      <c r="B1030" s="27"/>
      <c r="C1030" s="27" t="s">
        <v>42</v>
      </c>
      <c r="D1030" s="28" t="s">
        <v>43</v>
      </c>
      <c r="E1030" s="29">
        <f>[1]Source!BZ981</f>
        <v>98</v>
      </c>
      <c r="F1030" s="30"/>
      <c r="G1030" s="31"/>
      <c r="H1030" s="29"/>
      <c r="I1030" s="30">
        <f>SUM(Q1024:Q1029)</f>
        <v>416.76</v>
      </c>
      <c r="J1030" s="29">
        <f>[1]Source!AT981</f>
        <v>98</v>
      </c>
      <c r="K1030" s="30">
        <f>SUM(R1024:R1029)</f>
        <v>23484.68</v>
      </c>
    </row>
    <row r="1031" spans="1:29" ht="14.4" hidden="1" x14ac:dyDescent="0.25">
      <c r="A1031" s="27"/>
      <c r="B1031" s="27"/>
      <c r="C1031" s="27" t="s">
        <v>44</v>
      </c>
      <c r="D1031" s="28" t="s">
        <v>43</v>
      </c>
      <c r="E1031" s="29">
        <f>[1]Source!CA981</f>
        <v>48</v>
      </c>
      <c r="F1031" s="30"/>
      <c r="G1031" s="31"/>
      <c r="H1031" s="29"/>
      <c r="I1031" s="30">
        <f>SUM(S1024:S1030)</f>
        <v>204.13</v>
      </c>
      <c r="J1031" s="29">
        <f>[1]Source!AU981</f>
        <v>48</v>
      </c>
      <c r="K1031" s="30">
        <f>SUM(T1024:T1030)</f>
        <v>11502.7</v>
      </c>
    </row>
    <row r="1032" spans="1:29" ht="14.4" hidden="1" x14ac:dyDescent="0.25">
      <c r="A1032" s="34"/>
      <c r="B1032" s="34"/>
      <c r="C1032" s="34" t="s">
        <v>45</v>
      </c>
      <c r="D1032" s="35" t="s">
        <v>46</v>
      </c>
      <c r="E1032" s="36">
        <f>[1]Source!AQ980</f>
        <v>14.7</v>
      </c>
      <c r="F1032" s="37"/>
      <c r="G1032" s="38" t="s">
        <v>37</v>
      </c>
      <c r="H1032" s="36">
        <f>[1]Source!AV981</f>
        <v>1.087</v>
      </c>
      <c r="I1032" s="37">
        <f>[1]Source!U980</f>
        <v>34.399375919999997</v>
      </c>
      <c r="J1032" s="36"/>
      <c r="K1032" s="37"/>
    </row>
    <row r="1033" spans="1:29" ht="13.8" hidden="1" x14ac:dyDescent="0.25">
      <c r="C1033" s="39" t="s">
        <v>47</v>
      </c>
      <c r="H1033" s="40">
        <f>I1026+I1027+I1030+I1031+SUM(I1029:I1029)-SUMIF(AC1029:AC1029, 5, I1029:I1029)-SUMIF(AC1029:AC1029, 6, I1029:I1029)</f>
        <v>20613.309999999998</v>
      </c>
      <c r="I1033" s="40"/>
      <c r="J1033" s="40">
        <f>K1026+K1027+K1030+K1031+SUM(K1029:K1029)-SUMIF(AC1029:AC1029, 5, K1029:K1029)-SUMIF(AC1029:AC1029, 6, K1029:K1029)</f>
        <v>181288.88</v>
      </c>
      <c r="K1033" s="40"/>
    </row>
    <row r="1034" spans="1:29" ht="13.8" hidden="1" x14ac:dyDescent="0.25">
      <c r="C1034" s="39" t="s">
        <v>48</v>
      </c>
      <c r="H1034" s="41">
        <f>SUMIF(AC1029:AC1029, 5, I1029:I1029)+SUMIF(AC1029:AC1029, 6, I1029:I1029)</f>
        <v>0</v>
      </c>
      <c r="I1034" s="41"/>
      <c r="J1034" s="41">
        <f>SUMIF(AC1029:AC1029, 5, K1029:K1029)+SUMIF(AC1029:AC1029, 6, K1029:K1029)</f>
        <v>0</v>
      </c>
      <c r="K1034" s="41"/>
    </row>
    <row r="1035" spans="1:29" ht="13.8" hidden="1" x14ac:dyDescent="0.25">
      <c r="C1035" s="39" t="s">
        <v>49</v>
      </c>
      <c r="H1035" s="41">
        <f>I1026+I1027+I1030+I1031+SUM(I1029:I1029)</f>
        <v>20613.309999999998</v>
      </c>
      <c r="I1035" s="41"/>
      <c r="J1035" s="41">
        <f>K1026+K1027+K1030+K1031+SUM(K1029:K1029)</f>
        <v>181288.88</v>
      </c>
      <c r="K1035" s="41"/>
      <c r="O1035" s="42">
        <f>I1026+I1027+I1030+I1031+SUM(I1029:I1029)</f>
        <v>20613.309999999998</v>
      </c>
      <c r="P1035" s="42">
        <f>K1026+K1027+K1030+K1031+SUM(K1029:K1029)</f>
        <v>181288.88</v>
      </c>
    </row>
    <row r="1036" spans="1:29" hidden="1" x14ac:dyDescent="0.25"/>
    <row r="1037" spans="1:29" ht="115.2" hidden="1" x14ac:dyDescent="0.25">
      <c r="A1037" s="27">
        <v>77</v>
      </c>
      <c r="B1037" s="27" t="str">
        <f>[1]Source!F984</f>
        <v>3.12-19-3</v>
      </c>
      <c r="C1037" s="27" t="s">
        <v>202</v>
      </c>
      <c r="D1037" s="28" t="str">
        <f>[1]Source!H984</f>
        <v>100 м2 изолируемой поверхности</v>
      </c>
      <c r="E1037" s="29">
        <f>[1]Source!I984</f>
        <v>1.56</v>
      </c>
      <c r="F1037" s="30"/>
      <c r="G1037" s="31"/>
      <c r="H1037" s="29"/>
      <c r="I1037" s="30"/>
      <c r="J1037" s="29"/>
      <c r="K1037" s="30"/>
      <c r="Q1037">
        <f>[1]Source!X984</f>
        <v>189.38</v>
      </c>
      <c r="R1037">
        <f>[1]Source!X985</f>
        <v>10671.29</v>
      </c>
      <c r="S1037">
        <f>[1]Source!Y984</f>
        <v>92.76</v>
      </c>
      <c r="T1037">
        <f>[1]Source!Y985</f>
        <v>5226.75</v>
      </c>
      <c r="U1037">
        <f>ROUND((175/100)*ROUND([1]Source!R984, 2), 2)</f>
        <v>3.96</v>
      </c>
      <c r="V1037">
        <f>ROUND((0/100)*ROUND([1]Source!R985, 2), 2)</f>
        <v>0</v>
      </c>
      <c r="AC1037">
        <v>0</v>
      </c>
    </row>
    <row r="1038" spans="1:29" hidden="1" x14ac:dyDescent="0.25">
      <c r="C1038" s="32" t="str">
        <f>"Объем: "&amp;[1]Source!I984&amp;"=156/"&amp;"100"</f>
        <v>Объем: 1,56=156/100</v>
      </c>
    </row>
    <row r="1039" spans="1:29" ht="14.4" hidden="1" x14ac:dyDescent="0.25">
      <c r="A1039" s="27"/>
      <c r="B1039" s="27"/>
      <c r="C1039" s="27" t="s">
        <v>36</v>
      </c>
      <c r="D1039" s="28"/>
      <c r="E1039" s="29"/>
      <c r="F1039" s="30">
        <f>[1]Source!AO984</f>
        <v>81.61</v>
      </c>
      <c r="G1039" s="31" t="s">
        <v>37</v>
      </c>
      <c r="H1039" s="29">
        <f>[1]Source!AV985</f>
        <v>1.087</v>
      </c>
      <c r="I1039" s="30">
        <f>[1]Source!S984</f>
        <v>190.98</v>
      </c>
      <c r="J1039" s="29">
        <f>IF([1]Source!BA985&lt;&gt; 0, [1]Source!BA985, 1)</f>
        <v>56.35</v>
      </c>
      <c r="K1039" s="30">
        <f>[1]Source!S985</f>
        <v>10761.72</v>
      </c>
    </row>
    <row r="1040" spans="1:29" ht="14.4" hidden="1" x14ac:dyDescent="0.25">
      <c r="A1040" s="27"/>
      <c r="B1040" s="27"/>
      <c r="C1040" s="27" t="s">
        <v>38</v>
      </c>
      <c r="D1040" s="28"/>
      <c r="E1040" s="29"/>
      <c r="F1040" s="30">
        <f>[1]Source!AM984</f>
        <v>12.92</v>
      </c>
      <c r="G1040" s="31" t="s">
        <v>39</v>
      </c>
      <c r="H1040" s="29">
        <f>[1]Source!AV985</f>
        <v>1.087</v>
      </c>
      <c r="I1040" s="30">
        <f>[1]Source!Q984</f>
        <v>32.86</v>
      </c>
      <c r="J1040" s="29">
        <f>IF([1]Source!BB985&lt;&gt; 0, [1]Source!BB985, 1)</f>
        <v>14.38</v>
      </c>
      <c r="K1040" s="30">
        <f>[1]Source!Q985</f>
        <v>472.53</v>
      </c>
    </row>
    <row r="1041" spans="1:29" ht="14.4" hidden="1" x14ac:dyDescent="0.25">
      <c r="A1041" s="27"/>
      <c r="B1041" s="27"/>
      <c r="C1041" s="27" t="s">
        <v>40</v>
      </c>
      <c r="D1041" s="28"/>
      <c r="E1041" s="29"/>
      <c r="F1041" s="30">
        <f>[1]Source!AN984</f>
        <v>0.89</v>
      </c>
      <c r="G1041" s="31" t="s">
        <v>39</v>
      </c>
      <c r="H1041" s="29">
        <f>[1]Source!AV985</f>
        <v>1.087</v>
      </c>
      <c r="I1041" s="33">
        <f>[1]Source!R984</f>
        <v>2.2599999999999998</v>
      </c>
      <c r="J1041" s="29">
        <f>IF([1]Source!BS985&lt;&gt; 0, [1]Source!BS985, 1)</f>
        <v>56.35</v>
      </c>
      <c r="K1041" s="33">
        <f>[1]Source!R985</f>
        <v>127.35</v>
      </c>
    </row>
    <row r="1042" spans="1:29" ht="14.4" hidden="1" x14ac:dyDescent="0.25">
      <c r="A1042" s="27"/>
      <c r="B1042" s="27"/>
      <c r="C1042" s="27" t="s">
        <v>41</v>
      </c>
      <c r="D1042" s="28"/>
      <c r="E1042" s="29"/>
      <c r="F1042" s="30">
        <f>[1]Source!AL984</f>
        <v>196.02</v>
      </c>
      <c r="G1042" s="31"/>
      <c r="H1042" s="29">
        <f>[1]Source!AW985</f>
        <v>1.0009999999999999</v>
      </c>
      <c r="I1042" s="30">
        <f>[1]Source!P984</f>
        <v>306.10000000000002</v>
      </c>
      <c r="J1042" s="29">
        <f>IF([1]Source!BC985&lt;&gt; 0, [1]Source!BC985, 1)</f>
        <v>14.8</v>
      </c>
      <c r="K1042" s="30">
        <f>[1]Source!P985</f>
        <v>4530.28</v>
      </c>
    </row>
    <row r="1043" spans="1:29" ht="27.6" hidden="1" x14ac:dyDescent="0.25">
      <c r="A1043" s="27" t="s">
        <v>238</v>
      </c>
      <c r="B1043" s="27" t="str">
        <f>[1]Source!F986</f>
        <v>1.1-1-764</v>
      </c>
      <c r="C1043" s="27" t="s">
        <v>211</v>
      </c>
      <c r="D1043" s="28" t="str">
        <f>[1]Source!H986</f>
        <v>м2</v>
      </c>
      <c r="E1043" s="29">
        <f>[1]Source!I986</f>
        <v>171.6</v>
      </c>
      <c r="F1043" s="30">
        <f>[1]Source!AK986</f>
        <v>5.5</v>
      </c>
      <c r="G1043" s="43" t="s">
        <v>54</v>
      </c>
      <c r="H1043" s="29">
        <f>[1]Source!AW987</f>
        <v>1.0009999999999999</v>
      </c>
      <c r="I1043" s="30">
        <f>[1]Source!O986</f>
        <v>944.74</v>
      </c>
      <c r="J1043" s="29">
        <f>IF([1]Source!BC987&lt;&gt; 0, [1]Source!BC987, 1)</f>
        <v>3.24</v>
      </c>
      <c r="K1043" s="30">
        <f>[1]Source!O987</f>
        <v>3060.96</v>
      </c>
      <c r="Q1043">
        <f>[1]Source!X986</f>
        <v>0</v>
      </c>
      <c r="R1043">
        <f>[1]Source!X987</f>
        <v>0</v>
      </c>
      <c r="S1043">
        <f>[1]Source!Y986</f>
        <v>0</v>
      </c>
      <c r="T1043">
        <f>[1]Source!Y987</f>
        <v>0</v>
      </c>
      <c r="U1043">
        <f>ROUND((175/100)*ROUND([1]Source!R986, 2), 2)</f>
        <v>0</v>
      </c>
      <c r="V1043">
        <f>ROUND((0/100)*ROUND([1]Source!R987, 2), 2)</f>
        <v>0</v>
      </c>
      <c r="AC1043">
        <v>3</v>
      </c>
    </row>
    <row r="1044" spans="1:29" ht="14.4" hidden="1" x14ac:dyDescent="0.25">
      <c r="A1044" s="27"/>
      <c r="B1044" s="27"/>
      <c r="C1044" s="27" t="s">
        <v>42</v>
      </c>
      <c r="D1044" s="28" t="s">
        <v>43</v>
      </c>
      <c r="E1044" s="29">
        <f>[1]Source!BZ985</f>
        <v>98</v>
      </c>
      <c r="F1044" s="30"/>
      <c r="G1044" s="31"/>
      <c r="H1044" s="29"/>
      <c r="I1044" s="30">
        <f>SUM(Q1037:Q1043)</f>
        <v>189.38</v>
      </c>
      <c r="J1044" s="29">
        <f>[1]Source!AT985</f>
        <v>98</v>
      </c>
      <c r="K1044" s="30">
        <f>SUM(R1037:R1043)</f>
        <v>10671.29</v>
      </c>
    </row>
    <row r="1045" spans="1:29" ht="14.4" hidden="1" x14ac:dyDescent="0.25">
      <c r="A1045" s="27"/>
      <c r="B1045" s="27"/>
      <c r="C1045" s="27" t="s">
        <v>44</v>
      </c>
      <c r="D1045" s="28" t="s">
        <v>43</v>
      </c>
      <c r="E1045" s="29">
        <f>[1]Source!CA985</f>
        <v>48</v>
      </c>
      <c r="F1045" s="30"/>
      <c r="G1045" s="31"/>
      <c r="H1045" s="29"/>
      <c r="I1045" s="30">
        <f>SUM(S1037:S1044)</f>
        <v>92.76</v>
      </c>
      <c r="J1045" s="29">
        <f>[1]Source!AU985</f>
        <v>48</v>
      </c>
      <c r="K1045" s="30">
        <f>SUM(T1037:T1044)</f>
        <v>5226.75</v>
      </c>
    </row>
    <row r="1046" spans="1:29" ht="14.4" hidden="1" x14ac:dyDescent="0.25">
      <c r="A1046" s="34"/>
      <c r="B1046" s="34"/>
      <c r="C1046" s="34" t="s">
        <v>45</v>
      </c>
      <c r="D1046" s="35" t="s">
        <v>46</v>
      </c>
      <c r="E1046" s="36">
        <f>[1]Source!AQ984</f>
        <v>6.94</v>
      </c>
      <c r="F1046" s="37"/>
      <c r="G1046" s="38" t="s">
        <v>37</v>
      </c>
      <c r="H1046" s="36">
        <f>[1]Source!AV985</f>
        <v>1.087</v>
      </c>
      <c r="I1046" s="37">
        <f>[1]Source!U984</f>
        <v>16.240249584000001</v>
      </c>
      <c r="J1046" s="36"/>
      <c r="K1046" s="37"/>
    </row>
    <row r="1047" spans="1:29" ht="13.8" hidden="1" x14ac:dyDescent="0.25">
      <c r="C1047" s="39" t="s">
        <v>47</v>
      </c>
      <c r="H1047" s="40">
        <f>I1039+I1040+I1042+I1044+I1045+SUM(I1043:I1043)-SUMIF(AC1043:AC1043, 5, I1043:I1043)-SUMIF(AC1043:AC1043, 6, I1043:I1043)</f>
        <v>1756.8200000000002</v>
      </c>
      <c r="I1047" s="40"/>
      <c r="J1047" s="40">
        <f>K1039+K1040+K1042+K1044+K1045+SUM(K1043:K1043)-SUMIF(AC1043:AC1043, 5, K1043:K1043)-SUMIF(AC1043:AC1043, 6, K1043:K1043)</f>
        <v>34723.53</v>
      </c>
      <c r="K1047" s="40"/>
    </row>
    <row r="1048" spans="1:29" ht="13.8" hidden="1" x14ac:dyDescent="0.25">
      <c r="C1048" s="39" t="s">
        <v>48</v>
      </c>
      <c r="H1048" s="41">
        <f>SUMIF(AC1043:AC1043, 5, I1043:I1043)+SUMIF(AC1043:AC1043, 6, I1043:I1043)</f>
        <v>0</v>
      </c>
      <c r="I1048" s="41"/>
      <c r="J1048" s="41">
        <f>SUMIF(AC1043:AC1043, 5, K1043:K1043)+SUMIF(AC1043:AC1043, 6, K1043:K1043)</f>
        <v>0</v>
      </c>
      <c r="K1048" s="41"/>
    </row>
    <row r="1049" spans="1:29" ht="13.8" hidden="1" x14ac:dyDescent="0.25">
      <c r="C1049" s="39" t="s">
        <v>49</v>
      </c>
      <c r="H1049" s="41">
        <f>I1039+I1040+I1042+I1044+I1045+SUM(I1043:I1043)</f>
        <v>1756.8200000000002</v>
      </c>
      <c r="I1049" s="41"/>
      <c r="J1049" s="41">
        <f>K1039+K1040+K1042+K1044+K1045+SUM(K1043:K1043)</f>
        <v>34723.53</v>
      </c>
      <c r="K1049" s="41"/>
      <c r="O1049" s="42">
        <f>I1039+I1040+I1042+I1044+I1045+SUM(I1043:I1043)</f>
        <v>1756.8200000000002</v>
      </c>
      <c r="P1049" s="42">
        <f>K1039+K1040+K1042+K1044+K1045+SUM(K1043:K1043)</f>
        <v>34723.53</v>
      </c>
    </row>
    <row r="1050" spans="1:29" hidden="1" x14ac:dyDescent="0.25"/>
    <row r="1051" spans="1:29" ht="57.6" hidden="1" x14ac:dyDescent="0.25">
      <c r="A1051" s="27">
        <v>78</v>
      </c>
      <c r="B1051" s="27" t="str">
        <f>[1]Source!F988</f>
        <v>3.12-18-1</v>
      </c>
      <c r="C1051" s="27" t="s">
        <v>212</v>
      </c>
      <c r="D1051" s="28" t="str">
        <f>[1]Source!H988</f>
        <v>1 м3 утеплителя</v>
      </c>
      <c r="E1051" s="29">
        <f>[1]Source!I988</f>
        <v>25.74</v>
      </c>
      <c r="F1051" s="30"/>
      <c r="G1051" s="31"/>
      <c r="H1051" s="29"/>
      <c r="I1051" s="30"/>
      <c r="J1051" s="29"/>
      <c r="K1051" s="30"/>
      <c r="Q1051">
        <f>[1]Source!X988</f>
        <v>1162.3599999999999</v>
      </c>
      <c r="R1051">
        <f>[1]Source!X989</f>
        <v>65498.9</v>
      </c>
      <c r="S1051">
        <f>[1]Source!Y988</f>
        <v>569.32000000000005</v>
      </c>
      <c r="T1051">
        <f>[1]Source!Y989</f>
        <v>32081.09</v>
      </c>
      <c r="U1051">
        <f>ROUND((175/100)*ROUND([1]Source!R988, 2), 2)</f>
        <v>235.03</v>
      </c>
      <c r="V1051">
        <f>ROUND((0/100)*ROUND([1]Source!R989, 2), 2)</f>
        <v>0</v>
      </c>
      <c r="AC1051">
        <v>0</v>
      </c>
    </row>
    <row r="1052" spans="1:29" hidden="1" x14ac:dyDescent="0.25">
      <c r="C1052" s="32" t="str">
        <f>"Объем: "&amp;[1]Source!I988&amp;"=156*"&amp;"0,165"</f>
        <v>Объем: 25,74=156*0,165</v>
      </c>
    </row>
    <row r="1053" spans="1:29" ht="14.4" hidden="1" x14ac:dyDescent="0.25">
      <c r="A1053" s="27"/>
      <c r="B1053" s="27"/>
      <c r="C1053" s="27" t="s">
        <v>36</v>
      </c>
      <c r="D1053" s="28"/>
      <c r="E1053" s="29"/>
      <c r="F1053" s="30">
        <f>[1]Source!AO988</f>
        <v>27.24</v>
      </c>
      <c r="G1053" s="31" t="s">
        <v>37</v>
      </c>
      <c r="H1053" s="29">
        <f>[1]Source!AV989</f>
        <v>1.087</v>
      </c>
      <c r="I1053" s="30">
        <f>[1]Source!S988</f>
        <v>1051.78</v>
      </c>
      <c r="J1053" s="29">
        <f>IF([1]Source!BA989&lt;&gt; 0, [1]Source!BA989, 1)</f>
        <v>56.35</v>
      </c>
      <c r="K1053" s="30">
        <f>[1]Source!S989</f>
        <v>59267.8</v>
      </c>
    </row>
    <row r="1054" spans="1:29" ht="14.4" hidden="1" x14ac:dyDescent="0.25">
      <c r="A1054" s="27"/>
      <c r="B1054" s="27"/>
      <c r="C1054" s="27" t="s">
        <v>38</v>
      </c>
      <c r="D1054" s="28"/>
      <c r="E1054" s="29"/>
      <c r="F1054" s="30">
        <f>[1]Source!AM988</f>
        <v>36.29</v>
      </c>
      <c r="G1054" s="31" t="s">
        <v>39</v>
      </c>
      <c r="H1054" s="29">
        <f>[1]Source!AV989</f>
        <v>1.087</v>
      </c>
      <c r="I1054" s="30">
        <f>[1]Source!Q988</f>
        <v>1523.06</v>
      </c>
      <c r="J1054" s="29">
        <f>IF([1]Source!BB989&lt;&gt; 0, [1]Source!BB989, 1)</f>
        <v>14.94</v>
      </c>
      <c r="K1054" s="30">
        <f>[1]Source!Q989</f>
        <v>22754.52</v>
      </c>
    </row>
    <row r="1055" spans="1:29" ht="14.4" hidden="1" x14ac:dyDescent="0.25">
      <c r="A1055" s="27"/>
      <c r="B1055" s="27"/>
      <c r="C1055" s="27" t="s">
        <v>40</v>
      </c>
      <c r="D1055" s="28"/>
      <c r="E1055" s="29"/>
      <c r="F1055" s="30">
        <f>[1]Source!AN988</f>
        <v>3.2</v>
      </c>
      <c r="G1055" s="31" t="s">
        <v>39</v>
      </c>
      <c r="H1055" s="29">
        <f>[1]Source!AV989</f>
        <v>1.087</v>
      </c>
      <c r="I1055" s="33">
        <f>[1]Source!R988</f>
        <v>134.30000000000001</v>
      </c>
      <c r="J1055" s="29">
        <f>IF([1]Source!BS989&lt;&gt; 0, [1]Source!BS989, 1)</f>
        <v>56.35</v>
      </c>
      <c r="K1055" s="33">
        <f>[1]Source!R989</f>
        <v>7567.81</v>
      </c>
    </row>
    <row r="1056" spans="1:29" ht="14.4" hidden="1" x14ac:dyDescent="0.25">
      <c r="A1056" s="27"/>
      <c r="B1056" s="27"/>
      <c r="C1056" s="27" t="s">
        <v>41</v>
      </c>
      <c r="D1056" s="28"/>
      <c r="E1056" s="29"/>
      <c r="F1056" s="30">
        <f>[1]Source!AL988</f>
        <v>363.75</v>
      </c>
      <c r="G1056" s="31"/>
      <c r="H1056" s="29">
        <f>[1]Source!AW989</f>
        <v>1.0009999999999999</v>
      </c>
      <c r="I1056" s="30">
        <f>[1]Source!P988</f>
        <v>9372.2900000000009</v>
      </c>
      <c r="J1056" s="29">
        <f>IF([1]Source!BC989&lt;&gt; 0, [1]Source!BC989, 1)</f>
        <v>5.69</v>
      </c>
      <c r="K1056" s="30">
        <f>[1]Source!P989</f>
        <v>53328.33</v>
      </c>
    </row>
    <row r="1057" spans="1:29" ht="14.4" hidden="1" x14ac:dyDescent="0.25">
      <c r="A1057" s="27"/>
      <c r="B1057" s="27"/>
      <c r="C1057" s="27" t="s">
        <v>42</v>
      </c>
      <c r="D1057" s="28" t="s">
        <v>43</v>
      </c>
      <c r="E1057" s="29">
        <f>[1]Source!BZ989</f>
        <v>98</v>
      </c>
      <c r="F1057" s="30"/>
      <c r="G1057" s="31"/>
      <c r="H1057" s="29"/>
      <c r="I1057" s="30">
        <f>SUM(Q1051:Q1056)</f>
        <v>1162.3599999999999</v>
      </c>
      <c r="J1057" s="29">
        <f>[1]Source!AT989</f>
        <v>98</v>
      </c>
      <c r="K1057" s="30">
        <f>SUM(R1051:R1056)</f>
        <v>65498.9</v>
      </c>
    </row>
    <row r="1058" spans="1:29" ht="14.4" hidden="1" x14ac:dyDescent="0.25">
      <c r="A1058" s="27"/>
      <c r="B1058" s="27"/>
      <c r="C1058" s="27" t="s">
        <v>44</v>
      </c>
      <c r="D1058" s="28" t="s">
        <v>43</v>
      </c>
      <c r="E1058" s="29">
        <f>[1]Source!CA989</f>
        <v>48</v>
      </c>
      <c r="F1058" s="30"/>
      <c r="G1058" s="31"/>
      <c r="H1058" s="29"/>
      <c r="I1058" s="30">
        <f>SUM(S1051:S1057)</f>
        <v>569.32000000000005</v>
      </c>
      <c r="J1058" s="29">
        <f>[1]Source!AU989</f>
        <v>48</v>
      </c>
      <c r="K1058" s="30">
        <f>SUM(T1051:T1057)</f>
        <v>32081.09</v>
      </c>
    </row>
    <row r="1059" spans="1:29" ht="14.4" hidden="1" x14ac:dyDescent="0.25">
      <c r="A1059" s="34"/>
      <c r="B1059" s="34"/>
      <c r="C1059" s="34" t="s">
        <v>45</v>
      </c>
      <c r="D1059" s="35" t="s">
        <v>46</v>
      </c>
      <c r="E1059" s="36">
        <f>[1]Source!AQ988</f>
        <v>2.71</v>
      </c>
      <c r="F1059" s="37"/>
      <c r="G1059" s="38" t="s">
        <v>37</v>
      </c>
      <c r="H1059" s="36">
        <f>[1]Source!AV989</f>
        <v>1.087</v>
      </c>
      <c r="I1059" s="37">
        <f>[1]Source!U988</f>
        <v>104.63728532399999</v>
      </c>
      <c r="J1059" s="36"/>
      <c r="K1059" s="37"/>
    </row>
    <row r="1060" spans="1:29" ht="13.8" hidden="1" x14ac:dyDescent="0.25">
      <c r="C1060" s="39" t="s">
        <v>47</v>
      </c>
      <c r="H1060" s="40">
        <f>I1053+I1054+I1056+I1057+I1058+0-0-0</f>
        <v>13678.810000000001</v>
      </c>
      <c r="I1060" s="40"/>
      <c r="J1060" s="40">
        <f>K1053+K1054+K1056+K1057+K1058+0-0-0</f>
        <v>232930.64</v>
      </c>
      <c r="K1060" s="40"/>
    </row>
    <row r="1061" spans="1:29" ht="13.8" hidden="1" x14ac:dyDescent="0.25">
      <c r="C1061" s="39" t="s">
        <v>48</v>
      </c>
      <c r="H1061" s="41">
        <f>0+0</f>
        <v>0</v>
      </c>
      <c r="I1061" s="41"/>
      <c r="J1061" s="41">
        <f>0+0</f>
        <v>0</v>
      </c>
      <c r="K1061" s="41"/>
    </row>
    <row r="1062" spans="1:29" ht="13.8" hidden="1" x14ac:dyDescent="0.25">
      <c r="C1062" s="39" t="s">
        <v>49</v>
      </c>
      <c r="H1062" s="41">
        <f>I1053+I1054+I1056+I1057+I1058+0</f>
        <v>13678.810000000001</v>
      </c>
      <c r="I1062" s="41"/>
      <c r="J1062" s="41">
        <f>K1053+K1054+K1056+K1057+K1058+0</f>
        <v>232930.64</v>
      </c>
      <c r="K1062" s="41"/>
      <c r="O1062" s="42">
        <f>I1053+I1054+I1056+I1057+I1058+0</f>
        <v>13678.810000000001</v>
      </c>
      <c r="P1062" s="42">
        <f>K1053+K1054+K1056+K1057+K1058+0</f>
        <v>232930.64</v>
      </c>
    </row>
    <row r="1063" spans="1:29" hidden="1" x14ac:dyDescent="0.25"/>
    <row r="1064" spans="1:29" ht="27.6" hidden="1" x14ac:dyDescent="0.25">
      <c r="A1064" s="27">
        <v>79</v>
      </c>
      <c r="B1064" s="27" t="str">
        <f>[1]Source!F990</f>
        <v>3.11-40-1</v>
      </c>
      <c r="C1064" s="27" t="s">
        <v>213</v>
      </c>
      <c r="D1064" s="28" t="str">
        <f>[1]Source!H990</f>
        <v>1 м3</v>
      </c>
      <c r="E1064" s="29">
        <f>[1]Source!I990</f>
        <v>25.74</v>
      </c>
      <c r="F1064" s="30"/>
      <c r="G1064" s="31"/>
      <c r="H1064" s="29"/>
      <c r="I1064" s="30"/>
      <c r="J1064" s="29"/>
      <c r="K1064" s="30"/>
      <c r="Q1064">
        <f>[1]Source!X990</f>
        <v>920.14</v>
      </c>
      <c r="R1064">
        <f>[1]Source!X991</f>
        <v>51849.91</v>
      </c>
      <c r="S1064">
        <f>[1]Source!Y990</f>
        <v>501.07</v>
      </c>
      <c r="T1064">
        <f>[1]Source!Y991</f>
        <v>28235.1</v>
      </c>
      <c r="U1064">
        <f>ROUND((175/100)*ROUND([1]Source!R990, 2), 2)</f>
        <v>102.59</v>
      </c>
      <c r="V1064">
        <f>ROUND((0/100)*ROUND([1]Source!R991, 2), 2)</f>
        <v>0</v>
      </c>
      <c r="AC1064">
        <v>0</v>
      </c>
    </row>
    <row r="1065" spans="1:29" ht="14.4" hidden="1" x14ac:dyDescent="0.25">
      <c r="A1065" s="27"/>
      <c r="B1065" s="27"/>
      <c r="C1065" s="27" t="s">
        <v>36</v>
      </c>
      <c r="D1065" s="28"/>
      <c r="E1065" s="29"/>
      <c r="F1065" s="30">
        <f>[1]Source!AO990</f>
        <v>22.92</v>
      </c>
      <c r="G1065" s="31" t="s">
        <v>37</v>
      </c>
      <c r="H1065" s="29">
        <f>[1]Source!AV991</f>
        <v>1.0469999999999999</v>
      </c>
      <c r="I1065" s="30">
        <f>[1]Source!S990</f>
        <v>852.41</v>
      </c>
      <c r="J1065" s="29">
        <f>IF([1]Source!BA991&lt;&gt; 0, [1]Source!BA991, 1)</f>
        <v>56.35</v>
      </c>
      <c r="K1065" s="30">
        <f>[1]Source!S991</f>
        <v>48033.3</v>
      </c>
    </row>
    <row r="1066" spans="1:29" ht="14.4" hidden="1" x14ac:dyDescent="0.25">
      <c r="A1066" s="27"/>
      <c r="B1066" s="27"/>
      <c r="C1066" s="27" t="s">
        <v>38</v>
      </c>
      <c r="D1066" s="28"/>
      <c r="E1066" s="29"/>
      <c r="F1066" s="30">
        <f>[1]Source!AM990</f>
        <v>2.14</v>
      </c>
      <c r="G1066" s="31" t="s">
        <v>39</v>
      </c>
      <c r="H1066" s="29">
        <f>[1]Source!AV991</f>
        <v>1.0469999999999999</v>
      </c>
      <c r="I1066" s="30">
        <f>[1]Source!Q990</f>
        <v>86.51</v>
      </c>
      <c r="J1066" s="29">
        <f>IF([1]Source!BB991&lt;&gt; 0, [1]Source!BB991, 1)</f>
        <v>46.17</v>
      </c>
      <c r="K1066" s="30">
        <f>[1]Source!Q991</f>
        <v>3994.17</v>
      </c>
    </row>
    <row r="1067" spans="1:29" ht="14.4" hidden="1" x14ac:dyDescent="0.25">
      <c r="A1067" s="27"/>
      <c r="B1067" s="27"/>
      <c r="C1067" s="27" t="s">
        <v>40</v>
      </c>
      <c r="D1067" s="28"/>
      <c r="E1067" s="29"/>
      <c r="F1067" s="30">
        <f>[1]Source!AN990</f>
        <v>1.45</v>
      </c>
      <c r="G1067" s="31" t="s">
        <v>39</v>
      </c>
      <c r="H1067" s="29">
        <f>[1]Source!AV991</f>
        <v>1.0469999999999999</v>
      </c>
      <c r="I1067" s="33">
        <f>[1]Source!R990</f>
        <v>58.62</v>
      </c>
      <c r="J1067" s="29">
        <f>IF([1]Source!BS991&lt;&gt; 0, [1]Source!BS991, 1)</f>
        <v>56.35</v>
      </c>
      <c r="K1067" s="33">
        <f>[1]Source!R991</f>
        <v>3303.24</v>
      </c>
    </row>
    <row r="1068" spans="1:29" ht="27.6" hidden="1" x14ac:dyDescent="0.25">
      <c r="A1068" s="27" t="s">
        <v>239</v>
      </c>
      <c r="B1068" s="27" t="str">
        <f>[1]Source!F992</f>
        <v>1.3-2-181</v>
      </c>
      <c r="C1068" s="27" t="s">
        <v>215</v>
      </c>
      <c r="D1068" s="28" t="str">
        <f>[1]Source!H992</f>
        <v>м3</v>
      </c>
      <c r="E1068" s="29">
        <f>[1]Source!I992</f>
        <v>11.583</v>
      </c>
      <c r="F1068" s="30">
        <f>[1]Source!AK992</f>
        <v>1653.47</v>
      </c>
      <c r="G1068" s="43" t="s">
        <v>54</v>
      </c>
      <c r="H1068" s="29">
        <f>[1]Source!AW993</f>
        <v>1</v>
      </c>
      <c r="I1068" s="30">
        <f>[1]Source!O992</f>
        <v>19152.14</v>
      </c>
      <c r="J1068" s="29">
        <f>IF([1]Source!BC993&lt;&gt; 0, [1]Source!BC993, 1)</f>
        <v>4.0599999999999996</v>
      </c>
      <c r="K1068" s="30">
        <f>[1]Source!O993</f>
        <v>77757.69</v>
      </c>
      <c r="Q1068">
        <f>[1]Source!X992</f>
        <v>0</v>
      </c>
      <c r="R1068">
        <f>[1]Source!X993</f>
        <v>0</v>
      </c>
      <c r="S1068">
        <f>[1]Source!Y992</f>
        <v>0</v>
      </c>
      <c r="T1068">
        <f>[1]Source!Y993</f>
        <v>0</v>
      </c>
      <c r="U1068">
        <f>ROUND((175/100)*ROUND([1]Source!R992, 2), 2)</f>
        <v>0</v>
      </c>
      <c r="V1068">
        <f>ROUND((0/100)*ROUND([1]Source!R993, 2), 2)</f>
        <v>0</v>
      </c>
      <c r="AC1068">
        <v>3</v>
      </c>
    </row>
    <row r="1069" spans="1:29" ht="14.4" hidden="1" x14ac:dyDescent="0.25">
      <c r="A1069" s="27"/>
      <c r="B1069" s="27"/>
      <c r="C1069" s="27" t="s">
        <v>42</v>
      </c>
      <c r="D1069" s="28" t="s">
        <v>43</v>
      </c>
      <c r="E1069" s="29">
        <f>[1]Source!BZ991</f>
        <v>101</v>
      </c>
      <c r="F1069" s="30"/>
      <c r="G1069" s="31"/>
      <c r="H1069" s="29"/>
      <c r="I1069" s="30">
        <f>SUM(Q1064:Q1068)</f>
        <v>920.14</v>
      </c>
      <c r="J1069" s="29">
        <f>[1]Source!AT991</f>
        <v>101</v>
      </c>
      <c r="K1069" s="30">
        <f>SUM(R1064:R1068)</f>
        <v>51849.91</v>
      </c>
    </row>
    <row r="1070" spans="1:29" ht="14.4" hidden="1" x14ac:dyDescent="0.25">
      <c r="A1070" s="27"/>
      <c r="B1070" s="27"/>
      <c r="C1070" s="27" t="s">
        <v>44</v>
      </c>
      <c r="D1070" s="28" t="s">
        <v>43</v>
      </c>
      <c r="E1070" s="29">
        <f>[1]Source!CA991</f>
        <v>55</v>
      </c>
      <c r="F1070" s="30"/>
      <c r="G1070" s="31"/>
      <c r="H1070" s="29"/>
      <c r="I1070" s="30">
        <f>SUM(S1064:S1069)</f>
        <v>501.07</v>
      </c>
      <c r="J1070" s="29">
        <f>[1]Source!AU991</f>
        <v>55</v>
      </c>
      <c r="K1070" s="30">
        <f>SUM(T1064:T1069)</f>
        <v>28235.1</v>
      </c>
    </row>
    <row r="1071" spans="1:29" ht="14.4" hidden="1" x14ac:dyDescent="0.25">
      <c r="A1071" s="34"/>
      <c r="B1071" s="34"/>
      <c r="C1071" s="34" t="s">
        <v>45</v>
      </c>
      <c r="D1071" s="35" t="s">
        <v>46</v>
      </c>
      <c r="E1071" s="36">
        <f>[1]Source!AQ990</f>
        <v>2.0499999999999998</v>
      </c>
      <c r="F1071" s="37"/>
      <c r="G1071" s="38" t="s">
        <v>37</v>
      </c>
      <c r="H1071" s="36">
        <f>[1]Source!AV991</f>
        <v>1.0469999999999999</v>
      </c>
      <c r="I1071" s="37">
        <f>[1]Source!U990</f>
        <v>76.240927619999965</v>
      </c>
      <c r="J1071" s="36"/>
      <c r="K1071" s="37"/>
    </row>
    <row r="1072" spans="1:29" ht="13.8" hidden="1" x14ac:dyDescent="0.25">
      <c r="C1072" s="39" t="s">
        <v>47</v>
      </c>
      <c r="H1072" s="40">
        <f>I1065+I1066+I1069+I1070+SUM(I1068:I1068)-SUMIF(AC1068:AC1068, 5, I1068:I1068)-SUMIF(AC1068:AC1068, 6, I1068:I1068)</f>
        <v>21512.27</v>
      </c>
      <c r="I1072" s="40"/>
      <c r="J1072" s="40">
        <f>K1065+K1066+K1069+K1070+SUM(K1068:K1068)-SUMIF(AC1068:AC1068, 5, K1068:K1068)-SUMIF(AC1068:AC1068, 6, K1068:K1068)</f>
        <v>209870.17</v>
      </c>
      <c r="K1072" s="40"/>
    </row>
    <row r="1073" spans="1:29" ht="13.8" hidden="1" x14ac:dyDescent="0.25">
      <c r="C1073" s="39" t="s">
        <v>48</v>
      </c>
      <c r="H1073" s="41">
        <f>SUMIF(AC1068:AC1068, 5, I1068:I1068)+SUMIF(AC1068:AC1068, 6, I1068:I1068)</f>
        <v>0</v>
      </c>
      <c r="I1073" s="41"/>
      <c r="J1073" s="41">
        <f>SUMIF(AC1068:AC1068, 5, K1068:K1068)+SUMIF(AC1068:AC1068, 6, K1068:K1068)</f>
        <v>0</v>
      </c>
      <c r="K1073" s="41"/>
    </row>
    <row r="1074" spans="1:29" ht="13.8" hidden="1" x14ac:dyDescent="0.25">
      <c r="C1074" s="39" t="s">
        <v>49</v>
      </c>
      <c r="H1074" s="41">
        <f>I1065+I1066+I1069+I1070+SUM(I1068:I1068)</f>
        <v>21512.27</v>
      </c>
      <c r="I1074" s="41"/>
      <c r="J1074" s="41">
        <f>K1065+K1066+K1069+K1070+SUM(K1068:K1068)</f>
        <v>209870.17</v>
      </c>
      <c r="K1074" s="41"/>
      <c r="O1074" s="42">
        <f>I1065+I1066+I1069+I1070+SUM(I1068:I1068)</f>
        <v>21512.27</v>
      </c>
      <c r="P1074" s="42">
        <f>K1065+K1066+K1069+K1070+SUM(K1068:K1068)</f>
        <v>209870.17</v>
      </c>
    </row>
    <row r="1075" spans="1:29" hidden="1" x14ac:dyDescent="0.25"/>
    <row r="1076" spans="1:29" ht="57.6" hidden="1" x14ac:dyDescent="0.25">
      <c r="A1076" s="27">
        <v>80</v>
      </c>
      <c r="B1076" s="27" t="str">
        <f>[1]Source!F994</f>
        <v>3.12-21-1</v>
      </c>
      <c r="C1076" s="27" t="s">
        <v>216</v>
      </c>
      <c r="D1076" s="28" t="str">
        <f>[1]Source!H994</f>
        <v>100 м2 стяжек</v>
      </c>
      <c r="E1076" s="29">
        <f>[1]Source!I994</f>
        <v>1.56</v>
      </c>
      <c r="F1076" s="30"/>
      <c r="G1076" s="31"/>
      <c r="H1076" s="29"/>
      <c r="I1076" s="30"/>
      <c r="J1076" s="29"/>
      <c r="K1076" s="30"/>
      <c r="Q1076">
        <f>[1]Source!X994</f>
        <v>580.11</v>
      </c>
      <c r="R1076">
        <f>[1]Source!X995</f>
        <v>32689.25</v>
      </c>
      <c r="S1076">
        <f>[1]Source!Y994</f>
        <v>284.14</v>
      </c>
      <c r="T1076">
        <f>[1]Source!Y995</f>
        <v>16011.06</v>
      </c>
      <c r="U1076">
        <f>ROUND((175/100)*ROUND([1]Source!R994, 2), 2)</f>
        <v>0</v>
      </c>
      <c r="V1076">
        <f>ROUND((0/100)*ROUND([1]Source!R995, 2), 2)</f>
        <v>0</v>
      </c>
      <c r="AC1076">
        <v>0</v>
      </c>
    </row>
    <row r="1077" spans="1:29" hidden="1" x14ac:dyDescent="0.25">
      <c r="C1077" s="32" t="str">
        <f>"Объем: "&amp;[1]Source!I994&amp;"=156/"&amp;"100"</f>
        <v>Объем: 1,56=156/100</v>
      </c>
    </row>
    <row r="1078" spans="1:29" ht="14.4" hidden="1" x14ac:dyDescent="0.25">
      <c r="A1078" s="27"/>
      <c r="B1078" s="27"/>
      <c r="C1078" s="27" t="s">
        <v>36</v>
      </c>
      <c r="D1078" s="28"/>
      <c r="E1078" s="29"/>
      <c r="F1078" s="30">
        <f>[1]Source!AO994</f>
        <v>252.96</v>
      </c>
      <c r="G1078" s="31" t="s">
        <v>37</v>
      </c>
      <c r="H1078" s="29">
        <f>[1]Source!AV995</f>
        <v>1.087</v>
      </c>
      <c r="I1078" s="30">
        <f>[1]Source!S994</f>
        <v>591.95000000000005</v>
      </c>
      <c r="J1078" s="29">
        <f>IF([1]Source!BA995&lt;&gt; 0, [1]Source!BA995, 1)</f>
        <v>56.35</v>
      </c>
      <c r="K1078" s="30">
        <f>[1]Source!S995</f>
        <v>33356.379999999997</v>
      </c>
    </row>
    <row r="1079" spans="1:29" ht="14.4" hidden="1" x14ac:dyDescent="0.25">
      <c r="A1079" s="27"/>
      <c r="B1079" s="27"/>
      <c r="C1079" s="27" t="s">
        <v>38</v>
      </c>
      <c r="D1079" s="28"/>
      <c r="E1079" s="29"/>
      <c r="F1079" s="30">
        <f>[1]Source!AM994</f>
        <v>22.76</v>
      </c>
      <c r="G1079" s="31" t="s">
        <v>39</v>
      </c>
      <c r="H1079" s="29">
        <f>[1]Source!AV995</f>
        <v>1.087</v>
      </c>
      <c r="I1079" s="30">
        <f>[1]Source!Q994</f>
        <v>57.89</v>
      </c>
      <c r="J1079" s="29">
        <f>IF([1]Source!BB995&lt;&gt; 0, [1]Source!BB995, 1)</f>
        <v>12.45</v>
      </c>
      <c r="K1079" s="30">
        <f>[1]Source!Q995</f>
        <v>720.73</v>
      </c>
    </row>
    <row r="1080" spans="1:29" ht="14.4" hidden="1" x14ac:dyDescent="0.25">
      <c r="A1080" s="27"/>
      <c r="B1080" s="27"/>
      <c r="C1080" s="27" t="s">
        <v>41</v>
      </c>
      <c r="D1080" s="28"/>
      <c r="E1080" s="29"/>
      <c r="F1080" s="30">
        <f>[1]Source!AL994</f>
        <v>27.22</v>
      </c>
      <c r="G1080" s="31"/>
      <c r="H1080" s="29">
        <f>[1]Source!AW995</f>
        <v>1.0009999999999999</v>
      </c>
      <c r="I1080" s="30">
        <f>[1]Source!P994</f>
        <v>42.51</v>
      </c>
      <c r="J1080" s="29">
        <f>IF([1]Source!BC995&lt;&gt; 0, [1]Source!BC995, 1)</f>
        <v>7.75</v>
      </c>
      <c r="K1080" s="30">
        <f>[1]Source!P995</f>
        <v>329.45</v>
      </c>
    </row>
    <row r="1081" spans="1:29" ht="27.6" hidden="1" x14ac:dyDescent="0.25">
      <c r="A1081" s="27" t="s">
        <v>240</v>
      </c>
      <c r="B1081" s="27" t="str">
        <f>[1]Source!F996</f>
        <v>1.3-2-6</v>
      </c>
      <c r="C1081" s="27" t="s">
        <v>149</v>
      </c>
      <c r="D1081" s="28" t="str">
        <f>[1]Source!H996</f>
        <v>м3</v>
      </c>
      <c r="E1081" s="29">
        <f>[1]Source!I996</f>
        <v>2.3868</v>
      </c>
      <c r="F1081" s="30">
        <f>[1]Source!AK996</f>
        <v>467.32</v>
      </c>
      <c r="G1081" s="43" t="s">
        <v>54</v>
      </c>
      <c r="H1081" s="29">
        <f>[1]Source!AW997</f>
        <v>1.0009999999999999</v>
      </c>
      <c r="I1081" s="30">
        <f>[1]Source!O996</f>
        <v>1116.51</v>
      </c>
      <c r="J1081" s="29">
        <f>IF([1]Source!BC997&lt;&gt; 0, [1]Source!BC997, 1)</f>
        <v>11.07</v>
      </c>
      <c r="K1081" s="30">
        <f>[1]Source!O997</f>
        <v>12359.77</v>
      </c>
      <c r="Q1081">
        <f>[1]Source!X996</f>
        <v>0</v>
      </c>
      <c r="R1081">
        <f>[1]Source!X997</f>
        <v>0</v>
      </c>
      <c r="S1081">
        <f>[1]Source!Y996</f>
        <v>0</v>
      </c>
      <c r="T1081">
        <f>[1]Source!Y997</f>
        <v>0</v>
      </c>
      <c r="U1081">
        <f>ROUND((175/100)*ROUND([1]Source!R996, 2), 2)</f>
        <v>0</v>
      </c>
      <c r="V1081">
        <f>ROUND((0/100)*ROUND([1]Source!R997, 2), 2)</f>
        <v>0</v>
      </c>
      <c r="AC1081">
        <v>3</v>
      </c>
    </row>
    <row r="1082" spans="1:29" ht="14.4" hidden="1" x14ac:dyDescent="0.25">
      <c r="A1082" s="27"/>
      <c r="B1082" s="27"/>
      <c r="C1082" s="27" t="s">
        <v>42</v>
      </c>
      <c r="D1082" s="28" t="s">
        <v>43</v>
      </c>
      <c r="E1082" s="29">
        <f>[1]Source!BZ995</f>
        <v>98</v>
      </c>
      <c r="F1082" s="30"/>
      <c r="G1082" s="31"/>
      <c r="H1082" s="29"/>
      <c r="I1082" s="30">
        <f>SUM(Q1076:Q1081)</f>
        <v>580.11</v>
      </c>
      <c r="J1082" s="29">
        <f>[1]Source!AT995</f>
        <v>98</v>
      </c>
      <c r="K1082" s="30">
        <f>SUM(R1076:R1081)</f>
        <v>32689.25</v>
      </c>
    </row>
    <row r="1083" spans="1:29" ht="14.4" hidden="1" x14ac:dyDescent="0.25">
      <c r="A1083" s="27"/>
      <c r="B1083" s="27"/>
      <c r="C1083" s="27" t="s">
        <v>44</v>
      </c>
      <c r="D1083" s="28" t="s">
        <v>43</v>
      </c>
      <c r="E1083" s="29">
        <f>[1]Source!CA995</f>
        <v>48</v>
      </c>
      <c r="F1083" s="30"/>
      <c r="G1083" s="31"/>
      <c r="H1083" s="29"/>
      <c r="I1083" s="30">
        <f>SUM(S1076:S1082)</f>
        <v>284.14</v>
      </c>
      <c r="J1083" s="29">
        <f>[1]Source!AU995</f>
        <v>48</v>
      </c>
      <c r="K1083" s="30">
        <f>SUM(T1076:T1082)</f>
        <v>16011.06</v>
      </c>
    </row>
    <row r="1084" spans="1:29" ht="14.4" hidden="1" x14ac:dyDescent="0.25">
      <c r="A1084" s="34"/>
      <c r="B1084" s="34"/>
      <c r="C1084" s="34" t="s">
        <v>45</v>
      </c>
      <c r="D1084" s="35" t="s">
        <v>46</v>
      </c>
      <c r="E1084" s="36">
        <f>[1]Source!AQ994</f>
        <v>24.3</v>
      </c>
      <c r="F1084" s="37"/>
      <c r="G1084" s="38" t="s">
        <v>37</v>
      </c>
      <c r="H1084" s="36">
        <f>[1]Source!AV995</f>
        <v>1.087</v>
      </c>
      <c r="I1084" s="37">
        <f>[1]Source!U994</f>
        <v>56.864274479999992</v>
      </c>
      <c r="J1084" s="36"/>
      <c r="K1084" s="37"/>
    </row>
    <row r="1085" spans="1:29" ht="13.8" hidden="1" x14ac:dyDescent="0.25">
      <c r="C1085" s="39" t="s">
        <v>47</v>
      </c>
      <c r="H1085" s="40">
        <f>I1078+I1079+I1080+I1082+I1083+SUM(I1081:I1081)-SUMIF(AC1081:AC1081, 5, I1081:I1081)-SUMIF(AC1081:AC1081, 6, I1081:I1081)</f>
        <v>2673.1099999999997</v>
      </c>
      <c r="I1085" s="40"/>
      <c r="J1085" s="40">
        <f>K1078+K1079+K1080+K1082+K1083+SUM(K1081:K1081)-SUMIF(AC1081:AC1081, 5, K1081:K1081)-SUMIF(AC1081:AC1081, 6, K1081:K1081)</f>
        <v>95466.64</v>
      </c>
      <c r="K1085" s="40"/>
    </row>
    <row r="1086" spans="1:29" ht="13.8" hidden="1" x14ac:dyDescent="0.25">
      <c r="C1086" s="39" t="s">
        <v>48</v>
      </c>
      <c r="H1086" s="41">
        <f>SUMIF(AC1081:AC1081, 5, I1081:I1081)+SUMIF(AC1081:AC1081, 6, I1081:I1081)</f>
        <v>0</v>
      </c>
      <c r="I1086" s="41"/>
      <c r="J1086" s="41">
        <f>SUMIF(AC1081:AC1081, 5, K1081:K1081)+SUMIF(AC1081:AC1081, 6, K1081:K1081)</f>
        <v>0</v>
      </c>
      <c r="K1086" s="41"/>
    </row>
    <row r="1087" spans="1:29" ht="13.8" hidden="1" x14ac:dyDescent="0.25">
      <c r="C1087" s="39" t="s">
        <v>49</v>
      </c>
      <c r="H1087" s="41">
        <f>I1078+I1079+I1080+I1082+I1083+SUM(I1081:I1081)</f>
        <v>2673.1099999999997</v>
      </c>
      <c r="I1087" s="41"/>
      <c r="J1087" s="41">
        <f>K1078+K1079+K1080+K1082+K1083+SUM(K1081:K1081)</f>
        <v>95466.64</v>
      </c>
      <c r="K1087" s="41"/>
      <c r="O1087" s="42">
        <f>I1078+I1079+I1080+I1082+I1083+SUM(I1081:I1081)</f>
        <v>2673.1099999999997</v>
      </c>
      <c r="P1087" s="42">
        <f>K1078+K1079+K1080+K1082+K1083+SUM(K1081:K1081)</f>
        <v>95466.64</v>
      </c>
    </row>
    <row r="1088" spans="1:29" hidden="1" x14ac:dyDescent="0.25"/>
    <row r="1089" spans="1:29" ht="57.6" hidden="1" x14ac:dyDescent="0.25">
      <c r="A1089" s="27">
        <v>81</v>
      </c>
      <c r="B1089" s="27" t="str">
        <f>[1]Source!F998</f>
        <v>3.12-21-2</v>
      </c>
      <c r="C1089" s="27" t="s">
        <v>200</v>
      </c>
      <c r="D1089" s="28" t="str">
        <f>[1]Source!H998</f>
        <v>100 м2 стяжек</v>
      </c>
      <c r="E1089" s="29">
        <f>[1]Source!I998</f>
        <v>1.56</v>
      </c>
      <c r="F1089" s="30"/>
      <c r="G1089" s="31"/>
      <c r="H1089" s="29"/>
      <c r="I1089" s="30"/>
      <c r="J1089" s="29"/>
      <c r="K1089" s="30"/>
      <c r="Q1089">
        <f>[1]Source!X998</f>
        <v>73.84</v>
      </c>
      <c r="R1089">
        <f>[1]Source!X999</f>
        <v>4161.05</v>
      </c>
      <c r="S1089">
        <f>[1]Source!Y998</f>
        <v>36.17</v>
      </c>
      <c r="T1089">
        <f>[1]Source!Y999</f>
        <v>2038.07</v>
      </c>
      <c r="U1089">
        <f>ROUND((175/100)*ROUND([1]Source!R998, 2), 2)</f>
        <v>0</v>
      </c>
      <c r="V1089">
        <f>ROUND((0/100)*ROUND([1]Source!R999, 2), 2)</f>
        <v>0</v>
      </c>
      <c r="AC1089">
        <v>0</v>
      </c>
    </row>
    <row r="1090" spans="1:29" hidden="1" x14ac:dyDescent="0.25">
      <c r="C1090" s="32" t="str">
        <f>"Объем: "&amp;[1]Source!I998&amp;"=156/"&amp;"100"</f>
        <v>Объем: 1,56=156/100</v>
      </c>
    </row>
    <row r="1091" spans="1:29" ht="14.4" hidden="1" x14ac:dyDescent="0.25">
      <c r="A1091" s="27"/>
      <c r="B1091" s="27"/>
      <c r="C1091" s="27" t="s">
        <v>36</v>
      </c>
      <c r="D1091" s="28"/>
      <c r="E1091" s="29"/>
      <c r="F1091" s="30">
        <f>[1]Source!AO998</f>
        <v>0.92</v>
      </c>
      <c r="G1091" s="31" t="s">
        <v>218</v>
      </c>
      <c r="H1091" s="29">
        <f>[1]Source!AV999</f>
        <v>1.087</v>
      </c>
      <c r="I1091" s="30">
        <f>[1]Source!S998</f>
        <v>75.349999999999994</v>
      </c>
      <c r="J1091" s="29">
        <f>IF([1]Source!BA999&lt;&gt; 0, [1]Source!BA999, 1)</f>
        <v>56.35</v>
      </c>
      <c r="K1091" s="30">
        <f>[1]Source!S999</f>
        <v>4245.97</v>
      </c>
    </row>
    <row r="1092" spans="1:29" ht="27.6" hidden="1" x14ac:dyDescent="0.25">
      <c r="A1092" s="27" t="s">
        <v>241</v>
      </c>
      <c r="B1092" s="27" t="str">
        <f>[1]Source!F1000</f>
        <v>1.3-2-6</v>
      </c>
      <c r="C1092" s="27" t="s">
        <v>149</v>
      </c>
      <c r="D1092" s="28" t="str">
        <f>[1]Source!H1000</f>
        <v>м3</v>
      </c>
      <c r="E1092" s="29">
        <f>[1]Source!I1000</f>
        <v>5.5692000000000004</v>
      </c>
      <c r="F1092" s="30">
        <f>[1]Source!AK1000</f>
        <v>467.32</v>
      </c>
      <c r="G1092" s="43" t="s">
        <v>54</v>
      </c>
      <c r="H1092" s="29">
        <f>[1]Source!AW1001</f>
        <v>1.0009999999999999</v>
      </c>
      <c r="I1092" s="30">
        <f>[1]Source!O1000</f>
        <v>2605.1999999999998</v>
      </c>
      <c r="J1092" s="29">
        <f>IF([1]Source!BC1001&lt;&gt; 0, [1]Source!BC1001, 1)</f>
        <v>11.07</v>
      </c>
      <c r="K1092" s="30">
        <f>[1]Source!O1001</f>
        <v>28839.56</v>
      </c>
      <c r="Q1092">
        <f>[1]Source!X1000</f>
        <v>0</v>
      </c>
      <c r="R1092">
        <f>[1]Source!X1001</f>
        <v>0</v>
      </c>
      <c r="S1092">
        <f>[1]Source!Y1000</f>
        <v>0</v>
      </c>
      <c r="T1092">
        <f>[1]Source!Y1001</f>
        <v>0</v>
      </c>
      <c r="U1092">
        <f>ROUND((175/100)*ROUND([1]Source!R1000, 2), 2)</f>
        <v>0</v>
      </c>
      <c r="V1092">
        <f>ROUND((0/100)*ROUND([1]Source!R1001, 2), 2)</f>
        <v>0</v>
      </c>
      <c r="AC1092">
        <v>3</v>
      </c>
    </row>
    <row r="1093" spans="1:29" ht="14.4" hidden="1" x14ac:dyDescent="0.25">
      <c r="A1093" s="27"/>
      <c r="B1093" s="27"/>
      <c r="C1093" s="27" t="s">
        <v>42</v>
      </c>
      <c r="D1093" s="28" t="s">
        <v>43</v>
      </c>
      <c r="E1093" s="29">
        <f>[1]Source!BZ999</f>
        <v>98</v>
      </c>
      <c r="F1093" s="30"/>
      <c r="G1093" s="31"/>
      <c r="H1093" s="29"/>
      <c r="I1093" s="30">
        <f>SUM(Q1089:Q1092)</f>
        <v>73.84</v>
      </c>
      <c r="J1093" s="29">
        <f>[1]Source!AT999</f>
        <v>98</v>
      </c>
      <c r="K1093" s="30">
        <f>SUM(R1089:R1092)</f>
        <v>4161.05</v>
      </c>
    </row>
    <row r="1094" spans="1:29" ht="14.4" hidden="1" x14ac:dyDescent="0.25">
      <c r="A1094" s="27"/>
      <c r="B1094" s="27"/>
      <c r="C1094" s="27" t="s">
        <v>44</v>
      </c>
      <c r="D1094" s="28" t="s">
        <v>43</v>
      </c>
      <c r="E1094" s="29">
        <f>[1]Source!CA999</f>
        <v>48</v>
      </c>
      <c r="F1094" s="30"/>
      <c r="G1094" s="31"/>
      <c r="H1094" s="29"/>
      <c r="I1094" s="30">
        <f>SUM(S1089:S1093)</f>
        <v>36.17</v>
      </c>
      <c r="J1094" s="29">
        <f>[1]Source!AU999</f>
        <v>48</v>
      </c>
      <c r="K1094" s="30">
        <f>SUM(T1089:T1093)</f>
        <v>2038.07</v>
      </c>
    </row>
    <row r="1095" spans="1:29" ht="14.4" hidden="1" x14ac:dyDescent="0.25">
      <c r="A1095" s="34"/>
      <c r="B1095" s="34"/>
      <c r="C1095" s="34" t="s">
        <v>45</v>
      </c>
      <c r="D1095" s="35" t="s">
        <v>46</v>
      </c>
      <c r="E1095" s="36">
        <f>[1]Source!AQ998</f>
        <v>0.09</v>
      </c>
      <c r="F1095" s="37"/>
      <c r="G1095" s="38" t="s">
        <v>218</v>
      </c>
      <c r="H1095" s="36">
        <f>[1]Source!AV999</f>
        <v>1.087</v>
      </c>
      <c r="I1095" s="37">
        <f>[1]Source!U998</f>
        <v>7.3712948399999991</v>
      </c>
      <c r="J1095" s="36"/>
      <c r="K1095" s="37"/>
    </row>
    <row r="1096" spans="1:29" ht="13.8" hidden="1" x14ac:dyDescent="0.25">
      <c r="C1096" s="39" t="s">
        <v>47</v>
      </c>
      <c r="H1096" s="40">
        <f>I1091+I1093+I1094+SUM(I1092:I1092)-SUMIF(AC1092:AC1092, 5, I1092:I1092)-SUMIF(AC1092:AC1092, 6, I1092:I1092)</f>
        <v>2790.56</v>
      </c>
      <c r="I1096" s="40"/>
      <c r="J1096" s="40">
        <f>K1091+K1093+K1094+SUM(K1092:K1092)-SUMIF(AC1092:AC1092, 5, K1092:K1092)-SUMIF(AC1092:AC1092, 6, K1092:K1092)</f>
        <v>39284.65</v>
      </c>
      <c r="K1096" s="40"/>
    </row>
    <row r="1097" spans="1:29" ht="13.8" hidden="1" x14ac:dyDescent="0.25">
      <c r="C1097" s="39" t="s">
        <v>48</v>
      </c>
      <c r="H1097" s="41">
        <f>SUMIF(AC1092:AC1092, 5, I1092:I1092)+SUMIF(AC1092:AC1092, 6, I1092:I1092)</f>
        <v>0</v>
      </c>
      <c r="I1097" s="41"/>
      <c r="J1097" s="41">
        <f>SUMIF(AC1092:AC1092, 5, K1092:K1092)+SUMIF(AC1092:AC1092, 6, K1092:K1092)</f>
        <v>0</v>
      </c>
      <c r="K1097" s="41"/>
    </row>
    <row r="1098" spans="1:29" ht="13.8" hidden="1" x14ac:dyDescent="0.25">
      <c r="C1098" s="39" t="s">
        <v>49</v>
      </c>
      <c r="H1098" s="41">
        <f>I1091+I1093+I1094+SUM(I1092:I1092)</f>
        <v>2790.56</v>
      </c>
      <c r="I1098" s="41"/>
      <c r="J1098" s="41">
        <f>K1091+K1093+K1094+SUM(K1092:K1092)</f>
        <v>39284.65</v>
      </c>
      <c r="K1098" s="41"/>
      <c r="O1098" s="42">
        <f>I1091+I1093+I1094+SUM(I1092:I1092)</f>
        <v>2790.56</v>
      </c>
      <c r="P1098" s="42">
        <f>K1091+K1093+K1094+SUM(K1092:K1092)</f>
        <v>39284.65</v>
      </c>
    </row>
    <row r="1099" spans="1:29" hidden="1" x14ac:dyDescent="0.25"/>
    <row r="1100" spans="1:29" ht="41.4" hidden="1" x14ac:dyDescent="0.25">
      <c r="A1100" s="27">
        <v>82</v>
      </c>
      <c r="B1100" s="27" t="str">
        <f>[1]Source!F1002</f>
        <v>3.6-6-10</v>
      </c>
      <c r="C1100" s="27" t="s">
        <v>220</v>
      </c>
      <c r="D1100" s="28" t="str">
        <f>[1]Source!H1002</f>
        <v>1 Т</v>
      </c>
      <c r="E1100" s="29">
        <f>[1]Source!I1002</f>
        <v>0.21840000000000001</v>
      </c>
      <c r="F1100" s="30"/>
      <c r="G1100" s="31"/>
      <c r="H1100" s="29"/>
      <c r="I1100" s="30"/>
      <c r="J1100" s="29"/>
      <c r="K1100" s="30"/>
      <c r="Q1100">
        <f>[1]Source!X1002</f>
        <v>40.700000000000003</v>
      </c>
      <c r="R1100">
        <f>[1]Source!X1003</f>
        <v>2293.5</v>
      </c>
      <c r="S1100">
        <f>[1]Source!Y1002</f>
        <v>21.68</v>
      </c>
      <c r="T1100">
        <f>[1]Source!Y1003</f>
        <v>1221.54</v>
      </c>
      <c r="U1100">
        <f>ROUND((175/100)*ROUND([1]Source!R1002, 2), 2)</f>
        <v>3.05</v>
      </c>
      <c r="V1100">
        <f>ROUND((0/100)*ROUND([1]Source!R1003, 2), 2)</f>
        <v>0</v>
      </c>
      <c r="AC1100">
        <v>0</v>
      </c>
    </row>
    <row r="1101" spans="1:29" hidden="1" x14ac:dyDescent="0.25">
      <c r="C1101" s="32" t="str">
        <f>"Объем: "&amp;[1]Source!I1002&amp;"=156*"&amp;"(1,4/"&amp;"1000)"</f>
        <v>Объем: 0,2184=156*(1,4/1000)</v>
      </c>
    </row>
    <row r="1102" spans="1:29" ht="14.4" hidden="1" x14ac:dyDescent="0.25">
      <c r="A1102" s="27"/>
      <c r="B1102" s="27"/>
      <c r="C1102" s="27" t="s">
        <v>36</v>
      </c>
      <c r="D1102" s="28"/>
      <c r="E1102" s="29"/>
      <c r="F1102" s="30">
        <f>[1]Source!AO1002</f>
        <v>134.68</v>
      </c>
      <c r="G1102" s="31" t="s">
        <v>37</v>
      </c>
      <c r="H1102" s="29">
        <f>[1]Source!AV1003</f>
        <v>1.0469999999999999</v>
      </c>
      <c r="I1102" s="30">
        <f>[1]Source!S1002</f>
        <v>42.5</v>
      </c>
      <c r="J1102" s="29">
        <f>IF([1]Source!BA1003&lt;&gt; 0, [1]Source!BA1003, 1)</f>
        <v>56.35</v>
      </c>
      <c r="K1102" s="30">
        <f>[1]Source!S1003</f>
        <v>2394.88</v>
      </c>
    </row>
    <row r="1103" spans="1:29" ht="14.4" hidden="1" x14ac:dyDescent="0.25">
      <c r="A1103" s="27"/>
      <c r="B1103" s="27"/>
      <c r="C1103" s="27" t="s">
        <v>38</v>
      </c>
      <c r="D1103" s="28"/>
      <c r="E1103" s="29"/>
      <c r="F1103" s="30">
        <f>[1]Source!AM1002</f>
        <v>43.5</v>
      </c>
      <c r="G1103" s="31" t="s">
        <v>39</v>
      </c>
      <c r="H1103" s="29">
        <f>[1]Source!AV1003</f>
        <v>1.0469999999999999</v>
      </c>
      <c r="I1103" s="30">
        <f>[1]Source!Q1002</f>
        <v>14.92</v>
      </c>
      <c r="J1103" s="29">
        <f>IF([1]Source!BB1003&lt;&gt; 0, [1]Source!BB1003, 1)</f>
        <v>15.44</v>
      </c>
      <c r="K1103" s="30">
        <f>[1]Source!Q1003</f>
        <v>230.36</v>
      </c>
    </row>
    <row r="1104" spans="1:29" ht="14.4" hidden="1" x14ac:dyDescent="0.25">
      <c r="A1104" s="27"/>
      <c r="B1104" s="27"/>
      <c r="C1104" s="27" t="s">
        <v>40</v>
      </c>
      <c r="D1104" s="28"/>
      <c r="E1104" s="29"/>
      <c r="F1104" s="30">
        <f>[1]Source!AN1002</f>
        <v>5.0599999999999996</v>
      </c>
      <c r="G1104" s="31" t="s">
        <v>39</v>
      </c>
      <c r="H1104" s="29">
        <f>[1]Source!AV1003</f>
        <v>1.0469999999999999</v>
      </c>
      <c r="I1104" s="33">
        <f>[1]Source!R1002</f>
        <v>1.74</v>
      </c>
      <c r="J1104" s="29">
        <f>IF([1]Source!BS1003&lt;&gt; 0, [1]Source!BS1003, 1)</f>
        <v>56.35</v>
      </c>
      <c r="K1104" s="33">
        <f>[1]Source!R1003</f>
        <v>98.05</v>
      </c>
    </row>
    <row r="1105" spans="1:29" ht="14.4" hidden="1" x14ac:dyDescent="0.25">
      <c r="A1105" s="27"/>
      <c r="B1105" s="27"/>
      <c r="C1105" s="27" t="s">
        <v>41</v>
      </c>
      <c r="D1105" s="28"/>
      <c r="E1105" s="29"/>
      <c r="F1105" s="30">
        <f>[1]Source!AL1002</f>
        <v>258.67</v>
      </c>
      <c r="G1105" s="31"/>
      <c r="H1105" s="29">
        <f>[1]Source!AW1003</f>
        <v>1.022</v>
      </c>
      <c r="I1105" s="30">
        <f>[1]Source!P1002</f>
        <v>57.74</v>
      </c>
      <c r="J1105" s="29">
        <f>IF([1]Source!BC1003&lt;&gt; 0, [1]Source!BC1003, 1)</f>
        <v>7.5</v>
      </c>
      <c r="K1105" s="30">
        <f>[1]Source!P1003</f>
        <v>433.05</v>
      </c>
    </row>
    <row r="1106" spans="1:29" ht="55.2" hidden="1" x14ac:dyDescent="0.25">
      <c r="A1106" s="27" t="s">
        <v>242</v>
      </c>
      <c r="B1106" s="27" t="str">
        <f>[1]Source!F1004</f>
        <v>1.3-4-75</v>
      </c>
      <c r="C1106" s="27" t="s">
        <v>156</v>
      </c>
      <c r="D1106" s="28" t="str">
        <f>[1]Source!H1004</f>
        <v>т</v>
      </c>
      <c r="E1106" s="29">
        <f>[1]Source!I1004</f>
        <v>0.21840000000000001</v>
      </c>
      <c r="F1106" s="30">
        <f>[1]Source!AK1004</f>
        <v>9724.69</v>
      </c>
      <c r="G1106" s="43" t="s">
        <v>54</v>
      </c>
      <c r="H1106" s="29">
        <f>[1]Source!AW1005</f>
        <v>1.022</v>
      </c>
      <c r="I1106" s="30">
        <f>[1]Source!O1004</f>
        <v>2170.6</v>
      </c>
      <c r="J1106" s="29">
        <f>IF([1]Source!BC1005&lt;&gt; 0, [1]Source!BC1005, 1)</f>
        <v>3.88</v>
      </c>
      <c r="K1106" s="30">
        <f>[1]Source!O1005</f>
        <v>8421.93</v>
      </c>
      <c r="Q1106">
        <f>[1]Source!X1004</f>
        <v>0</v>
      </c>
      <c r="R1106">
        <f>[1]Source!X1005</f>
        <v>0</v>
      </c>
      <c r="S1106">
        <f>[1]Source!Y1004</f>
        <v>0</v>
      </c>
      <c r="T1106">
        <f>[1]Source!Y1005</f>
        <v>0</v>
      </c>
      <c r="U1106">
        <f>ROUND((175/100)*ROUND([1]Source!R1004, 2), 2)</f>
        <v>0</v>
      </c>
      <c r="V1106">
        <f>ROUND((0/100)*ROUND([1]Source!R1005, 2), 2)</f>
        <v>0</v>
      </c>
      <c r="AC1106">
        <v>3</v>
      </c>
    </row>
    <row r="1107" spans="1:29" ht="14.4" hidden="1" x14ac:dyDescent="0.25">
      <c r="A1107" s="27"/>
      <c r="B1107" s="27"/>
      <c r="C1107" s="27" t="s">
        <v>42</v>
      </c>
      <c r="D1107" s="28" t="s">
        <v>43</v>
      </c>
      <c r="E1107" s="29">
        <f>[1]Source!BZ1003</f>
        <v>92</v>
      </c>
      <c r="F1107" s="30"/>
      <c r="G1107" s="31"/>
      <c r="H1107" s="29"/>
      <c r="I1107" s="30">
        <f>SUM(Q1100:Q1106)</f>
        <v>40.700000000000003</v>
      </c>
      <c r="J1107" s="29">
        <f>[1]Source!AT1003</f>
        <v>92</v>
      </c>
      <c r="K1107" s="30">
        <f>SUM(R1100:R1106)</f>
        <v>2293.5</v>
      </c>
    </row>
    <row r="1108" spans="1:29" ht="14.4" hidden="1" x14ac:dyDescent="0.25">
      <c r="A1108" s="27"/>
      <c r="B1108" s="27"/>
      <c r="C1108" s="27" t="s">
        <v>44</v>
      </c>
      <c r="D1108" s="28" t="s">
        <v>43</v>
      </c>
      <c r="E1108" s="29">
        <f>[1]Source!CA1003</f>
        <v>49</v>
      </c>
      <c r="F1108" s="30"/>
      <c r="G1108" s="31"/>
      <c r="H1108" s="29"/>
      <c r="I1108" s="30">
        <f>SUM(S1100:S1107)</f>
        <v>21.68</v>
      </c>
      <c r="J1108" s="29">
        <f>[1]Source!AU1003</f>
        <v>49</v>
      </c>
      <c r="K1108" s="30">
        <f>SUM(T1100:T1107)</f>
        <v>1221.54</v>
      </c>
    </row>
    <row r="1109" spans="1:29" ht="14.4" hidden="1" x14ac:dyDescent="0.25">
      <c r="A1109" s="34"/>
      <c r="B1109" s="34"/>
      <c r="C1109" s="34" t="s">
        <v>45</v>
      </c>
      <c r="D1109" s="35" t="s">
        <v>46</v>
      </c>
      <c r="E1109" s="36">
        <f>[1]Source!AQ1002</f>
        <v>11.6</v>
      </c>
      <c r="F1109" s="37"/>
      <c r="G1109" s="38" t="s">
        <v>37</v>
      </c>
      <c r="H1109" s="36">
        <f>[1]Source!AV1003</f>
        <v>1.0469999999999999</v>
      </c>
      <c r="I1109" s="37">
        <f>[1]Source!U1002</f>
        <v>3.6604661183999987</v>
      </c>
      <c r="J1109" s="36"/>
      <c r="K1109" s="37"/>
    </row>
    <row r="1110" spans="1:29" ht="13.8" hidden="1" x14ac:dyDescent="0.25">
      <c r="C1110" s="39" t="s">
        <v>47</v>
      </c>
      <c r="H1110" s="40">
        <f>I1102+I1103+I1105+I1107+I1108+SUM(I1106:I1106)-SUMIF(AC1106:AC1106, 5, I1106:I1106)-SUMIF(AC1106:AC1106, 6, I1106:I1106)</f>
        <v>2348.14</v>
      </c>
      <c r="I1110" s="40"/>
      <c r="J1110" s="40">
        <f>K1102+K1103+K1105+K1107+K1108+SUM(K1106:K1106)-SUMIF(AC1106:AC1106, 5, K1106:K1106)-SUMIF(AC1106:AC1106, 6, K1106:K1106)</f>
        <v>14995.260000000002</v>
      </c>
      <c r="K1110" s="40"/>
    </row>
    <row r="1111" spans="1:29" ht="13.8" hidden="1" x14ac:dyDescent="0.25">
      <c r="C1111" s="39" t="s">
        <v>48</v>
      </c>
      <c r="H1111" s="41">
        <f>SUMIF(AC1106:AC1106, 5, I1106:I1106)+SUMIF(AC1106:AC1106, 6, I1106:I1106)</f>
        <v>0</v>
      </c>
      <c r="I1111" s="41"/>
      <c r="J1111" s="41">
        <f>SUMIF(AC1106:AC1106, 5, K1106:K1106)+SUMIF(AC1106:AC1106, 6, K1106:K1106)</f>
        <v>0</v>
      </c>
      <c r="K1111" s="41"/>
    </row>
    <row r="1112" spans="1:29" ht="13.8" hidden="1" x14ac:dyDescent="0.25">
      <c r="C1112" s="39" t="s">
        <v>49</v>
      </c>
      <c r="H1112" s="41">
        <f>I1102+I1103+I1105+I1107+I1108+SUM(I1106:I1106)</f>
        <v>2348.14</v>
      </c>
      <c r="I1112" s="41"/>
      <c r="J1112" s="41">
        <f>K1102+K1103+K1105+K1107+K1108+SUM(K1106:K1106)</f>
        <v>14995.260000000002</v>
      </c>
      <c r="K1112" s="41"/>
      <c r="O1112" s="42">
        <f>I1102+I1103+I1105+I1107+I1108+SUM(I1106:I1106)</f>
        <v>2348.14</v>
      </c>
      <c r="P1112" s="42">
        <f>K1102+K1103+K1105+K1107+K1108+SUM(K1106:K1106)</f>
        <v>14995.260000000002</v>
      </c>
    </row>
    <row r="1113" spans="1:29" hidden="1" x14ac:dyDescent="0.25"/>
    <row r="1114" spans="1:29" ht="55.2" hidden="1" x14ac:dyDescent="0.25">
      <c r="A1114" s="27">
        <v>83</v>
      </c>
      <c r="B1114" s="27" t="str">
        <f>[1]Source!F1006</f>
        <v>3.11-36-4</v>
      </c>
      <c r="C1114" s="27" t="s">
        <v>243</v>
      </c>
      <c r="D1114" s="28" t="str">
        <f>[1]Source!H1006</f>
        <v>100 м2</v>
      </c>
      <c r="E1114" s="29">
        <f>[1]Source!I1006</f>
        <v>1.56</v>
      </c>
      <c r="F1114" s="30"/>
      <c r="G1114" s="31"/>
      <c r="H1114" s="29"/>
      <c r="I1114" s="30"/>
      <c r="J1114" s="29"/>
      <c r="K1114" s="30"/>
      <c r="Q1114">
        <f>[1]Source!X1006</f>
        <v>1972.89</v>
      </c>
      <c r="R1114">
        <f>[1]Source!X1007</f>
        <v>111172.55</v>
      </c>
      <c r="S1114">
        <f>[1]Source!Y1006</f>
        <v>1074.3499999999999</v>
      </c>
      <c r="T1114">
        <f>[1]Source!Y1007</f>
        <v>60539.51</v>
      </c>
      <c r="U1114">
        <f>ROUND((175/100)*ROUND([1]Source!R1006, 2), 2)</f>
        <v>51.42</v>
      </c>
      <c r="V1114">
        <f>ROUND((0/100)*ROUND([1]Source!R1007, 2), 2)</f>
        <v>0</v>
      </c>
      <c r="AC1114">
        <v>0</v>
      </c>
    </row>
    <row r="1115" spans="1:29" hidden="1" x14ac:dyDescent="0.25">
      <c r="C1115" s="32" t="str">
        <f>"Объем: "&amp;[1]Source!I1006&amp;"=156/"&amp;"100"</f>
        <v>Объем: 1,56=156/100</v>
      </c>
    </row>
    <row r="1116" spans="1:29" ht="14.4" hidden="1" x14ac:dyDescent="0.25">
      <c r="A1116" s="27"/>
      <c r="B1116" s="27"/>
      <c r="C1116" s="27" t="s">
        <v>36</v>
      </c>
      <c r="D1116" s="28"/>
      <c r="E1116" s="29"/>
      <c r="F1116" s="30">
        <f>[1]Source!AO1006</f>
        <v>853.59</v>
      </c>
      <c r="G1116" s="31" t="s">
        <v>37</v>
      </c>
      <c r="H1116" s="29">
        <f>[1]Source!AV1007</f>
        <v>1.0469999999999999</v>
      </c>
      <c r="I1116" s="30">
        <f>[1]Source!S1006</f>
        <v>1923.98</v>
      </c>
      <c r="J1116" s="29">
        <f>IF([1]Source!BA1007&lt;&gt; 0, [1]Source!BA1007, 1)</f>
        <v>56.35</v>
      </c>
      <c r="K1116" s="30">
        <f>[1]Source!S1007</f>
        <v>108416.27</v>
      </c>
    </row>
    <row r="1117" spans="1:29" ht="14.4" hidden="1" x14ac:dyDescent="0.25">
      <c r="A1117" s="27"/>
      <c r="B1117" s="27"/>
      <c r="C1117" s="27" t="s">
        <v>38</v>
      </c>
      <c r="D1117" s="28"/>
      <c r="E1117" s="29"/>
      <c r="F1117" s="30">
        <f>[1]Source!AM1006</f>
        <v>68.62</v>
      </c>
      <c r="G1117" s="31" t="s">
        <v>39</v>
      </c>
      <c r="H1117" s="29">
        <f>[1]Source!AV1007</f>
        <v>1.0469999999999999</v>
      </c>
      <c r="I1117" s="30">
        <f>[1]Source!Q1006</f>
        <v>168.12</v>
      </c>
      <c r="J1117" s="29">
        <f>IF([1]Source!BB1007&lt;&gt; 0, [1]Source!BB1007, 1)</f>
        <v>18.829999999999998</v>
      </c>
      <c r="K1117" s="30">
        <f>[1]Source!Q1007</f>
        <v>3165.7</v>
      </c>
    </row>
    <row r="1118" spans="1:29" ht="14.4" hidden="1" x14ac:dyDescent="0.25">
      <c r="A1118" s="27"/>
      <c r="B1118" s="27"/>
      <c r="C1118" s="27" t="s">
        <v>40</v>
      </c>
      <c r="D1118" s="28"/>
      <c r="E1118" s="29"/>
      <c r="F1118" s="30">
        <f>[1]Source!AN1006</f>
        <v>11.99</v>
      </c>
      <c r="G1118" s="31" t="s">
        <v>39</v>
      </c>
      <c r="H1118" s="29">
        <f>[1]Source!AV1007</f>
        <v>1.0469999999999999</v>
      </c>
      <c r="I1118" s="33">
        <f>[1]Source!R1006</f>
        <v>29.38</v>
      </c>
      <c r="J1118" s="29">
        <f>IF([1]Source!BS1007&lt;&gt; 0, [1]Source!BS1007, 1)</f>
        <v>56.35</v>
      </c>
      <c r="K1118" s="33">
        <f>[1]Source!R1007</f>
        <v>1655.56</v>
      </c>
    </row>
    <row r="1119" spans="1:29" ht="14.4" hidden="1" x14ac:dyDescent="0.25">
      <c r="A1119" s="27"/>
      <c r="B1119" s="27"/>
      <c r="C1119" s="27" t="s">
        <v>41</v>
      </c>
      <c r="D1119" s="28"/>
      <c r="E1119" s="29"/>
      <c r="F1119" s="30">
        <f>[1]Source!AL1006</f>
        <v>7.82</v>
      </c>
      <c r="G1119" s="31"/>
      <c r="H1119" s="29">
        <f>[1]Source!AW1007</f>
        <v>1</v>
      </c>
      <c r="I1119" s="30">
        <f>[1]Source!P1006</f>
        <v>12.2</v>
      </c>
      <c r="J1119" s="29">
        <f>IF([1]Source!BC1007&lt;&gt; 0, [1]Source!BC1007, 1)</f>
        <v>4.9000000000000004</v>
      </c>
      <c r="K1119" s="30">
        <f>[1]Source!P1007</f>
        <v>59.78</v>
      </c>
    </row>
    <row r="1120" spans="1:29" ht="28.8" hidden="1" x14ac:dyDescent="0.25">
      <c r="A1120" s="27" t="s">
        <v>244</v>
      </c>
      <c r="B1120" s="27" t="str">
        <f>[1]Source!F1008</f>
        <v>1.1-1-8209</v>
      </c>
      <c r="C1120" s="27" t="s">
        <v>138</v>
      </c>
      <c r="D1120" s="28" t="str">
        <f>[1]Source!H1008</f>
        <v>100 шт.</v>
      </c>
      <c r="E1120" s="29">
        <f>[1]Source!I1008</f>
        <v>69.653999999999996</v>
      </c>
      <c r="F1120" s="30">
        <f>[1]Source!AK1008</f>
        <v>7.17</v>
      </c>
      <c r="G1120" s="43" t="s">
        <v>54</v>
      </c>
      <c r="H1120" s="29">
        <f>[1]Source!AW1009</f>
        <v>1</v>
      </c>
      <c r="I1120" s="30">
        <f>[1]Source!O1008</f>
        <v>499.42</v>
      </c>
      <c r="J1120" s="29">
        <f>IF([1]Source!BC1009&lt;&gt; 0, [1]Source!BC1009, 1)</f>
        <v>9.99</v>
      </c>
      <c r="K1120" s="30">
        <f>[1]Source!O1009</f>
        <v>4989.21</v>
      </c>
      <c r="Q1120">
        <f>[1]Source!X1008</f>
        <v>0</v>
      </c>
      <c r="R1120">
        <f>[1]Source!X1009</f>
        <v>0</v>
      </c>
      <c r="S1120">
        <f>[1]Source!Y1008</f>
        <v>0</v>
      </c>
      <c r="T1120">
        <f>[1]Source!Y1009</f>
        <v>0</v>
      </c>
      <c r="U1120">
        <f>ROUND((175/100)*ROUND([1]Source!R1008, 2), 2)</f>
        <v>0</v>
      </c>
      <c r="V1120">
        <f>ROUND((0/100)*ROUND([1]Source!R1009, 2), 2)</f>
        <v>0</v>
      </c>
      <c r="AC1120">
        <v>3</v>
      </c>
    </row>
    <row r="1121" spans="1:29" ht="41.4" hidden="1" x14ac:dyDescent="0.25">
      <c r="A1121" s="27" t="s">
        <v>245</v>
      </c>
      <c r="B1121" s="27" t="str">
        <f>[1]Source!F1010</f>
        <v>1.1-1-3257</v>
      </c>
      <c r="C1121" s="27" t="s">
        <v>129</v>
      </c>
      <c r="D1121" s="28" t="str">
        <f>[1]Source!H1010</f>
        <v>кг</v>
      </c>
      <c r="E1121" s="29">
        <f>[1]Source!I1010</f>
        <v>2.1839999999999998E-2</v>
      </c>
      <c r="F1121" s="30">
        <f>[1]Source!AK1010</f>
        <v>17.3</v>
      </c>
      <c r="G1121" s="43" t="s">
        <v>54</v>
      </c>
      <c r="H1121" s="29">
        <f>[1]Source!AW1011</f>
        <v>1</v>
      </c>
      <c r="I1121" s="30">
        <f>[1]Source!O1010</f>
        <v>0.38</v>
      </c>
      <c r="J1121" s="29">
        <f>IF([1]Source!BC1011&lt;&gt; 0, [1]Source!BC1011, 1)</f>
        <v>5.93</v>
      </c>
      <c r="K1121" s="30">
        <f>[1]Source!O1011</f>
        <v>2.25</v>
      </c>
      <c r="Q1121">
        <f>[1]Source!X1010</f>
        <v>0</v>
      </c>
      <c r="R1121">
        <f>[1]Source!X1011</f>
        <v>0</v>
      </c>
      <c r="S1121">
        <f>[1]Source!Y1010</f>
        <v>0</v>
      </c>
      <c r="T1121">
        <f>[1]Source!Y1011</f>
        <v>0</v>
      </c>
      <c r="U1121">
        <f>ROUND((175/100)*ROUND([1]Source!R1010, 2), 2)</f>
        <v>0</v>
      </c>
      <c r="V1121">
        <f>ROUND((0/100)*ROUND([1]Source!R1011, 2), 2)</f>
        <v>0</v>
      </c>
      <c r="AC1121">
        <v>3</v>
      </c>
    </row>
    <row r="1122" spans="1:29" ht="96.6" hidden="1" x14ac:dyDescent="0.25">
      <c r="A1122" s="27" t="s">
        <v>246</v>
      </c>
      <c r="B1122" s="27" t="str">
        <f>[1]Source!F1012</f>
        <v>1.3-2-50</v>
      </c>
      <c r="C1122" s="27" t="s">
        <v>131</v>
      </c>
      <c r="D1122" s="28" t="str">
        <f>[1]Source!H1012</f>
        <v>т</v>
      </c>
      <c r="E1122" s="29">
        <f>[1]Source!I1012</f>
        <v>3.1199999999999995E-2</v>
      </c>
      <c r="F1122" s="30">
        <f>[1]Source!AK1012</f>
        <v>5978.05</v>
      </c>
      <c r="G1122" s="43" t="s">
        <v>54</v>
      </c>
      <c r="H1122" s="29">
        <f>[1]Source!AW1013</f>
        <v>1</v>
      </c>
      <c r="I1122" s="30">
        <f>[1]Source!O1012</f>
        <v>186.52</v>
      </c>
      <c r="J1122" s="29">
        <f>IF([1]Source!BC1013&lt;&gt; 0, [1]Source!BC1013, 1)</f>
        <v>15.31</v>
      </c>
      <c r="K1122" s="30">
        <f>[1]Source!O1013</f>
        <v>2855.62</v>
      </c>
      <c r="Q1122">
        <f>[1]Source!X1012</f>
        <v>0</v>
      </c>
      <c r="R1122">
        <f>[1]Source!X1013</f>
        <v>0</v>
      </c>
      <c r="S1122">
        <f>[1]Source!Y1012</f>
        <v>0</v>
      </c>
      <c r="T1122">
        <f>[1]Source!Y1013</f>
        <v>0</v>
      </c>
      <c r="U1122">
        <f>ROUND((175/100)*ROUND([1]Source!R1012, 2), 2)</f>
        <v>0</v>
      </c>
      <c r="V1122">
        <f>ROUND((0/100)*ROUND([1]Source!R1013, 2), 2)</f>
        <v>0</v>
      </c>
      <c r="AC1122">
        <v>3</v>
      </c>
    </row>
    <row r="1123" spans="1:29" ht="96.6" hidden="1" x14ac:dyDescent="0.25">
      <c r="A1123" s="27" t="s">
        <v>247</v>
      </c>
      <c r="B1123" s="27" t="str">
        <f>[1]Source!F1014</f>
        <v>1.3-2-167</v>
      </c>
      <c r="C1123" s="27" t="s">
        <v>133</v>
      </c>
      <c r="D1123" s="28" t="str">
        <f>[1]Source!H1014</f>
        <v>т</v>
      </c>
      <c r="E1123" s="29">
        <f>[1]Source!I1014</f>
        <v>1.1243540000000001</v>
      </c>
      <c r="F1123" s="30">
        <f>[1]Source!AK1014</f>
        <v>3963.7</v>
      </c>
      <c r="G1123" s="43" t="s">
        <v>54</v>
      </c>
      <c r="H1123" s="29">
        <f>[1]Source!AW1015</f>
        <v>1</v>
      </c>
      <c r="I1123" s="30">
        <f>[1]Source!O1014</f>
        <v>4456.6000000000004</v>
      </c>
      <c r="J1123" s="29">
        <f>IF([1]Source!BC1015&lt;&gt; 0, [1]Source!BC1015, 1)</f>
        <v>3.17</v>
      </c>
      <c r="K1123" s="30">
        <f>[1]Source!O1015</f>
        <v>14127.42</v>
      </c>
      <c r="Q1123">
        <f>[1]Source!X1014</f>
        <v>0</v>
      </c>
      <c r="R1123">
        <f>[1]Source!X1015</f>
        <v>0</v>
      </c>
      <c r="S1123">
        <f>[1]Source!Y1014</f>
        <v>0</v>
      </c>
      <c r="T1123">
        <f>[1]Source!Y1015</f>
        <v>0</v>
      </c>
      <c r="U1123">
        <f>ROUND((175/100)*ROUND([1]Source!R1014, 2), 2)</f>
        <v>0</v>
      </c>
      <c r="V1123">
        <f>ROUND((0/100)*ROUND([1]Source!R1015, 2), 2)</f>
        <v>0</v>
      </c>
      <c r="AC1123">
        <v>3</v>
      </c>
    </row>
    <row r="1124" spans="1:29" ht="14.4" hidden="1" x14ac:dyDescent="0.25">
      <c r="A1124" s="27"/>
      <c r="B1124" s="27"/>
      <c r="C1124" s="27" t="s">
        <v>42</v>
      </c>
      <c r="D1124" s="28" t="s">
        <v>43</v>
      </c>
      <c r="E1124" s="29">
        <f>[1]Source!BZ1007</f>
        <v>101</v>
      </c>
      <c r="F1124" s="30"/>
      <c r="G1124" s="31"/>
      <c r="H1124" s="29"/>
      <c r="I1124" s="30">
        <f>SUM(Q1114:Q1123)</f>
        <v>1972.89</v>
      </c>
      <c r="J1124" s="29">
        <f>[1]Source!AT1007</f>
        <v>101</v>
      </c>
      <c r="K1124" s="30">
        <f>SUM(R1114:R1123)</f>
        <v>111172.55</v>
      </c>
    </row>
    <row r="1125" spans="1:29" ht="14.4" hidden="1" x14ac:dyDescent="0.25">
      <c r="A1125" s="27"/>
      <c r="B1125" s="27"/>
      <c r="C1125" s="27" t="s">
        <v>44</v>
      </c>
      <c r="D1125" s="28" t="s">
        <v>43</v>
      </c>
      <c r="E1125" s="29">
        <f>[1]Source!CA1007</f>
        <v>55</v>
      </c>
      <c r="F1125" s="30"/>
      <c r="G1125" s="31"/>
      <c r="H1125" s="29"/>
      <c r="I1125" s="30">
        <f>SUM(S1114:S1124)</f>
        <v>1074.3499999999999</v>
      </c>
      <c r="J1125" s="29">
        <f>[1]Source!AU1007</f>
        <v>55</v>
      </c>
      <c r="K1125" s="30">
        <f>SUM(T1114:T1124)</f>
        <v>60539.51</v>
      </c>
    </row>
    <row r="1126" spans="1:29" ht="14.4" hidden="1" x14ac:dyDescent="0.25">
      <c r="A1126" s="34"/>
      <c r="B1126" s="34"/>
      <c r="C1126" s="34" t="s">
        <v>45</v>
      </c>
      <c r="D1126" s="35" t="s">
        <v>46</v>
      </c>
      <c r="E1126" s="36">
        <f>[1]Source!AQ1006</f>
        <v>69.150000000000006</v>
      </c>
      <c r="F1126" s="37"/>
      <c r="G1126" s="38" t="s">
        <v>37</v>
      </c>
      <c r="H1126" s="36">
        <f>[1]Source!AV1007</f>
        <v>1.0469999999999999</v>
      </c>
      <c r="I1126" s="37">
        <f>[1]Source!U1006</f>
        <v>155.86282763999998</v>
      </c>
      <c r="J1126" s="36"/>
      <c r="K1126" s="37"/>
    </row>
    <row r="1127" spans="1:29" ht="13.8" hidden="1" x14ac:dyDescent="0.25">
      <c r="C1127" s="39" t="s">
        <v>47</v>
      </c>
      <c r="H1127" s="40">
        <f>I1116+I1117+I1119+I1124+I1125+SUM(I1120:I1123)-SUMIF(AC1120:AC1123, 5, I1120:I1123)-SUMIF(AC1120:AC1123, 6, I1120:I1123)</f>
        <v>10294.459999999999</v>
      </c>
      <c r="I1127" s="40"/>
      <c r="J1127" s="40">
        <f>K1116+K1117+K1119+K1124+K1125+SUM(K1120:K1123)-SUMIF(AC1120:AC1123, 5, K1120:K1123)-SUMIF(AC1120:AC1123, 6, K1120:K1123)</f>
        <v>305328.31</v>
      </c>
      <c r="K1127" s="40"/>
    </row>
    <row r="1128" spans="1:29" ht="13.8" hidden="1" x14ac:dyDescent="0.25">
      <c r="C1128" s="39" t="s">
        <v>48</v>
      </c>
      <c r="H1128" s="41">
        <f>SUMIF(AC1120:AC1123, 5, I1120:I1123)+SUMIF(AC1120:AC1123, 6, I1120:I1123)</f>
        <v>0</v>
      </c>
      <c r="I1128" s="41"/>
      <c r="J1128" s="41">
        <f>SUMIF(AC1120:AC1123, 5, K1120:K1123)+SUMIF(AC1120:AC1123, 6, K1120:K1123)</f>
        <v>0</v>
      </c>
      <c r="K1128" s="41"/>
    </row>
    <row r="1129" spans="1:29" ht="13.8" hidden="1" x14ac:dyDescent="0.25">
      <c r="C1129" s="39" t="s">
        <v>49</v>
      </c>
      <c r="H1129" s="41">
        <f>I1116+I1117+I1119+I1124+I1125+SUM(I1120:I1123)</f>
        <v>10294.459999999999</v>
      </c>
      <c r="I1129" s="41"/>
      <c r="J1129" s="41">
        <f>K1116+K1117+K1119+K1124+K1125+SUM(K1120:K1123)</f>
        <v>305328.31</v>
      </c>
      <c r="K1129" s="41"/>
      <c r="O1129" s="42">
        <f>I1116+I1117+I1119+I1124+I1125+SUM(I1120:I1123)</f>
        <v>10294.459999999999</v>
      </c>
      <c r="P1129" s="42">
        <f>K1116+K1117+K1119+K1124+K1125+SUM(K1120:K1123)</f>
        <v>305328.31</v>
      </c>
    </row>
    <row r="1130" spans="1:29" hidden="1" x14ac:dyDescent="0.25"/>
    <row r="1131" spans="1:29" ht="27" x14ac:dyDescent="0.25">
      <c r="A1131" s="46">
        <v>84</v>
      </c>
      <c r="B1131" s="46" t="str">
        <f>[1]Source!F1016</f>
        <v>КА 6</v>
      </c>
      <c r="C1131" s="46" t="s">
        <v>248</v>
      </c>
      <c r="D1131" s="47" t="str">
        <f>[1]Source!H1016</f>
        <v>м2</v>
      </c>
      <c r="E1131" s="48">
        <f>[1]Source!I1016</f>
        <v>165.36</v>
      </c>
      <c r="F1131" s="37">
        <f>[1]Source!AL1016</f>
        <v>189.22</v>
      </c>
      <c r="G1131" s="38"/>
      <c r="H1131" s="36">
        <f>[1]Source!AW1017</f>
        <v>1</v>
      </c>
      <c r="I1131" s="37">
        <f>[1]Source!P1016</f>
        <v>31289.42</v>
      </c>
      <c r="J1131" s="36">
        <f>IF([1]Source!BC1017&lt;&gt; 0, [1]Source!BC1017, 1)</f>
        <v>9.84</v>
      </c>
      <c r="K1131" s="49">
        <f>[1]Source!P1017</f>
        <v>307887.89</v>
      </c>
      <c r="L1131">
        <v>2227</v>
      </c>
      <c r="M1131" s="50">
        <f>L1131*E1131</f>
        <v>368256.72000000003</v>
      </c>
      <c r="N1131" s="51" t="s">
        <v>180</v>
      </c>
      <c r="Q1131">
        <f>[1]Source!X1016</f>
        <v>0</v>
      </c>
      <c r="R1131">
        <f>[1]Source!X1017</f>
        <v>0</v>
      </c>
      <c r="S1131">
        <f>[1]Source!Y1016</f>
        <v>0</v>
      </c>
      <c r="T1131">
        <f>[1]Source!Y1017</f>
        <v>0</v>
      </c>
      <c r="U1131">
        <f>ROUND((175/100)*ROUND([1]Source!R1016, 2), 2)</f>
        <v>0</v>
      </c>
      <c r="V1131">
        <f>ROUND((0/100)*ROUND([1]Source!R1017, 2), 2)</f>
        <v>0</v>
      </c>
      <c r="AC1131">
        <v>3</v>
      </c>
    </row>
    <row r="1132" spans="1:29" ht="13.8" hidden="1" x14ac:dyDescent="0.25">
      <c r="C1132" s="39" t="s">
        <v>49</v>
      </c>
      <c r="H1132" s="40">
        <f>I1131+0</f>
        <v>31289.42</v>
      </c>
      <c r="I1132" s="40"/>
      <c r="J1132" s="40">
        <f>K1131+0</f>
        <v>307887.89</v>
      </c>
      <c r="K1132" s="40"/>
      <c r="O1132" s="42">
        <f>I1131+0</f>
        <v>31289.42</v>
      </c>
      <c r="P1132" s="42">
        <f>K1131+0</f>
        <v>307887.89</v>
      </c>
    </row>
    <row r="1133" spans="1:29" hidden="1" x14ac:dyDescent="0.25"/>
    <row r="1134" spans="1:29" hidden="1" x14ac:dyDescent="0.25"/>
    <row r="1135" spans="1:29" ht="13.8" hidden="1" x14ac:dyDescent="0.25">
      <c r="A1135" s="44" t="str">
        <f>CONCATENATE("Итого по подразделу: ",IF([1]Source!G1019&lt;&gt;"Новый подраздел", [1]Source!G1019, ""))</f>
        <v>Итого по подразделу: Монтажные работы. Тип3</v>
      </c>
      <c r="B1135" s="44"/>
      <c r="C1135" s="44"/>
      <c r="D1135" s="44"/>
      <c r="E1135" s="44"/>
      <c r="F1135" s="44"/>
      <c r="G1135" s="44"/>
      <c r="H1135" s="41">
        <f>SUM(O972:O1134)</f>
        <v>148058.99</v>
      </c>
      <c r="I1135" s="45"/>
      <c r="J1135" s="41">
        <f>SUM(P972:P1134)</f>
        <v>1917475.06</v>
      </c>
      <c r="K1135" s="45"/>
    </row>
    <row r="1136" spans="1:29" hidden="1" x14ac:dyDescent="0.25">
      <c r="A1136" t="s">
        <v>55</v>
      </c>
      <c r="I1136">
        <f>SUM(W972:W1135)</f>
        <v>0</v>
      </c>
      <c r="J1136">
        <f>SUM(X972:X1135)</f>
        <v>0</v>
      </c>
    </row>
    <row r="1137" spans="1:29" hidden="1" x14ac:dyDescent="0.25">
      <c r="A1137" t="s">
        <v>56</v>
      </c>
      <c r="I1137">
        <f>SUM(Y972:Y1136)</f>
        <v>0</v>
      </c>
      <c r="J1137">
        <f>SUM(Z972:Z1136)</f>
        <v>0</v>
      </c>
    </row>
    <row r="1138" spans="1:29" hidden="1" x14ac:dyDescent="0.25"/>
    <row r="1139" spans="1:29" ht="16.8" hidden="1" x14ac:dyDescent="0.25">
      <c r="A1139" s="11" t="str">
        <f>CONCATENATE("Подраздел: ",IF([1]Source!G1049&lt;&gt;"Новый подраздел", [1]Source!G1049, ""))</f>
        <v>Подраздел: Монтажные работы. Тип3</v>
      </c>
      <c r="B1139" s="11"/>
      <c r="C1139" s="11"/>
      <c r="D1139" s="11"/>
      <c r="E1139" s="11"/>
      <c r="F1139" s="11"/>
      <c r="G1139" s="11"/>
      <c r="H1139" s="11"/>
      <c r="I1139" s="11"/>
      <c r="J1139" s="11"/>
      <c r="K1139" s="11"/>
    </row>
    <row r="1140" spans="1:29" ht="28.8" hidden="1" x14ac:dyDescent="0.25">
      <c r="A1140" s="27">
        <v>85</v>
      </c>
      <c r="B1140" s="27" t="str">
        <f>[1]Source!F1053</f>
        <v>3.12-35-3</v>
      </c>
      <c r="C1140" s="27" t="s">
        <v>249</v>
      </c>
      <c r="D1140" s="28" t="str">
        <f>[1]Source!H1053</f>
        <v>100 м2</v>
      </c>
      <c r="E1140" s="29">
        <f>[1]Source!I1053</f>
        <v>10.92</v>
      </c>
      <c r="F1140" s="30"/>
      <c r="G1140" s="31"/>
      <c r="H1140" s="29"/>
      <c r="I1140" s="30"/>
      <c r="J1140" s="29"/>
      <c r="K1140" s="30"/>
      <c r="Q1140">
        <f>[1]Source!X1053</f>
        <v>377.28</v>
      </c>
      <c r="R1140">
        <f>[1]Source!X1054</f>
        <v>21259.75</v>
      </c>
      <c r="S1140">
        <f>[1]Source!Y1053</f>
        <v>184.79</v>
      </c>
      <c r="T1140">
        <f>[1]Source!Y1054</f>
        <v>10412.94</v>
      </c>
      <c r="U1140">
        <f>ROUND((175/100)*ROUND([1]Source!R1053, 2), 2)</f>
        <v>33.020000000000003</v>
      </c>
      <c r="V1140">
        <f>ROUND((0/100)*ROUND([1]Source!R1054, 2), 2)</f>
        <v>0</v>
      </c>
      <c r="AC1140">
        <v>0</v>
      </c>
    </row>
    <row r="1141" spans="1:29" hidden="1" x14ac:dyDescent="0.25">
      <c r="C1141" s="32" t="str">
        <f>"Объем: "&amp;[1]Source!I1053&amp;"=1092/"&amp;"100"</f>
        <v>Объем: 10,92=1092/100</v>
      </c>
    </row>
    <row r="1142" spans="1:29" ht="14.4" hidden="1" x14ac:dyDescent="0.25">
      <c r="A1142" s="27"/>
      <c r="B1142" s="27"/>
      <c r="C1142" s="27" t="s">
        <v>36</v>
      </c>
      <c r="D1142" s="28"/>
      <c r="E1142" s="29"/>
      <c r="F1142" s="30">
        <f>[1]Source!AO1053</f>
        <v>22.35</v>
      </c>
      <c r="G1142" s="31" t="s">
        <v>37</v>
      </c>
      <c r="H1142" s="29">
        <f>[1]Source!AV1054</f>
        <v>1.087</v>
      </c>
      <c r="I1142" s="30">
        <f>[1]Source!S1053</f>
        <v>366.11</v>
      </c>
      <c r="J1142" s="29">
        <f>IF([1]Source!BA1054&lt;&gt; 0, [1]Source!BA1054, 1)</f>
        <v>56.35</v>
      </c>
      <c r="K1142" s="30">
        <f>[1]Source!S1054</f>
        <v>20630.3</v>
      </c>
    </row>
    <row r="1143" spans="1:29" ht="14.4" hidden="1" x14ac:dyDescent="0.25">
      <c r="A1143" s="27"/>
      <c r="B1143" s="27"/>
      <c r="C1143" s="27" t="s">
        <v>38</v>
      </c>
      <c r="D1143" s="28"/>
      <c r="E1143" s="29"/>
      <c r="F1143" s="30">
        <f>[1]Source!AM1053</f>
        <v>13.14</v>
      </c>
      <c r="G1143" s="31" t="s">
        <v>39</v>
      </c>
      <c r="H1143" s="29">
        <f>[1]Source!AV1054</f>
        <v>1.087</v>
      </c>
      <c r="I1143" s="30">
        <f>[1]Source!Q1053</f>
        <v>233.96</v>
      </c>
      <c r="J1143" s="29">
        <f>IF([1]Source!BB1054&lt;&gt; 0, [1]Source!BB1054, 1)</f>
        <v>13.84</v>
      </c>
      <c r="K1143" s="30">
        <f>[1]Source!Q1054</f>
        <v>3238.01</v>
      </c>
    </row>
    <row r="1144" spans="1:29" ht="14.4" hidden="1" x14ac:dyDescent="0.25">
      <c r="A1144" s="27"/>
      <c r="B1144" s="27"/>
      <c r="C1144" s="27" t="s">
        <v>40</v>
      </c>
      <c r="D1144" s="28"/>
      <c r="E1144" s="29"/>
      <c r="F1144" s="30">
        <f>[1]Source!AN1053</f>
        <v>1.06</v>
      </c>
      <c r="G1144" s="31" t="s">
        <v>39</v>
      </c>
      <c r="H1144" s="29">
        <f>[1]Source!AV1054</f>
        <v>1.087</v>
      </c>
      <c r="I1144" s="33">
        <f>[1]Source!R1053</f>
        <v>18.87</v>
      </c>
      <c r="J1144" s="29">
        <f>IF([1]Source!BS1054&lt;&gt; 0, [1]Source!BS1054, 1)</f>
        <v>56.35</v>
      </c>
      <c r="K1144" s="33">
        <f>[1]Source!R1054</f>
        <v>1063.32</v>
      </c>
    </row>
    <row r="1145" spans="1:29" ht="55.2" hidden="1" x14ac:dyDescent="0.25">
      <c r="A1145" s="27" t="s">
        <v>250</v>
      </c>
      <c r="B1145" s="27" t="str">
        <f>[1]Source!F1055</f>
        <v>1.1-1-3677</v>
      </c>
      <c r="C1145" s="27" t="s">
        <v>251</v>
      </c>
      <c r="D1145" s="28" t="str">
        <f>[1]Source!H1055</f>
        <v>м2</v>
      </c>
      <c r="E1145" s="29">
        <f>[1]Source!I1055</f>
        <v>1245.8988360000001</v>
      </c>
      <c r="F1145" s="30">
        <f>[1]Source!AK1055</f>
        <v>77.2</v>
      </c>
      <c r="G1145" s="43" t="s">
        <v>54</v>
      </c>
      <c r="H1145" s="29">
        <f>[1]Source!AW1056</f>
        <v>1.0009999999999999</v>
      </c>
      <c r="I1145" s="30">
        <f>[1]Source!O1055</f>
        <v>96279.57</v>
      </c>
      <c r="J1145" s="29">
        <f>IF([1]Source!BC1056&lt;&gt; 0, [1]Source!BC1056, 1)</f>
        <v>7.01</v>
      </c>
      <c r="K1145" s="30">
        <f>[1]Source!O1056</f>
        <v>674919.79</v>
      </c>
      <c r="Q1145">
        <f>[1]Source!X1055</f>
        <v>0</v>
      </c>
      <c r="R1145">
        <f>[1]Source!X1056</f>
        <v>0</v>
      </c>
      <c r="S1145">
        <f>[1]Source!Y1055</f>
        <v>0</v>
      </c>
      <c r="T1145">
        <f>[1]Source!Y1056</f>
        <v>0</v>
      </c>
      <c r="U1145">
        <f>ROUND((175/100)*ROUND([1]Source!R1055, 2), 2)</f>
        <v>0</v>
      </c>
      <c r="V1145">
        <f>ROUND((0/100)*ROUND([1]Source!R1056, 2), 2)</f>
        <v>0</v>
      </c>
      <c r="AC1145">
        <v>3</v>
      </c>
    </row>
    <row r="1146" spans="1:29" ht="14.4" hidden="1" x14ac:dyDescent="0.25">
      <c r="A1146" s="27"/>
      <c r="B1146" s="27"/>
      <c r="C1146" s="27" t="s">
        <v>42</v>
      </c>
      <c r="D1146" s="28" t="s">
        <v>43</v>
      </c>
      <c r="E1146" s="29">
        <f>[1]Source!BZ1054</f>
        <v>98</v>
      </c>
      <c r="F1146" s="30"/>
      <c r="G1146" s="31"/>
      <c r="H1146" s="29"/>
      <c r="I1146" s="30">
        <f>SUM(Q1140:Q1145)</f>
        <v>377.28</v>
      </c>
      <c r="J1146" s="29">
        <f>[1]Source!AT1054</f>
        <v>98</v>
      </c>
      <c r="K1146" s="30">
        <f>SUM(R1140:R1145)</f>
        <v>21259.75</v>
      </c>
    </row>
    <row r="1147" spans="1:29" ht="14.4" hidden="1" x14ac:dyDescent="0.25">
      <c r="A1147" s="27"/>
      <c r="B1147" s="27"/>
      <c r="C1147" s="27" t="s">
        <v>44</v>
      </c>
      <c r="D1147" s="28" t="s">
        <v>43</v>
      </c>
      <c r="E1147" s="29">
        <f>[1]Source!CA1054</f>
        <v>48</v>
      </c>
      <c r="F1147" s="30"/>
      <c r="G1147" s="31"/>
      <c r="H1147" s="29"/>
      <c r="I1147" s="30">
        <f>SUM(S1140:S1146)</f>
        <v>184.79</v>
      </c>
      <c r="J1147" s="29">
        <f>[1]Source!AU1054</f>
        <v>48</v>
      </c>
      <c r="K1147" s="30">
        <f>SUM(T1140:T1146)</f>
        <v>10412.94</v>
      </c>
    </row>
    <row r="1148" spans="1:29" ht="14.4" hidden="1" x14ac:dyDescent="0.25">
      <c r="A1148" s="34"/>
      <c r="B1148" s="34"/>
      <c r="C1148" s="34" t="s">
        <v>45</v>
      </c>
      <c r="D1148" s="35" t="s">
        <v>46</v>
      </c>
      <c r="E1148" s="36">
        <f>[1]Source!AQ1053</f>
        <v>1.85</v>
      </c>
      <c r="F1148" s="37"/>
      <c r="G1148" s="38" t="s">
        <v>37</v>
      </c>
      <c r="H1148" s="36">
        <f>[1]Source!AV1054</f>
        <v>1.087</v>
      </c>
      <c r="I1148" s="37">
        <f>[1]Source!U1053</f>
        <v>30.304212119999999</v>
      </c>
      <c r="J1148" s="36"/>
      <c r="K1148" s="37"/>
    </row>
    <row r="1149" spans="1:29" ht="13.8" hidden="1" x14ac:dyDescent="0.25">
      <c r="C1149" s="39" t="s">
        <v>47</v>
      </c>
      <c r="H1149" s="40">
        <f>I1142+I1143+I1146+I1147+SUM(I1145:I1145)-SUMIF(AC1145:AC1145, 5, I1145:I1145)-SUMIF(AC1145:AC1145, 6, I1145:I1145)</f>
        <v>97441.71</v>
      </c>
      <c r="I1149" s="40"/>
      <c r="J1149" s="40">
        <f>K1142+K1143+K1146+K1147+SUM(K1145:K1145)-SUMIF(AC1145:AC1145, 5, K1145:K1145)-SUMIF(AC1145:AC1145, 6, K1145:K1145)</f>
        <v>730460.79</v>
      </c>
      <c r="K1149" s="40"/>
    </row>
    <row r="1150" spans="1:29" ht="13.8" hidden="1" x14ac:dyDescent="0.25">
      <c r="C1150" s="39" t="s">
        <v>48</v>
      </c>
      <c r="H1150" s="41">
        <f>SUMIF(AC1145:AC1145, 5, I1145:I1145)+SUMIF(AC1145:AC1145, 6, I1145:I1145)</f>
        <v>0</v>
      </c>
      <c r="I1150" s="41"/>
      <c r="J1150" s="41">
        <f>SUMIF(AC1145:AC1145, 5, K1145:K1145)+SUMIF(AC1145:AC1145, 6, K1145:K1145)</f>
        <v>0</v>
      </c>
      <c r="K1150" s="41"/>
    </row>
    <row r="1151" spans="1:29" ht="13.8" hidden="1" x14ac:dyDescent="0.25">
      <c r="C1151" s="39" t="s">
        <v>49</v>
      </c>
      <c r="H1151" s="41">
        <f>I1142+I1143+I1146+I1147+SUM(I1145:I1145)</f>
        <v>97441.71</v>
      </c>
      <c r="I1151" s="41"/>
      <c r="J1151" s="41">
        <f>K1142+K1143+K1146+K1147+SUM(K1145:K1145)</f>
        <v>730460.79</v>
      </c>
      <c r="K1151" s="41"/>
      <c r="O1151" s="42">
        <f>I1142+I1143+I1146+I1147+SUM(I1145:I1145)</f>
        <v>97441.71</v>
      </c>
      <c r="P1151" s="42">
        <f>K1142+K1143+K1146+K1147+SUM(K1145:K1145)</f>
        <v>730460.79</v>
      </c>
    </row>
    <row r="1152" spans="1:29" hidden="1" x14ac:dyDescent="0.25"/>
    <row r="1153" spans="1:29" ht="57.6" hidden="1" x14ac:dyDescent="0.25">
      <c r="A1153" s="27">
        <v>86</v>
      </c>
      <c r="B1153" s="27" t="str">
        <f>[1]Source!F1057</f>
        <v>3.12-7-1</v>
      </c>
      <c r="C1153" s="27" t="s">
        <v>252</v>
      </c>
      <c r="D1153" s="28" t="str">
        <f>[1]Source!H1057</f>
        <v>100 м2 покрытия</v>
      </c>
      <c r="E1153" s="29">
        <f>[1]Source!I1057</f>
        <v>10.92</v>
      </c>
      <c r="F1153" s="30"/>
      <c r="G1153" s="31"/>
      <c r="H1153" s="29"/>
      <c r="I1153" s="30"/>
      <c r="J1153" s="29"/>
      <c r="K1153" s="30"/>
      <c r="Q1153">
        <f>[1]Source!X1057</f>
        <v>70071.77</v>
      </c>
      <c r="R1153">
        <f>[1]Source!X1058</f>
        <v>3948544.46</v>
      </c>
      <c r="S1153">
        <f>[1]Source!Y1057</f>
        <v>34320.870000000003</v>
      </c>
      <c r="T1153">
        <f>[1]Source!Y1058</f>
        <v>1933980.96</v>
      </c>
      <c r="U1153">
        <f>ROUND((175/100)*ROUND([1]Source!R1057, 2), 2)</f>
        <v>3126.48</v>
      </c>
      <c r="V1153">
        <f>ROUND((0/100)*ROUND([1]Source!R1058, 2), 2)</f>
        <v>0</v>
      </c>
      <c r="AC1153">
        <v>0</v>
      </c>
    </row>
    <row r="1154" spans="1:29" hidden="1" x14ac:dyDescent="0.25">
      <c r="C1154" s="32" t="str">
        <f>"Объем: "&amp;[1]Source!I1057&amp;"=1092/"&amp;"100"</f>
        <v>Объем: 10,92=1092/100</v>
      </c>
    </row>
    <row r="1155" spans="1:29" ht="14.4" hidden="1" x14ac:dyDescent="0.25">
      <c r="A1155" s="27"/>
      <c r="B1155" s="27"/>
      <c r="C1155" s="27" t="s">
        <v>36</v>
      </c>
      <c r="D1155" s="28"/>
      <c r="E1155" s="29"/>
      <c r="F1155" s="30">
        <f>[1]Source!AO1057</f>
        <v>4255.95</v>
      </c>
      <c r="G1155" s="31" t="s">
        <v>37</v>
      </c>
      <c r="H1155" s="29">
        <f>[1]Source!AV1058</f>
        <v>1.087</v>
      </c>
      <c r="I1155" s="30">
        <f>[1]Source!S1057</f>
        <v>69715.25</v>
      </c>
      <c r="J1155" s="29">
        <f>IF([1]Source!BA1058&lt;&gt; 0, [1]Source!BA1058, 1)</f>
        <v>56.35</v>
      </c>
      <c r="K1155" s="30">
        <f>[1]Source!S1058</f>
        <v>3928454.34</v>
      </c>
    </row>
    <row r="1156" spans="1:29" ht="14.4" hidden="1" x14ac:dyDescent="0.25">
      <c r="A1156" s="27"/>
      <c r="B1156" s="27"/>
      <c r="C1156" s="27" t="s">
        <v>38</v>
      </c>
      <c r="D1156" s="28"/>
      <c r="E1156" s="29"/>
      <c r="F1156" s="30">
        <f>[1]Source!AM1057</f>
        <v>978.64</v>
      </c>
      <c r="G1156" s="31" t="s">
        <v>39</v>
      </c>
      <c r="H1156" s="29">
        <f>[1]Source!AV1058</f>
        <v>1.087</v>
      </c>
      <c r="I1156" s="30">
        <f>[1]Source!Q1057</f>
        <v>17424.740000000002</v>
      </c>
      <c r="J1156" s="29">
        <f>IF([1]Source!BB1058&lt;&gt; 0, [1]Source!BB1058, 1)</f>
        <v>31.42</v>
      </c>
      <c r="K1156" s="30">
        <f>[1]Source!Q1058</f>
        <v>547485.32999999996</v>
      </c>
    </row>
    <row r="1157" spans="1:29" ht="14.4" hidden="1" x14ac:dyDescent="0.25">
      <c r="A1157" s="27"/>
      <c r="B1157" s="27"/>
      <c r="C1157" s="27" t="s">
        <v>40</v>
      </c>
      <c r="D1157" s="28"/>
      <c r="E1157" s="29"/>
      <c r="F1157" s="30">
        <f>[1]Source!AN1057</f>
        <v>100.34</v>
      </c>
      <c r="G1157" s="31" t="s">
        <v>39</v>
      </c>
      <c r="H1157" s="29">
        <f>[1]Source!AV1058</f>
        <v>1.087</v>
      </c>
      <c r="I1157" s="33">
        <f>[1]Source!R1057</f>
        <v>1786.56</v>
      </c>
      <c r="J1157" s="29">
        <f>IF([1]Source!BS1058&lt;&gt; 0, [1]Source!BS1058, 1)</f>
        <v>56.35</v>
      </c>
      <c r="K1157" s="33">
        <f>[1]Source!R1058</f>
        <v>100672.66</v>
      </c>
    </row>
    <row r="1158" spans="1:29" ht="14.4" hidden="1" x14ac:dyDescent="0.25">
      <c r="A1158" s="27"/>
      <c r="B1158" s="27"/>
      <c r="C1158" s="27" t="s">
        <v>41</v>
      </c>
      <c r="D1158" s="28"/>
      <c r="E1158" s="29"/>
      <c r="F1158" s="30">
        <f>[1]Source!AL1057</f>
        <v>25058.46</v>
      </c>
      <c r="G1158" s="31"/>
      <c r="H1158" s="29">
        <f>[1]Source!AW1058</f>
        <v>1.0009999999999999</v>
      </c>
      <c r="I1158" s="30">
        <f>[1]Source!P1057</f>
        <v>273912.02</v>
      </c>
      <c r="J1158" s="29">
        <f>IF([1]Source!BC1058&lt;&gt; 0, [1]Source!BC1058, 1)</f>
        <v>9.74</v>
      </c>
      <c r="K1158" s="30">
        <f>[1]Source!P1058</f>
        <v>2667903.0699999998</v>
      </c>
    </row>
    <row r="1159" spans="1:29" ht="14.4" hidden="1" x14ac:dyDescent="0.25">
      <c r="A1159" s="27"/>
      <c r="B1159" s="27"/>
      <c r="C1159" s="27" t="s">
        <v>42</v>
      </c>
      <c r="D1159" s="28" t="s">
        <v>43</v>
      </c>
      <c r="E1159" s="29">
        <f>[1]Source!BZ1058</f>
        <v>98</v>
      </c>
      <c r="F1159" s="30"/>
      <c r="G1159" s="31"/>
      <c r="H1159" s="29"/>
      <c r="I1159" s="30">
        <f>SUM(Q1153:Q1158)</f>
        <v>70071.77</v>
      </c>
      <c r="J1159" s="29">
        <f>[1]Source!AT1058</f>
        <v>98</v>
      </c>
      <c r="K1159" s="30">
        <f>SUM(R1153:R1158)</f>
        <v>3948544.46</v>
      </c>
    </row>
    <row r="1160" spans="1:29" ht="14.4" hidden="1" x14ac:dyDescent="0.25">
      <c r="A1160" s="27"/>
      <c r="B1160" s="27"/>
      <c r="C1160" s="27" t="s">
        <v>44</v>
      </c>
      <c r="D1160" s="28" t="s">
        <v>43</v>
      </c>
      <c r="E1160" s="29">
        <f>[1]Source!CA1058</f>
        <v>48</v>
      </c>
      <c r="F1160" s="30"/>
      <c r="G1160" s="31"/>
      <c r="H1160" s="29"/>
      <c r="I1160" s="30">
        <f>SUM(S1153:S1159)</f>
        <v>34320.870000000003</v>
      </c>
      <c r="J1160" s="29">
        <f>[1]Source!AU1058</f>
        <v>48</v>
      </c>
      <c r="K1160" s="30">
        <f>SUM(T1153:T1159)</f>
        <v>1933980.96</v>
      </c>
    </row>
    <row r="1161" spans="1:29" ht="14.4" hidden="1" x14ac:dyDescent="0.25">
      <c r="A1161" s="34"/>
      <c r="B1161" s="34"/>
      <c r="C1161" s="34" t="s">
        <v>45</v>
      </c>
      <c r="D1161" s="35" t="s">
        <v>46</v>
      </c>
      <c r="E1161" s="36">
        <f>[1]Source!AQ1057</f>
        <v>255</v>
      </c>
      <c r="F1161" s="37"/>
      <c r="G1161" s="38" t="s">
        <v>37</v>
      </c>
      <c r="H1161" s="36">
        <f>[1]Source!AV1058</f>
        <v>1.087</v>
      </c>
      <c r="I1161" s="37">
        <f>[1]Source!U1057</f>
        <v>4177.0670759999994</v>
      </c>
      <c r="J1161" s="36"/>
      <c r="K1161" s="37"/>
    </row>
    <row r="1162" spans="1:29" ht="13.8" hidden="1" x14ac:dyDescent="0.25">
      <c r="C1162" s="39" t="s">
        <v>47</v>
      </c>
      <c r="H1162" s="40">
        <f>I1155+I1156+I1158+I1159+I1160+0-0-0</f>
        <v>465444.65</v>
      </c>
      <c r="I1162" s="40"/>
      <c r="J1162" s="40">
        <f>K1155+K1156+K1158+K1159+K1160+0-0-0</f>
        <v>13026368.16</v>
      </c>
      <c r="K1162" s="40"/>
    </row>
    <row r="1163" spans="1:29" ht="13.8" hidden="1" x14ac:dyDescent="0.25">
      <c r="C1163" s="39" t="s">
        <v>48</v>
      </c>
      <c r="H1163" s="41">
        <f>0+0</f>
        <v>0</v>
      </c>
      <c r="I1163" s="41"/>
      <c r="J1163" s="41">
        <f>0+0</f>
        <v>0</v>
      </c>
      <c r="K1163" s="41"/>
    </row>
    <row r="1164" spans="1:29" ht="13.8" hidden="1" x14ac:dyDescent="0.25">
      <c r="C1164" s="39" t="s">
        <v>49</v>
      </c>
      <c r="H1164" s="41">
        <f>I1155+I1156+I1158+I1159+I1160+0</f>
        <v>465444.65</v>
      </c>
      <c r="I1164" s="41"/>
      <c r="J1164" s="41">
        <f>K1155+K1156+K1158+K1159+K1160+0</f>
        <v>13026368.16</v>
      </c>
      <c r="K1164" s="41"/>
      <c r="O1164" s="42">
        <f>I1155+I1156+I1158+I1159+I1160+0</f>
        <v>465444.65</v>
      </c>
      <c r="P1164" s="42">
        <f>K1155+K1156+K1158+K1159+K1160+0</f>
        <v>13026368.16</v>
      </c>
    </row>
    <row r="1165" spans="1:29" hidden="1" x14ac:dyDescent="0.25"/>
    <row r="1166" spans="1:29" ht="27.6" hidden="1" x14ac:dyDescent="0.25">
      <c r="A1166" s="34">
        <v>87</v>
      </c>
      <c r="B1166" s="34" t="str">
        <f>[1]Source!F1059</f>
        <v>1.1-1-437</v>
      </c>
      <c r="C1166" s="34" t="s">
        <v>253</v>
      </c>
      <c r="D1166" s="35" t="str">
        <f>[1]Source!H1059</f>
        <v>т</v>
      </c>
      <c r="E1166" s="36">
        <f>[1]Source!I1059</f>
        <v>0.79715999999999998</v>
      </c>
      <c r="F1166" s="37">
        <f>[1]Source!AL1059</f>
        <v>19216.09</v>
      </c>
      <c r="G1166" s="38"/>
      <c r="H1166" s="36">
        <f>[1]Source!AW1060</f>
        <v>1</v>
      </c>
      <c r="I1166" s="37">
        <f>[1]Source!P1059</f>
        <v>15318.3</v>
      </c>
      <c r="J1166" s="36">
        <f>IF([1]Source!BC1060&lt;&gt; 0, [1]Source!BC1060, 1)</f>
        <v>10.99</v>
      </c>
      <c r="K1166" s="37">
        <f>[1]Source!P1060</f>
        <v>168348.12</v>
      </c>
      <c r="Q1166">
        <f>[1]Source!X1059</f>
        <v>0</v>
      </c>
      <c r="R1166">
        <f>[1]Source!X1060</f>
        <v>0</v>
      </c>
      <c r="S1166">
        <f>[1]Source!Y1059</f>
        <v>0</v>
      </c>
      <c r="T1166">
        <f>[1]Source!Y1060</f>
        <v>0</v>
      </c>
      <c r="U1166">
        <f>ROUND((175/100)*ROUND([1]Source!R1059, 2), 2)</f>
        <v>0</v>
      </c>
      <c r="V1166">
        <f>ROUND((0/100)*ROUND([1]Source!R1060, 2), 2)</f>
        <v>0</v>
      </c>
      <c r="AC1166">
        <v>3</v>
      </c>
    </row>
    <row r="1167" spans="1:29" ht="13.8" hidden="1" x14ac:dyDescent="0.25">
      <c r="C1167" s="39" t="s">
        <v>49</v>
      </c>
      <c r="H1167" s="40">
        <f>I1166+0</f>
        <v>15318.3</v>
      </c>
      <c r="I1167" s="40"/>
      <c r="J1167" s="40">
        <f>K1166+0</f>
        <v>168348.12</v>
      </c>
      <c r="K1167" s="40"/>
      <c r="O1167" s="42">
        <f>I1166+0</f>
        <v>15318.3</v>
      </c>
      <c r="P1167" s="42">
        <f>K1166+0</f>
        <v>168348.12</v>
      </c>
    </row>
    <row r="1168" spans="1:29" hidden="1" x14ac:dyDescent="0.25"/>
    <row r="1169" spans="1:29" ht="41.4" hidden="1" x14ac:dyDescent="0.25">
      <c r="A1169" s="34">
        <v>88</v>
      </c>
      <c r="B1169" s="34" t="str">
        <f>[1]Source!F1061</f>
        <v>1.7-1-283</v>
      </c>
      <c r="C1169" s="34" t="s">
        <v>254</v>
      </c>
      <c r="D1169" s="35" t="str">
        <f>[1]Source!H1061</f>
        <v>м2</v>
      </c>
      <c r="E1169" s="36">
        <f>[1]Source!I1061</f>
        <v>1092</v>
      </c>
      <c r="F1169" s="37">
        <f>[1]Source!AL1061</f>
        <v>564.05999999999995</v>
      </c>
      <c r="G1169" s="38"/>
      <c r="H1169" s="36">
        <f>[1]Source!AW1062</f>
        <v>1</v>
      </c>
      <c r="I1169" s="37">
        <f>[1]Source!P1061</f>
        <v>615953.52</v>
      </c>
      <c r="J1169" s="36">
        <f>IF([1]Source!BC1062&lt;&gt; 0, [1]Source!BC1062, 1)</f>
        <v>9.81</v>
      </c>
      <c r="K1169" s="37">
        <f>[1]Source!P1062</f>
        <v>6042504.0300000003</v>
      </c>
      <c r="Q1169">
        <f>[1]Source!X1061</f>
        <v>0</v>
      </c>
      <c r="R1169">
        <f>[1]Source!X1062</f>
        <v>0</v>
      </c>
      <c r="S1169">
        <f>[1]Source!Y1061</f>
        <v>0</v>
      </c>
      <c r="T1169">
        <f>[1]Source!Y1062</f>
        <v>0</v>
      </c>
      <c r="U1169">
        <f>ROUND((175/100)*ROUND([1]Source!R1061, 2), 2)</f>
        <v>0</v>
      </c>
      <c r="V1169">
        <f>ROUND((0/100)*ROUND([1]Source!R1062, 2), 2)</f>
        <v>0</v>
      </c>
      <c r="AC1169">
        <v>3</v>
      </c>
    </row>
    <row r="1170" spans="1:29" ht="13.8" hidden="1" x14ac:dyDescent="0.25">
      <c r="C1170" s="39" t="s">
        <v>49</v>
      </c>
      <c r="H1170" s="40">
        <f>I1169+0</f>
        <v>615953.52</v>
      </c>
      <c r="I1170" s="40"/>
      <c r="J1170" s="40">
        <f>K1169+0</f>
        <v>6042504.0300000003</v>
      </c>
      <c r="K1170" s="40"/>
      <c r="O1170" s="42">
        <f>I1169+0</f>
        <v>615953.52</v>
      </c>
      <c r="P1170" s="42">
        <f>K1169+0</f>
        <v>6042504.0300000003</v>
      </c>
    </row>
    <row r="1171" spans="1:29" hidden="1" x14ac:dyDescent="0.25"/>
    <row r="1172" spans="1:29" hidden="1" x14ac:dyDescent="0.25"/>
    <row r="1173" spans="1:29" ht="13.8" hidden="1" x14ac:dyDescent="0.25">
      <c r="A1173" s="44" t="str">
        <f>CONCATENATE("Итого по подразделу: ",IF([1]Source!G1064&lt;&gt;"Новый подраздел", [1]Source!G1064, ""))</f>
        <v>Итого по подразделу: Монтажные работы. Тип3</v>
      </c>
      <c r="B1173" s="44"/>
      <c r="C1173" s="44"/>
      <c r="D1173" s="44"/>
      <c r="E1173" s="44"/>
      <c r="F1173" s="44"/>
      <c r="G1173" s="44"/>
      <c r="H1173" s="41">
        <f>SUM(O1139:O1172)</f>
        <v>1194158.1800000002</v>
      </c>
      <c r="I1173" s="45"/>
      <c r="J1173" s="41">
        <f>SUM(P1139:P1172)</f>
        <v>19967681.099999998</v>
      </c>
      <c r="K1173" s="45"/>
    </row>
    <row r="1174" spans="1:29" hidden="1" x14ac:dyDescent="0.25">
      <c r="A1174" t="s">
        <v>55</v>
      </c>
      <c r="I1174">
        <f>SUM(W1139:W1173)</f>
        <v>0</v>
      </c>
      <c r="J1174">
        <f>SUM(X1139:X1173)</f>
        <v>0</v>
      </c>
    </row>
    <row r="1175" spans="1:29" hidden="1" x14ac:dyDescent="0.25">
      <c r="A1175" t="s">
        <v>56</v>
      </c>
      <c r="I1175">
        <f>SUM(Y1139:Y1174)</f>
        <v>0</v>
      </c>
      <c r="J1175">
        <f>SUM(Z1139:Z1174)</f>
        <v>0</v>
      </c>
    </row>
    <row r="1176" spans="1:29" hidden="1" x14ac:dyDescent="0.25"/>
    <row r="1177" spans="1:29" ht="16.8" hidden="1" x14ac:dyDescent="0.25">
      <c r="A1177" s="11" t="str">
        <f>CONCATENATE("Подраздел: ",IF([1]Source!G1094&lt;&gt;"Новый подраздел", [1]Source!G1094, ""))</f>
        <v>Подраздел: Строительные работы на кровле</v>
      </c>
      <c r="B1177" s="11"/>
      <c r="C1177" s="11"/>
      <c r="D1177" s="11"/>
      <c r="E1177" s="11"/>
      <c r="F1177" s="11"/>
      <c r="G1177" s="11"/>
      <c r="H1177" s="11"/>
      <c r="I1177" s="11"/>
      <c r="J1177" s="11"/>
      <c r="K1177" s="11"/>
    </row>
    <row r="1178" spans="1:29" ht="41.4" hidden="1" x14ac:dyDescent="0.25">
      <c r="A1178" s="27">
        <v>89</v>
      </c>
      <c r="B1178" s="27" t="str">
        <f>[1]Source!F1098</f>
        <v>3.12-55-15</v>
      </c>
      <c r="C1178" s="27" t="s">
        <v>255</v>
      </c>
      <c r="D1178" s="28" t="str">
        <f>[1]Source!H1098</f>
        <v>100 м2</v>
      </c>
      <c r="E1178" s="29">
        <f>[1]Source!I1098</f>
        <v>1.1499999999999999</v>
      </c>
      <c r="F1178" s="30"/>
      <c r="G1178" s="31"/>
      <c r="H1178" s="29"/>
      <c r="I1178" s="30"/>
      <c r="J1178" s="29"/>
      <c r="K1178" s="30"/>
      <c r="Q1178">
        <f>[1]Source!X1098</f>
        <v>560.12</v>
      </c>
      <c r="R1178">
        <f>[1]Source!X1099</f>
        <v>31562.71</v>
      </c>
      <c r="S1178">
        <f>[1]Source!Y1098</f>
        <v>274.33999999999997</v>
      </c>
      <c r="T1178">
        <f>[1]Source!Y1099</f>
        <v>15459.29</v>
      </c>
      <c r="U1178">
        <f>ROUND((175/100)*ROUND([1]Source!R1098, 2), 2)</f>
        <v>24.94</v>
      </c>
      <c r="V1178">
        <f>ROUND((0/100)*ROUND([1]Source!R1099, 2), 2)</f>
        <v>0</v>
      </c>
      <c r="AC1178">
        <v>0</v>
      </c>
    </row>
    <row r="1179" spans="1:29" hidden="1" x14ac:dyDescent="0.25">
      <c r="C1179" s="32" t="str">
        <f>"Объем: "&amp;[1]Source!I1098&amp;"=(230*"&amp;"0,5)/"&amp;"100"</f>
        <v>Объем: 1,15=(230*0,5)/100</v>
      </c>
    </row>
    <row r="1180" spans="1:29" ht="14.4" hidden="1" x14ac:dyDescent="0.25">
      <c r="A1180" s="27"/>
      <c r="B1180" s="27"/>
      <c r="C1180" s="27" t="s">
        <v>36</v>
      </c>
      <c r="D1180" s="28"/>
      <c r="E1180" s="29"/>
      <c r="F1180" s="30">
        <f>[1]Source!AO1098</f>
        <v>323.06</v>
      </c>
      <c r="G1180" s="31" t="s">
        <v>37</v>
      </c>
      <c r="H1180" s="29">
        <f>[1]Source!AV1099</f>
        <v>1.087</v>
      </c>
      <c r="I1180" s="30">
        <f>[1]Source!S1098</f>
        <v>557.29999999999995</v>
      </c>
      <c r="J1180" s="29">
        <f>IF([1]Source!BA1099&lt;&gt; 0, [1]Source!BA1099, 1)</f>
        <v>56.35</v>
      </c>
      <c r="K1180" s="30">
        <f>[1]Source!S1099</f>
        <v>31403.86</v>
      </c>
    </row>
    <row r="1181" spans="1:29" ht="14.4" hidden="1" x14ac:dyDescent="0.25">
      <c r="A1181" s="27"/>
      <c r="B1181" s="27"/>
      <c r="C1181" s="27" t="s">
        <v>38</v>
      </c>
      <c r="D1181" s="28"/>
      <c r="E1181" s="29"/>
      <c r="F1181" s="30">
        <f>[1]Source!AM1098</f>
        <v>78.489999999999995</v>
      </c>
      <c r="G1181" s="31" t="s">
        <v>39</v>
      </c>
      <c r="H1181" s="29">
        <f>[1]Source!AV1099</f>
        <v>1.087</v>
      </c>
      <c r="I1181" s="30">
        <f>[1]Source!Q1098</f>
        <v>147.16999999999999</v>
      </c>
      <c r="J1181" s="29">
        <f>IF([1]Source!BB1099&lt;&gt; 0, [1]Source!BB1099, 1)</f>
        <v>14.48</v>
      </c>
      <c r="K1181" s="30">
        <f>[1]Source!Q1099</f>
        <v>2131.02</v>
      </c>
    </row>
    <row r="1182" spans="1:29" ht="14.4" hidden="1" x14ac:dyDescent="0.25">
      <c r="A1182" s="27"/>
      <c r="B1182" s="27"/>
      <c r="C1182" s="27" t="s">
        <v>40</v>
      </c>
      <c r="D1182" s="28"/>
      <c r="E1182" s="29"/>
      <c r="F1182" s="30">
        <f>[1]Source!AN1098</f>
        <v>7.6</v>
      </c>
      <c r="G1182" s="31" t="s">
        <v>39</v>
      </c>
      <c r="H1182" s="29">
        <f>[1]Source!AV1099</f>
        <v>1.087</v>
      </c>
      <c r="I1182" s="33">
        <f>[1]Source!R1098</f>
        <v>14.25</v>
      </c>
      <c r="J1182" s="29">
        <f>IF([1]Source!BS1099&lt;&gt; 0, [1]Source!BS1099, 1)</f>
        <v>56.35</v>
      </c>
      <c r="K1182" s="33">
        <f>[1]Source!R1099</f>
        <v>802.99</v>
      </c>
    </row>
    <row r="1183" spans="1:29" ht="14.4" hidden="1" x14ac:dyDescent="0.25">
      <c r="A1183" s="27"/>
      <c r="B1183" s="27"/>
      <c r="C1183" s="27" t="s">
        <v>41</v>
      </c>
      <c r="D1183" s="28"/>
      <c r="E1183" s="29"/>
      <c r="F1183" s="30">
        <f>[1]Source!AL1098</f>
        <v>10.1</v>
      </c>
      <c r="G1183" s="31"/>
      <c r="H1183" s="29">
        <f>[1]Source!AW1099</f>
        <v>1.0009999999999999</v>
      </c>
      <c r="I1183" s="30">
        <f>[1]Source!P1098</f>
        <v>11.63</v>
      </c>
      <c r="J1183" s="29">
        <f>IF([1]Source!BC1099&lt;&gt; 0, [1]Source!BC1099, 1)</f>
        <v>8.9</v>
      </c>
      <c r="K1183" s="30">
        <f>[1]Source!P1099</f>
        <v>103.51</v>
      </c>
    </row>
    <row r="1184" spans="1:29" ht="55.2" hidden="1" x14ac:dyDescent="0.25">
      <c r="A1184" s="27" t="s">
        <v>256</v>
      </c>
      <c r="B1184" s="27" t="str">
        <f>[1]Source!F1100</f>
        <v>1.1-1-3214</v>
      </c>
      <c r="C1184" s="27" t="s">
        <v>257</v>
      </c>
      <c r="D1184" s="28" t="str">
        <f>[1]Source!H1100</f>
        <v>100 шт.</v>
      </c>
      <c r="E1184" s="29">
        <f>[1]Source!I1100</f>
        <v>11.615</v>
      </c>
      <c r="F1184" s="30">
        <f>[1]Source!AK1100</f>
        <v>164.08</v>
      </c>
      <c r="G1184" s="43" t="s">
        <v>54</v>
      </c>
      <c r="H1184" s="29">
        <f>[1]Source!AW1101</f>
        <v>1.0009999999999999</v>
      </c>
      <c r="I1184" s="30">
        <f>[1]Source!O1100</f>
        <v>1907.69</v>
      </c>
      <c r="J1184" s="29">
        <f>IF([1]Source!BC1101&lt;&gt; 0, [1]Source!BC1101, 1)</f>
        <v>6.76</v>
      </c>
      <c r="K1184" s="30">
        <f>[1]Source!O1101</f>
        <v>12895.98</v>
      </c>
      <c r="Q1184">
        <f>[1]Source!X1100</f>
        <v>0</v>
      </c>
      <c r="R1184">
        <f>[1]Source!X1101</f>
        <v>0</v>
      </c>
      <c r="S1184">
        <f>[1]Source!Y1100</f>
        <v>0</v>
      </c>
      <c r="T1184">
        <f>[1]Source!Y1101</f>
        <v>0</v>
      </c>
      <c r="U1184">
        <f>ROUND((175/100)*ROUND([1]Source!R1100, 2), 2)</f>
        <v>0</v>
      </c>
      <c r="V1184">
        <f>ROUND((0/100)*ROUND([1]Source!R1101, 2), 2)</f>
        <v>0</v>
      </c>
      <c r="AC1184">
        <v>3</v>
      </c>
    </row>
    <row r="1185" spans="1:29" ht="138" hidden="1" x14ac:dyDescent="0.25">
      <c r="A1185" s="27" t="s">
        <v>258</v>
      </c>
      <c r="B1185" s="27" t="str">
        <f>[1]Source!F1102</f>
        <v>1.1-1-2922</v>
      </c>
      <c r="C1185" s="27" t="s">
        <v>81</v>
      </c>
      <c r="D1185" s="28" t="str">
        <f>[1]Source!H1102</f>
        <v>м3</v>
      </c>
      <c r="E1185" s="29">
        <f>[1]Source!I1102</f>
        <v>17.76727</v>
      </c>
      <c r="F1185" s="30">
        <f>[1]Source!AK1102</f>
        <v>1245.78</v>
      </c>
      <c r="G1185" s="43" t="s">
        <v>54</v>
      </c>
      <c r="H1185" s="29">
        <f>[1]Source!AW1103</f>
        <v>1.0009999999999999</v>
      </c>
      <c r="I1185" s="30">
        <f>[1]Source!O1102</f>
        <v>22156.240000000002</v>
      </c>
      <c r="J1185" s="29">
        <f>IF([1]Source!BC1103&lt;&gt; 0, [1]Source!BC1103, 1)</f>
        <v>6.23</v>
      </c>
      <c r="K1185" s="30">
        <f>[1]Source!O1103</f>
        <v>138033.38</v>
      </c>
      <c r="Q1185">
        <f>[1]Source!X1102</f>
        <v>0</v>
      </c>
      <c r="R1185">
        <f>[1]Source!X1103</f>
        <v>0</v>
      </c>
      <c r="S1185">
        <f>[1]Source!Y1102</f>
        <v>0</v>
      </c>
      <c r="T1185">
        <f>[1]Source!Y1103</f>
        <v>0</v>
      </c>
      <c r="U1185">
        <f>ROUND((175/100)*ROUND([1]Source!R1102, 2), 2)</f>
        <v>0</v>
      </c>
      <c r="V1185">
        <f>ROUND((0/100)*ROUND([1]Source!R1103, 2), 2)</f>
        <v>0</v>
      </c>
      <c r="AC1185">
        <v>3</v>
      </c>
    </row>
    <row r="1186" spans="1:29" ht="14.4" hidden="1" x14ac:dyDescent="0.25">
      <c r="A1186" s="27"/>
      <c r="B1186" s="27"/>
      <c r="C1186" s="27" t="s">
        <v>42</v>
      </c>
      <c r="D1186" s="28" t="s">
        <v>43</v>
      </c>
      <c r="E1186" s="29">
        <f>[1]Source!BZ1099</f>
        <v>98</v>
      </c>
      <c r="F1186" s="30"/>
      <c r="G1186" s="31"/>
      <c r="H1186" s="29"/>
      <c r="I1186" s="30">
        <f>SUM(Q1178:Q1185)</f>
        <v>560.12</v>
      </c>
      <c r="J1186" s="29">
        <f>[1]Source!AT1099</f>
        <v>98</v>
      </c>
      <c r="K1186" s="30">
        <f>SUM(R1178:R1185)</f>
        <v>31562.71</v>
      </c>
    </row>
    <row r="1187" spans="1:29" ht="14.4" hidden="1" x14ac:dyDescent="0.25">
      <c r="A1187" s="27"/>
      <c r="B1187" s="27"/>
      <c r="C1187" s="27" t="s">
        <v>44</v>
      </c>
      <c r="D1187" s="28" t="s">
        <v>43</v>
      </c>
      <c r="E1187" s="29">
        <f>[1]Source!CA1099</f>
        <v>48</v>
      </c>
      <c r="F1187" s="30"/>
      <c r="G1187" s="31"/>
      <c r="H1187" s="29"/>
      <c r="I1187" s="30">
        <f>SUM(S1178:S1186)</f>
        <v>274.33999999999997</v>
      </c>
      <c r="J1187" s="29">
        <f>[1]Source!AU1099</f>
        <v>48</v>
      </c>
      <c r="K1187" s="30">
        <f>SUM(T1178:T1186)</f>
        <v>15459.29</v>
      </c>
    </row>
    <row r="1188" spans="1:29" ht="14.4" hidden="1" x14ac:dyDescent="0.25">
      <c r="A1188" s="34"/>
      <c r="B1188" s="34"/>
      <c r="C1188" s="34" t="s">
        <v>45</v>
      </c>
      <c r="D1188" s="35" t="s">
        <v>46</v>
      </c>
      <c r="E1188" s="36">
        <f>[1]Source!AQ1098</f>
        <v>29.46</v>
      </c>
      <c r="F1188" s="37"/>
      <c r="G1188" s="38" t="s">
        <v>37</v>
      </c>
      <c r="H1188" s="36">
        <f>[1]Source!AV1099</f>
        <v>1.087</v>
      </c>
      <c r="I1188" s="37">
        <f>[1]Source!U1098</f>
        <v>50.820532739999983</v>
      </c>
      <c r="J1188" s="36"/>
      <c r="K1188" s="37"/>
    </row>
    <row r="1189" spans="1:29" ht="13.8" hidden="1" x14ac:dyDescent="0.25">
      <c r="C1189" s="39" t="s">
        <v>47</v>
      </c>
      <c r="H1189" s="40">
        <f>I1180+I1181+I1183+I1186+I1187+SUM(I1184:I1185)-SUMIF(AC1184:AC1185, 5, I1184:I1185)-SUMIF(AC1184:AC1185, 6, I1184:I1185)</f>
        <v>25614.49</v>
      </c>
      <c r="I1189" s="40"/>
      <c r="J1189" s="40">
        <f>K1180+K1181+K1183+K1186+K1187+SUM(K1184:K1185)-SUMIF(AC1184:AC1185, 5, K1184:K1185)-SUMIF(AC1184:AC1185, 6, K1184:K1185)</f>
        <v>231589.75</v>
      </c>
      <c r="K1189" s="40"/>
    </row>
    <row r="1190" spans="1:29" ht="13.8" hidden="1" x14ac:dyDescent="0.25">
      <c r="C1190" s="39" t="s">
        <v>48</v>
      </c>
      <c r="H1190" s="41">
        <f>SUMIF(AC1184:AC1185, 5, I1184:I1185)+SUMIF(AC1184:AC1185, 6, I1184:I1185)</f>
        <v>0</v>
      </c>
      <c r="I1190" s="41"/>
      <c r="J1190" s="41">
        <f>SUMIF(AC1184:AC1185, 5, K1184:K1185)+SUMIF(AC1184:AC1185, 6, K1184:K1185)</f>
        <v>0</v>
      </c>
      <c r="K1190" s="41"/>
    </row>
    <row r="1191" spans="1:29" ht="13.8" hidden="1" x14ac:dyDescent="0.25">
      <c r="C1191" s="39" t="s">
        <v>49</v>
      </c>
      <c r="H1191" s="41">
        <f>I1180+I1181+I1183+I1186+I1187+SUM(I1184:I1185)</f>
        <v>25614.49</v>
      </c>
      <c r="I1191" s="41"/>
      <c r="J1191" s="41">
        <f>K1180+K1181+K1183+K1186+K1187+SUM(K1184:K1185)</f>
        <v>231589.75</v>
      </c>
      <c r="K1191" s="41"/>
      <c r="O1191" s="42">
        <f>I1180+I1181+I1183+I1186+I1187+SUM(I1184:I1185)</f>
        <v>25614.49</v>
      </c>
      <c r="P1191" s="42">
        <f>K1180+K1181+K1183+K1186+K1187+SUM(K1184:K1185)</f>
        <v>231589.75</v>
      </c>
    </row>
    <row r="1192" spans="1:29" hidden="1" x14ac:dyDescent="0.25"/>
    <row r="1193" spans="1:29" ht="57.6" hidden="1" x14ac:dyDescent="0.25">
      <c r="A1193" s="27">
        <v>90</v>
      </c>
      <c r="B1193" s="27" t="str">
        <f>[1]Source!F1104</f>
        <v>3.12-55-18</v>
      </c>
      <c r="C1193" s="27" t="s">
        <v>259</v>
      </c>
      <c r="D1193" s="28" t="str">
        <f>[1]Source!H1104</f>
        <v>100 м примыканий</v>
      </c>
      <c r="E1193" s="29">
        <f>[1]Source!I1104</f>
        <v>2.2999999999999998</v>
      </c>
      <c r="F1193" s="30"/>
      <c r="G1193" s="31"/>
      <c r="H1193" s="29"/>
      <c r="I1193" s="30"/>
      <c r="J1193" s="29"/>
      <c r="K1193" s="30"/>
      <c r="Q1193">
        <f>[1]Source!X1104</f>
        <v>2475.21</v>
      </c>
      <c r="R1193">
        <f>[1]Source!X1105</f>
        <v>139477.84</v>
      </c>
      <c r="S1193">
        <f>[1]Source!Y1104</f>
        <v>1212.3499999999999</v>
      </c>
      <c r="T1193">
        <f>[1]Source!Y1105</f>
        <v>68315.679999999993</v>
      </c>
      <c r="U1193">
        <f>ROUND((175/100)*ROUND([1]Source!R1104, 2), 2)</f>
        <v>26.58</v>
      </c>
      <c r="V1193">
        <f>ROUND((0/100)*ROUND([1]Source!R1105, 2), 2)</f>
        <v>0</v>
      </c>
      <c r="AC1193">
        <v>0</v>
      </c>
    </row>
    <row r="1194" spans="1:29" hidden="1" x14ac:dyDescent="0.25">
      <c r="C1194" s="32" t="str">
        <f>"Объем: "&amp;[1]Source!I1104&amp;"=230/"&amp;"100"</f>
        <v>Объем: 2,3=230/100</v>
      </c>
    </row>
    <row r="1195" spans="1:29" ht="14.4" hidden="1" x14ac:dyDescent="0.25">
      <c r="A1195" s="27"/>
      <c r="B1195" s="27"/>
      <c r="C1195" s="27" t="s">
        <v>36</v>
      </c>
      <c r="D1195" s="28"/>
      <c r="E1195" s="29"/>
      <c r="F1195" s="30">
        <f>[1]Source!AO1104</f>
        <v>727.66</v>
      </c>
      <c r="G1195" s="31" t="s">
        <v>37</v>
      </c>
      <c r="H1195" s="29">
        <f>[1]Source!AV1105</f>
        <v>1.087</v>
      </c>
      <c r="I1195" s="30">
        <f>[1]Source!S1104</f>
        <v>2510.5300000000002</v>
      </c>
      <c r="J1195" s="29">
        <f>IF([1]Source!BA1105&lt;&gt; 0, [1]Source!BA1105, 1)</f>
        <v>56.35</v>
      </c>
      <c r="K1195" s="30">
        <f>[1]Source!S1105</f>
        <v>141468.37</v>
      </c>
    </row>
    <row r="1196" spans="1:29" ht="14.4" hidden="1" x14ac:dyDescent="0.25">
      <c r="A1196" s="27"/>
      <c r="B1196" s="27"/>
      <c r="C1196" s="27" t="s">
        <v>38</v>
      </c>
      <c r="D1196" s="28"/>
      <c r="E1196" s="29"/>
      <c r="F1196" s="30">
        <f>[1]Source!AM1104</f>
        <v>39.86</v>
      </c>
      <c r="G1196" s="31" t="s">
        <v>39</v>
      </c>
      <c r="H1196" s="29">
        <f>[1]Source!AV1105</f>
        <v>1.087</v>
      </c>
      <c r="I1196" s="30">
        <f>[1]Source!Q1104</f>
        <v>149.47999999999999</v>
      </c>
      <c r="J1196" s="29">
        <f>IF([1]Source!BB1105&lt;&gt; 0, [1]Source!BB1105, 1)</f>
        <v>14.7</v>
      </c>
      <c r="K1196" s="30">
        <f>[1]Source!Q1105</f>
        <v>2197.36</v>
      </c>
    </row>
    <row r="1197" spans="1:29" ht="14.4" hidden="1" x14ac:dyDescent="0.25">
      <c r="A1197" s="27"/>
      <c r="B1197" s="27"/>
      <c r="C1197" s="27" t="s">
        <v>40</v>
      </c>
      <c r="D1197" s="28"/>
      <c r="E1197" s="29"/>
      <c r="F1197" s="30">
        <f>[1]Source!AN1104</f>
        <v>4.05</v>
      </c>
      <c r="G1197" s="31" t="s">
        <v>39</v>
      </c>
      <c r="H1197" s="29">
        <f>[1]Source!AV1105</f>
        <v>1.087</v>
      </c>
      <c r="I1197" s="33">
        <f>[1]Source!R1104</f>
        <v>15.19</v>
      </c>
      <c r="J1197" s="29">
        <f>IF([1]Source!BS1105&lt;&gt; 0, [1]Source!BS1105, 1)</f>
        <v>56.35</v>
      </c>
      <c r="K1197" s="33">
        <f>[1]Source!R1105</f>
        <v>855.96</v>
      </c>
    </row>
    <row r="1198" spans="1:29" ht="14.4" hidden="1" x14ac:dyDescent="0.25">
      <c r="A1198" s="27"/>
      <c r="B1198" s="27"/>
      <c r="C1198" s="27" t="s">
        <v>41</v>
      </c>
      <c r="D1198" s="28"/>
      <c r="E1198" s="29"/>
      <c r="F1198" s="30">
        <f>[1]Source!AL1104</f>
        <v>843.43</v>
      </c>
      <c r="G1198" s="31"/>
      <c r="H1198" s="29">
        <f>[1]Source!AW1105</f>
        <v>1.0009999999999999</v>
      </c>
      <c r="I1198" s="30">
        <f>[1]Source!P1104</f>
        <v>1941.83</v>
      </c>
      <c r="J1198" s="29">
        <f>IF([1]Source!BC1105&lt;&gt; 0, [1]Source!BC1105, 1)</f>
        <v>10.08</v>
      </c>
      <c r="K1198" s="30">
        <f>[1]Source!P1105</f>
        <v>19573.650000000001</v>
      </c>
    </row>
    <row r="1199" spans="1:29" ht="138" hidden="1" x14ac:dyDescent="0.25">
      <c r="A1199" s="27" t="s">
        <v>260</v>
      </c>
      <c r="B1199" s="27" t="str">
        <f>[1]Source!F1106</f>
        <v>1.1-1-2922</v>
      </c>
      <c r="C1199" s="27" t="s">
        <v>81</v>
      </c>
      <c r="D1199" s="28" t="str">
        <f>[1]Source!H1106</f>
        <v>м3</v>
      </c>
      <c r="E1199" s="29">
        <f>[1]Source!I1106</f>
        <v>2.6661600000000005</v>
      </c>
      <c r="F1199" s="30">
        <f>[1]Source!AK1106</f>
        <v>1245.78</v>
      </c>
      <c r="G1199" s="43" t="s">
        <v>54</v>
      </c>
      <c r="H1199" s="29">
        <f>[1]Source!AW1107</f>
        <v>1.0009999999999999</v>
      </c>
      <c r="I1199" s="30">
        <f>[1]Source!O1106</f>
        <v>3324.77</v>
      </c>
      <c r="J1199" s="29">
        <f>IF([1]Source!BC1107&lt;&gt; 0, [1]Source!BC1107, 1)</f>
        <v>6.23</v>
      </c>
      <c r="K1199" s="30">
        <f>[1]Source!O1107</f>
        <v>20713.32</v>
      </c>
      <c r="Q1199">
        <f>[1]Source!X1106</f>
        <v>0</v>
      </c>
      <c r="R1199">
        <f>[1]Source!X1107</f>
        <v>0</v>
      </c>
      <c r="S1199">
        <f>[1]Source!Y1106</f>
        <v>0</v>
      </c>
      <c r="T1199">
        <f>[1]Source!Y1107</f>
        <v>0</v>
      </c>
      <c r="U1199">
        <f>ROUND((175/100)*ROUND([1]Source!R1106, 2), 2)</f>
        <v>0</v>
      </c>
      <c r="V1199">
        <f>ROUND((0/100)*ROUND([1]Source!R1107, 2), 2)</f>
        <v>0</v>
      </c>
      <c r="AC1199">
        <v>3</v>
      </c>
    </row>
    <row r="1200" spans="1:29" ht="179.4" hidden="1" x14ac:dyDescent="0.25">
      <c r="A1200" s="27" t="s">
        <v>261</v>
      </c>
      <c r="B1200" s="27" t="str">
        <f>[1]Source!F1108</f>
        <v>1.1-1-3276</v>
      </c>
      <c r="C1200" s="27" t="s">
        <v>262</v>
      </c>
      <c r="D1200" s="28" t="str">
        <f>[1]Source!H1108</f>
        <v>м2</v>
      </c>
      <c r="E1200" s="29">
        <f>[1]Source!I1108</f>
        <v>304.89029999999997</v>
      </c>
      <c r="F1200" s="30">
        <f>[1]Source!AK1108</f>
        <v>52.87</v>
      </c>
      <c r="G1200" s="43" t="s">
        <v>54</v>
      </c>
      <c r="H1200" s="29">
        <f>[1]Source!AW1109</f>
        <v>1.0009999999999999</v>
      </c>
      <c r="I1200" s="30">
        <f>[1]Source!O1108</f>
        <v>16135.67</v>
      </c>
      <c r="J1200" s="29">
        <f>IF([1]Source!BC1109&lt;&gt; 0, [1]Source!BC1109, 1)</f>
        <v>4.63</v>
      </c>
      <c r="K1200" s="30">
        <f>[1]Source!O1109</f>
        <v>74708.149999999994</v>
      </c>
      <c r="Q1200">
        <f>[1]Source!X1108</f>
        <v>0</v>
      </c>
      <c r="R1200">
        <f>[1]Source!X1109</f>
        <v>0</v>
      </c>
      <c r="S1200">
        <f>[1]Source!Y1108</f>
        <v>0</v>
      </c>
      <c r="T1200">
        <f>[1]Source!Y1109</f>
        <v>0</v>
      </c>
      <c r="U1200">
        <f>ROUND((175/100)*ROUND([1]Source!R1108, 2), 2)</f>
        <v>0</v>
      </c>
      <c r="V1200">
        <f>ROUND((0/100)*ROUND([1]Source!R1109, 2), 2)</f>
        <v>0</v>
      </c>
      <c r="AC1200">
        <v>3</v>
      </c>
    </row>
    <row r="1201" spans="1:29" ht="14.4" hidden="1" x14ac:dyDescent="0.25">
      <c r="A1201" s="27"/>
      <c r="B1201" s="27"/>
      <c r="C1201" s="27" t="s">
        <v>42</v>
      </c>
      <c r="D1201" s="28" t="s">
        <v>43</v>
      </c>
      <c r="E1201" s="29">
        <f>[1]Source!BZ1105</f>
        <v>98</v>
      </c>
      <c r="F1201" s="30"/>
      <c r="G1201" s="31"/>
      <c r="H1201" s="29"/>
      <c r="I1201" s="30">
        <f>SUM(Q1193:Q1200)</f>
        <v>2475.21</v>
      </c>
      <c r="J1201" s="29">
        <f>[1]Source!AT1105</f>
        <v>98</v>
      </c>
      <c r="K1201" s="30">
        <f>SUM(R1193:R1200)</f>
        <v>139477.84</v>
      </c>
    </row>
    <row r="1202" spans="1:29" ht="14.4" hidden="1" x14ac:dyDescent="0.25">
      <c r="A1202" s="27"/>
      <c r="B1202" s="27"/>
      <c r="C1202" s="27" t="s">
        <v>44</v>
      </c>
      <c r="D1202" s="28" t="s">
        <v>43</v>
      </c>
      <c r="E1202" s="29">
        <f>[1]Source!CA1105</f>
        <v>48</v>
      </c>
      <c r="F1202" s="30"/>
      <c r="G1202" s="31"/>
      <c r="H1202" s="29"/>
      <c r="I1202" s="30">
        <f>SUM(S1193:S1201)</f>
        <v>1212.3499999999999</v>
      </c>
      <c r="J1202" s="29">
        <f>[1]Source!AU1105</f>
        <v>48</v>
      </c>
      <c r="K1202" s="30">
        <f>SUM(T1193:T1201)</f>
        <v>68315.679999999993</v>
      </c>
    </row>
    <row r="1203" spans="1:29" ht="14.4" hidden="1" x14ac:dyDescent="0.25">
      <c r="A1203" s="34"/>
      <c r="B1203" s="34"/>
      <c r="C1203" s="34" t="s">
        <v>45</v>
      </c>
      <c r="D1203" s="35" t="s">
        <v>46</v>
      </c>
      <c r="E1203" s="36">
        <f>[1]Source!AQ1104</f>
        <v>65.349999999999994</v>
      </c>
      <c r="F1203" s="37"/>
      <c r="G1203" s="38" t="s">
        <v>37</v>
      </c>
      <c r="H1203" s="36">
        <f>[1]Source!AV1105</f>
        <v>1.087</v>
      </c>
      <c r="I1203" s="37">
        <f>[1]Source!U1104</f>
        <v>225.4665182999999</v>
      </c>
      <c r="J1203" s="36"/>
      <c r="K1203" s="37"/>
    </row>
    <row r="1204" spans="1:29" ht="13.8" hidden="1" x14ac:dyDescent="0.25">
      <c r="C1204" s="39" t="s">
        <v>47</v>
      </c>
      <c r="H1204" s="40">
        <f>I1195+I1196+I1198+I1201+I1202+SUM(I1199:I1200)-SUMIF(AC1199:AC1200, 5, I1199:I1200)-SUMIF(AC1199:AC1200, 6, I1199:I1200)</f>
        <v>27749.839999999997</v>
      </c>
      <c r="I1204" s="40"/>
      <c r="J1204" s="40">
        <f>K1195+K1196+K1198+K1201+K1202+SUM(K1199:K1200)-SUMIF(AC1199:AC1200, 5, K1199:K1200)-SUMIF(AC1199:AC1200, 6, K1199:K1200)</f>
        <v>466454.37</v>
      </c>
      <c r="K1204" s="40"/>
    </row>
    <row r="1205" spans="1:29" ht="13.8" hidden="1" x14ac:dyDescent="0.25">
      <c r="C1205" s="39" t="s">
        <v>48</v>
      </c>
      <c r="H1205" s="41">
        <f>SUMIF(AC1199:AC1200, 5, I1199:I1200)+SUMIF(AC1199:AC1200, 6, I1199:I1200)</f>
        <v>0</v>
      </c>
      <c r="I1205" s="41"/>
      <c r="J1205" s="41">
        <f>SUMIF(AC1199:AC1200, 5, K1199:K1200)+SUMIF(AC1199:AC1200, 6, K1199:K1200)</f>
        <v>0</v>
      </c>
      <c r="K1205" s="41"/>
    </row>
    <row r="1206" spans="1:29" ht="13.8" hidden="1" x14ac:dyDescent="0.25">
      <c r="C1206" s="39" t="s">
        <v>49</v>
      </c>
      <c r="H1206" s="41">
        <f>I1195+I1196+I1198+I1201+I1202+SUM(I1199:I1200)</f>
        <v>27749.839999999997</v>
      </c>
      <c r="I1206" s="41"/>
      <c r="J1206" s="41">
        <f>K1195+K1196+K1198+K1201+K1202+SUM(K1199:K1200)</f>
        <v>466454.37</v>
      </c>
      <c r="K1206" s="41"/>
      <c r="O1206" s="42">
        <f>I1195+I1196+I1198+I1201+I1202+SUM(I1199:I1200)</f>
        <v>27749.839999999997</v>
      </c>
      <c r="P1206" s="42">
        <f>K1195+K1196+K1198+K1201+K1202+SUM(K1199:K1200)</f>
        <v>466454.37</v>
      </c>
    </row>
    <row r="1207" spans="1:29" hidden="1" x14ac:dyDescent="0.25"/>
    <row r="1208" spans="1:29" ht="43.2" hidden="1" x14ac:dyDescent="0.25">
      <c r="A1208" s="27">
        <v>91</v>
      </c>
      <c r="B1208" s="27" t="str">
        <f>[1]Source!F1110</f>
        <v>3.8-3-1</v>
      </c>
      <c r="C1208" s="27" t="s">
        <v>263</v>
      </c>
      <c r="D1208" s="28" t="str">
        <f>[1]Source!H1110</f>
        <v>1 м3 кладки</v>
      </c>
      <c r="E1208" s="29">
        <f>[1]Source!I1110</f>
        <v>5</v>
      </c>
      <c r="F1208" s="30"/>
      <c r="G1208" s="31"/>
      <c r="H1208" s="29"/>
      <c r="I1208" s="30"/>
      <c r="J1208" s="29"/>
      <c r="K1208" s="30"/>
      <c r="Q1208">
        <f>[1]Source!X1110</f>
        <v>360.35</v>
      </c>
      <c r="R1208">
        <f>[1]Source!X1111</f>
        <v>20305.73</v>
      </c>
      <c r="S1208">
        <f>[1]Source!Y1110</f>
        <v>214.75</v>
      </c>
      <c r="T1208">
        <f>[1]Source!Y1111</f>
        <v>12101.4</v>
      </c>
      <c r="U1208">
        <f>ROUND((175/100)*ROUND([1]Source!R1110, 2), 2)</f>
        <v>0</v>
      </c>
      <c r="V1208">
        <f>ROUND((0/100)*ROUND([1]Source!R1111, 2), 2)</f>
        <v>0</v>
      </c>
      <c r="AC1208">
        <v>0</v>
      </c>
    </row>
    <row r="1209" spans="1:29" hidden="1" x14ac:dyDescent="0.25">
      <c r="C1209" s="32" t="str">
        <f>"Объем: "&amp;[1]Source!I1110&amp;"=20*"&amp;"0,25"</f>
        <v>Объем: 5=20*0,25</v>
      </c>
    </row>
    <row r="1210" spans="1:29" ht="14.4" hidden="1" x14ac:dyDescent="0.25">
      <c r="A1210" s="27"/>
      <c r="B1210" s="27"/>
      <c r="C1210" s="27" t="s">
        <v>36</v>
      </c>
      <c r="D1210" s="28"/>
      <c r="E1210" s="29"/>
      <c r="F1210" s="30">
        <f>[1]Source!AO1110</f>
        <v>49.44</v>
      </c>
      <c r="G1210" s="31" t="s">
        <v>37</v>
      </c>
      <c r="H1210" s="29">
        <f>[1]Source!AV1111</f>
        <v>1.0669999999999999</v>
      </c>
      <c r="I1210" s="30">
        <f>[1]Source!S1110</f>
        <v>363.99</v>
      </c>
      <c r="J1210" s="29">
        <f>IF([1]Source!BA1111&lt;&gt; 0, [1]Source!BA1111, 1)</f>
        <v>56.35</v>
      </c>
      <c r="K1210" s="30">
        <f>[1]Source!S1111</f>
        <v>20510.84</v>
      </c>
    </row>
    <row r="1211" spans="1:29" ht="14.4" hidden="1" x14ac:dyDescent="0.25">
      <c r="A1211" s="27"/>
      <c r="B1211" s="27"/>
      <c r="C1211" s="27" t="s">
        <v>41</v>
      </c>
      <c r="D1211" s="28"/>
      <c r="E1211" s="29"/>
      <c r="F1211" s="30">
        <f>[1]Source!AL1110</f>
        <v>4.34</v>
      </c>
      <c r="G1211" s="31"/>
      <c r="H1211" s="29">
        <f>[1]Source!AW1111</f>
        <v>1.0249999999999999</v>
      </c>
      <c r="I1211" s="30">
        <f>[1]Source!P1110</f>
        <v>22.24</v>
      </c>
      <c r="J1211" s="29">
        <f>IF([1]Source!BC1111&lt;&gt; 0, [1]Source!BC1111, 1)</f>
        <v>6.79</v>
      </c>
      <c r="K1211" s="30">
        <f>[1]Source!P1111</f>
        <v>151.01</v>
      </c>
    </row>
    <row r="1212" spans="1:29" ht="41.4" hidden="1" x14ac:dyDescent="0.25">
      <c r="A1212" s="27" t="s">
        <v>264</v>
      </c>
      <c r="B1212" s="27" t="str">
        <f>[1]Source!F1112</f>
        <v>1.1-1-352</v>
      </c>
      <c r="C1212" s="27" t="s">
        <v>265</v>
      </c>
      <c r="D1212" s="28" t="str">
        <f>[1]Source!H1112</f>
        <v>1000 шт.</v>
      </c>
      <c r="E1212" s="29">
        <f>[1]Source!I1112</f>
        <v>1.9</v>
      </c>
      <c r="F1212" s="30">
        <f>[1]Source!AK1112</f>
        <v>1020.98</v>
      </c>
      <c r="G1212" s="43" t="s">
        <v>54</v>
      </c>
      <c r="H1212" s="29">
        <f>[1]Source!AW1113</f>
        <v>1.0249999999999999</v>
      </c>
      <c r="I1212" s="30">
        <f>[1]Source!O1112</f>
        <v>1988.36</v>
      </c>
      <c r="J1212" s="29">
        <f>IF([1]Source!BC1113&lt;&gt; 0, [1]Source!BC1113, 1)</f>
        <v>16.91</v>
      </c>
      <c r="K1212" s="30">
        <f>[1]Source!O1113</f>
        <v>33623.17</v>
      </c>
      <c r="Q1212">
        <f>[1]Source!X1112</f>
        <v>0</v>
      </c>
      <c r="R1212">
        <f>[1]Source!X1113</f>
        <v>0</v>
      </c>
      <c r="S1212">
        <f>[1]Source!Y1112</f>
        <v>0</v>
      </c>
      <c r="T1212">
        <f>[1]Source!Y1113</f>
        <v>0</v>
      </c>
      <c r="U1212">
        <f>ROUND((175/100)*ROUND([1]Source!R1112, 2), 2)</f>
        <v>0</v>
      </c>
      <c r="V1212">
        <f>ROUND((0/100)*ROUND([1]Source!R1113, 2), 2)</f>
        <v>0</v>
      </c>
      <c r="AC1212">
        <v>3</v>
      </c>
    </row>
    <row r="1213" spans="1:29" ht="27.6" hidden="1" x14ac:dyDescent="0.25">
      <c r="A1213" s="27" t="s">
        <v>266</v>
      </c>
      <c r="B1213" s="27" t="str">
        <f>[1]Source!F1114</f>
        <v>1.3-2-13</v>
      </c>
      <c r="C1213" s="27" t="s">
        <v>76</v>
      </c>
      <c r="D1213" s="28" t="str">
        <f>[1]Source!H1114</f>
        <v>м3</v>
      </c>
      <c r="E1213" s="29">
        <f>[1]Source!I1114</f>
        <v>1.2</v>
      </c>
      <c r="F1213" s="30">
        <f>[1]Source!AK1114</f>
        <v>470.7</v>
      </c>
      <c r="G1213" s="43" t="s">
        <v>54</v>
      </c>
      <c r="H1213" s="29">
        <f>[1]Source!AW1115</f>
        <v>1.0249999999999999</v>
      </c>
      <c r="I1213" s="30">
        <f>[1]Source!O1114</f>
        <v>578.96</v>
      </c>
      <c r="J1213" s="29">
        <f>IF([1]Source!BC1115&lt;&gt; 0, [1]Source!BC1115, 1)</f>
        <v>10.84</v>
      </c>
      <c r="K1213" s="30">
        <f>[1]Source!O1115</f>
        <v>6275.93</v>
      </c>
      <c r="Q1213">
        <f>[1]Source!X1114</f>
        <v>0</v>
      </c>
      <c r="R1213">
        <f>[1]Source!X1115</f>
        <v>0</v>
      </c>
      <c r="S1213">
        <f>[1]Source!Y1114</f>
        <v>0</v>
      </c>
      <c r="T1213">
        <f>[1]Source!Y1115</f>
        <v>0</v>
      </c>
      <c r="U1213">
        <f>ROUND((175/100)*ROUND([1]Source!R1114, 2), 2)</f>
        <v>0</v>
      </c>
      <c r="V1213">
        <f>ROUND((0/100)*ROUND([1]Source!R1115, 2), 2)</f>
        <v>0</v>
      </c>
      <c r="AC1213">
        <v>3</v>
      </c>
    </row>
    <row r="1214" spans="1:29" ht="14.4" hidden="1" x14ac:dyDescent="0.25">
      <c r="A1214" s="27"/>
      <c r="B1214" s="27"/>
      <c r="C1214" s="27" t="s">
        <v>42</v>
      </c>
      <c r="D1214" s="28" t="s">
        <v>43</v>
      </c>
      <c r="E1214" s="29">
        <f>[1]Source!BZ1111</f>
        <v>99</v>
      </c>
      <c r="F1214" s="30"/>
      <c r="G1214" s="31"/>
      <c r="H1214" s="29"/>
      <c r="I1214" s="30">
        <f>SUM(Q1208:Q1213)</f>
        <v>360.35</v>
      </c>
      <c r="J1214" s="29">
        <f>[1]Source!AT1111</f>
        <v>99</v>
      </c>
      <c r="K1214" s="30">
        <f>SUM(R1208:R1213)</f>
        <v>20305.73</v>
      </c>
    </row>
    <row r="1215" spans="1:29" ht="14.4" hidden="1" x14ac:dyDescent="0.25">
      <c r="A1215" s="27"/>
      <c r="B1215" s="27"/>
      <c r="C1215" s="27" t="s">
        <v>44</v>
      </c>
      <c r="D1215" s="28" t="s">
        <v>43</v>
      </c>
      <c r="E1215" s="29">
        <f>[1]Source!CA1111</f>
        <v>59</v>
      </c>
      <c r="F1215" s="30"/>
      <c r="G1215" s="31"/>
      <c r="H1215" s="29"/>
      <c r="I1215" s="30">
        <f>SUM(S1208:S1214)</f>
        <v>214.75</v>
      </c>
      <c r="J1215" s="29">
        <f>[1]Source!AU1111</f>
        <v>59</v>
      </c>
      <c r="K1215" s="30">
        <f>SUM(T1208:T1214)</f>
        <v>12101.4</v>
      </c>
    </row>
    <row r="1216" spans="1:29" ht="14.4" hidden="1" x14ac:dyDescent="0.25">
      <c r="A1216" s="34"/>
      <c r="B1216" s="34"/>
      <c r="C1216" s="34" t="s">
        <v>45</v>
      </c>
      <c r="D1216" s="35" t="s">
        <v>46</v>
      </c>
      <c r="E1216" s="36">
        <f>[1]Source!AQ1110</f>
        <v>4.54</v>
      </c>
      <c r="F1216" s="37"/>
      <c r="G1216" s="38" t="s">
        <v>37</v>
      </c>
      <c r="H1216" s="36">
        <f>[1]Source!AV1111</f>
        <v>1.0669999999999999</v>
      </c>
      <c r="I1216" s="37">
        <f>[1]Source!U1110</f>
        <v>33.424841999999998</v>
      </c>
      <c r="J1216" s="36"/>
      <c r="K1216" s="37"/>
    </row>
    <row r="1217" spans="1:29" ht="13.8" hidden="1" x14ac:dyDescent="0.25">
      <c r="C1217" s="39" t="s">
        <v>47</v>
      </c>
      <c r="H1217" s="40">
        <f>I1210+I1211+I1214+I1215+SUM(I1212:I1213)-SUMIF(AC1212:AC1213, 5, I1212:I1213)-SUMIF(AC1212:AC1213, 6, I1212:I1213)</f>
        <v>3528.6499999999996</v>
      </c>
      <c r="I1217" s="40"/>
      <c r="J1217" s="40">
        <f>K1210+K1211+K1214+K1215+SUM(K1212:K1213)-SUMIF(AC1212:AC1213, 5, K1212:K1213)-SUMIF(AC1212:AC1213, 6, K1212:K1213)</f>
        <v>92968.08</v>
      </c>
      <c r="K1217" s="40"/>
    </row>
    <row r="1218" spans="1:29" ht="13.8" hidden="1" x14ac:dyDescent="0.25">
      <c r="C1218" s="39" t="s">
        <v>48</v>
      </c>
      <c r="H1218" s="41">
        <f>SUMIF(AC1212:AC1213, 5, I1212:I1213)+SUMIF(AC1212:AC1213, 6, I1212:I1213)</f>
        <v>0</v>
      </c>
      <c r="I1218" s="41"/>
      <c r="J1218" s="41">
        <f>SUMIF(AC1212:AC1213, 5, K1212:K1213)+SUMIF(AC1212:AC1213, 6, K1212:K1213)</f>
        <v>0</v>
      </c>
      <c r="K1218" s="41"/>
    </row>
    <row r="1219" spans="1:29" ht="13.8" hidden="1" x14ac:dyDescent="0.25">
      <c r="C1219" s="39" t="s">
        <v>49</v>
      </c>
      <c r="H1219" s="41">
        <f>I1210+I1211+I1214+I1215+SUM(I1212:I1213)</f>
        <v>3528.6499999999996</v>
      </c>
      <c r="I1219" s="41"/>
      <c r="J1219" s="41">
        <f>K1210+K1211+K1214+K1215+SUM(K1212:K1213)</f>
        <v>92968.08</v>
      </c>
      <c r="K1219" s="41"/>
      <c r="O1219" s="42">
        <f>I1210+I1211+I1214+I1215+SUM(I1212:I1213)</f>
        <v>3528.6499999999996</v>
      </c>
      <c r="P1219" s="42">
        <f>K1210+K1211+K1214+K1215+SUM(K1212:K1213)</f>
        <v>92968.08</v>
      </c>
    </row>
    <row r="1220" spans="1:29" hidden="1" x14ac:dyDescent="0.25"/>
    <row r="1221" spans="1:29" ht="43.2" hidden="1" x14ac:dyDescent="0.25">
      <c r="A1221" s="27">
        <v>92</v>
      </c>
      <c r="B1221" s="27" t="str">
        <f>[1]Source!F1116</f>
        <v>3.16-21-3</v>
      </c>
      <c r="C1221" s="27" t="s">
        <v>267</v>
      </c>
      <c r="D1221" s="28" t="str">
        <f>[1]Source!H1116</f>
        <v>1 воронка</v>
      </c>
      <c r="E1221" s="29">
        <f>[1]Source!I1116</f>
        <v>3</v>
      </c>
      <c r="F1221" s="30"/>
      <c r="G1221" s="31"/>
      <c r="H1221" s="29"/>
      <c r="I1221" s="30"/>
      <c r="J1221" s="29"/>
      <c r="K1221" s="30"/>
      <c r="Q1221">
        <f>[1]Source!X1116</f>
        <v>46.25</v>
      </c>
      <c r="R1221">
        <f>[1]Source!X1117</f>
        <v>2606.11</v>
      </c>
      <c r="S1221">
        <f>[1]Source!Y1116</f>
        <v>25.88</v>
      </c>
      <c r="T1221">
        <f>[1]Source!Y1117</f>
        <v>1458.47</v>
      </c>
      <c r="U1221">
        <f>ROUND((175/100)*ROUND([1]Source!R1116, 2), 2)</f>
        <v>0.67</v>
      </c>
      <c r="V1221">
        <f>ROUND((0/100)*ROUND([1]Source!R1117, 2), 2)</f>
        <v>0</v>
      </c>
      <c r="AC1221">
        <v>0</v>
      </c>
    </row>
    <row r="1222" spans="1:29" ht="14.4" hidden="1" x14ac:dyDescent="0.25">
      <c r="A1222" s="27"/>
      <c r="B1222" s="27"/>
      <c r="C1222" s="27" t="s">
        <v>36</v>
      </c>
      <c r="D1222" s="28"/>
      <c r="E1222" s="29"/>
      <c r="F1222" s="30">
        <f>[1]Source!AO1116</f>
        <v>9.52</v>
      </c>
      <c r="G1222" s="31" t="s">
        <v>37</v>
      </c>
      <c r="H1222" s="29">
        <f>[1]Source!AV1117</f>
        <v>1.0669999999999999</v>
      </c>
      <c r="I1222" s="30">
        <f>[1]Source!S1116</f>
        <v>42.05</v>
      </c>
      <c r="J1222" s="29">
        <f>IF([1]Source!BA1117&lt;&gt; 0, [1]Source!BA1117, 1)</f>
        <v>56.35</v>
      </c>
      <c r="K1222" s="30">
        <f>[1]Source!S1117</f>
        <v>2369.52</v>
      </c>
    </row>
    <row r="1223" spans="1:29" ht="14.4" hidden="1" x14ac:dyDescent="0.25">
      <c r="A1223" s="27"/>
      <c r="B1223" s="27"/>
      <c r="C1223" s="27" t="s">
        <v>38</v>
      </c>
      <c r="D1223" s="28"/>
      <c r="E1223" s="29"/>
      <c r="F1223" s="30">
        <f>[1]Source!AM1116</f>
        <v>0.5</v>
      </c>
      <c r="G1223" s="31" t="s">
        <v>39</v>
      </c>
      <c r="H1223" s="29">
        <f>[1]Source!AV1117</f>
        <v>1.0669999999999999</v>
      </c>
      <c r="I1223" s="30">
        <f>[1]Source!Q1116</f>
        <v>2.4</v>
      </c>
      <c r="J1223" s="29">
        <f>IF([1]Source!BB1117&lt;&gt; 0, [1]Source!BB1117, 1)</f>
        <v>17.02</v>
      </c>
      <c r="K1223" s="30">
        <f>[1]Source!Q1117</f>
        <v>40.85</v>
      </c>
    </row>
    <row r="1224" spans="1:29" ht="14.4" hidden="1" x14ac:dyDescent="0.25">
      <c r="A1224" s="27"/>
      <c r="B1224" s="27"/>
      <c r="C1224" s="27" t="s">
        <v>40</v>
      </c>
      <c r="D1224" s="28"/>
      <c r="E1224" s="29"/>
      <c r="F1224" s="30">
        <f>[1]Source!AN1116</f>
        <v>0.08</v>
      </c>
      <c r="G1224" s="31" t="s">
        <v>39</v>
      </c>
      <c r="H1224" s="29">
        <f>[1]Source!AV1117</f>
        <v>1.0669999999999999</v>
      </c>
      <c r="I1224" s="33">
        <f>[1]Source!R1116</f>
        <v>0.38</v>
      </c>
      <c r="J1224" s="29">
        <f>IF([1]Source!BS1117&lt;&gt; 0, [1]Source!BS1117, 1)</f>
        <v>56.35</v>
      </c>
      <c r="K1224" s="33">
        <f>[1]Source!R1117</f>
        <v>21.41</v>
      </c>
    </row>
    <row r="1225" spans="1:29" ht="14.4" hidden="1" x14ac:dyDescent="0.25">
      <c r="A1225" s="27"/>
      <c r="B1225" s="27"/>
      <c r="C1225" s="27" t="s">
        <v>41</v>
      </c>
      <c r="D1225" s="28"/>
      <c r="E1225" s="29"/>
      <c r="F1225" s="30">
        <f>[1]Source!AL1116</f>
        <v>12.22</v>
      </c>
      <c r="G1225" s="31"/>
      <c r="H1225" s="29">
        <f>[1]Source!AW1117</f>
        <v>1</v>
      </c>
      <c r="I1225" s="30">
        <f>[1]Source!P1116</f>
        <v>36.659999999999997</v>
      </c>
      <c r="J1225" s="29">
        <f>IF([1]Source!BC1117&lt;&gt; 0, [1]Source!BC1117, 1)</f>
        <v>12.69</v>
      </c>
      <c r="K1225" s="30">
        <f>[1]Source!P1117</f>
        <v>465.22</v>
      </c>
    </row>
    <row r="1226" spans="1:29" ht="54.6" x14ac:dyDescent="0.25">
      <c r="A1226" s="53" t="s">
        <v>268</v>
      </c>
      <c r="B1226" s="53" t="str">
        <f>[1]Source!F1118</f>
        <v>КА 7</v>
      </c>
      <c r="C1226" s="53" t="s">
        <v>269</v>
      </c>
      <c r="D1226" s="54" t="str">
        <f>[1]Source!H1118</f>
        <v>шт.</v>
      </c>
      <c r="E1226" s="55">
        <f>[1]Source!I1118</f>
        <v>3</v>
      </c>
      <c r="F1226" s="30">
        <f>[1]Source!AK1118</f>
        <v>501.3</v>
      </c>
      <c r="G1226" s="43" t="s">
        <v>54</v>
      </c>
      <c r="H1226" s="29">
        <f>[1]Source!AW1119</f>
        <v>1</v>
      </c>
      <c r="I1226" s="30">
        <f>[1]Source!O1118</f>
        <v>1503.9</v>
      </c>
      <c r="J1226" s="29">
        <f>IF([1]Source!BC1119&lt;&gt; 0, [1]Source!BC1119, 1)</f>
        <v>9.84</v>
      </c>
      <c r="K1226" s="56">
        <f>[1]Source!O1119</f>
        <v>14798.38</v>
      </c>
      <c r="L1226">
        <v>5900</v>
      </c>
      <c r="M1226" s="50">
        <f>L1226*E1226</f>
        <v>17700</v>
      </c>
      <c r="N1226" s="51" t="s">
        <v>180</v>
      </c>
      <c r="Q1226">
        <f>[1]Source!X1118</f>
        <v>0</v>
      </c>
      <c r="R1226">
        <f>[1]Source!X1119</f>
        <v>0</v>
      </c>
      <c r="S1226">
        <f>[1]Source!Y1118</f>
        <v>0</v>
      </c>
      <c r="T1226">
        <f>[1]Source!Y1119</f>
        <v>0</v>
      </c>
      <c r="U1226">
        <f>ROUND((175/100)*ROUND([1]Source!R1118, 2), 2)</f>
        <v>0</v>
      </c>
      <c r="V1226">
        <f>ROUND((0/100)*ROUND([1]Source!R1119, 2), 2)</f>
        <v>0</v>
      </c>
      <c r="AC1226">
        <v>3</v>
      </c>
    </row>
    <row r="1227" spans="1:29" ht="14.4" hidden="1" x14ac:dyDescent="0.25">
      <c r="A1227" s="27"/>
      <c r="B1227" s="27"/>
      <c r="C1227" s="27" t="s">
        <v>42</v>
      </c>
      <c r="D1227" s="28" t="s">
        <v>43</v>
      </c>
      <c r="E1227" s="29">
        <f>[1]Source!BZ1117</f>
        <v>109</v>
      </c>
      <c r="F1227" s="30"/>
      <c r="G1227" s="31"/>
      <c r="H1227" s="29"/>
      <c r="I1227" s="30">
        <f>SUM(Q1221:Q1226)</f>
        <v>46.25</v>
      </c>
      <c r="J1227" s="29">
        <f>[1]Source!AT1117</f>
        <v>109</v>
      </c>
      <c r="K1227" s="30">
        <f>SUM(R1221:R1226)</f>
        <v>2606.11</v>
      </c>
    </row>
    <row r="1228" spans="1:29" ht="14.4" hidden="1" x14ac:dyDescent="0.25">
      <c r="A1228" s="27"/>
      <c r="B1228" s="27"/>
      <c r="C1228" s="27" t="s">
        <v>44</v>
      </c>
      <c r="D1228" s="28" t="s">
        <v>43</v>
      </c>
      <c r="E1228" s="29">
        <f>[1]Source!CA1117</f>
        <v>61</v>
      </c>
      <c r="F1228" s="30"/>
      <c r="G1228" s="31"/>
      <c r="H1228" s="29"/>
      <c r="I1228" s="30">
        <f>SUM(S1221:S1227)</f>
        <v>25.88</v>
      </c>
      <c r="J1228" s="29">
        <f>[1]Source!AU1117</f>
        <v>61</v>
      </c>
      <c r="K1228" s="30">
        <f>SUM(T1221:T1227)</f>
        <v>1458.47</v>
      </c>
    </row>
    <row r="1229" spans="1:29" ht="14.4" hidden="1" x14ac:dyDescent="0.25">
      <c r="A1229" s="34"/>
      <c r="B1229" s="34"/>
      <c r="C1229" s="34" t="s">
        <v>45</v>
      </c>
      <c r="D1229" s="35" t="s">
        <v>46</v>
      </c>
      <c r="E1229" s="36">
        <f>[1]Source!AQ1116</f>
        <v>0.83</v>
      </c>
      <c r="F1229" s="37"/>
      <c r="G1229" s="38" t="s">
        <v>37</v>
      </c>
      <c r="H1229" s="36">
        <f>[1]Source!AV1117</f>
        <v>1.0669999999999999</v>
      </c>
      <c r="I1229" s="37">
        <f>[1]Source!U1116</f>
        <v>3.6664253999999992</v>
      </c>
      <c r="J1229" s="36"/>
      <c r="K1229" s="37"/>
    </row>
    <row r="1230" spans="1:29" ht="13.8" hidden="1" x14ac:dyDescent="0.25">
      <c r="C1230" s="39" t="s">
        <v>47</v>
      </c>
      <c r="H1230" s="40">
        <f>I1222+I1223+I1225+I1227+I1228+SUM(I1226:I1226)-SUMIF(AC1226:AC1226, 5, I1226:I1226)-SUMIF(AC1226:AC1226, 6, I1226:I1226)</f>
        <v>1657.14</v>
      </c>
      <c r="I1230" s="40"/>
      <c r="J1230" s="40">
        <f>K1222+K1223+K1225+K1227+K1228+SUM(K1226:K1226)-SUMIF(AC1226:AC1226, 5, K1226:K1226)-SUMIF(AC1226:AC1226, 6, K1226:K1226)</f>
        <v>21738.55</v>
      </c>
      <c r="K1230" s="40"/>
    </row>
    <row r="1231" spans="1:29" ht="13.8" hidden="1" x14ac:dyDescent="0.25">
      <c r="C1231" s="39" t="s">
        <v>48</v>
      </c>
      <c r="H1231" s="41">
        <f>SUMIF(AC1226:AC1226, 5, I1226:I1226)+SUMIF(AC1226:AC1226, 6, I1226:I1226)</f>
        <v>0</v>
      </c>
      <c r="I1231" s="41"/>
      <c r="J1231" s="41">
        <f>SUMIF(AC1226:AC1226, 5, K1226:K1226)+SUMIF(AC1226:AC1226, 6, K1226:K1226)</f>
        <v>0</v>
      </c>
      <c r="K1231" s="41"/>
    </row>
    <row r="1232" spans="1:29" ht="13.8" hidden="1" x14ac:dyDescent="0.25">
      <c r="C1232" s="39" t="s">
        <v>49</v>
      </c>
      <c r="H1232" s="41">
        <f>I1222+I1223+I1225+I1227+I1228+SUM(I1226:I1226)</f>
        <v>1657.14</v>
      </c>
      <c r="I1232" s="41"/>
      <c r="J1232" s="41">
        <f>K1222+K1223+K1225+K1227+K1228+SUM(K1226:K1226)</f>
        <v>21738.55</v>
      </c>
      <c r="K1232" s="41"/>
      <c r="O1232" s="42">
        <f>I1222+I1223+I1225+I1227+I1228+SUM(I1226:I1226)</f>
        <v>1657.14</v>
      </c>
      <c r="P1232" s="42">
        <f>K1222+K1223+K1225+K1227+K1228+SUM(K1226:K1226)</f>
        <v>21738.55</v>
      </c>
    </row>
    <row r="1233" spans="1:29" hidden="1" x14ac:dyDescent="0.25"/>
    <row r="1234" spans="1:29" ht="57.6" hidden="1" x14ac:dyDescent="0.25">
      <c r="A1234" s="27">
        <v>93</v>
      </c>
      <c r="B1234" s="27" t="str">
        <f>[1]Source!F1120</f>
        <v>3.12-14-1</v>
      </c>
      <c r="C1234" s="27" t="s">
        <v>270</v>
      </c>
      <c r="D1234" s="28" t="str">
        <f>[1]Source!H1120</f>
        <v>100 м2 покрытия</v>
      </c>
      <c r="E1234" s="29">
        <f>[1]Source!I1120</f>
        <v>2.5724999999999998</v>
      </c>
      <c r="F1234" s="30"/>
      <c r="G1234" s="31"/>
      <c r="H1234" s="29"/>
      <c r="I1234" s="30"/>
      <c r="J1234" s="29"/>
      <c r="K1234" s="30"/>
      <c r="Q1234">
        <f>[1]Source!X1120</f>
        <v>4113.22</v>
      </c>
      <c r="R1234">
        <f>[1]Source!X1121</f>
        <v>231779.76</v>
      </c>
      <c r="S1234">
        <f>[1]Source!Y1120</f>
        <v>2014.64</v>
      </c>
      <c r="T1234">
        <f>[1]Source!Y1121</f>
        <v>113524.78</v>
      </c>
      <c r="U1234">
        <f>ROUND((175/100)*ROUND([1]Source!R1120, 2), 2)</f>
        <v>6.46</v>
      </c>
      <c r="V1234">
        <f>ROUND((0/100)*ROUND([1]Source!R1121, 2), 2)</f>
        <v>0</v>
      </c>
      <c r="AC1234">
        <v>0</v>
      </c>
    </row>
    <row r="1235" spans="1:29" hidden="1" x14ac:dyDescent="0.25">
      <c r="C1235" s="32" t="str">
        <f>"Объем: "&amp;[1]Source!I1120&amp;"=(70*"&amp;"1,35+"&amp;"105*"&amp;"1,55)/"&amp;"100"</f>
        <v>Объем: 2,5725=(70*1,35+105*1,55)/100</v>
      </c>
    </row>
    <row r="1236" spans="1:29" ht="14.4" hidden="1" x14ac:dyDescent="0.25">
      <c r="A1236" s="27"/>
      <c r="B1236" s="27"/>
      <c r="C1236" s="27" t="s">
        <v>36</v>
      </c>
      <c r="D1236" s="28"/>
      <c r="E1236" s="29"/>
      <c r="F1236" s="30">
        <f>[1]Source!AO1120</f>
        <v>1086.7</v>
      </c>
      <c r="G1236" s="31" t="s">
        <v>37</v>
      </c>
      <c r="H1236" s="29">
        <f>[1]Source!AV1121</f>
        <v>1.087</v>
      </c>
      <c r="I1236" s="30">
        <f>[1]Source!S1120</f>
        <v>4193.47</v>
      </c>
      <c r="J1236" s="29">
        <f>IF([1]Source!BA1121&lt;&gt; 0, [1]Source!BA1121, 1)</f>
        <v>56.35</v>
      </c>
      <c r="K1236" s="30">
        <f>[1]Source!S1121</f>
        <v>236302.03</v>
      </c>
    </row>
    <row r="1237" spans="1:29" ht="14.4" hidden="1" x14ac:dyDescent="0.25">
      <c r="A1237" s="27"/>
      <c r="B1237" s="27"/>
      <c r="C1237" s="27" t="s">
        <v>38</v>
      </c>
      <c r="D1237" s="28"/>
      <c r="E1237" s="29"/>
      <c r="F1237" s="30">
        <f>[1]Source!AM1120</f>
        <v>5.82</v>
      </c>
      <c r="G1237" s="31" t="s">
        <v>39</v>
      </c>
      <c r="H1237" s="29">
        <f>[1]Source!AV1121</f>
        <v>1.087</v>
      </c>
      <c r="I1237" s="30">
        <f>[1]Source!Q1120</f>
        <v>24.41</v>
      </c>
      <c r="J1237" s="29">
        <f>IF([1]Source!BB1121&lt;&gt; 0, [1]Source!BB1121, 1)</f>
        <v>17.059999999999999</v>
      </c>
      <c r="K1237" s="30">
        <f>[1]Source!Q1121</f>
        <v>416.43</v>
      </c>
    </row>
    <row r="1238" spans="1:29" ht="14.4" hidden="1" x14ac:dyDescent="0.25">
      <c r="A1238" s="27"/>
      <c r="B1238" s="27"/>
      <c r="C1238" s="27" t="s">
        <v>40</v>
      </c>
      <c r="D1238" s="28"/>
      <c r="E1238" s="29"/>
      <c r="F1238" s="30">
        <f>[1]Source!AN1120</f>
        <v>0.88</v>
      </c>
      <c r="G1238" s="31" t="s">
        <v>39</v>
      </c>
      <c r="H1238" s="29">
        <f>[1]Source!AV1121</f>
        <v>1.087</v>
      </c>
      <c r="I1238" s="33">
        <f>[1]Source!R1120</f>
        <v>3.69</v>
      </c>
      <c r="J1238" s="29">
        <f>IF([1]Source!BS1121&lt;&gt; 0, [1]Source!BS1121, 1)</f>
        <v>56.35</v>
      </c>
      <c r="K1238" s="33">
        <f>[1]Source!R1121</f>
        <v>207.93</v>
      </c>
    </row>
    <row r="1239" spans="1:29" ht="14.4" hidden="1" x14ac:dyDescent="0.25">
      <c r="A1239" s="27"/>
      <c r="B1239" s="27"/>
      <c r="C1239" s="27" t="s">
        <v>41</v>
      </c>
      <c r="D1239" s="28"/>
      <c r="E1239" s="29"/>
      <c r="F1239" s="30">
        <f>[1]Source!AL1120</f>
        <v>128.66</v>
      </c>
      <c r="G1239" s="31"/>
      <c r="H1239" s="29">
        <f>[1]Source!AW1121</f>
        <v>1.0009999999999999</v>
      </c>
      <c r="I1239" s="30">
        <f>[1]Source!P1120</f>
        <v>331.31</v>
      </c>
      <c r="J1239" s="29">
        <f>IF([1]Source!BC1121&lt;&gt; 0, [1]Source!BC1121, 1)</f>
        <v>9.82</v>
      </c>
      <c r="K1239" s="30">
        <f>[1]Source!P1121</f>
        <v>3253.46</v>
      </c>
    </row>
    <row r="1240" spans="1:29" ht="14.4" hidden="1" x14ac:dyDescent="0.25">
      <c r="A1240" s="27"/>
      <c r="B1240" s="27"/>
      <c r="C1240" s="27" t="s">
        <v>42</v>
      </c>
      <c r="D1240" s="28" t="s">
        <v>43</v>
      </c>
      <c r="E1240" s="29">
        <f>[1]Source!BZ1121</f>
        <v>98</v>
      </c>
      <c r="F1240" s="30"/>
      <c r="G1240" s="31"/>
      <c r="H1240" s="29"/>
      <c r="I1240" s="30">
        <f>SUM(Q1234:Q1239)</f>
        <v>4113.22</v>
      </c>
      <c r="J1240" s="29">
        <f>[1]Source!AT1121</f>
        <v>98</v>
      </c>
      <c r="K1240" s="30">
        <f>SUM(R1234:R1239)</f>
        <v>231779.76</v>
      </c>
    </row>
    <row r="1241" spans="1:29" ht="14.4" hidden="1" x14ac:dyDescent="0.25">
      <c r="A1241" s="27"/>
      <c r="B1241" s="27"/>
      <c r="C1241" s="27" t="s">
        <v>44</v>
      </c>
      <c r="D1241" s="28" t="s">
        <v>43</v>
      </c>
      <c r="E1241" s="29">
        <f>[1]Source!CA1121</f>
        <v>48</v>
      </c>
      <c r="F1241" s="30"/>
      <c r="G1241" s="31"/>
      <c r="H1241" s="29"/>
      <c r="I1241" s="30">
        <f>SUM(S1234:S1240)</f>
        <v>2014.64</v>
      </c>
      <c r="J1241" s="29">
        <f>[1]Source!AU1121</f>
        <v>48</v>
      </c>
      <c r="K1241" s="30">
        <f>SUM(T1234:T1240)</f>
        <v>113524.78</v>
      </c>
    </row>
    <row r="1242" spans="1:29" ht="14.4" hidden="1" x14ac:dyDescent="0.25">
      <c r="A1242" s="34"/>
      <c r="B1242" s="34"/>
      <c r="C1242" s="34" t="s">
        <v>45</v>
      </c>
      <c r="D1242" s="35" t="s">
        <v>46</v>
      </c>
      <c r="E1242" s="36">
        <f>[1]Source!AQ1120</f>
        <v>97.2</v>
      </c>
      <c r="F1242" s="37"/>
      <c r="G1242" s="38" t="s">
        <v>37</v>
      </c>
      <c r="H1242" s="36">
        <f>[1]Source!AV1121</f>
        <v>1.087</v>
      </c>
      <c r="I1242" s="37">
        <f>[1]Source!U1120</f>
        <v>375.08550281999993</v>
      </c>
      <c r="J1242" s="36"/>
      <c r="K1242" s="37"/>
    </row>
    <row r="1243" spans="1:29" ht="13.8" hidden="1" x14ac:dyDescent="0.25">
      <c r="C1243" s="39" t="s">
        <v>47</v>
      </c>
      <c r="H1243" s="40">
        <f>I1236+I1237+I1239+I1240+I1241+0-0-0</f>
        <v>10677.05</v>
      </c>
      <c r="I1243" s="40"/>
      <c r="J1243" s="40">
        <f>K1236+K1237+K1239+K1240+K1241+0-0-0</f>
        <v>585276.46</v>
      </c>
      <c r="K1243" s="40"/>
    </row>
    <row r="1244" spans="1:29" ht="13.8" hidden="1" x14ac:dyDescent="0.25">
      <c r="C1244" s="39" t="s">
        <v>48</v>
      </c>
      <c r="H1244" s="41">
        <f>0+0</f>
        <v>0</v>
      </c>
      <c r="I1244" s="41"/>
      <c r="J1244" s="41">
        <f>0+0</f>
        <v>0</v>
      </c>
      <c r="K1244" s="41"/>
    </row>
    <row r="1245" spans="1:29" ht="13.8" hidden="1" x14ac:dyDescent="0.25">
      <c r="C1245" s="39" t="s">
        <v>49</v>
      </c>
      <c r="H1245" s="41">
        <f>I1236+I1237+I1239+I1240+I1241+0</f>
        <v>10677.05</v>
      </c>
      <c r="I1245" s="41"/>
      <c r="J1245" s="41">
        <f>K1236+K1237+K1239+K1240+K1241+0</f>
        <v>585276.46</v>
      </c>
      <c r="K1245" s="41"/>
      <c r="O1245" s="42">
        <f>I1236+I1237+I1239+I1240+I1241+0</f>
        <v>10677.05</v>
      </c>
      <c r="P1245" s="42">
        <f>K1236+K1237+K1239+K1240+K1241+0</f>
        <v>585276.46</v>
      </c>
    </row>
    <row r="1246" spans="1:29" hidden="1" x14ac:dyDescent="0.25"/>
    <row r="1247" spans="1:29" ht="41.4" hidden="1" x14ac:dyDescent="0.25">
      <c r="A1247" s="34">
        <v>94</v>
      </c>
      <c r="B1247" s="34" t="str">
        <f>[1]Source!F1122</f>
        <v>1.7-1-22</v>
      </c>
      <c r="C1247" s="34" t="s">
        <v>271</v>
      </c>
      <c r="D1247" s="35" t="str">
        <f>[1]Source!H1122</f>
        <v>м2</v>
      </c>
      <c r="E1247" s="36">
        <f>[1]Source!I1122</f>
        <v>257.25</v>
      </c>
      <c r="F1247" s="37">
        <f>[1]Source!AL1122</f>
        <v>226.04</v>
      </c>
      <c r="G1247" s="38"/>
      <c r="H1247" s="36">
        <f>[1]Source!AW1123</f>
        <v>1</v>
      </c>
      <c r="I1247" s="37">
        <f>[1]Source!P1122</f>
        <v>58148.79</v>
      </c>
      <c r="J1247" s="36">
        <f>IF([1]Source!BC1123&lt;&gt; 0, [1]Source!BC1123, 1)</f>
        <v>3.17</v>
      </c>
      <c r="K1247" s="37">
        <f>[1]Source!P1123</f>
        <v>184331.66</v>
      </c>
      <c r="Q1247">
        <f>[1]Source!X1122</f>
        <v>0</v>
      </c>
      <c r="R1247">
        <f>[1]Source!X1123</f>
        <v>0</v>
      </c>
      <c r="S1247">
        <f>[1]Source!Y1122</f>
        <v>0</v>
      </c>
      <c r="T1247">
        <f>[1]Source!Y1123</f>
        <v>0</v>
      </c>
      <c r="U1247">
        <f>ROUND((175/100)*ROUND([1]Source!R1122, 2), 2)</f>
        <v>0</v>
      </c>
      <c r="V1247">
        <f>ROUND((0/100)*ROUND([1]Source!R1123, 2), 2)</f>
        <v>0</v>
      </c>
      <c r="AC1247">
        <v>3</v>
      </c>
    </row>
    <row r="1248" spans="1:29" ht="13.8" hidden="1" x14ac:dyDescent="0.25">
      <c r="C1248" s="39" t="s">
        <v>49</v>
      </c>
      <c r="H1248" s="40">
        <f>I1247+0</f>
        <v>58148.79</v>
      </c>
      <c r="I1248" s="40"/>
      <c r="J1248" s="40">
        <f>K1247+0</f>
        <v>184331.66</v>
      </c>
      <c r="K1248" s="40"/>
      <c r="O1248" s="42">
        <f>I1247+0</f>
        <v>58148.79</v>
      </c>
      <c r="P1248" s="42">
        <f>K1247+0</f>
        <v>184331.66</v>
      </c>
    </row>
    <row r="1249" spans="1:29" hidden="1" x14ac:dyDescent="0.25"/>
    <row r="1250" spans="1:29" ht="41.4" hidden="1" x14ac:dyDescent="0.25">
      <c r="A1250" s="27">
        <v>95</v>
      </c>
      <c r="B1250" s="27" t="str">
        <f>[1]Source!F1124</f>
        <v>3.12-54-3</v>
      </c>
      <c r="C1250" s="27" t="s">
        <v>272</v>
      </c>
      <c r="D1250" s="28" t="str">
        <f>[1]Source!H1124</f>
        <v>100 м</v>
      </c>
      <c r="E1250" s="29">
        <f>[1]Source!I1124</f>
        <v>1.74</v>
      </c>
      <c r="F1250" s="30"/>
      <c r="G1250" s="31"/>
      <c r="H1250" s="29"/>
      <c r="I1250" s="30"/>
      <c r="J1250" s="29"/>
      <c r="K1250" s="30"/>
      <c r="Q1250">
        <f>[1]Source!X1124</f>
        <v>1486.25</v>
      </c>
      <c r="R1250">
        <f>[1]Source!X1125</f>
        <v>83750.09</v>
      </c>
      <c r="S1250">
        <f>[1]Source!Y1124</f>
        <v>727.96</v>
      </c>
      <c r="T1250">
        <f>[1]Source!Y1125</f>
        <v>41020.449999999997</v>
      </c>
      <c r="U1250">
        <f>ROUND((175/100)*ROUND([1]Source!R1124, 2), 2)</f>
        <v>5.27</v>
      </c>
      <c r="V1250">
        <f>ROUND((0/100)*ROUND([1]Source!R1125, 2), 2)</f>
        <v>0</v>
      </c>
      <c r="AC1250">
        <v>0</v>
      </c>
    </row>
    <row r="1251" spans="1:29" hidden="1" x14ac:dyDescent="0.25">
      <c r="C1251" s="32" t="str">
        <f>"Объем: "&amp;[1]Source!I1124&amp;"=174/"&amp;"100"</f>
        <v>Объем: 1,74=174/100</v>
      </c>
    </row>
    <row r="1252" spans="1:29" ht="14.4" hidden="1" x14ac:dyDescent="0.25">
      <c r="A1252" s="27"/>
      <c r="B1252" s="27"/>
      <c r="C1252" s="27" t="s">
        <v>36</v>
      </c>
      <c r="D1252" s="28"/>
      <c r="E1252" s="29"/>
      <c r="F1252" s="30">
        <f>[1]Source!AO1124</f>
        <v>579.89</v>
      </c>
      <c r="G1252" s="31" t="s">
        <v>37</v>
      </c>
      <c r="H1252" s="29">
        <f>[1]Source!AV1125</f>
        <v>1.087</v>
      </c>
      <c r="I1252" s="30">
        <f>[1]Source!S1124</f>
        <v>1513.57</v>
      </c>
      <c r="J1252" s="29">
        <f>IF([1]Source!BA1125&lt;&gt; 0, [1]Source!BA1125, 1)</f>
        <v>56.35</v>
      </c>
      <c r="K1252" s="30">
        <f>[1]Source!S1125</f>
        <v>85289.67</v>
      </c>
    </row>
    <row r="1253" spans="1:29" ht="14.4" hidden="1" x14ac:dyDescent="0.25">
      <c r="A1253" s="27"/>
      <c r="B1253" s="27"/>
      <c r="C1253" s="27" t="s">
        <v>38</v>
      </c>
      <c r="D1253" s="28"/>
      <c r="E1253" s="29"/>
      <c r="F1253" s="30">
        <f>[1]Source!AM1124</f>
        <v>19.68</v>
      </c>
      <c r="G1253" s="31" t="s">
        <v>39</v>
      </c>
      <c r="H1253" s="29">
        <f>[1]Source!AV1125</f>
        <v>1.087</v>
      </c>
      <c r="I1253" s="30">
        <f>[1]Source!Q1124</f>
        <v>55.83</v>
      </c>
      <c r="J1253" s="29">
        <f>IF([1]Source!BB1125&lt;&gt; 0, [1]Source!BB1125, 1)</f>
        <v>12.34</v>
      </c>
      <c r="K1253" s="30">
        <f>[1]Source!Q1125</f>
        <v>688.94</v>
      </c>
    </row>
    <row r="1254" spans="1:29" ht="14.4" hidden="1" x14ac:dyDescent="0.25">
      <c r="A1254" s="27"/>
      <c r="B1254" s="27"/>
      <c r="C1254" s="27" t="s">
        <v>40</v>
      </c>
      <c r="D1254" s="28"/>
      <c r="E1254" s="29"/>
      <c r="F1254" s="30">
        <f>[1]Source!AN1124</f>
        <v>1.06</v>
      </c>
      <c r="G1254" s="31" t="s">
        <v>39</v>
      </c>
      <c r="H1254" s="29">
        <f>[1]Source!AV1125</f>
        <v>1.087</v>
      </c>
      <c r="I1254" s="33">
        <f>[1]Source!R1124</f>
        <v>3.01</v>
      </c>
      <c r="J1254" s="29">
        <f>IF([1]Source!BS1125&lt;&gt; 0, [1]Source!BS1125, 1)</f>
        <v>56.35</v>
      </c>
      <c r="K1254" s="33">
        <f>[1]Source!R1125</f>
        <v>169.61</v>
      </c>
    </row>
    <row r="1255" spans="1:29" ht="14.4" hidden="1" x14ac:dyDescent="0.25">
      <c r="A1255" s="27"/>
      <c r="B1255" s="27"/>
      <c r="C1255" s="27" t="s">
        <v>42</v>
      </c>
      <c r="D1255" s="28" t="s">
        <v>43</v>
      </c>
      <c r="E1255" s="29">
        <f>[1]Source!BZ1125</f>
        <v>98</v>
      </c>
      <c r="F1255" s="30"/>
      <c r="G1255" s="31"/>
      <c r="H1255" s="29"/>
      <c r="I1255" s="30">
        <f>SUM(Q1250:Q1254)</f>
        <v>1486.25</v>
      </c>
      <c r="J1255" s="29">
        <f>[1]Source!AT1125</f>
        <v>98</v>
      </c>
      <c r="K1255" s="30">
        <f>SUM(R1250:R1254)</f>
        <v>83750.09</v>
      </c>
    </row>
    <row r="1256" spans="1:29" ht="14.4" hidden="1" x14ac:dyDescent="0.25">
      <c r="A1256" s="27"/>
      <c r="B1256" s="27"/>
      <c r="C1256" s="27" t="s">
        <v>44</v>
      </c>
      <c r="D1256" s="28" t="s">
        <v>43</v>
      </c>
      <c r="E1256" s="29">
        <f>[1]Source!CA1125</f>
        <v>48</v>
      </c>
      <c r="F1256" s="30"/>
      <c r="G1256" s="31"/>
      <c r="H1256" s="29"/>
      <c r="I1256" s="30">
        <f>SUM(S1250:S1255)</f>
        <v>727.96</v>
      </c>
      <c r="J1256" s="29">
        <f>[1]Source!AU1125</f>
        <v>48</v>
      </c>
      <c r="K1256" s="30">
        <f>SUM(T1250:T1255)</f>
        <v>41020.449999999997</v>
      </c>
    </row>
    <row r="1257" spans="1:29" ht="14.4" hidden="1" x14ac:dyDescent="0.25">
      <c r="A1257" s="34"/>
      <c r="B1257" s="34"/>
      <c r="C1257" s="34" t="s">
        <v>45</v>
      </c>
      <c r="D1257" s="35" t="s">
        <v>46</v>
      </c>
      <c r="E1257" s="36">
        <f>[1]Source!AQ1124</f>
        <v>35.770000000000003</v>
      </c>
      <c r="F1257" s="37"/>
      <c r="G1257" s="38" t="s">
        <v>37</v>
      </c>
      <c r="H1257" s="36">
        <f>[1]Source!AV1125</f>
        <v>1.087</v>
      </c>
      <c r="I1257" s="37">
        <f>[1]Source!U1124</f>
        <v>93.363434388000002</v>
      </c>
      <c r="J1257" s="36"/>
      <c r="K1257" s="37"/>
    </row>
    <row r="1258" spans="1:29" ht="13.8" hidden="1" x14ac:dyDescent="0.25">
      <c r="C1258" s="39" t="s">
        <v>47</v>
      </c>
      <c r="H1258" s="40">
        <f>I1252+I1253+I1255+I1256+0-0-0</f>
        <v>3783.6099999999997</v>
      </c>
      <c r="I1258" s="40"/>
      <c r="J1258" s="40">
        <f>K1252+K1253+K1255+K1256+0-0-0</f>
        <v>210749.15000000002</v>
      </c>
      <c r="K1258" s="40"/>
    </row>
    <row r="1259" spans="1:29" ht="13.8" hidden="1" x14ac:dyDescent="0.25">
      <c r="C1259" s="39" t="s">
        <v>48</v>
      </c>
      <c r="H1259" s="41">
        <f>0+0</f>
        <v>0</v>
      </c>
      <c r="I1259" s="41"/>
      <c r="J1259" s="41">
        <f>0+0</f>
        <v>0</v>
      </c>
      <c r="K1259" s="41"/>
    </row>
    <row r="1260" spans="1:29" ht="13.8" hidden="1" x14ac:dyDescent="0.25">
      <c r="C1260" s="39" t="s">
        <v>49</v>
      </c>
      <c r="H1260" s="41">
        <f>I1252+I1253+I1255+I1256+0</f>
        <v>3783.6099999999997</v>
      </c>
      <c r="I1260" s="41"/>
      <c r="J1260" s="41">
        <f>K1252+K1253+K1255+K1256+0</f>
        <v>210749.15000000002</v>
      </c>
      <c r="K1260" s="41"/>
      <c r="O1260" s="42">
        <f>I1252+I1253+I1255+I1256+0</f>
        <v>3783.6099999999997</v>
      </c>
      <c r="P1260" s="42">
        <f>K1252+K1253+K1255+K1256+0</f>
        <v>210749.15000000002</v>
      </c>
    </row>
    <row r="1261" spans="1:29" hidden="1" x14ac:dyDescent="0.25"/>
    <row r="1262" spans="1:29" ht="40.799999999999997" x14ac:dyDescent="0.25">
      <c r="A1262" s="46">
        <v>96</v>
      </c>
      <c r="B1262" s="46" t="str">
        <f>[1]Source!F1126</f>
        <v>КА 8</v>
      </c>
      <c r="C1262" s="46" t="s">
        <v>273</v>
      </c>
      <c r="D1262" s="47" t="str">
        <f>[1]Source!H1126</f>
        <v>ПМ</v>
      </c>
      <c r="E1262" s="48">
        <f>[1]Source!I1126</f>
        <v>174</v>
      </c>
      <c r="F1262" s="37">
        <f>[1]Source!AL1126</f>
        <v>195.42000000000002</v>
      </c>
      <c r="G1262" s="38"/>
      <c r="H1262" s="36">
        <f>[1]Source!AW1127</f>
        <v>1</v>
      </c>
      <c r="I1262" s="37">
        <f>[1]Source!P1126</f>
        <v>34003.08</v>
      </c>
      <c r="J1262" s="36">
        <f>IF([1]Source!BC1127&lt;&gt; 0, [1]Source!BC1127, 1)</f>
        <v>9.84</v>
      </c>
      <c r="K1262" s="49">
        <f>[1]Source!P1127</f>
        <v>334590.31</v>
      </c>
      <c r="L1262">
        <v>2300</v>
      </c>
      <c r="M1262" s="50">
        <f>L1262*E1262</f>
        <v>400200</v>
      </c>
      <c r="N1262" s="51" t="s">
        <v>180</v>
      </c>
      <c r="Q1262">
        <f>[1]Source!X1126</f>
        <v>0</v>
      </c>
      <c r="R1262">
        <f>[1]Source!X1127</f>
        <v>0</v>
      </c>
      <c r="S1262">
        <f>[1]Source!Y1126</f>
        <v>0</v>
      </c>
      <c r="T1262">
        <f>[1]Source!Y1127</f>
        <v>0</v>
      </c>
      <c r="U1262">
        <f>ROUND((175/100)*ROUND([1]Source!R1126, 2), 2)</f>
        <v>0</v>
      </c>
      <c r="V1262">
        <f>ROUND((0/100)*ROUND([1]Source!R1127, 2), 2)</f>
        <v>0</v>
      </c>
      <c r="AC1262">
        <v>3</v>
      </c>
    </row>
    <row r="1263" spans="1:29" ht="13.8" hidden="1" x14ac:dyDescent="0.25">
      <c r="C1263" s="39" t="s">
        <v>49</v>
      </c>
      <c r="H1263" s="40">
        <f>I1262+0</f>
        <v>34003.08</v>
      </c>
      <c r="I1263" s="40"/>
      <c r="J1263" s="40">
        <f>K1262+0</f>
        <v>334590.31</v>
      </c>
      <c r="K1263" s="40"/>
      <c r="O1263" s="42">
        <f>I1262+0</f>
        <v>34003.08</v>
      </c>
      <c r="P1263" s="42">
        <f>K1262+0</f>
        <v>334590.31</v>
      </c>
    </row>
    <row r="1264" spans="1:29" hidden="1" x14ac:dyDescent="0.25"/>
    <row r="1265" spans="1:29" ht="43.2" hidden="1" x14ac:dyDescent="0.25">
      <c r="A1265" s="27">
        <v>97</v>
      </c>
      <c r="B1265" s="27" t="str">
        <f>[1]Source!F1128</f>
        <v>3.12-16-1</v>
      </c>
      <c r="C1265" s="27" t="s">
        <v>274</v>
      </c>
      <c r="D1265" s="28" t="str">
        <f>[1]Source!H1128</f>
        <v>100 м ограждения</v>
      </c>
      <c r="E1265" s="29">
        <f>[1]Source!I1128</f>
        <v>2.6</v>
      </c>
      <c r="F1265" s="30"/>
      <c r="G1265" s="31"/>
      <c r="H1265" s="29"/>
      <c r="I1265" s="30"/>
      <c r="J1265" s="29"/>
      <c r="K1265" s="30"/>
      <c r="Q1265">
        <f>[1]Source!X1128</f>
        <v>275.64999999999998</v>
      </c>
      <c r="R1265">
        <f>[1]Source!X1129</f>
        <v>15533.13</v>
      </c>
      <c r="S1265">
        <f>[1]Source!Y1128</f>
        <v>135.01</v>
      </c>
      <c r="T1265">
        <f>[1]Source!Y1129</f>
        <v>7608.06</v>
      </c>
      <c r="U1265">
        <f>ROUND((175/100)*ROUND([1]Source!R1128, 2), 2)</f>
        <v>24.71</v>
      </c>
      <c r="V1265">
        <f>ROUND((0/100)*ROUND([1]Source!R1129, 2), 2)</f>
        <v>0</v>
      </c>
      <c r="AC1265">
        <v>0</v>
      </c>
    </row>
    <row r="1266" spans="1:29" hidden="1" x14ac:dyDescent="0.25">
      <c r="C1266" s="32" t="str">
        <f>"Объем: "&amp;[1]Source!I1128&amp;"=(88+"&amp;"172)/"&amp;"100"</f>
        <v>Объем: 2,6=(88+172)/100</v>
      </c>
    </row>
    <row r="1267" spans="1:29" ht="14.4" hidden="1" x14ac:dyDescent="0.25">
      <c r="A1267" s="27"/>
      <c r="B1267" s="27"/>
      <c r="C1267" s="27" t="s">
        <v>36</v>
      </c>
      <c r="D1267" s="28"/>
      <c r="E1267" s="29"/>
      <c r="F1267" s="30">
        <f>[1]Source!AO1128</f>
        <v>68.5</v>
      </c>
      <c r="G1267" s="31" t="s">
        <v>37</v>
      </c>
      <c r="H1267" s="29">
        <f>[1]Source!AV1129</f>
        <v>1.087</v>
      </c>
      <c r="I1267" s="30">
        <f>[1]Source!S1128</f>
        <v>267.16000000000003</v>
      </c>
      <c r="J1267" s="29">
        <f>IF([1]Source!BA1129&lt;&gt; 0, [1]Source!BA1129, 1)</f>
        <v>56.35</v>
      </c>
      <c r="K1267" s="30">
        <f>[1]Source!S1129</f>
        <v>15054.47</v>
      </c>
    </row>
    <row r="1268" spans="1:29" ht="14.4" hidden="1" x14ac:dyDescent="0.25">
      <c r="A1268" s="27"/>
      <c r="B1268" s="27"/>
      <c r="C1268" s="27" t="s">
        <v>38</v>
      </c>
      <c r="D1268" s="28"/>
      <c r="E1268" s="29"/>
      <c r="F1268" s="30">
        <f>[1]Source!AM1128</f>
        <v>40.020000000000003</v>
      </c>
      <c r="G1268" s="31" t="s">
        <v>39</v>
      </c>
      <c r="H1268" s="29">
        <f>[1]Source!AV1129</f>
        <v>1.087</v>
      </c>
      <c r="I1268" s="30">
        <f>[1]Source!Q1128</f>
        <v>169.66</v>
      </c>
      <c r="J1268" s="29">
        <f>IF([1]Source!BB1129&lt;&gt; 0, [1]Source!BB1129, 1)</f>
        <v>14.87</v>
      </c>
      <c r="K1268" s="30">
        <f>[1]Source!Q1129</f>
        <v>2522.84</v>
      </c>
    </row>
    <row r="1269" spans="1:29" ht="14.4" hidden="1" x14ac:dyDescent="0.25">
      <c r="A1269" s="27"/>
      <c r="B1269" s="27"/>
      <c r="C1269" s="27" t="s">
        <v>40</v>
      </c>
      <c r="D1269" s="28"/>
      <c r="E1269" s="29"/>
      <c r="F1269" s="30">
        <f>[1]Source!AN1128</f>
        <v>3.33</v>
      </c>
      <c r="G1269" s="31" t="s">
        <v>39</v>
      </c>
      <c r="H1269" s="29">
        <f>[1]Source!AV1129</f>
        <v>1.087</v>
      </c>
      <c r="I1269" s="33">
        <f>[1]Source!R1128</f>
        <v>14.12</v>
      </c>
      <c r="J1269" s="29">
        <f>IF([1]Source!BS1129&lt;&gt; 0, [1]Source!BS1129, 1)</f>
        <v>56.35</v>
      </c>
      <c r="K1269" s="33">
        <f>[1]Source!R1129</f>
        <v>795.66</v>
      </c>
    </row>
    <row r="1270" spans="1:29" ht="14.4" hidden="1" x14ac:dyDescent="0.25">
      <c r="A1270" s="27"/>
      <c r="B1270" s="27"/>
      <c r="C1270" s="27" t="s">
        <v>41</v>
      </c>
      <c r="D1270" s="28"/>
      <c r="E1270" s="29"/>
      <c r="F1270" s="30">
        <f>[1]Source!AL1128</f>
        <v>15.61</v>
      </c>
      <c r="G1270" s="31"/>
      <c r="H1270" s="29">
        <f>[1]Source!AW1129</f>
        <v>1.0009999999999999</v>
      </c>
      <c r="I1270" s="30">
        <f>[1]Source!P1128</f>
        <v>40.630000000000003</v>
      </c>
      <c r="J1270" s="29">
        <f>IF([1]Source!BC1129&lt;&gt; 0, [1]Source!BC1129, 1)</f>
        <v>6.56</v>
      </c>
      <c r="K1270" s="30">
        <f>[1]Source!P1129</f>
        <v>266.52999999999997</v>
      </c>
    </row>
    <row r="1271" spans="1:29" ht="27.6" hidden="1" x14ac:dyDescent="0.25">
      <c r="A1271" s="27" t="s">
        <v>275</v>
      </c>
      <c r="B1271" s="27" t="str">
        <f>[1]Source!F1130</f>
        <v>1.6-1-218</v>
      </c>
      <c r="C1271" s="27" t="s">
        <v>276</v>
      </c>
      <c r="D1271" s="28" t="str">
        <f>[1]Source!H1130</f>
        <v>т</v>
      </c>
      <c r="E1271" s="29">
        <f>[1]Source!I1130</f>
        <v>0.78</v>
      </c>
      <c r="F1271" s="30">
        <f>[1]Source!AK1130</f>
        <v>14872.56</v>
      </c>
      <c r="G1271" s="43" t="s">
        <v>54</v>
      </c>
      <c r="H1271" s="29">
        <f>[1]Source!AW1131</f>
        <v>1.0009999999999999</v>
      </c>
      <c r="I1271" s="30">
        <f>[1]Source!O1130</f>
        <v>11612.2</v>
      </c>
      <c r="J1271" s="29">
        <f>IF([1]Source!BC1131&lt;&gt; 0, [1]Source!BC1131, 1)</f>
        <v>10.08</v>
      </c>
      <c r="K1271" s="30">
        <f>[1]Source!O1131</f>
        <v>117050.98</v>
      </c>
      <c r="Q1271">
        <f>[1]Source!X1130</f>
        <v>0</v>
      </c>
      <c r="R1271">
        <f>[1]Source!X1131</f>
        <v>0</v>
      </c>
      <c r="S1271">
        <f>[1]Source!Y1130</f>
        <v>0</v>
      </c>
      <c r="T1271">
        <f>[1]Source!Y1131</f>
        <v>0</v>
      </c>
      <c r="U1271">
        <f>ROUND((175/100)*ROUND([1]Source!R1130, 2), 2)</f>
        <v>0</v>
      </c>
      <c r="V1271">
        <f>ROUND((0/100)*ROUND([1]Source!R1131, 2), 2)</f>
        <v>0</v>
      </c>
      <c r="AC1271">
        <v>3</v>
      </c>
    </row>
    <row r="1272" spans="1:29" ht="14.4" hidden="1" x14ac:dyDescent="0.25">
      <c r="A1272" s="27"/>
      <c r="B1272" s="27"/>
      <c r="C1272" s="27" t="s">
        <v>42</v>
      </c>
      <c r="D1272" s="28" t="s">
        <v>43</v>
      </c>
      <c r="E1272" s="29">
        <f>[1]Source!BZ1129</f>
        <v>98</v>
      </c>
      <c r="F1272" s="30"/>
      <c r="G1272" s="31"/>
      <c r="H1272" s="29"/>
      <c r="I1272" s="30">
        <f>SUM(Q1265:Q1271)</f>
        <v>275.64999999999998</v>
      </c>
      <c r="J1272" s="29">
        <f>[1]Source!AT1129</f>
        <v>98</v>
      </c>
      <c r="K1272" s="30">
        <f>SUM(R1265:R1271)</f>
        <v>15533.13</v>
      </c>
    </row>
    <row r="1273" spans="1:29" ht="14.4" hidden="1" x14ac:dyDescent="0.25">
      <c r="A1273" s="27"/>
      <c r="B1273" s="27"/>
      <c r="C1273" s="27" t="s">
        <v>44</v>
      </c>
      <c r="D1273" s="28" t="s">
        <v>43</v>
      </c>
      <c r="E1273" s="29">
        <f>[1]Source!CA1129</f>
        <v>48</v>
      </c>
      <c r="F1273" s="30"/>
      <c r="G1273" s="31"/>
      <c r="H1273" s="29"/>
      <c r="I1273" s="30">
        <f>SUM(S1265:S1272)</f>
        <v>135.01</v>
      </c>
      <c r="J1273" s="29">
        <f>[1]Source!AU1129</f>
        <v>48</v>
      </c>
      <c r="K1273" s="30">
        <f>SUM(T1265:T1272)</f>
        <v>7608.06</v>
      </c>
    </row>
    <row r="1274" spans="1:29" ht="14.4" hidden="1" x14ac:dyDescent="0.25">
      <c r="A1274" s="34"/>
      <c r="B1274" s="34"/>
      <c r="C1274" s="34" t="s">
        <v>45</v>
      </c>
      <c r="D1274" s="35" t="s">
        <v>46</v>
      </c>
      <c r="E1274" s="36">
        <f>[1]Source!AQ1128</f>
        <v>5.9</v>
      </c>
      <c r="F1274" s="37"/>
      <c r="G1274" s="38" t="s">
        <v>37</v>
      </c>
      <c r="H1274" s="36">
        <f>[1]Source!AV1129</f>
        <v>1.087</v>
      </c>
      <c r="I1274" s="37">
        <f>[1]Source!U1128</f>
        <v>23.0109204</v>
      </c>
      <c r="J1274" s="36"/>
      <c r="K1274" s="37"/>
    </row>
    <row r="1275" spans="1:29" ht="13.8" hidden="1" x14ac:dyDescent="0.25">
      <c r="C1275" s="39" t="s">
        <v>47</v>
      </c>
      <c r="H1275" s="40">
        <f>I1267+I1268+I1270+I1272+I1273+SUM(I1271:I1271)-SUMIF(AC1271:AC1271, 5, I1271:I1271)-SUMIF(AC1271:AC1271, 6, I1271:I1271)</f>
        <v>12500.310000000001</v>
      </c>
      <c r="I1275" s="40"/>
      <c r="J1275" s="40">
        <f>K1267+K1268+K1270+K1272+K1273+SUM(K1271:K1271)-SUMIF(AC1271:AC1271, 5, K1271:K1271)-SUMIF(AC1271:AC1271, 6, K1271:K1271)</f>
        <v>158036.00999999998</v>
      </c>
      <c r="K1275" s="40"/>
    </row>
    <row r="1276" spans="1:29" ht="13.8" hidden="1" x14ac:dyDescent="0.25">
      <c r="C1276" s="39" t="s">
        <v>48</v>
      </c>
      <c r="H1276" s="41">
        <f>SUMIF(AC1271:AC1271, 5, I1271:I1271)+SUMIF(AC1271:AC1271, 6, I1271:I1271)</f>
        <v>0</v>
      </c>
      <c r="I1276" s="41"/>
      <c r="J1276" s="41">
        <f>SUMIF(AC1271:AC1271, 5, K1271:K1271)+SUMIF(AC1271:AC1271, 6, K1271:K1271)</f>
        <v>0</v>
      </c>
      <c r="K1276" s="41"/>
    </row>
    <row r="1277" spans="1:29" ht="13.8" hidden="1" x14ac:dyDescent="0.25">
      <c r="C1277" s="39" t="s">
        <v>49</v>
      </c>
      <c r="H1277" s="41">
        <f>I1267+I1268+I1270+I1272+I1273+SUM(I1271:I1271)</f>
        <v>12500.310000000001</v>
      </c>
      <c r="I1277" s="41"/>
      <c r="J1277" s="41">
        <f>K1267+K1268+K1270+K1272+K1273+SUM(K1271:K1271)</f>
        <v>158036.00999999998</v>
      </c>
      <c r="K1277" s="41"/>
      <c r="O1277" s="42">
        <f>I1267+I1268+I1270+I1272+I1273+SUM(I1271:I1271)</f>
        <v>12500.310000000001</v>
      </c>
      <c r="P1277" s="42">
        <f>K1267+K1268+K1270+K1272+K1273+SUM(K1271:K1271)</f>
        <v>158036.00999999998</v>
      </c>
    </row>
    <row r="1278" spans="1:29" hidden="1" x14ac:dyDescent="0.25"/>
    <row r="1279" spans="1:29" ht="57.6" hidden="1" x14ac:dyDescent="0.25">
      <c r="A1279" s="27">
        <v>98</v>
      </c>
      <c r="B1279" s="27" t="str">
        <f>[1]Source!F1132</f>
        <v>3.20-21-1</v>
      </c>
      <c r="C1279" s="27" t="s">
        <v>277</v>
      </c>
      <c r="D1279" s="28" t="str">
        <f>[1]Source!H1132</f>
        <v>1 дефлектор</v>
      </c>
      <c r="E1279" s="29">
        <f>[1]Source!I1132</f>
        <v>10</v>
      </c>
      <c r="F1279" s="30"/>
      <c r="G1279" s="31"/>
      <c r="H1279" s="29"/>
      <c r="I1279" s="30"/>
      <c r="J1279" s="29"/>
      <c r="K1279" s="30"/>
      <c r="Q1279">
        <f>[1]Source!X1132</f>
        <v>490.18</v>
      </c>
      <c r="R1279">
        <f>[1]Source!X1133</f>
        <v>27621.86</v>
      </c>
      <c r="S1279">
        <f>[1]Source!Y1132</f>
        <v>274.32</v>
      </c>
      <c r="T1279">
        <f>[1]Source!Y1133</f>
        <v>15458.11</v>
      </c>
      <c r="U1279">
        <f>ROUND((175/100)*ROUND([1]Source!R1132, 2), 2)</f>
        <v>3.64</v>
      </c>
      <c r="V1279">
        <f>ROUND((0/100)*ROUND([1]Source!R1133, 2), 2)</f>
        <v>0</v>
      </c>
      <c r="AC1279">
        <v>0</v>
      </c>
    </row>
    <row r="1280" spans="1:29" ht="14.4" hidden="1" x14ac:dyDescent="0.25">
      <c r="A1280" s="27"/>
      <c r="B1280" s="27"/>
      <c r="C1280" s="27" t="s">
        <v>36</v>
      </c>
      <c r="D1280" s="28"/>
      <c r="E1280" s="29"/>
      <c r="F1280" s="30">
        <f>[1]Source!AO1132</f>
        <v>30.4</v>
      </c>
      <c r="G1280" s="31" t="s">
        <v>37</v>
      </c>
      <c r="H1280" s="29">
        <f>[1]Source!AV1133</f>
        <v>1.0669999999999999</v>
      </c>
      <c r="I1280" s="30">
        <f>[1]Source!S1132</f>
        <v>447.63</v>
      </c>
      <c r="J1280" s="29">
        <f>IF([1]Source!BA1133&lt;&gt; 0, [1]Source!BA1133, 1)</f>
        <v>56.35</v>
      </c>
      <c r="K1280" s="30">
        <f>[1]Source!S1133</f>
        <v>25223.95</v>
      </c>
    </row>
    <row r="1281" spans="1:29" ht="14.4" hidden="1" x14ac:dyDescent="0.25">
      <c r="A1281" s="27"/>
      <c r="B1281" s="27"/>
      <c r="C1281" s="27" t="s">
        <v>38</v>
      </c>
      <c r="D1281" s="28"/>
      <c r="E1281" s="29"/>
      <c r="F1281" s="30">
        <f>[1]Source!AM1132</f>
        <v>1.04</v>
      </c>
      <c r="G1281" s="31" t="s">
        <v>39</v>
      </c>
      <c r="H1281" s="29">
        <f>[1]Source!AV1133</f>
        <v>1.0669999999999999</v>
      </c>
      <c r="I1281" s="30">
        <f>[1]Source!Q1132</f>
        <v>16.649999999999999</v>
      </c>
      <c r="J1281" s="29">
        <f>IF([1]Source!BB1133&lt;&gt; 0, [1]Source!BB1133, 1)</f>
        <v>15.51</v>
      </c>
      <c r="K1281" s="30">
        <f>[1]Source!Q1133</f>
        <v>258.24</v>
      </c>
    </row>
    <row r="1282" spans="1:29" ht="14.4" hidden="1" x14ac:dyDescent="0.25">
      <c r="A1282" s="27"/>
      <c r="B1282" s="27"/>
      <c r="C1282" s="27" t="s">
        <v>40</v>
      </c>
      <c r="D1282" s="28"/>
      <c r="E1282" s="29"/>
      <c r="F1282" s="30">
        <f>[1]Source!AN1132</f>
        <v>0.13</v>
      </c>
      <c r="G1282" s="31" t="s">
        <v>39</v>
      </c>
      <c r="H1282" s="29">
        <f>[1]Source!AV1133</f>
        <v>1.0669999999999999</v>
      </c>
      <c r="I1282" s="33">
        <f>[1]Source!R1132</f>
        <v>2.08</v>
      </c>
      <c r="J1282" s="29">
        <f>IF([1]Source!BS1133&lt;&gt; 0, [1]Source!BS1133, 1)</f>
        <v>56.35</v>
      </c>
      <c r="K1282" s="33">
        <f>[1]Source!R1133</f>
        <v>117.21</v>
      </c>
    </row>
    <row r="1283" spans="1:29" ht="14.4" hidden="1" x14ac:dyDescent="0.25">
      <c r="A1283" s="27"/>
      <c r="B1283" s="27"/>
      <c r="C1283" s="27" t="s">
        <v>41</v>
      </c>
      <c r="D1283" s="28"/>
      <c r="E1283" s="29"/>
      <c r="F1283" s="30">
        <f>[1]Source!AL1132</f>
        <v>2.34</v>
      </c>
      <c r="G1283" s="31"/>
      <c r="H1283" s="29">
        <f>[1]Source!AW1133</f>
        <v>1</v>
      </c>
      <c r="I1283" s="30">
        <f>[1]Source!P1132</f>
        <v>23.4</v>
      </c>
      <c r="J1283" s="29">
        <f>IF([1]Source!BC1133&lt;&gt; 0, [1]Source!BC1133, 1)</f>
        <v>6.6</v>
      </c>
      <c r="K1283" s="30">
        <f>[1]Source!P1133</f>
        <v>154.44</v>
      </c>
    </row>
    <row r="1284" spans="1:29" ht="27" x14ac:dyDescent="0.25">
      <c r="A1284" s="53" t="s">
        <v>278</v>
      </c>
      <c r="B1284" s="53" t="str">
        <f>[1]Source!F1134</f>
        <v>КА 9</v>
      </c>
      <c r="C1284" s="53" t="s">
        <v>279</v>
      </c>
      <c r="D1284" s="54" t="str">
        <f>[1]Source!H1134</f>
        <v>шт.</v>
      </c>
      <c r="E1284" s="55">
        <f>[1]Source!I1134</f>
        <v>10</v>
      </c>
      <c r="F1284" s="30">
        <f>[1]Source!AK1134</f>
        <v>106.21</v>
      </c>
      <c r="G1284" s="43" t="s">
        <v>54</v>
      </c>
      <c r="H1284" s="29">
        <f>[1]Source!AW1135</f>
        <v>1</v>
      </c>
      <c r="I1284" s="30">
        <f>[1]Source!O1134</f>
        <v>1062.0999999999999</v>
      </c>
      <c r="J1284" s="29">
        <f>IF([1]Source!BC1135&lt;&gt; 0, [1]Source!BC1135, 1)</f>
        <v>9.84</v>
      </c>
      <c r="K1284" s="56">
        <f>[1]Source!O1135</f>
        <v>10451.06</v>
      </c>
      <c r="L1284">
        <v>1250</v>
      </c>
      <c r="M1284" s="50">
        <f>L1284*E1284</f>
        <v>12500</v>
      </c>
      <c r="N1284" s="51" t="s">
        <v>180</v>
      </c>
      <c r="Q1284">
        <f>[1]Source!X1134</f>
        <v>0</v>
      </c>
      <c r="R1284">
        <f>[1]Source!X1135</f>
        <v>0</v>
      </c>
      <c r="S1284">
        <f>[1]Source!Y1134</f>
        <v>0</v>
      </c>
      <c r="T1284">
        <f>[1]Source!Y1135</f>
        <v>0</v>
      </c>
      <c r="U1284">
        <f>ROUND((175/100)*ROUND([1]Source!R1134, 2), 2)</f>
        <v>0</v>
      </c>
      <c r="V1284">
        <f>ROUND((0/100)*ROUND([1]Source!R1135, 2), 2)</f>
        <v>0</v>
      </c>
      <c r="AC1284">
        <v>3</v>
      </c>
    </row>
    <row r="1285" spans="1:29" ht="14.4" hidden="1" x14ac:dyDescent="0.25">
      <c r="A1285" s="27"/>
      <c r="B1285" s="27"/>
      <c r="C1285" s="27" t="s">
        <v>42</v>
      </c>
      <c r="D1285" s="28" t="s">
        <v>43</v>
      </c>
      <c r="E1285" s="29">
        <f>[1]Source!BZ1133</f>
        <v>109</v>
      </c>
      <c r="F1285" s="30"/>
      <c r="G1285" s="31"/>
      <c r="H1285" s="29"/>
      <c r="I1285" s="30">
        <f>SUM(Q1279:Q1284)</f>
        <v>490.18</v>
      </c>
      <c r="J1285" s="29">
        <f>[1]Source!AT1133</f>
        <v>109</v>
      </c>
      <c r="K1285" s="30">
        <f>SUM(R1279:R1284)</f>
        <v>27621.86</v>
      </c>
    </row>
    <row r="1286" spans="1:29" ht="14.4" hidden="1" x14ac:dyDescent="0.25">
      <c r="A1286" s="27"/>
      <c r="B1286" s="27"/>
      <c r="C1286" s="27" t="s">
        <v>44</v>
      </c>
      <c r="D1286" s="28" t="s">
        <v>43</v>
      </c>
      <c r="E1286" s="29">
        <f>[1]Source!CA1133</f>
        <v>61</v>
      </c>
      <c r="F1286" s="30"/>
      <c r="G1286" s="31"/>
      <c r="H1286" s="29"/>
      <c r="I1286" s="30">
        <f>SUM(S1279:S1285)</f>
        <v>274.32</v>
      </c>
      <c r="J1286" s="29">
        <f>[1]Source!AU1133</f>
        <v>61</v>
      </c>
      <c r="K1286" s="30">
        <f>SUM(T1279:T1285)</f>
        <v>15458.11</v>
      </c>
    </row>
    <row r="1287" spans="1:29" ht="14.4" hidden="1" x14ac:dyDescent="0.25">
      <c r="A1287" s="34"/>
      <c r="B1287" s="34"/>
      <c r="C1287" s="34" t="s">
        <v>45</v>
      </c>
      <c r="D1287" s="35" t="s">
        <v>46</v>
      </c>
      <c r="E1287" s="36">
        <f>[1]Source!AQ1132</f>
        <v>2.65</v>
      </c>
      <c r="F1287" s="37"/>
      <c r="G1287" s="38" t="s">
        <v>37</v>
      </c>
      <c r="H1287" s="36">
        <f>[1]Source!AV1133</f>
        <v>1.0669999999999999</v>
      </c>
      <c r="I1287" s="37">
        <f>[1]Source!U1132</f>
        <v>39.020189999999992</v>
      </c>
      <c r="J1287" s="36"/>
      <c r="K1287" s="37"/>
    </row>
    <row r="1288" spans="1:29" ht="13.8" hidden="1" x14ac:dyDescent="0.25">
      <c r="C1288" s="39" t="s">
        <v>47</v>
      </c>
      <c r="H1288" s="40">
        <f>I1280+I1281+I1283+I1285+I1286+SUM(I1284:I1284)-SUMIF(AC1284:AC1284, 5, I1284:I1284)-SUMIF(AC1284:AC1284, 6, I1284:I1284)</f>
        <v>2314.2799999999997</v>
      </c>
      <c r="I1288" s="40"/>
      <c r="J1288" s="40">
        <f>K1280+K1281+K1283+K1285+K1286+SUM(K1284:K1284)-SUMIF(AC1284:AC1284, 5, K1284:K1284)-SUMIF(AC1284:AC1284, 6, K1284:K1284)</f>
        <v>79167.66</v>
      </c>
      <c r="K1288" s="40"/>
    </row>
    <row r="1289" spans="1:29" ht="13.8" hidden="1" x14ac:dyDescent="0.25">
      <c r="C1289" s="39" t="s">
        <v>48</v>
      </c>
      <c r="H1289" s="41">
        <f>SUMIF(AC1284:AC1284, 5, I1284:I1284)+SUMIF(AC1284:AC1284, 6, I1284:I1284)</f>
        <v>0</v>
      </c>
      <c r="I1289" s="41"/>
      <c r="J1289" s="41">
        <f>SUMIF(AC1284:AC1284, 5, K1284:K1284)+SUMIF(AC1284:AC1284, 6, K1284:K1284)</f>
        <v>0</v>
      </c>
      <c r="K1289" s="41"/>
    </row>
    <row r="1290" spans="1:29" ht="13.8" hidden="1" x14ac:dyDescent="0.25">
      <c r="C1290" s="39" t="s">
        <v>49</v>
      </c>
      <c r="H1290" s="41">
        <f>I1280+I1281+I1283+I1285+I1286+SUM(I1284:I1284)</f>
        <v>2314.2799999999997</v>
      </c>
      <c r="I1290" s="41"/>
      <c r="J1290" s="41">
        <f>K1280+K1281+K1283+K1285+K1286+SUM(K1284:K1284)</f>
        <v>79167.66</v>
      </c>
      <c r="K1290" s="41"/>
      <c r="O1290" s="42">
        <f>I1280+I1281+I1283+I1285+I1286+SUM(I1284:I1284)</f>
        <v>2314.2799999999997</v>
      </c>
      <c r="P1290" s="42">
        <f>K1280+K1281+K1283+K1285+K1286+SUM(K1284:K1284)</f>
        <v>79167.66</v>
      </c>
    </row>
    <row r="1291" spans="1:29" hidden="1" x14ac:dyDescent="0.25"/>
    <row r="1292" spans="1:29" ht="72" hidden="1" x14ac:dyDescent="0.25">
      <c r="A1292" s="27">
        <v>99</v>
      </c>
      <c r="B1292" s="27" t="str">
        <f>[1]Source!F1136</f>
        <v>3.12-6-3</v>
      </c>
      <c r="C1292" s="27" t="s">
        <v>280</v>
      </c>
      <c r="D1292" s="28" t="str">
        <f>[1]Source!H1136</f>
        <v>100 м водосточных труб</v>
      </c>
      <c r="E1292" s="29">
        <f>[1]Source!I1136</f>
        <v>2.88</v>
      </c>
      <c r="F1292" s="30"/>
      <c r="G1292" s="31"/>
      <c r="H1292" s="29"/>
      <c r="I1292" s="30"/>
      <c r="J1292" s="29"/>
      <c r="K1292" s="30"/>
      <c r="Q1292">
        <f>[1]Source!X1136</f>
        <v>6218.93</v>
      </c>
      <c r="R1292">
        <f>[1]Source!X1137</f>
        <v>350436.88</v>
      </c>
      <c r="S1292">
        <f>[1]Source!Y1136</f>
        <v>3046.01</v>
      </c>
      <c r="T1292">
        <f>[1]Source!Y1137</f>
        <v>171642.55</v>
      </c>
      <c r="U1292">
        <f>ROUND((175/100)*ROUND([1]Source!R1136, 2), 2)</f>
        <v>37.56</v>
      </c>
      <c r="V1292">
        <f>ROUND((0/100)*ROUND([1]Source!R1137, 2), 2)</f>
        <v>0</v>
      </c>
      <c r="AC1292">
        <v>0</v>
      </c>
    </row>
    <row r="1293" spans="1:29" hidden="1" x14ac:dyDescent="0.25">
      <c r="C1293" s="32" t="str">
        <f>"Объем: "&amp;[1]Source!I1136&amp;"=288/"&amp;"100"</f>
        <v>Объем: 2,88=288/100</v>
      </c>
    </row>
    <row r="1294" spans="1:29" ht="14.4" hidden="1" x14ac:dyDescent="0.25">
      <c r="A1294" s="27"/>
      <c r="B1294" s="27"/>
      <c r="C1294" s="27" t="s">
        <v>36</v>
      </c>
      <c r="D1294" s="28"/>
      <c r="E1294" s="29"/>
      <c r="F1294" s="30">
        <f>[1]Source!AO1136</f>
        <v>1463.92</v>
      </c>
      <c r="G1294" s="31" t="s">
        <v>37</v>
      </c>
      <c r="H1294" s="29">
        <f>[1]Source!AV1137</f>
        <v>1.087</v>
      </c>
      <c r="I1294" s="30">
        <f>[1]Source!S1136</f>
        <v>6324.39</v>
      </c>
      <c r="J1294" s="29">
        <f>IF([1]Source!BA1137&lt;&gt; 0, [1]Source!BA1137, 1)</f>
        <v>56.35</v>
      </c>
      <c r="K1294" s="30">
        <f>[1]Source!S1137</f>
        <v>356379.38</v>
      </c>
    </row>
    <row r="1295" spans="1:29" ht="14.4" hidden="1" x14ac:dyDescent="0.25">
      <c r="A1295" s="27"/>
      <c r="B1295" s="27"/>
      <c r="C1295" s="27" t="s">
        <v>38</v>
      </c>
      <c r="D1295" s="28"/>
      <c r="E1295" s="29"/>
      <c r="F1295" s="30">
        <f>[1]Source!AM1136</f>
        <v>107.85</v>
      </c>
      <c r="G1295" s="31" t="s">
        <v>39</v>
      </c>
      <c r="H1295" s="29">
        <f>[1]Source!AV1137</f>
        <v>1.087</v>
      </c>
      <c r="I1295" s="30">
        <f>[1]Source!Q1136</f>
        <v>506.45</v>
      </c>
      <c r="J1295" s="29">
        <f>IF([1]Source!BB1137&lt;&gt; 0, [1]Source!BB1137, 1)</f>
        <v>14.26</v>
      </c>
      <c r="K1295" s="30">
        <f>[1]Source!Q1137</f>
        <v>7221.98</v>
      </c>
    </row>
    <row r="1296" spans="1:29" ht="14.4" hidden="1" x14ac:dyDescent="0.25">
      <c r="A1296" s="27"/>
      <c r="B1296" s="27"/>
      <c r="C1296" s="27" t="s">
        <v>40</v>
      </c>
      <c r="D1296" s="28"/>
      <c r="E1296" s="29"/>
      <c r="F1296" s="30">
        <f>[1]Source!AN1136</f>
        <v>4.57</v>
      </c>
      <c r="G1296" s="31" t="s">
        <v>39</v>
      </c>
      <c r="H1296" s="29">
        <f>[1]Source!AV1137</f>
        <v>1.087</v>
      </c>
      <c r="I1296" s="33">
        <f>[1]Source!R1136</f>
        <v>21.46</v>
      </c>
      <c r="J1296" s="29">
        <f>IF([1]Source!BS1137&lt;&gt; 0, [1]Source!BS1137, 1)</f>
        <v>56.35</v>
      </c>
      <c r="K1296" s="33">
        <f>[1]Source!R1137</f>
        <v>1209.27</v>
      </c>
    </row>
    <row r="1297" spans="1:29" ht="14.4" hidden="1" x14ac:dyDescent="0.25">
      <c r="A1297" s="27"/>
      <c r="B1297" s="27"/>
      <c r="C1297" s="27" t="s">
        <v>42</v>
      </c>
      <c r="D1297" s="28" t="s">
        <v>43</v>
      </c>
      <c r="E1297" s="29">
        <f>[1]Source!BZ1137</f>
        <v>98</v>
      </c>
      <c r="F1297" s="30"/>
      <c r="G1297" s="31"/>
      <c r="H1297" s="29"/>
      <c r="I1297" s="30">
        <f>SUM(Q1292:Q1296)</f>
        <v>6218.93</v>
      </c>
      <c r="J1297" s="29">
        <f>[1]Source!AT1137</f>
        <v>98</v>
      </c>
      <c r="K1297" s="30">
        <f>SUM(R1292:R1296)</f>
        <v>350436.88</v>
      </c>
    </row>
    <row r="1298" spans="1:29" ht="14.4" hidden="1" x14ac:dyDescent="0.25">
      <c r="A1298" s="27"/>
      <c r="B1298" s="27"/>
      <c r="C1298" s="27" t="s">
        <v>44</v>
      </c>
      <c r="D1298" s="28" t="s">
        <v>43</v>
      </c>
      <c r="E1298" s="29">
        <f>[1]Source!CA1137</f>
        <v>48</v>
      </c>
      <c r="F1298" s="30"/>
      <c r="G1298" s="31"/>
      <c r="H1298" s="29"/>
      <c r="I1298" s="30">
        <f>SUM(S1292:S1297)</f>
        <v>3046.01</v>
      </c>
      <c r="J1298" s="29">
        <f>[1]Source!AU1137</f>
        <v>48</v>
      </c>
      <c r="K1298" s="30">
        <f>SUM(T1292:T1297)</f>
        <v>171642.55</v>
      </c>
    </row>
    <row r="1299" spans="1:29" ht="14.4" hidden="1" x14ac:dyDescent="0.25">
      <c r="A1299" s="34"/>
      <c r="B1299" s="34"/>
      <c r="C1299" s="34" t="s">
        <v>45</v>
      </c>
      <c r="D1299" s="35" t="s">
        <v>46</v>
      </c>
      <c r="E1299" s="36">
        <f>[1]Source!AQ1136</f>
        <v>116</v>
      </c>
      <c r="F1299" s="37"/>
      <c r="G1299" s="38" t="s">
        <v>37</v>
      </c>
      <c r="H1299" s="36">
        <f>[1]Source!AV1137</f>
        <v>1.087</v>
      </c>
      <c r="I1299" s="37">
        <f>[1]Source!U1136</f>
        <v>501.14004479999977</v>
      </c>
      <c r="J1299" s="36"/>
      <c r="K1299" s="37"/>
    </row>
    <row r="1300" spans="1:29" ht="13.8" hidden="1" x14ac:dyDescent="0.25">
      <c r="C1300" s="39" t="s">
        <v>47</v>
      </c>
      <c r="H1300" s="40">
        <f>I1294+I1295+I1297+I1298+0-0-0</f>
        <v>16095.78</v>
      </c>
      <c r="I1300" s="40"/>
      <c r="J1300" s="40">
        <f>K1294+K1295+K1297+K1298+0-0-0</f>
        <v>885680.79</v>
      </c>
      <c r="K1300" s="40"/>
    </row>
    <row r="1301" spans="1:29" ht="13.8" hidden="1" x14ac:dyDescent="0.25">
      <c r="C1301" s="39" t="s">
        <v>48</v>
      </c>
      <c r="H1301" s="41">
        <f>0+0</f>
        <v>0</v>
      </c>
      <c r="I1301" s="41"/>
      <c r="J1301" s="41">
        <f>0+0</f>
        <v>0</v>
      </c>
      <c r="K1301" s="41"/>
    </row>
    <row r="1302" spans="1:29" ht="13.8" hidden="1" x14ac:dyDescent="0.25">
      <c r="C1302" s="39" t="s">
        <v>49</v>
      </c>
      <c r="H1302" s="41">
        <f>I1294+I1295+I1297+I1298+0</f>
        <v>16095.78</v>
      </c>
      <c r="I1302" s="41"/>
      <c r="J1302" s="41">
        <f>K1294+K1295+K1297+K1298+0</f>
        <v>885680.79</v>
      </c>
      <c r="K1302" s="41"/>
      <c r="O1302" s="42">
        <f>I1294+I1295+I1297+I1298+0</f>
        <v>16095.78</v>
      </c>
      <c r="P1302" s="42">
        <f>K1294+K1295+K1297+K1298+0</f>
        <v>885680.79</v>
      </c>
    </row>
    <row r="1303" spans="1:29" hidden="1" x14ac:dyDescent="0.25"/>
    <row r="1304" spans="1:29" ht="69" hidden="1" x14ac:dyDescent="0.25">
      <c r="A1304" s="34">
        <v>100</v>
      </c>
      <c r="B1304" s="34" t="str">
        <f>[1]Source!F1138</f>
        <v>1.7-1-2</v>
      </c>
      <c r="C1304" s="34" t="s">
        <v>281</v>
      </c>
      <c r="D1304" s="35" t="str">
        <f>[1]Source!H1138</f>
        <v>м</v>
      </c>
      <c r="E1304" s="36">
        <f>[1]Source!I1138</f>
        <v>288</v>
      </c>
      <c r="F1304" s="37">
        <f>[1]Source!AL1138</f>
        <v>70.84</v>
      </c>
      <c r="G1304" s="38"/>
      <c r="H1304" s="36">
        <f>[1]Source!AW1139</f>
        <v>1</v>
      </c>
      <c r="I1304" s="37">
        <f>[1]Source!P1138</f>
        <v>20401.919999999998</v>
      </c>
      <c r="J1304" s="36">
        <f>IF([1]Source!BC1139&lt;&gt; 0, [1]Source!BC1139, 1)</f>
        <v>4.32</v>
      </c>
      <c r="K1304" s="37">
        <f>[1]Source!P1139</f>
        <v>88136.29</v>
      </c>
      <c r="Q1304">
        <f>[1]Source!X1138</f>
        <v>0</v>
      </c>
      <c r="R1304">
        <f>[1]Source!X1139</f>
        <v>0</v>
      </c>
      <c r="S1304">
        <f>[1]Source!Y1138</f>
        <v>0</v>
      </c>
      <c r="T1304">
        <f>[1]Source!Y1139</f>
        <v>0</v>
      </c>
      <c r="U1304">
        <f>ROUND((175/100)*ROUND([1]Source!R1138, 2), 2)</f>
        <v>0</v>
      </c>
      <c r="V1304">
        <f>ROUND((0/100)*ROUND([1]Source!R1139, 2), 2)</f>
        <v>0</v>
      </c>
      <c r="AC1304">
        <v>3</v>
      </c>
    </row>
    <row r="1305" spans="1:29" ht="13.8" hidden="1" x14ac:dyDescent="0.25">
      <c r="C1305" s="39" t="s">
        <v>49</v>
      </c>
      <c r="H1305" s="40">
        <f>I1304+0</f>
        <v>20401.919999999998</v>
      </c>
      <c r="I1305" s="40"/>
      <c r="J1305" s="40">
        <f>K1304+0</f>
        <v>88136.29</v>
      </c>
      <c r="K1305" s="40"/>
      <c r="O1305" s="42">
        <f>I1304+0</f>
        <v>20401.919999999998</v>
      </c>
      <c r="P1305" s="42">
        <f>K1304+0</f>
        <v>88136.29</v>
      </c>
    </row>
    <row r="1306" spans="1:29" hidden="1" x14ac:dyDescent="0.25"/>
    <row r="1307" spans="1:29" ht="69" hidden="1" x14ac:dyDescent="0.25">
      <c r="A1307" s="34">
        <v>101</v>
      </c>
      <c r="B1307" s="34" t="str">
        <f>[1]Source!F1140</f>
        <v>1.7-1-3</v>
      </c>
      <c r="C1307" s="34" t="s">
        <v>282</v>
      </c>
      <c r="D1307" s="35" t="str">
        <f>[1]Source!H1140</f>
        <v>шт.</v>
      </c>
      <c r="E1307" s="36">
        <f>[1]Source!I1140</f>
        <v>12</v>
      </c>
      <c r="F1307" s="37">
        <f>[1]Source!AL1140</f>
        <v>92.37</v>
      </c>
      <c r="G1307" s="38"/>
      <c r="H1307" s="36">
        <f>[1]Source!AW1141</f>
        <v>1</v>
      </c>
      <c r="I1307" s="37">
        <f>[1]Source!P1140</f>
        <v>1108.44</v>
      </c>
      <c r="J1307" s="36">
        <f>IF([1]Source!BC1141&lt;&gt; 0, [1]Source!BC1141, 1)</f>
        <v>4.49</v>
      </c>
      <c r="K1307" s="37">
        <f>[1]Source!P1141</f>
        <v>4976.8999999999996</v>
      </c>
      <c r="Q1307">
        <f>[1]Source!X1140</f>
        <v>0</v>
      </c>
      <c r="R1307">
        <f>[1]Source!X1141</f>
        <v>0</v>
      </c>
      <c r="S1307">
        <f>[1]Source!Y1140</f>
        <v>0</v>
      </c>
      <c r="T1307">
        <f>[1]Source!Y1141</f>
        <v>0</v>
      </c>
      <c r="U1307">
        <f>ROUND((175/100)*ROUND([1]Source!R1140, 2), 2)</f>
        <v>0</v>
      </c>
      <c r="V1307">
        <f>ROUND((0/100)*ROUND([1]Source!R1141, 2), 2)</f>
        <v>0</v>
      </c>
      <c r="AC1307">
        <v>3</v>
      </c>
    </row>
    <row r="1308" spans="1:29" ht="13.8" hidden="1" x14ac:dyDescent="0.25">
      <c r="C1308" s="39" t="s">
        <v>49</v>
      </c>
      <c r="H1308" s="40">
        <f>I1307+0</f>
        <v>1108.44</v>
      </c>
      <c r="I1308" s="40"/>
      <c r="J1308" s="40">
        <f>K1307+0</f>
        <v>4976.8999999999996</v>
      </c>
      <c r="K1308" s="40"/>
      <c r="O1308" s="42">
        <f>I1307+0</f>
        <v>1108.44</v>
      </c>
      <c r="P1308" s="42">
        <f>K1307+0</f>
        <v>4976.8999999999996</v>
      </c>
    </row>
    <row r="1309" spans="1:29" hidden="1" x14ac:dyDescent="0.25"/>
    <row r="1310" spans="1:29" ht="69" hidden="1" x14ac:dyDescent="0.25">
      <c r="A1310" s="34">
        <v>102</v>
      </c>
      <c r="B1310" s="34" t="str">
        <f>[1]Source!F1142</f>
        <v>1.7-1-4</v>
      </c>
      <c r="C1310" s="34" t="s">
        <v>283</v>
      </c>
      <c r="D1310" s="35" t="str">
        <f>[1]Source!H1142</f>
        <v>шт.</v>
      </c>
      <c r="E1310" s="36">
        <f>[1]Source!I1142</f>
        <v>12</v>
      </c>
      <c r="F1310" s="37">
        <f>[1]Source!AL1142</f>
        <v>76.69</v>
      </c>
      <c r="G1310" s="38"/>
      <c r="H1310" s="36">
        <f>[1]Source!AW1143</f>
        <v>1</v>
      </c>
      <c r="I1310" s="37">
        <f>[1]Source!P1142</f>
        <v>920.28</v>
      </c>
      <c r="J1310" s="36">
        <f>IF([1]Source!BC1143&lt;&gt; 0, [1]Source!BC1143, 1)</f>
        <v>4.6100000000000003</v>
      </c>
      <c r="K1310" s="37">
        <f>[1]Source!P1143</f>
        <v>4242.49</v>
      </c>
      <c r="Q1310">
        <f>[1]Source!X1142</f>
        <v>0</v>
      </c>
      <c r="R1310">
        <f>[1]Source!X1143</f>
        <v>0</v>
      </c>
      <c r="S1310">
        <f>[1]Source!Y1142</f>
        <v>0</v>
      </c>
      <c r="T1310">
        <f>[1]Source!Y1143</f>
        <v>0</v>
      </c>
      <c r="U1310">
        <f>ROUND((175/100)*ROUND([1]Source!R1142, 2), 2)</f>
        <v>0</v>
      </c>
      <c r="V1310">
        <f>ROUND((0/100)*ROUND([1]Source!R1143, 2), 2)</f>
        <v>0</v>
      </c>
      <c r="AC1310">
        <v>3</v>
      </c>
    </row>
    <row r="1311" spans="1:29" ht="13.8" hidden="1" x14ac:dyDescent="0.25">
      <c r="C1311" s="39" t="s">
        <v>49</v>
      </c>
      <c r="H1311" s="40">
        <f>I1310+0</f>
        <v>920.28</v>
      </c>
      <c r="I1311" s="40"/>
      <c r="J1311" s="40">
        <f>K1310+0</f>
        <v>4242.49</v>
      </c>
      <c r="K1311" s="40"/>
      <c r="O1311" s="42">
        <f>I1310+0</f>
        <v>920.28</v>
      </c>
      <c r="P1311" s="42">
        <f>K1310+0</f>
        <v>4242.49</v>
      </c>
    </row>
    <row r="1312" spans="1:29" hidden="1" x14ac:dyDescent="0.25"/>
    <row r="1313" spans="1:29" ht="41.4" hidden="1" x14ac:dyDescent="0.25">
      <c r="A1313" s="34">
        <v>103</v>
      </c>
      <c r="B1313" s="34" t="str">
        <f>[1]Source!F1144</f>
        <v>1.7-1-13</v>
      </c>
      <c r="C1313" s="34" t="s">
        <v>284</v>
      </c>
      <c r="D1313" s="35" t="str">
        <f>[1]Source!H1144</f>
        <v>шт.</v>
      </c>
      <c r="E1313" s="36">
        <f>[1]Source!I1144</f>
        <v>288</v>
      </c>
      <c r="F1313" s="37">
        <f>[1]Source!AL1144</f>
        <v>16.440000000000001</v>
      </c>
      <c r="G1313" s="38"/>
      <c r="H1313" s="36">
        <f>[1]Source!AW1145</f>
        <v>1</v>
      </c>
      <c r="I1313" s="37">
        <f>[1]Source!P1144</f>
        <v>4734.72</v>
      </c>
      <c r="J1313" s="36">
        <f>IF([1]Source!BC1145&lt;&gt; 0, [1]Source!BC1145, 1)</f>
        <v>7.75</v>
      </c>
      <c r="K1313" s="37">
        <f>[1]Source!P1145</f>
        <v>36694.080000000002</v>
      </c>
      <c r="Q1313">
        <f>[1]Source!X1144</f>
        <v>0</v>
      </c>
      <c r="R1313">
        <f>[1]Source!X1145</f>
        <v>0</v>
      </c>
      <c r="S1313">
        <f>[1]Source!Y1144</f>
        <v>0</v>
      </c>
      <c r="T1313">
        <f>[1]Source!Y1145</f>
        <v>0</v>
      </c>
      <c r="U1313">
        <f>ROUND((175/100)*ROUND([1]Source!R1144, 2), 2)</f>
        <v>0</v>
      </c>
      <c r="V1313">
        <f>ROUND((0/100)*ROUND([1]Source!R1145, 2), 2)</f>
        <v>0</v>
      </c>
      <c r="AC1313">
        <v>3</v>
      </c>
    </row>
    <row r="1314" spans="1:29" ht="13.8" hidden="1" x14ac:dyDescent="0.25">
      <c r="C1314" s="39" t="s">
        <v>49</v>
      </c>
      <c r="H1314" s="40">
        <f>I1313+0</f>
        <v>4734.72</v>
      </c>
      <c r="I1314" s="40"/>
      <c r="J1314" s="40">
        <f>K1313+0</f>
        <v>36694.080000000002</v>
      </c>
      <c r="K1314" s="40"/>
      <c r="O1314" s="42">
        <f>I1313+0</f>
        <v>4734.72</v>
      </c>
      <c r="P1314" s="42">
        <f>K1313+0</f>
        <v>36694.080000000002</v>
      </c>
    </row>
    <row r="1315" spans="1:29" hidden="1" x14ac:dyDescent="0.25"/>
    <row r="1316" spans="1:29" hidden="1" x14ac:dyDescent="0.25"/>
    <row r="1317" spans="1:29" ht="13.8" hidden="1" x14ac:dyDescent="0.25">
      <c r="A1317" s="44" t="str">
        <f>CONCATENATE("Итого по подразделу: ",IF([1]Source!G1147&lt;&gt;"Новый подраздел", [1]Source!G1147, ""))</f>
        <v>Итого по подразделу: Строительные работы на кровле</v>
      </c>
      <c r="B1317" s="44"/>
      <c r="C1317" s="44"/>
      <c r="D1317" s="44"/>
      <c r="E1317" s="44"/>
      <c r="F1317" s="44"/>
      <c r="G1317" s="44"/>
      <c r="H1317" s="41">
        <f>SUM(O1177:O1316)</f>
        <v>223238.37999999995</v>
      </c>
      <c r="I1317" s="45"/>
      <c r="J1317" s="41">
        <f>SUM(P1177:P1316)</f>
        <v>3384632.5500000003</v>
      </c>
      <c r="K1317" s="45"/>
    </row>
    <row r="1318" spans="1:29" hidden="1" x14ac:dyDescent="0.25">
      <c r="A1318" t="s">
        <v>55</v>
      </c>
      <c r="I1318">
        <f>SUM(W1177:W1317)</f>
        <v>0</v>
      </c>
      <c r="J1318">
        <f>SUM(X1177:X1317)</f>
        <v>0</v>
      </c>
    </row>
    <row r="1319" spans="1:29" hidden="1" x14ac:dyDescent="0.25">
      <c r="A1319" t="s">
        <v>56</v>
      </c>
      <c r="I1319">
        <f>SUM(Y1177:Y1318)</f>
        <v>0</v>
      </c>
      <c r="J1319">
        <f>SUM(Z1177:Z1318)</f>
        <v>0</v>
      </c>
    </row>
    <row r="1320" spans="1:29" hidden="1" x14ac:dyDescent="0.25"/>
    <row r="1321" spans="1:29" ht="13.8" hidden="1" x14ac:dyDescent="0.25">
      <c r="A1321" s="44" t="str">
        <f>CONCATENATE("Итого по разделу: ",IF([1]Source!G1177&lt;&gt;"Новый раздел", [1]Source!G1177, ""))</f>
        <v>Итого по разделу: Кровля.</v>
      </c>
      <c r="B1321" s="44"/>
      <c r="C1321" s="44"/>
      <c r="D1321" s="44"/>
      <c r="E1321" s="44"/>
      <c r="F1321" s="44"/>
      <c r="G1321" s="44"/>
      <c r="H1321" s="41">
        <f>SUM(O603:O1320)</f>
        <v>2419660.5699999998</v>
      </c>
      <c r="I1321" s="45"/>
      <c r="J1321" s="41">
        <f>SUM(P603:P1320)</f>
        <v>41510524.529999979</v>
      </c>
      <c r="K1321" s="45"/>
    </row>
    <row r="1322" spans="1:29" hidden="1" x14ac:dyDescent="0.25">
      <c r="A1322" t="s">
        <v>55</v>
      </c>
      <c r="I1322">
        <f>SUM(W603:W1321)</f>
        <v>0</v>
      </c>
      <c r="J1322">
        <f>SUM(X603:X1321)</f>
        <v>0</v>
      </c>
    </row>
    <row r="1323" spans="1:29" hidden="1" x14ac:dyDescent="0.25">
      <c r="A1323" t="s">
        <v>56</v>
      </c>
      <c r="I1323">
        <f>SUM(Y603:Y1322)</f>
        <v>0</v>
      </c>
      <c r="J1323">
        <f>SUM(Z603:Z1322)</f>
        <v>0</v>
      </c>
    </row>
    <row r="1324" spans="1:29" hidden="1" x14ac:dyDescent="0.25"/>
    <row r="1325" spans="1:29" ht="16.8" hidden="1" x14ac:dyDescent="0.25">
      <c r="A1325" s="11" t="str">
        <f>CONCATENATE("Раздел: ",IF([1]Source!G1207&lt;&gt;"Новый раздел", [1]Source!G1207, ""))</f>
        <v>Раздел: Окна</v>
      </c>
      <c r="B1325" s="11"/>
      <c r="C1325" s="11"/>
      <c r="D1325" s="11"/>
      <c r="E1325" s="11"/>
      <c r="F1325" s="11"/>
      <c r="G1325" s="11"/>
      <c r="H1325" s="11"/>
      <c r="I1325" s="11"/>
      <c r="J1325" s="11"/>
      <c r="K1325" s="11"/>
    </row>
    <row r="1326" spans="1:29" hidden="1" x14ac:dyDescent="0.25"/>
    <row r="1327" spans="1:29" ht="16.8" hidden="1" x14ac:dyDescent="0.25">
      <c r="A1327" s="11" t="str">
        <f>CONCATENATE("Подраздел: ",IF([1]Source!G1211&lt;&gt;"Новый подраздел", [1]Source!G1211, ""))</f>
        <v>Подраздел: Демонтажные работы</v>
      </c>
      <c r="B1327" s="11"/>
      <c r="C1327" s="11"/>
      <c r="D1327" s="11"/>
      <c r="E1327" s="11"/>
      <c r="F1327" s="11"/>
      <c r="G1327" s="11"/>
      <c r="H1327" s="11"/>
      <c r="I1327" s="11"/>
      <c r="J1327" s="11"/>
      <c r="K1327" s="11"/>
    </row>
    <row r="1328" spans="1:29" ht="55.2" hidden="1" x14ac:dyDescent="0.25">
      <c r="A1328" s="27">
        <v>104</v>
      </c>
      <c r="B1328" s="27" t="str">
        <f>[1]Source!F1217</f>
        <v>3.10-84-7</v>
      </c>
      <c r="C1328" s="27" t="s">
        <v>285</v>
      </c>
      <c r="D1328" s="28" t="str">
        <f>[1]Source!H1217</f>
        <v>100 м2</v>
      </c>
      <c r="E1328" s="29">
        <f>[1]Source!I1217</f>
        <v>7.3831300000000004</v>
      </c>
      <c r="F1328" s="30"/>
      <c r="G1328" s="31"/>
      <c r="H1328" s="29"/>
      <c r="I1328" s="30"/>
      <c r="J1328" s="29"/>
      <c r="K1328" s="30"/>
      <c r="Q1328">
        <f>[1]Source!X1217</f>
        <v>16420.64</v>
      </c>
      <c r="R1328">
        <f>[1]Source!X1218</f>
        <v>925302.8</v>
      </c>
      <c r="S1328">
        <f>[1]Source!Y1217</f>
        <v>7956.39</v>
      </c>
      <c r="T1328">
        <f>[1]Source!Y1218</f>
        <v>448342.59</v>
      </c>
      <c r="U1328">
        <f>ROUND((175/100)*ROUND([1]Source!R1217, 2), 2)</f>
        <v>381.82</v>
      </c>
      <c r="V1328">
        <f>ROUND((0/100)*ROUND([1]Source!R1218, 2), 2)</f>
        <v>0</v>
      </c>
      <c r="AC1328">
        <v>0</v>
      </c>
    </row>
    <row r="1329" spans="1:29" ht="237.6" hidden="1" x14ac:dyDescent="0.25">
      <c r="C1329" s="32" t="str">
        <f>"Объем: "&amp;[1]Source!I1217&amp;"=(1,1*"&amp;"1,7*"&amp;"1+"&amp;"1,1*"&amp;"1,9*"&amp;"1+"&amp;"1,1*"&amp;"2,02*"&amp;"1+"&amp;"1,1*"&amp;"2,1*"&amp;"3+"&amp;"1,1*"&amp;"2,3*"&amp;"3+"&amp;"1,1*"&amp;"2,4*"&amp;"6+"&amp;"1,18*"&amp;"1,27*"&amp;"1+"&amp;"1,18*"&amp;"1,65*"&amp;"1+"&amp;"1,18*"&amp;"1,7*"&amp;"1+"&amp;"1,18*"&amp;"1,9*"&amp;"2+"&amp;"1,18*"&amp;"1,98*"&amp;"1+"&amp;"1,18*"&amp;"2,02*"&amp;"2+"&amp;"1,18*"&amp;"2,15*"&amp;"19+"&amp;"1,18*"&amp;"2,2*"&amp;"17+"&amp;"1,18*"&amp;"2,24*"&amp;"2+"&amp;"0,18*"&amp;"2,3*"&amp;"2+"&amp;"1,18*"&amp;"2,34*"&amp;"1+"&amp;"1,18*"&amp;"2,4*"&amp;"3+"&amp;"1,2*"&amp;"2,15*"&amp;"4+"&amp;"1,2*"&amp;"2,3*"&amp;"4+"&amp;"1,2*"&amp;"2,58*"&amp;"4+"&amp;"1,2*"&amp;"2,02*"&amp;"8+"&amp;"1,28*"&amp;"2,34*"&amp;"16+"&amp;"1,28*"&amp;"2,4*"&amp;"16+"&amp;"1,3*"&amp;"1,38*"&amp;"2+"&amp;"1,3*"&amp;"1,53*"&amp;"3+"&amp;"1,3*"&amp;"1,54*"&amp;"1+"&amp;"1,4*"&amp;"3,16*"&amp;"2+"&amp;"1,44*"&amp;"1,7*"&amp;"7+"&amp;"1,48*"&amp;"1,7*"&amp;"6+"&amp;"1,48*"&amp;"1,9*"&amp;"1+"&amp;"1,48*"&amp;"1,98*"&amp;"1+"&amp;"1,48*"&amp;"2,1*"&amp;"2+"&amp;"1,48*"&amp;"2,25*"&amp;"3+"&amp;"1,48*"&amp;"0,99*"&amp;"4+"&amp;"1,55*"&amp;"1,1*"&amp;"1+"&amp;"1,55*"&amp;"2,02*"&amp;"4+"&amp;"1,55*"&amp;"2,15*"&amp;"9+"&amp;"1,55*"&amp;"2,24*"&amp;"3+"&amp;"1,55*"&amp;"2,28*"&amp;"1+"&amp;"1,55*"&amp;"2,3*"&amp;"7+"&amp;"1,55*"&amp;"2,34*"&amp;"2+"&amp;"1,55*"&amp;"2,4*"&amp;"14+"&amp;"1,68*"&amp;"2,15*"&amp;"1+"&amp;"1,68*"&amp;"2,34*"&amp;"1+"&amp;"1,68*"&amp;"2,4*"&amp;"2+"&amp;"1,78*"&amp;"3,75*"&amp;"1+"&amp;"1,75*"&amp;"2,84*"&amp;"5+"&amp;"1,78*"&amp;"3,75*"&amp;"4+"&amp;"1,8*"&amp;"2,02*"&amp;"2+"&amp;"1,8*"&amp;"2,15*"&amp;"3+"&amp;"1,8*"&amp;"2,3*"&amp;"2+"&amp;"1,8*"&amp;"2,34*"&amp;"3+"&amp;"1,8*"&amp;"2,4*"&amp;"3+"&amp;"2,3*"&amp;"1,7*"&amp;"3+"&amp;"2,34*"&amp;"1,65*"&amp;"2+"&amp;"2,85*"&amp;"3,67*"&amp;"1+"&amp;"0,9*"&amp;"1,9*"&amp;"1+"&amp;"0,9*"&amp;"2*"&amp;"10+"&amp;"0,9*"&amp;"2,15*"&amp;"10+"&amp;"0,94*"&amp;"2,02*"&amp;"2+"&amp;"0,98*"&amp;"1,3*"&amp;"2)/"&amp;"100"</f>
        <v>Объем: 7,38313=(1,1*1,7*1+1,1*1,9*1+1,1*2,02*1+1,1*2,1*3+1,1*2,3*3+1,1*2,4*6+1,18*1,27*1+1,18*1,65*1+1,18*1,7*1+1,18*1,9*2+1,18*1,98*1+1,18*2,02*2+1,18*2,15*19+1,18*2,2*17+1,18*2,24*2+0,18*2,3*2+1,18*2,34*1+1,18*2,4*3+1,2*2,15*4+1,2*2,3*4+1,2*2,58*4+1,2*2,02*8+1,28*2,34*16+1,28*2,4*16+1,3*1,38*2+1,3*1,53*3+1,3*1,54*1+1,4*3,16*2+1,44*1,7*7+1,48*1,7*6+1,48*1,9*1+1,48*1,98*1+1,48*2,1*2+1,48*2,25*3+1,48*0,99*4+1,55*1,1*1+1,55*2,02*4+1,55*2,15*9+1,55*2,24*3+1,55*2,28*1+1,55*2,3*7+1,55*2,34*2+1,55*2,4*14+1,68*2,15*1+1,68*2,34*1+1,68*2,4*2+1,78*3,75*1+1,75*2,84*5+1,78*3,75*4+1,8*2,02*2+1,8*2,15*3+1,8*2,3*2+1,8*2,34*3+1,8*2,4*3+2,3*1,7*3+2,34*1,65*2+2,85*3,67*1+0,9*1,9*1+0,9*2*10+0,9*2,15*10+0,94*2,02*2+0,98*1,3*2)/100</v>
      </c>
    </row>
    <row r="1330" spans="1:29" ht="14.4" hidden="1" x14ac:dyDescent="0.25">
      <c r="A1330" s="27"/>
      <c r="B1330" s="27"/>
      <c r="C1330" s="27" t="s">
        <v>36</v>
      </c>
      <c r="D1330" s="28"/>
      <c r="E1330" s="29"/>
      <c r="F1330" s="30">
        <f>[1]Source!AO1217</f>
        <v>2251.7800000000002</v>
      </c>
      <c r="G1330" s="31" t="s">
        <v>60</v>
      </c>
      <c r="H1330" s="29">
        <f>[1]Source!AV1218</f>
        <v>1.0469999999999999</v>
      </c>
      <c r="I1330" s="30">
        <f>[1]Source!S1217</f>
        <v>16710.310000000001</v>
      </c>
      <c r="J1330" s="29">
        <f>IF([1]Source!BA1218&lt;&gt; 0, [1]Source!BA1218, 1)</f>
        <v>56.35</v>
      </c>
      <c r="K1330" s="30">
        <f>[1]Source!S1218</f>
        <v>941625.97</v>
      </c>
    </row>
    <row r="1331" spans="1:29" ht="14.4" hidden="1" x14ac:dyDescent="0.25">
      <c r="A1331" s="27"/>
      <c r="B1331" s="27"/>
      <c r="C1331" s="27" t="s">
        <v>38</v>
      </c>
      <c r="D1331" s="28"/>
      <c r="E1331" s="29"/>
      <c r="F1331" s="30">
        <f>[1]Source!AM1217</f>
        <v>177.66</v>
      </c>
      <c r="G1331" s="31" t="s">
        <v>60</v>
      </c>
      <c r="H1331" s="29">
        <f>[1]Source!AV1218</f>
        <v>1.0469999999999999</v>
      </c>
      <c r="I1331" s="30">
        <f>[1]Source!Q1217</f>
        <v>1318.4</v>
      </c>
      <c r="J1331" s="29">
        <f>IF([1]Source!BB1218&lt;&gt; 0, [1]Source!BB1218, 1)</f>
        <v>18.329999999999998</v>
      </c>
      <c r="K1331" s="30">
        <f>[1]Source!Q1218</f>
        <v>24166.27</v>
      </c>
    </row>
    <row r="1332" spans="1:29" ht="14.4" hidden="1" x14ac:dyDescent="0.25">
      <c r="A1332" s="27"/>
      <c r="B1332" s="27"/>
      <c r="C1332" s="27" t="s">
        <v>40</v>
      </c>
      <c r="D1332" s="28"/>
      <c r="E1332" s="29"/>
      <c r="F1332" s="30">
        <f>[1]Source!AN1217</f>
        <v>29.4</v>
      </c>
      <c r="G1332" s="31" t="s">
        <v>60</v>
      </c>
      <c r="H1332" s="29">
        <f>[1]Source!AV1218</f>
        <v>1.0469999999999999</v>
      </c>
      <c r="I1332" s="33">
        <f>[1]Source!R1217</f>
        <v>218.18</v>
      </c>
      <c r="J1332" s="29">
        <f>IF([1]Source!BS1218&lt;&gt; 0, [1]Source!BS1218, 1)</f>
        <v>56.35</v>
      </c>
      <c r="K1332" s="33">
        <f>[1]Source!R1218</f>
        <v>12294.44</v>
      </c>
    </row>
    <row r="1333" spans="1:29" ht="14.4" hidden="1" x14ac:dyDescent="0.25">
      <c r="A1333" s="27"/>
      <c r="B1333" s="27"/>
      <c r="C1333" s="27" t="s">
        <v>42</v>
      </c>
      <c r="D1333" s="28" t="s">
        <v>43</v>
      </c>
      <c r="E1333" s="29">
        <f>[1]Source!BZ1218</f>
        <v>97</v>
      </c>
      <c r="F1333" s="30"/>
      <c r="G1333" s="31"/>
      <c r="H1333" s="29"/>
      <c r="I1333" s="30">
        <f>SUM(Q1328:Q1332)</f>
        <v>16420.64</v>
      </c>
      <c r="J1333" s="29">
        <f>[1]Source!AT1218</f>
        <v>97</v>
      </c>
      <c r="K1333" s="30">
        <f>SUM(R1328:R1332)</f>
        <v>925302.8</v>
      </c>
    </row>
    <row r="1334" spans="1:29" ht="14.4" hidden="1" x14ac:dyDescent="0.25">
      <c r="A1334" s="27"/>
      <c r="B1334" s="27"/>
      <c r="C1334" s="27" t="s">
        <v>44</v>
      </c>
      <c r="D1334" s="28" t="s">
        <v>43</v>
      </c>
      <c r="E1334" s="29">
        <f>[1]Source!CA1218</f>
        <v>47</v>
      </c>
      <c r="F1334" s="30"/>
      <c r="G1334" s="31"/>
      <c r="H1334" s="29"/>
      <c r="I1334" s="30">
        <f>SUM(S1328:S1333)</f>
        <v>7956.39</v>
      </c>
      <c r="J1334" s="29">
        <f>[1]Source!AU1218</f>
        <v>47</v>
      </c>
      <c r="K1334" s="30">
        <f>SUM(T1328:T1333)</f>
        <v>448342.59</v>
      </c>
    </row>
    <row r="1335" spans="1:29" ht="14.4" hidden="1" x14ac:dyDescent="0.25">
      <c r="A1335" s="34"/>
      <c r="B1335" s="34"/>
      <c r="C1335" s="34" t="s">
        <v>45</v>
      </c>
      <c r="D1335" s="35" t="s">
        <v>46</v>
      </c>
      <c r="E1335" s="36">
        <f>[1]Source!AQ1217</f>
        <v>204.39</v>
      </c>
      <c r="F1335" s="37"/>
      <c r="G1335" s="38" t="s">
        <v>60</v>
      </c>
      <c r="H1335" s="36">
        <f>[1]Source!AV1218</f>
        <v>1.0469999999999999</v>
      </c>
      <c r="I1335" s="37">
        <f>[1]Source!U1217</f>
        <v>1516.764214956384</v>
      </c>
      <c r="J1335" s="36"/>
      <c r="K1335" s="37"/>
    </row>
    <row r="1336" spans="1:29" ht="13.8" hidden="1" x14ac:dyDescent="0.25">
      <c r="C1336" s="39" t="s">
        <v>47</v>
      </c>
      <c r="H1336" s="40">
        <f>I1330+I1331+I1333+I1334+0-0-0</f>
        <v>42405.740000000005</v>
      </c>
      <c r="I1336" s="40"/>
      <c r="J1336" s="40">
        <f>K1330+K1331+K1333+K1334+0-0-0</f>
        <v>2339437.63</v>
      </c>
      <c r="K1336" s="40"/>
    </row>
    <row r="1337" spans="1:29" ht="13.8" hidden="1" x14ac:dyDescent="0.25">
      <c r="C1337" s="39" t="s">
        <v>48</v>
      </c>
      <c r="H1337" s="41">
        <f>0+0</f>
        <v>0</v>
      </c>
      <c r="I1337" s="41"/>
      <c r="J1337" s="41">
        <f>0+0</f>
        <v>0</v>
      </c>
      <c r="K1337" s="41"/>
    </row>
    <row r="1338" spans="1:29" ht="13.8" hidden="1" x14ac:dyDescent="0.25">
      <c r="C1338" s="39" t="s">
        <v>49</v>
      </c>
      <c r="H1338" s="41">
        <f>I1330+I1331+I1333+I1334+0</f>
        <v>42405.740000000005</v>
      </c>
      <c r="I1338" s="41"/>
      <c r="J1338" s="41">
        <f>K1330+K1331+K1333+K1334+0</f>
        <v>2339437.63</v>
      </c>
      <c r="K1338" s="41"/>
      <c r="O1338" s="42">
        <f>I1330+I1331+I1333+I1334+0</f>
        <v>42405.740000000005</v>
      </c>
      <c r="P1338" s="42">
        <f>K1330+K1331+K1333+K1334+0</f>
        <v>2339437.63</v>
      </c>
    </row>
    <row r="1339" spans="1:29" hidden="1" x14ac:dyDescent="0.25"/>
    <row r="1340" spans="1:29" ht="55.2" hidden="1" x14ac:dyDescent="0.25">
      <c r="A1340" s="27">
        <v>105</v>
      </c>
      <c r="B1340" s="27" t="str">
        <f>[1]Source!F1219</f>
        <v>3.9-83-4</v>
      </c>
      <c r="C1340" s="27" t="s">
        <v>286</v>
      </c>
      <c r="D1340" s="28" t="str">
        <f>[1]Source!H1219</f>
        <v>100 м2</v>
      </c>
      <c r="E1340" s="29">
        <f>[1]Source!I1219</f>
        <v>0.62298200000000004</v>
      </c>
      <c r="F1340" s="30"/>
      <c r="G1340" s="31"/>
      <c r="H1340" s="29"/>
      <c r="I1340" s="30"/>
      <c r="J1340" s="29"/>
      <c r="K1340" s="30"/>
      <c r="Q1340">
        <f>[1]Source!X1219</f>
        <v>912.17</v>
      </c>
      <c r="R1340">
        <f>[1]Source!X1220</f>
        <v>51400.94</v>
      </c>
      <c r="S1340">
        <f>[1]Source!Y1219</f>
        <v>575.54</v>
      </c>
      <c r="T1340">
        <f>[1]Source!Y1220</f>
        <v>32431.54</v>
      </c>
      <c r="U1340">
        <f>ROUND((175/100)*ROUND([1]Source!R1219, 2), 2)</f>
        <v>10.5</v>
      </c>
      <c r="V1340">
        <f>ROUND((0/100)*ROUND([1]Source!R1220, 2), 2)</f>
        <v>0</v>
      </c>
      <c r="AC1340">
        <v>0</v>
      </c>
    </row>
    <row r="1341" spans="1:29" ht="66" hidden="1" x14ac:dyDescent="0.25">
      <c r="C1341" s="32" t="str">
        <f>"Объем: "&amp;[1]Source!I1219&amp;"=(1,18*"&amp;"2,02*"&amp;"1+"&amp;"1,18*"&amp;"2,25*"&amp;"1+"&amp;"1,28*"&amp;"2,02*"&amp;"(3+"&amp;"4)+"&amp;"1,48*"&amp;"2,25*"&amp;"3+"&amp;"1,55*"&amp;"2,02*"&amp;"2+"&amp;"1,55*"&amp;"2,08*"&amp;"1+"&amp;"1,68*"&amp;"2,08*"&amp;"1+"&amp;"1,8*"&amp;"2,02*"&amp;"3+"&amp;"0,9*"&amp;"1,5*"&amp;"1+"&amp;"0,9*"&amp;"1,9*"&amp;"1+"&amp;"1,1*"&amp;"2,02*"&amp;"1)/"&amp;"100"</f>
        <v>Объем: 0,622982=(1,18*2,02*1+1,18*2,25*1+1,28*2,02*(3+4)+1,48*2,25*3+1,55*2,02*2+1,55*2,08*1+1,68*2,08*1+1,8*2,02*3+0,9*1,5*1+0,9*1,9*1+1,1*2,02*1)/100</v>
      </c>
    </row>
    <row r="1342" spans="1:29" ht="14.4" hidden="1" x14ac:dyDescent="0.25">
      <c r="A1342" s="27"/>
      <c r="B1342" s="27"/>
      <c r="C1342" s="27" t="s">
        <v>36</v>
      </c>
      <c r="D1342" s="28"/>
      <c r="E1342" s="29"/>
      <c r="F1342" s="30">
        <f>[1]Source!AO1219</f>
        <v>1328.94</v>
      </c>
      <c r="G1342" s="31" t="s">
        <v>58</v>
      </c>
      <c r="H1342" s="29">
        <f>[1]Source!AV1220</f>
        <v>1.087</v>
      </c>
      <c r="I1342" s="30">
        <f>[1]Source!S1219</f>
        <v>1079.92</v>
      </c>
      <c r="J1342" s="29">
        <f>IF([1]Source!BA1220&lt;&gt; 0, [1]Source!BA1220, 1)</f>
        <v>56.35</v>
      </c>
      <c r="K1342" s="30">
        <f>[1]Source!S1220</f>
        <v>60853.49</v>
      </c>
    </row>
    <row r="1343" spans="1:29" ht="14.4" hidden="1" x14ac:dyDescent="0.25">
      <c r="A1343" s="27"/>
      <c r="B1343" s="27"/>
      <c r="C1343" s="27" t="s">
        <v>38</v>
      </c>
      <c r="D1343" s="28"/>
      <c r="E1343" s="29"/>
      <c r="F1343" s="30">
        <f>[1]Source!AM1219</f>
        <v>86.35</v>
      </c>
      <c r="G1343" s="31" t="s">
        <v>58</v>
      </c>
      <c r="H1343" s="29">
        <f>[1]Source!AV1220</f>
        <v>1.087</v>
      </c>
      <c r="I1343" s="30">
        <f>[1]Source!Q1219</f>
        <v>70.17</v>
      </c>
      <c r="J1343" s="29">
        <f>IF([1]Source!BB1220&lt;&gt; 0, [1]Source!BB1220, 1)</f>
        <v>13.88</v>
      </c>
      <c r="K1343" s="30">
        <f>[1]Source!Q1220</f>
        <v>973.96</v>
      </c>
    </row>
    <row r="1344" spans="1:29" ht="14.4" hidden="1" x14ac:dyDescent="0.25">
      <c r="A1344" s="27"/>
      <c r="B1344" s="27"/>
      <c r="C1344" s="27" t="s">
        <v>40</v>
      </c>
      <c r="D1344" s="28"/>
      <c r="E1344" s="29"/>
      <c r="F1344" s="30">
        <f>[1]Source!AN1219</f>
        <v>7.38</v>
      </c>
      <c r="G1344" s="31" t="s">
        <v>58</v>
      </c>
      <c r="H1344" s="29">
        <f>[1]Source!AV1220</f>
        <v>1.087</v>
      </c>
      <c r="I1344" s="33">
        <f>[1]Source!R1219</f>
        <v>6</v>
      </c>
      <c r="J1344" s="29">
        <f>IF([1]Source!BS1220&lt;&gt; 0, [1]Source!BS1220, 1)</f>
        <v>56.35</v>
      </c>
      <c r="K1344" s="33">
        <f>[1]Source!R1220</f>
        <v>338.1</v>
      </c>
    </row>
    <row r="1345" spans="1:29" ht="14.4" hidden="1" x14ac:dyDescent="0.25">
      <c r="A1345" s="27"/>
      <c r="B1345" s="27"/>
      <c r="C1345" s="27" t="s">
        <v>41</v>
      </c>
      <c r="D1345" s="28"/>
      <c r="E1345" s="29"/>
      <c r="F1345" s="30">
        <f>[1]Source!AL1219</f>
        <v>2818.39</v>
      </c>
      <c r="G1345" s="31"/>
      <c r="H1345" s="29">
        <f>[1]Source!AW1220</f>
        <v>1</v>
      </c>
      <c r="I1345" s="30">
        <f>[1]Source!P1219</f>
        <v>1755.81</v>
      </c>
      <c r="J1345" s="29">
        <f>IF([1]Source!BC1220&lt;&gt; 0, [1]Source!BC1220, 1)</f>
        <v>6.02</v>
      </c>
      <c r="K1345" s="30">
        <f>[1]Source!P1220</f>
        <v>10569.98</v>
      </c>
    </row>
    <row r="1346" spans="1:29" ht="14.4" hidden="1" x14ac:dyDescent="0.25">
      <c r="A1346" s="27"/>
      <c r="B1346" s="27"/>
      <c r="C1346" s="27" t="s">
        <v>42</v>
      </c>
      <c r="D1346" s="28" t="s">
        <v>43</v>
      </c>
      <c r="E1346" s="29">
        <f>[1]Source!BZ1220</f>
        <v>84</v>
      </c>
      <c r="F1346" s="30"/>
      <c r="G1346" s="31"/>
      <c r="H1346" s="29"/>
      <c r="I1346" s="30">
        <f>SUM(Q1340:Q1345)</f>
        <v>912.17</v>
      </c>
      <c r="J1346" s="29">
        <f>[1]Source!AT1220</f>
        <v>84</v>
      </c>
      <c r="K1346" s="30">
        <f>SUM(R1340:R1345)</f>
        <v>51400.94</v>
      </c>
    </row>
    <row r="1347" spans="1:29" ht="14.4" hidden="1" x14ac:dyDescent="0.25">
      <c r="A1347" s="27"/>
      <c r="B1347" s="27"/>
      <c r="C1347" s="27" t="s">
        <v>44</v>
      </c>
      <c r="D1347" s="28" t="s">
        <v>43</v>
      </c>
      <c r="E1347" s="29">
        <f>[1]Source!CA1220</f>
        <v>53</v>
      </c>
      <c r="F1347" s="30"/>
      <c r="G1347" s="31"/>
      <c r="H1347" s="29"/>
      <c r="I1347" s="30">
        <f>SUM(S1340:S1346)</f>
        <v>575.54</v>
      </c>
      <c r="J1347" s="29">
        <f>[1]Source!AU1220</f>
        <v>53</v>
      </c>
      <c r="K1347" s="30">
        <f>SUM(T1340:T1346)</f>
        <v>32431.54</v>
      </c>
    </row>
    <row r="1348" spans="1:29" ht="14.4" hidden="1" x14ac:dyDescent="0.25">
      <c r="A1348" s="34"/>
      <c r="B1348" s="34"/>
      <c r="C1348" s="34" t="s">
        <v>45</v>
      </c>
      <c r="D1348" s="35" t="s">
        <v>46</v>
      </c>
      <c r="E1348" s="36">
        <f>[1]Source!AQ1219</f>
        <v>107.51</v>
      </c>
      <c r="F1348" s="37"/>
      <c r="G1348" s="38" t="s">
        <v>58</v>
      </c>
      <c r="H1348" s="36">
        <f>[1]Source!AV1220</f>
        <v>1.087</v>
      </c>
      <c r="I1348" s="37">
        <f>[1]Source!U1219</f>
        <v>87.364531163207999</v>
      </c>
      <c r="J1348" s="36"/>
      <c r="K1348" s="37"/>
    </row>
    <row r="1349" spans="1:29" ht="13.8" hidden="1" x14ac:dyDescent="0.25">
      <c r="C1349" s="39" t="s">
        <v>47</v>
      </c>
      <c r="H1349" s="40">
        <f>I1342+I1343+I1345+I1346+I1347+0-0-0</f>
        <v>4393.6100000000006</v>
      </c>
      <c r="I1349" s="40"/>
      <c r="J1349" s="40">
        <f>K1342+K1343+K1345+K1346+K1347+0-0-0</f>
        <v>156229.91</v>
      </c>
      <c r="K1349" s="40"/>
    </row>
    <row r="1350" spans="1:29" ht="13.8" hidden="1" x14ac:dyDescent="0.25">
      <c r="C1350" s="39" t="s">
        <v>48</v>
      </c>
      <c r="H1350" s="41">
        <f>0+0</f>
        <v>0</v>
      </c>
      <c r="I1350" s="41"/>
      <c r="J1350" s="41">
        <f>0+0</f>
        <v>0</v>
      </c>
      <c r="K1350" s="41"/>
    </row>
    <row r="1351" spans="1:29" ht="13.8" hidden="1" x14ac:dyDescent="0.25">
      <c r="C1351" s="39" t="s">
        <v>49</v>
      </c>
      <c r="H1351" s="41">
        <f>I1342+I1343+I1345+I1346+I1347+0</f>
        <v>4393.6100000000006</v>
      </c>
      <c r="I1351" s="41"/>
      <c r="J1351" s="41">
        <f>K1342+K1343+K1345+K1346+K1347+0</f>
        <v>156229.91</v>
      </c>
      <c r="K1351" s="41"/>
      <c r="O1351" s="42">
        <f>I1342+I1343+I1345+I1346+I1347+0</f>
        <v>4393.6100000000006</v>
      </c>
      <c r="P1351" s="42">
        <f>K1342+K1343+K1345+K1346+K1347+0</f>
        <v>156229.91</v>
      </c>
    </row>
    <row r="1352" spans="1:29" hidden="1" x14ac:dyDescent="0.25"/>
    <row r="1353" spans="1:29" ht="27.6" hidden="1" x14ac:dyDescent="0.25">
      <c r="A1353" s="27">
        <v>106</v>
      </c>
      <c r="B1353" s="27" t="str">
        <f>[1]Source!F1221</f>
        <v>6.58-4-1</v>
      </c>
      <c r="C1353" s="27" t="s">
        <v>287</v>
      </c>
      <c r="D1353" s="28" t="str">
        <f>[1]Source!H1221</f>
        <v>100 м</v>
      </c>
      <c r="E1353" s="29">
        <f>[1]Source!I1221</f>
        <v>2.3919999999999999</v>
      </c>
      <c r="F1353" s="30"/>
      <c r="G1353" s="31"/>
      <c r="H1353" s="29"/>
      <c r="I1353" s="30"/>
      <c r="J1353" s="29"/>
      <c r="K1353" s="30"/>
      <c r="Q1353">
        <f>[1]Source!X1221</f>
        <v>251.54</v>
      </c>
      <c r="R1353">
        <f>[1]Source!X1222</f>
        <v>14174.33</v>
      </c>
      <c r="S1353">
        <f>[1]Source!Y1221</f>
        <v>128.57</v>
      </c>
      <c r="T1353">
        <f>[1]Source!Y1222</f>
        <v>7244.66</v>
      </c>
      <c r="U1353">
        <f>ROUND((175/100)*ROUND([1]Source!R1221, 2), 2)</f>
        <v>0</v>
      </c>
      <c r="V1353">
        <f>ROUND((0/100)*ROUND([1]Source!R1222, 2), 2)</f>
        <v>0</v>
      </c>
      <c r="AC1353">
        <v>0</v>
      </c>
    </row>
    <row r="1354" spans="1:29" hidden="1" x14ac:dyDescent="0.25">
      <c r="C1354" s="32" t="str">
        <f>"Объем: "&amp;[1]Source!I1221&amp;"=239,2/"&amp;"100"</f>
        <v>Объем: 2,392=239,2/100</v>
      </c>
    </row>
    <row r="1355" spans="1:29" ht="14.4" hidden="1" x14ac:dyDescent="0.25">
      <c r="A1355" s="27"/>
      <c r="B1355" s="27"/>
      <c r="C1355" s="27" t="s">
        <v>36</v>
      </c>
      <c r="D1355" s="28"/>
      <c r="E1355" s="29"/>
      <c r="F1355" s="30">
        <f>[1]Source!AO1221</f>
        <v>93</v>
      </c>
      <c r="G1355" s="31" t="s">
        <v>58</v>
      </c>
      <c r="H1355" s="29">
        <f>[1]Source!AV1222</f>
        <v>1.0469999999999999</v>
      </c>
      <c r="I1355" s="30">
        <f>[1]Source!S1221</f>
        <v>279.49</v>
      </c>
      <c r="J1355" s="29">
        <f>IF([1]Source!BA1222&lt;&gt; 0, [1]Source!BA1222, 1)</f>
        <v>56.35</v>
      </c>
      <c r="K1355" s="30">
        <f>[1]Source!S1222</f>
        <v>15749.26</v>
      </c>
    </row>
    <row r="1356" spans="1:29" ht="14.4" hidden="1" x14ac:dyDescent="0.25">
      <c r="A1356" s="27"/>
      <c r="B1356" s="27"/>
      <c r="C1356" s="27" t="s">
        <v>42</v>
      </c>
      <c r="D1356" s="28" t="s">
        <v>43</v>
      </c>
      <c r="E1356" s="29">
        <f>[1]Source!BZ1222</f>
        <v>90</v>
      </c>
      <c r="F1356" s="30"/>
      <c r="G1356" s="31"/>
      <c r="H1356" s="29"/>
      <c r="I1356" s="30">
        <f>SUM(Q1353:Q1355)</f>
        <v>251.54</v>
      </c>
      <c r="J1356" s="29">
        <f>[1]Source!AT1222</f>
        <v>90</v>
      </c>
      <c r="K1356" s="30">
        <f>SUM(R1353:R1355)</f>
        <v>14174.33</v>
      </c>
    </row>
    <row r="1357" spans="1:29" ht="14.4" hidden="1" x14ac:dyDescent="0.25">
      <c r="A1357" s="27"/>
      <c r="B1357" s="27"/>
      <c r="C1357" s="27" t="s">
        <v>44</v>
      </c>
      <c r="D1357" s="28" t="s">
        <v>43</v>
      </c>
      <c r="E1357" s="29">
        <f>[1]Source!CA1222</f>
        <v>46</v>
      </c>
      <c r="F1357" s="30"/>
      <c r="G1357" s="31"/>
      <c r="H1357" s="29"/>
      <c r="I1357" s="30">
        <f>SUM(S1353:S1356)</f>
        <v>128.57</v>
      </c>
      <c r="J1357" s="29">
        <f>[1]Source!AU1222</f>
        <v>46</v>
      </c>
      <c r="K1357" s="30">
        <f>SUM(T1353:T1356)</f>
        <v>7244.66</v>
      </c>
    </row>
    <row r="1358" spans="1:29" ht="14.4" hidden="1" x14ac:dyDescent="0.25">
      <c r="A1358" s="34"/>
      <c r="B1358" s="34"/>
      <c r="C1358" s="34" t="s">
        <v>45</v>
      </c>
      <c r="D1358" s="35" t="s">
        <v>46</v>
      </c>
      <c r="E1358" s="36">
        <f>[1]Source!AQ1221</f>
        <v>9.1</v>
      </c>
      <c r="F1358" s="37"/>
      <c r="G1358" s="38" t="s">
        <v>58</v>
      </c>
      <c r="H1358" s="36">
        <f>[1]Source!AV1222</f>
        <v>1.0469999999999999</v>
      </c>
      <c r="I1358" s="37">
        <f>[1]Source!U1221</f>
        <v>27.348310079999997</v>
      </c>
      <c r="J1358" s="36"/>
      <c r="K1358" s="37"/>
    </row>
    <row r="1359" spans="1:29" ht="13.8" hidden="1" x14ac:dyDescent="0.25">
      <c r="C1359" s="39" t="s">
        <v>47</v>
      </c>
      <c r="H1359" s="40">
        <f>I1355+I1356+I1357+0-0-0</f>
        <v>659.59999999999991</v>
      </c>
      <c r="I1359" s="40"/>
      <c r="J1359" s="40">
        <f>K1355+K1356+K1357+0-0-0</f>
        <v>37168.25</v>
      </c>
      <c r="K1359" s="40"/>
    </row>
    <row r="1360" spans="1:29" ht="13.8" hidden="1" x14ac:dyDescent="0.25">
      <c r="C1360" s="39" t="s">
        <v>48</v>
      </c>
      <c r="H1360" s="41">
        <f>0+0</f>
        <v>0</v>
      </c>
      <c r="I1360" s="41"/>
      <c r="J1360" s="41">
        <f>0+0</f>
        <v>0</v>
      </c>
      <c r="K1360" s="41"/>
    </row>
    <row r="1361" spans="1:29" ht="13.8" hidden="1" x14ac:dyDescent="0.25">
      <c r="C1361" s="39" t="s">
        <v>49</v>
      </c>
      <c r="H1361" s="41">
        <f>I1355+I1356+I1357+0</f>
        <v>659.59999999999991</v>
      </c>
      <c r="I1361" s="41"/>
      <c r="J1361" s="41">
        <f>K1355+K1356+K1357+0</f>
        <v>37168.25</v>
      </c>
      <c r="K1361" s="41"/>
      <c r="O1361" s="42">
        <f>I1355+I1356+I1357+0</f>
        <v>659.59999999999991</v>
      </c>
      <c r="P1361" s="42">
        <f>K1355+K1356+K1357+0</f>
        <v>37168.25</v>
      </c>
    </row>
    <row r="1362" spans="1:29" hidden="1" x14ac:dyDescent="0.25"/>
    <row r="1363" spans="1:29" hidden="1" x14ac:dyDescent="0.25"/>
    <row r="1364" spans="1:29" ht="13.8" hidden="1" x14ac:dyDescent="0.25">
      <c r="A1364" s="44" t="str">
        <f>CONCATENATE("Итого по подразделу: ",IF([1]Source!G1224&lt;&gt;"Новый подраздел", [1]Source!G1224, ""))</f>
        <v>Итого по подразделу: Демонтажные работы</v>
      </c>
      <c r="B1364" s="44"/>
      <c r="C1364" s="44"/>
      <c r="D1364" s="44"/>
      <c r="E1364" s="44"/>
      <c r="F1364" s="44"/>
      <c r="G1364" s="44"/>
      <c r="H1364" s="41">
        <f>SUM(O1327:O1363)</f>
        <v>47458.950000000004</v>
      </c>
      <c r="I1364" s="45"/>
      <c r="J1364" s="41">
        <f>SUM(P1327:P1363)</f>
        <v>2532835.79</v>
      </c>
      <c r="K1364" s="45"/>
    </row>
    <row r="1365" spans="1:29" hidden="1" x14ac:dyDescent="0.25">
      <c r="A1365" t="s">
        <v>55</v>
      </c>
      <c r="I1365">
        <f>SUM(W1327:W1364)</f>
        <v>0</v>
      </c>
      <c r="J1365">
        <f>SUM(X1327:X1364)</f>
        <v>0</v>
      </c>
    </row>
    <row r="1366" spans="1:29" hidden="1" x14ac:dyDescent="0.25">
      <c r="A1366" t="s">
        <v>56</v>
      </c>
      <c r="I1366">
        <f>SUM(Y1327:Y1365)</f>
        <v>0</v>
      </c>
      <c r="J1366">
        <f>SUM(Z1327:Z1365)</f>
        <v>0</v>
      </c>
    </row>
    <row r="1367" spans="1:29" hidden="1" x14ac:dyDescent="0.25"/>
    <row r="1368" spans="1:29" ht="16.8" hidden="1" x14ac:dyDescent="0.25">
      <c r="A1368" s="11" t="str">
        <f>CONCATENATE("Подраздел: ",IF([1]Source!G1254&lt;&gt;"Новый подраздел", [1]Source!G1254, ""))</f>
        <v>Подраздел: Монтаж наружных оконных блоков ПВХ.</v>
      </c>
      <c r="B1368" s="11"/>
      <c r="C1368" s="11"/>
      <c r="D1368" s="11"/>
      <c r="E1368" s="11"/>
      <c r="F1368" s="11"/>
      <c r="G1368" s="11"/>
      <c r="H1368" s="11"/>
      <c r="I1368" s="11"/>
      <c r="J1368" s="11"/>
      <c r="K1368" s="11"/>
    </row>
    <row r="1369" spans="1:29" ht="55.2" hidden="1" x14ac:dyDescent="0.25">
      <c r="A1369" s="27">
        <v>107</v>
      </c>
      <c r="B1369" s="27" t="str">
        <f>[1]Source!F1258</f>
        <v>3.10-84-7</v>
      </c>
      <c r="C1369" s="27" t="s">
        <v>288</v>
      </c>
      <c r="D1369" s="28" t="str">
        <f>[1]Source!H1258</f>
        <v>100 м2</v>
      </c>
      <c r="E1369" s="29">
        <f>[1]Source!I1258</f>
        <v>0.65</v>
      </c>
      <c r="F1369" s="30"/>
      <c r="G1369" s="31"/>
      <c r="H1369" s="29"/>
      <c r="I1369" s="30"/>
      <c r="J1369" s="29"/>
      <c r="K1369" s="30"/>
      <c r="Q1369">
        <f>[1]Source!X1258</f>
        <v>2080.4499999999998</v>
      </c>
      <c r="R1369">
        <f>[1]Source!X1259</f>
        <v>117233.14</v>
      </c>
      <c r="S1369">
        <f>[1]Source!Y1258</f>
        <v>1008.05</v>
      </c>
      <c r="T1369">
        <f>[1]Source!Y1259</f>
        <v>56803.69</v>
      </c>
      <c r="U1369">
        <f>ROUND((175/100)*ROUND([1]Source!R1258, 2), 2)</f>
        <v>52.52</v>
      </c>
      <c r="V1369">
        <f>ROUND((0/100)*ROUND([1]Source!R1259, 2), 2)</f>
        <v>0</v>
      </c>
      <c r="AC1369">
        <v>0</v>
      </c>
    </row>
    <row r="1370" spans="1:29" hidden="1" x14ac:dyDescent="0.25">
      <c r="C1370" s="32" t="str">
        <f>"Объем: "&amp;[1]Source!I1258&amp;"=65/"&amp;"100"</f>
        <v>Объем: 0,65=65/100</v>
      </c>
    </row>
    <row r="1371" spans="1:29" ht="14.4" hidden="1" x14ac:dyDescent="0.25">
      <c r="A1371" s="27"/>
      <c r="B1371" s="27"/>
      <c r="C1371" s="27" t="s">
        <v>36</v>
      </c>
      <c r="D1371" s="28"/>
      <c r="E1371" s="29"/>
      <c r="F1371" s="30">
        <f>[1]Source!AO1258</f>
        <v>2251.7800000000002</v>
      </c>
      <c r="G1371" s="31" t="s">
        <v>37</v>
      </c>
      <c r="H1371" s="29">
        <f>[1]Source!AV1259</f>
        <v>1.0469999999999999</v>
      </c>
      <c r="I1371" s="30">
        <f>[1]Source!S1258</f>
        <v>2114.7800000000002</v>
      </c>
      <c r="J1371" s="29">
        <f>IF([1]Source!BA1259&lt;&gt; 0, [1]Source!BA1259, 1)</f>
        <v>56.35</v>
      </c>
      <c r="K1371" s="30">
        <f>[1]Source!S1259</f>
        <v>119167.85</v>
      </c>
    </row>
    <row r="1372" spans="1:29" ht="14.4" hidden="1" x14ac:dyDescent="0.25">
      <c r="A1372" s="27"/>
      <c r="B1372" s="27"/>
      <c r="C1372" s="27" t="s">
        <v>38</v>
      </c>
      <c r="D1372" s="28"/>
      <c r="E1372" s="29"/>
      <c r="F1372" s="30">
        <f>[1]Source!AM1258</f>
        <v>177.66</v>
      </c>
      <c r="G1372" s="31" t="s">
        <v>39</v>
      </c>
      <c r="H1372" s="29">
        <f>[1]Source!AV1259</f>
        <v>1.0469999999999999</v>
      </c>
      <c r="I1372" s="30">
        <f>[1]Source!Q1258</f>
        <v>181.36</v>
      </c>
      <c r="J1372" s="29">
        <f>IF([1]Source!BB1259&lt;&gt; 0, [1]Source!BB1259, 1)</f>
        <v>18.329999999999998</v>
      </c>
      <c r="K1372" s="30">
        <f>[1]Source!Q1259</f>
        <v>3324.33</v>
      </c>
    </row>
    <row r="1373" spans="1:29" ht="14.4" hidden="1" x14ac:dyDescent="0.25">
      <c r="A1373" s="27"/>
      <c r="B1373" s="27"/>
      <c r="C1373" s="27" t="s">
        <v>40</v>
      </c>
      <c r="D1373" s="28"/>
      <c r="E1373" s="29"/>
      <c r="F1373" s="30">
        <f>[1]Source!AN1258</f>
        <v>29.4</v>
      </c>
      <c r="G1373" s="31" t="s">
        <v>39</v>
      </c>
      <c r="H1373" s="29">
        <f>[1]Source!AV1259</f>
        <v>1.0469999999999999</v>
      </c>
      <c r="I1373" s="33">
        <f>[1]Source!R1258</f>
        <v>30.01</v>
      </c>
      <c r="J1373" s="29">
        <f>IF([1]Source!BS1259&lt;&gt; 0, [1]Source!BS1259, 1)</f>
        <v>56.35</v>
      </c>
      <c r="K1373" s="33">
        <f>[1]Source!R1259</f>
        <v>1691.06</v>
      </c>
    </row>
    <row r="1374" spans="1:29" ht="14.4" hidden="1" x14ac:dyDescent="0.25">
      <c r="A1374" s="27"/>
      <c r="B1374" s="27"/>
      <c r="C1374" s="27" t="s">
        <v>41</v>
      </c>
      <c r="D1374" s="28"/>
      <c r="E1374" s="29"/>
      <c r="F1374" s="30">
        <f>[1]Source!AL1258</f>
        <v>4161.96</v>
      </c>
      <c r="G1374" s="31"/>
      <c r="H1374" s="29">
        <f>[1]Source!AW1259</f>
        <v>1</v>
      </c>
      <c r="I1374" s="30">
        <f>[1]Source!P1258</f>
        <v>2705.27</v>
      </c>
      <c r="J1374" s="29">
        <f>IF([1]Source!BC1259&lt;&gt; 0, [1]Source!BC1259, 1)</f>
        <v>10.24</v>
      </c>
      <c r="K1374" s="30">
        <f>[1]Source!P1259</f>
        <v>27701.96</v>
      </c>
    </row>
    <row r="1375" spans="1:29" ht="193.2" hidden="1" x14ac:dyDescent="0.25">
      <c r="A1375" s="27" t="s">
        <v>289</v>
      </c>
      <c r="B1375" s="27" t="str">
        <f>[1]Source!F1260</f>
        <v>1.1-1-2469</v>
      </c>
      <c r="C1375" s="27" t="s">
        <v>290</v>
      </c>
      <c r="D1375" s="28" t="str">
        <f>[1]Source!H1260</f>
        <v>м</v>
      </c>
      <c r="E1375" s="29">
        <f>[1]Source!I1260</f>
        <v>225.55</v>
      </c>
      <c r="F1375" s="30">
        <f>[1]Source!AK1260</f>
        <v>14.98</v>
      </c>
      <c r="G1375" s="43" t="s">
        <v>54</v>
      </c>
      <c r="H1375" s="29">
        <f>[1]Source!AW1261</f>
        <v>1</v>
      </c>
      <c r="I1375" s="30">
        <f>[1]Source!O1260</f>
        <v>3378.74</v>
      </c>
      <c r="J1375" s="29">
        <f>IF([1]Source!BC1261&lt;&gt; 0, [1]Source!BC1261, 1)</f>
        <v>1.42</v>
      </c>
      <c r="K1375" s="30">
        <f>[1]Source!O1261</f>
        <v>4797.8100000000004</v>
      </c>
      <c r="Q1375">
        <f>[1]Source!X1260</f>
        <v>0</v>
      </c>
      <c r="R1375">
        <f>[1]Source!X1261</f>
        <v>0</v>
      </c>
      <c r="S1375">
        <f>[1]Source!Y1260</f>
        <v>0</v>
      </c>
      <c r="T1375">
        <f>[1]Source!Y1261</f>
        <v>0</v>
      </c>
      <c r="U1375">
        <f>ROUND((175/100)*ROUND([1]Source!R1260, 2), 2)</f>
        <v>0</v>
      </c>
      <c r="V1375">
        <f>ROUND((0/100)*ROUND([1]Source!R1261, 2), 2)</f>
        <v>0</v>
      </c>
      <c r="AC1375">
        <v>3</v>
      </c>
    </row>
    <row r="1376" spans="1:29" ht="234.6" hidden="1" x14ac:dyDescent="0.25">
      <c r="A1376" s="27" t="s">
        <v>291</v>
      </c>
      <c r="B1376" s="27" t="str">
        <f>[1]Source!F1262</f>
        <v>1.1-1-2980</v>
      </c>
      <c r="C1376" s="27" t="s">
        <v>292</v>
      </c>
      <c r="D1376" s="28" t="str">
        <f>[1]Source!H1262</f>
        <v>м</v>
      </c>
      <c r="E1376" s="29">
        <f>[1]Source!I1262</f>
        <v>225.55</v>
      </c>
      <c r="F1376" s="30">
        <f>[1]Source!AK1262</f>
        <v>14.75</v>
      </c>
      <c r="G1376" s="43" t="s">
        <v>54</v>
      </c>
      <c r="H1376" s="29">
        <f>[1]Source!AW1263</f>
        <v>1</v>
      </c>
      <c r="I1376" s="30">
        <f>[1]Source!O1262</f>
        <v>3326.86</v>
      </c>
      <c r="J1376" s="29">
        <f>IF([1]Source!BC1263&lt;&gt; 0, [1]Source!BC1263, 1)</f>
        <v>1.91</v>
      </c>
      <c r="K1376" s="30">
        <f>[1]Source!O1263</f>
        <v>6354.3</v>
      </c>
      <c r="Q1376">
        <f>[1]Source!X1262</f>
        <v>0</v>
      </c>
      <c r="R1376">
        <f>[1]Source!X1263</f>
        <v>0</v>
      </c>
      <c r="S1376">
        <f>[1]Source!Y1262</f>
        <v>0</v>
      </c>
      <c r="T1376">
        <f>[1]Source!Y1263</f>
        <v>0</v>
      </c>
      <c r="U1376">
        <f>ROUND((175/100)*ROUND([1]Source!R1262, 2), 2)</f>
        <v>0</v>
      </c>
      <c r="V1376">
        <f>ROUND((0/100)*ROUND([1]Source!R1263, 2), 2)</f>
        <v>0</v>
      </c>
      <c r="AC1376">
        <v>3</v>
      </c>
    </row>
    <row r="1377" spans="1:29" ht="14.4" hidden="1" x14ac:dyDescent="0.25">
      <c r="A1377" s="27"/>
      <c r="B1377" s="27"/>
      <c r="C1377" s="27" t="s">
        <v>42</v>
      </c>
      <c r="D1377" s="28" t="s">
        <v>43</v>
      </c>
      <c r="E1377" s="29">
        <f>[1]Source!BZ1259</f>
        <v>97</v>
      </c>
      <c r="F1377" s="30"/>
      <c r="G1377" s="31"/>
      <c r="H1377" s="29"/>
      <c r="I1377" s="30">
        <f>SUM(Q1369:Q1376)</f>
        <v>2080.4499999999998</v>
      </c>
      <c r="J1377" s="29">
        <f>[1]Source!AT1259</f>
        <v>97</v>
      </c>
      <c r="K1377" s="30">
        <f>SUM(R1369:R1376)</f>
        <v>117233.14</v>
      </c>
    </row>
    <row r="1378" spans="1:29" ht="14.4" hidden="1" x14ac:dyDescent="0.25">
      <c r="A1378" s="27"/>
      <c r="B1378" s="27"/>
      <c r="C1378" s="27" t="s">
        <v>44</v>
      </c>
      <c r="D1378" s="28" t="s">
        <v>43</v>
      </c>
      <c r="E1378" s="29">
        <f>[1]Source!CA1259</f>
        <v>47</v>
      </c>
      <c r="F1378" s="30"/>
      <c r="G1378" s="31"/>
      <c r="H1378" s="29"/>
      <c r="I1378" s="30">
        <f>SUM(S1369:S1377)</f>
        <v>1008.05</v>
      </c>
      <c r="J1378" s="29">
        <f>[1]Source!AU1259</f>
        <v>47</v>
      </c>
      <c r="K1378" s="30">
        <f>SUM(T1369:T1377)</f>
        <v>56803.69</v>
      </c>
    </row>
    <row r="1379" spans="1:29" ht="14.4" hidden="1" x14ac:dyDescent="0.25">
      <c r="A1379" s="34"/>
      <c r="B1379" s="34"/>
      <c r="C1379" s="34" t="s">
        <v>45</v>
      </c>
      <c r="D1379" s="35" t="s">
        <v>46</v>
      </c>
      <c r="E1379" s="36">
        <f>[1]Source!AQ1258</f>
        <v>204.39</v>
      </c>
      <c r="F1379" s="37"/>
      <c r="G1379" s="38" t="s">
        <v>37</v>
      </c>
      <c r="H1379" s="36">
        <f>[1]Source!AV1259</f>
        <v>1.0469999999999999</v>
      </c>
      <c r="I1379" s="37">
        <f>[1]Source!U1258</f>
        <v>191.95470800999996</v>
      </c>
      <c r="J1379" s="36"/>
      <c r="K1379" s="37"/>
    </row>
    <row r="1380" spans="1:29" ht="13.8" hidden="1" x14ac:dyDescent="0.25">
      <c r="C1380" s="39" t="s">
        <v>47</v>
      </c>
      <c r="H1380" s="40">
        <f>I1371+I1372+I1374+I1377+I1378+SUM(I1375:I1376)-SUMIF(AC1375:AC1376, 5, I1375:I1376)-SUMIF(AC1375:AC1376, 6, I1375:I1376)</f>
        <v>14795.51</v>
      </c>
      <c r="I1380" s="40"/>
      <c r="J1380" s="40">
        <f>K1371+K1372+K1374+K1377+K1378+SUM(K1375:K1376)-SUMIF(AC1375:AC1376, 5, K1375:K1376)-SUMIF(AC1375:AC1376, 6, K1375:K1376)</f>
        <v>335383.08</v>
      </c>
      <c r="K1380" s="40"/>
    </row>
    <row r="1381" spans="1:29" ht="13.8" hidden="1" x14ac:dyDescent="0.25">
      <c r="C1381" s="39" t="s">
        <v>48</v>
      </c>
      <c r="H1381" s="41">
        <f>SUMIF(AC1375:AC1376, 5, I1375:I1376)+SUMIF(AC1375:AC1376, 6, I1375:I1376)</f>
        <v>0</v>
      </c>
      <c r="I1381" s="41"/>
      <c r="J1381" s="41">
        <f>SUMIF(AC1375:AC1376, 5, K1375:K1376)+SUMIF(AC1375:AC1376, 6, K1375:K1376)</f>
        <v>0</v>
      </c>
      <c r="K1381" s="41"/>
    </row>
    <row r="1382" spans="1:29" ht="13.8" hidden="1" x14ac:dyDescent="0.25">
      <c r="C1382" s="39" t="s">
        <v>49</v>
      </c>
      <c r="H1382" s="41">
        <f>I1371+I1372+I1374+I1377+I1378+SUM(I1375:I1376)</f>
        <v>14795.51</v>
      </c>
      <c r="I1382" s="41"/>
      <c r="J1382" s="41">
        <f>K1371+K1372+K1374+K1377+K1378+SUM(K1375:K1376)</f>
        <v>335383.08</v>
      </c>
      <c r="K1382" s="41"/>
      <c r="O1382" s="42">
        <f>I1371+I1372+I1374+I1377+I1378+SUM(I1375:I1376)</f>
        <v>14795.51</v>
      </c>
      <c r="P1382" s="42">
        <f>K1371+K1372+K1374+K1377+K1378+SUM(K1375:K1376)</f>
        <v>335383.08</v>
      </c>
    </row>
    <row r="1383" spans="1:29" hidden="1" x14ac:dyDescent="0.25"/>
    <row r="1384" spans="1:29" ht="330" x14ac:dyDescent="0.25">
      <c r="A1384" s="46">
        <v>108</v>
      </c>
      <c r="B1384" s="46" t="str">
        <f>[1]Source!F1264</f>
        <v>КА 115</v>
      </c>
      <c r="C1384" s="46" t="s">
        <v>293</v>
      </c>
      <c r="D1384" s="47" t="str">
        <f>[1]Source!H1264</f>
        <v>ШТ</v>
      </c>
      <c r="E1384" s="48">
        <f>[1]Source!I1264</f>
        <v>2</v>
      </c>
      <c r="F1384" s="37">
        <f>[1]Source!AL1264</f>
        <v>20859.439999999999</v>
      </c>
      <c r="G1384" s="38"/>
      <c r="H1384" s="36">
        <f>[1]Source!AW1265</f>
        <v>1</v>
      </c>
      <c r="I1384" s="37">
        <f>[1]Source!P1264</f>
        <v>41718.879999999997</v>
      </c>
      <c r="J1384" s="36">
        <f>IF([1]Source!BC1265&lt;&gt; 0, [1]Source!BC1265, 1)</f>
        <v>9.84</v>
      </c>
      <c r="K1384" s="49">
        <f>[1]Source!P1265</f>
        <v>410513.78</v>
      </c>
      <c r="L1384">
        <v>245503.35999999999</v>
      </c>
      <c r="M1384" s="50">
        <f>L1384*E1384</f>
        <v>491006.71999999997</v>
      </c>
      <c r="N1384" s="64" t="s">
        <v>926</v>
      </c>
      <c r="Q1384">
        <f>[1]Source!X1264</f>
        <v>0</v>
      </c>
      <c r="R1384">
        <f>[1]Source!X1265</f>
        <v>0</v>
      </c>
      <c r="S1384">
        <f>[1]Source!Y1264</f>
        <v>0</v>
      </c>
      <c r="T1384">
        <f>[1]Source!Y1265</f>
        <v>0</v>
      </c>
      <c r="U1384">
        <f>ROUND((175/100)*ROUND([1]Source!R1264, 2), 2)</f>
        <v>0</v>
      </c>
      <c r="V1384">
        <f>ROUND((0/100)*ROUND([1]Source!R1265, 2), 2)</f>
        <v>0</v>
      </c>
      <c r="AC1384">
        <v>3</v>
      </c>
    </row>
    <row r="1385" spans="1:29" ht="13.8" hidden="1" x14ac:dyDescent="0.25">
      <c r="C1385" s="39" t="s">
        <v>49</v>
      </c>
      <c r="H1385" s="40">
        <f>I1384+0</f>
        <v>41718.879999999997</v>
      </c>
      <c r="I1385" s="40"/>
      <c r="J1385" s="40">
        <f>K1384+0</f>
        <v>410513.78</v>
      </c>
      <c r="K1385" s="40"/>
      <c r="O1385" s="42">
        <f>I1384+0</f>
        <v>41718.879999999997</v>
      </c>
      <c r="P1385" s="42">
        <f>K1384+0</f>
        <v>410513.78</v>
      </c>
    </row>
    <row r="1386" spans="1:29" hidden="1" x14ac:dyDescent="0.25"/>
    <row r="1387" spans="1:29" ht="330" x14ac:dyDescent="0.25">
      <c r="A1387" s="46">
        <v>109</v>
      </c>
      <c r="B1387" s="46" t="str">
        <f>[1]Source!F1266</f>
        <v>КА 116</v>
      </c>
      <c r="C1387" s="46" t="s">
        <v>294</v>
      </c>
      <c r="D1387" s="47" t="str">
        <f>[1]Source!H1266</f>
        <v>ШТ</v>
      </c>
      <c r="E1387" s="48">
        <f>[1]Source!I1266</f>
        <v>1</v>
      </c>
      <c r="F1387" s="37">
        <f>[1]Source!AL1266</f>
        <v>22922.46</v>
      </c>
      <c r="G1387" s="38"/>
      <c r="H1387" s="36">
        <f>[1]Source!AW1267</f>
        <v>1</v>
      </c>
      <c r="I1387" s="37">
        <f>[1]Source!P1266</f>
        <v>22922.46</v>
      </c>
      <c r="J1387" s="36">
        <f>IF([1]Source!BC1267&lt;&gt; 0, [1]Source!BC1267, 1)</f>
        <v>9.84</v>
      </c>
      <c r="K1387" s="49">
        <f>[1]Source!P1267</f>
        <v>225557.01</v>
      </c>
      <c r="L1387">
        <f>269783.91</f>
        <v>269783.90999999997</v>
      </c>
      <c r="M1387" s="50">
        <f>L1387*E1387</f>
        <v>269783.90999999997</v>
      </c>
      <c r="N1387" s="64" t="s">
        <v>927</v>
      </c>
      <c r="Q1387">
        <f>[1]Source!X1266</f>
        <v>0</v>
      </c>
      <c r="R1387">
        <f>[1]Source!X1267</f>
        <v>0</v>
      </c>
      <c r="S1387">
        <f>[1]Source!Y1266</f>
        <v>0</v>
      </c>
      <c r="T1387">
        <f>[1]Source!Y1267</f>
        <v>0</v>
      </c>
      <c r="U1387">
        <f>ROUND((175/100)*ROUND([1]Source!R1266, 2), 2)</f>
        <v>0</v>
      </c>
      <c r="V1387">
        <f>ROUND((0/100)*ROUND([1]Source!R1267, 2), 2)</f>
        <v>0</v>
      </c>
      <c r="AC1387">
        <v>3</v>
      </c>
    </row>
    <row r="1388" spans="1:29" ht="13.8" hidden="1" x14ac:dyDescent="0.25">
      <c r="C1388" s="39" t="s">
        <v>49</v>
      </c>
      <c r="H1388" s="40">
        <f>I1387+0</f>
        <v>22922.46</v>
      </c>
      <c r="I1388" s="40"/>
      <c r="J1388" s="40">
        <f>K1387+0</f>
        <v>225557.01</v>
      </c>
      <c r="K1388" s="40"/>
      <c r="O1388" s="42">
        <f>I1387+0</f>
        <v>22922.46</v>
      </c>
      <c r="P1388" s="42">
        <f>K1387+0</f>
        <v>225557.01</v>
      </c>
    </row>
    <row r="1389" spans="1:29" hidden="1" x14ac:dyDescent="0.25"/>
    <row r="1390" spans="1:29" ht="330" x14ac:dyDescent="0.25">
      <c r="A1390" s="46">
        <v>110</v>
      </c>
      <c r="B1390" s="46" t="str">
        <f>[1]Source!F1268</f>
        <v>КА 118</v>
      </c>
      <c r="C1390" s="46" t="s">
        <v>295</v>
      </c>
      <c r="D1390" s="47" t="str">
        <f>[1]Source!H1268</f>
        <v>ШТ</v>
      </c>
      <c r="E1390" s="48">
        <f>[1]Source!I1268</f>
        <v>1</v>
      </c>
      <c r="F1390" s="37">
        <f>[1]Source!AL1268</f>
        <v>24559.780000000002</v>
      </c>
      <c r="G1390" s="38"/>
      <c r="H1390" s="36">
        <f>[1]Source!AW1269</f>
        <v>1</v>
      </c>
      <c r="I1390" s="37">
        <f>[1]Source!P1268</f>
        <v>24559.78</v>
      </c>
      <c r="J1390" s="36">
        <f>IF([1]Source!BC1269&lt;&gt; 0, [1]Source!BC1269, 1)</f>
        <v>9.84</v>
      </c>
      <c r="K1390" s="49">
        <f>[1]Source!P1269</f>
        <v>241668.24</v>
      </c>
      <c r="L1390">
        <f>289054.19</f>
        <v>289054.19</v>
      </c>
      <c r="M1390" s="50">
        <f>L1390*E1390</f>
        <v>289054.19</v>
      </c>
      <c r="N1390" s="64" t="s">
        <v>926</v>
      </c>
      <c r="Q1390">
        <f>[1]Source!X1268</f>
        <v>0</v>
      </c>
      <c r="R1390">
        <f>[1]Source!X1269</f>
        <v>0</v>
      </c>
      <c r="S1390">
        <f>[1]Source!Y1268</f>
        <v>0</v>
      </c>
      <c r="T1390">
        <f>[1]Source!Y1269</f>
        <v>0</v>
      </c>
      <c r="U1390">
        <f>ROUND((175/100)*ROUND([1]Source!R1268, 2), 2)</f>
        <v>0</v>
      </c>
      <c r="V1390">
        <f>ROUND((0/100)*ROUND([1]Source!R1269, 2), 2)</f>
        <v>0</v>
      </c>
      <c r="AC1390">
        <v>3</v>
      </c>
    </row>
    <row r="1391" spans="1:29" ht="13.8" hidden="1" x14ac:dyDescent="0.25">
      <c r="C1391" s="39" t="s">
        <v>49</v>
      </c>
      <c r="H1391" s="40">
        <f>I1390+0</f>
        <v>24559.78</v>
      </c>
      <c r="I1391" s="40"/>
      <c r="J1391" s="40">
        <f>K1390+0</f>
        <v>241668.24</v>
      </c>
      <c r="K1391" s="40"/>
      <c r="O1391" s="42">
        <f>I1390+0</f>
        <v>24559.78</v>
      </c>
      <c r="P1391" s="42">
        <f>K1390+0</f>
        <v>241668.24</v>
      </c>
    </row>
    <row r="1392" spans="1:29" hidden="1" x14ac:dyDescent="0.25"/>
    <row r="1393" spans="1:29" ht="330" x14ac:dyDescent="0.25">
      <c r="A1393" s="46">
        <v>111</v>
      </c>
      <c r="B1393" s="46" t="str">
        <f>[1]Source!F1270</f>
        <v>КА 113</v>
      </c>
      <c r="C1393" s="46" t="s">
        <v>296</v>
      </c>
      <c r="D1393" s="47" t="str">
        <f>[1]Source!H1270</f>
        <v>ШТ</v>
      </c>
      <c r="E1393" s="48">
        <f>[1]Source!I1270</f>
        <v>1</v>
      </c>
      <c r="F1393" s="37">
        <f>[1]Source!AL1270</f>
        <v>27834.420000000002</v>
      </c>
      <c r="G1393" s="38"/>
      <c r="H1393" s="36">
        <f>[1]Source!AW1271</f>
        <v>1</v>
      </c>
      <c r="I1393" s="37">
        <f>[1]Source!P1270</f>
        <v>27834.42</v>
      </c>
      <c r="J1393" s="36">
        <f>IF([1]Source!BC1271&lt;&gt; 0, [1]Source!BC1271, 1)</f>
        <v>9.84</v>
      </c>
      <c r="K1393" s="49">
        <f>[1]Source!P1271</f>
        <v>273890.69</v>
      </c>
      <c r="L1393">
        <f>327594.75</f>
        <v>327594.75</v>
      </c>
      <c r="M1393" s="50">
        <f>L1393*E1393</f>
        <v>327594.75</v>
      </c>
      <c r="N1393" s="64" t="s">
        <v>926</v>
      </c>
      <c r="Q1393">
        <f>[1]Source!X1270</f>
        <v>0</v>
      </c>
      <c r="R1393">
        <f>[1]Source!X1271</f>
        <v>0</v>
      </c>
      <c r="S1393">
        <f>[1]Source!Y1270</f>
        <v>0</v>
      </c>
      <c r="T1393">
        <f>[1]Source!Y1271</f>
        <v>0</v>
      </c>
      <c r="U1393">
        <f>ROUND((175/100)*ROUND([1]Source!R1270, 2), 2)</f>
        <v>0</v>
      </c>
      <c r="V1393">
        <f>ROUND((0/100)*ROUND([1]Source!R1271, 2), 2)</f>
        <v>0</v>
      </c>
      <c r="AC1393">
        <v>3</v>
      </c>
    </row>
    <row r="1394" spans="1:29" ht="13.8" hidden="1" x14ac:dyDescent="0.25">
      <c r="C1394" s="39" t="s">
        <v>49</v>
      </c>
      <c r="H1394" s="40">
        <f>I1393+0</f>
        <v>27834.42</v>
      </c>
      <c r="I1394" s="40"/>
      <c r="J1394" s="40">
        <f>K1393+0</f>
        <v>273890.69</v>
      </c>
      <c r="K1394" s="40"/>
      <c r="O1394" s="42">
        <f>I1393+0</f>
        <v>27834.42</v>
      </c>
      <c r="P1394" s="42">
        <f>K1393+0</f>
        <v>273890.69</v>
      </c>
    </row>
    <row r="1395" spans="1:29" hidden="1" x14ac:dyDescent="0.25"/>
    <row r="1396" spans="1:29" ht="343.8" x14ac:dyDescent="0.25">
      <c r="A1396" s="53">
        <v>112</v>
      </c>
      <c r="B1396" s="53" t="str">
        <f>[1]Source!F1272</f>
        <v>КА 108.110.119</v>
      </c>
      <c r="C1396" s="53" t="s">
        <v>297</v>
      </c>
      <c r="D1396" s="54" t="str">
        <f>[1]Source!H1272</f>
        <v>ШТ</v>
      </c>
      <c r="E1396" s="55">
        <f>[1]Source!I1272</f>
        <v>12</v>
      </c>
      <c r="F1396" s="30">
        <f>[1]Source!AL1272</f>
        <v>29471.74</v>
      </c>
      <c r="G1396" s="31"/>
      <c r="H1396" s="29">
        <f>[1]Source!AW1273</f>
        <v>1</v>
      </c>
      <c r="I1396" s="30">
        <f>[1]Source!P1272</f>
        <v>353660.88</v>
      </c>
      <c r="J1396" s="29">
        <f>IF([1]Source!BC1273&lt;&gt; 0, [1]Source!BC1273, 1)</f>
        <v>9.84</v>
      </c>
      <c r="K1396" s="56">
        <f>[1]Source!P1273</f>
        <v>3480023.06</v>
      </c>
      <c r="L1396">
        <f>346865.03</f>
        <v>346865.03</v>
      </c>
      <c r="M1396" s="50">
        <f>L1396*E1396</f>
        <v>4162380.3600000003</v>
      </c>
      <c r="N1396" s="64" t="s">
        <v>926</v>
      </c>
      <c r="Q1396">
        <f>[1]Source!X1272</f>
        <v>0</v>
      </c>
      <c r="R1396">
        <f>[1]Source!X1273</f>
        <v>0</v>
      </c>
      <c r="S1396">
        <f>[1]Source!Y1272</f>
        <v>0</v>
      </c>
      <c r="T1396">
        <f>[1]Source!Y1273</f>
        <v>0</v>
      </c>
      <c r="U1396">
        <f>ROUND((175/100)*ROUND([1]Source!R1272, 2), 2)</f>
        <v>0</v>
      </c>
      <c r="V1396">
        <f>ROUND((0/100)*ROUND([1]Source!R1273, 2), 2)</f>
        <v>0</v>
      </c>
      <c r="AC1396">
        <v>3</v>
      </c>
    </row>
    <row r="1397" spans="1:29" hidden="1" x14ac:dyDescent="0.25">
      <c r="A1397" s="57"/>
      <c r="B1397" s="57"/>
      <c r="C1397" s="58" t="str">
        <f>"Объем: "&amp;[1]Source!I1272&amp;"=5+"&amp;"5+"&amp;"2"</f>
        <v>Объем: 12=5+5+2</v>
      </c>
      <c r="D1397" s="57"/>
      <c r="E1397" s="57"/>
      <c r="F1397" s="57"/>
      <c r="G1397" s="57"/>
      <c r="H1397" s="57"/>
      <c r="I1397" s="57"/>
      <c r="J1397" s="57"/>
      <c r="K1397" s="57"/>
    </row>
    <row r="1398" spans="1:29" ht="13.8" hidden="1" x14ac:dyDescent="0.25">
      <c r="C1398" s="39" t="s">
        <v>49</v>
      </c>
      <c r="H1398" s="40">
        <f>I1396+0</f>
        <v>353660.88</v>
      </c>
      <c r="I1398" s="40"/>
      <c r="J1398" s="40">
        <f>K1396+0</f>
        <v>3480023.06</v>
      </c>
      <c r="K1398" s="40"/>
      <c r="O1398" s="42">
        <f>I1396+0</f>
        <v>353660.88</v>
      </c>
      <c r="P1398" s="42">
        <f>K1396+0</f>
        <v>3480023.06</v>
      </c>
    </row>
    <row r="1399" spans="1:29" hidden="1" x14ac:dyDescent="0.25"/>
    <row r="1400" spans="1:29" ht="343.8" x14ac:dyDescent="0.25">
      <c r="A1400" s="46">
        <v>113</v>
      </c>
      <c r="B1400" s="46" t="str">
        <f>[1]Source!F1274</f>
        <v>КА 109</v>
      </c>
      <c r="C1400" s="46" t="s">
        <v>298</v>
      </c>
      <c r="D1400" s="47" t="str">
        <f>[1]Source!H1274</f>
        <v>ШТ</v>
      </c>
      <c r="E1400" s="48">
        <f>[1]Source!I1274</f>
        <v>5</v>
      </c>
      <c r="F1400" s="37">
        <f>[1]Source!AL1274</f>
        <v>31763.98</v>
      </c>
      <c r="G1400" s="38"/>
      <c r="H1400" s="36">
        <f>[1]Source!AW1275</f>
        <v>1</v>
      </c>
      <c r="I1400" s="37">
        <f>[1]Source!P1274</f>
        <v>158819.9</v>
      </c>
      <c r="J1400" s="36">
        <f>IF([1]Source!BC1275&lt;&gt; 0, [1]Source!BC1275, 1)</f>
        <v>9.84</v>
      </c>
      <c r="K1400" s="49">
        <f>[1]Source!P1275</f>
        <v>1562787.82</v>
      </c>
      <c r="L1400">
        <f>373843.42</f>
        <v>373843.42</v>
      </c>
      <c r="M1400" s="50">
        <f>L1400*E1400</f>
        <v>1869217.0999999999</v>
      </c>
      <c r="N1400" s="64" t="s">
        <v>926</v>
      </c>
      <c r="Q1400">
        <f>[1]Source!X1274</f>
        <v>0</v>
      </c>
      <c r="R1400">
        <f>[1]Source!X1275</f>
        <v>0</v>
      </c>
      <c r="S1400">
        <f>[1]Source!Y1274</f>
        <v>0</v>
      </c>
      <c r="T1400">
        <f>[1]Source!Y1275</f>
        <v>0</v>
      </c>
      <c r="U1400">
        <f>ROUND((175/100)*ROUND([1]Source!R1274, 2), 2)</f>
        <v>0</v>
      </c>
      <c r="V1400">
        <f>ROUND((0/100)*ROUND([1]Source!R1275, 2), 2)</f>
        <v>0</v>
      </c>
      <c r="AC1400">
        <v>3</v>
      </c>
    </row>
    <row r="1401" spans="1:29" ht="13.8" hidden="1" x14ac:dyDescent="0.25">
      <c r="C1401" s="39" t="s">
        <v>49</v>
      </c>
      <c r="H1401" s="40">
        <f>I1400+0</f>
        <v>158819.9</v>
      </c>
      <c r="I1401" s="40"/>
      <c r="J1401" s="40">
        <f>K1400+0</f>
        <v>1562787.82</v>
      </c>
      <c r="K1401" s="40"/>
      <c r="O1401" s="42">
        <f>I1400+0</f>
        <v>158819.9</v>
      </c>
      <c r="P1401" s="42">
        <f>K1400+0</f>
        <v>1562787.82</v>
      </c>
    </row>
    <row r="1402" spans="1:29" hidden="1" x14ac:dyDescent="0.25"/>
    <row r="1403" spans="1:29" ht="330" x14ac:dyDescent="0.25">
      <c r="A1403" s="46">
        <v>114</v>
      </c>
      <c r="B1403" s="46" t="str">
        <f>[1]Source!F1276</f>
        <v>КА 114</v>
      </c>
      <c r="C1403" s="46" t="s">
        <v>299</v>
      </c>
      <c r="D1403" s="47" t="str">
        <f>[1]Source!H1276</f>
        <v>ШТ</v>
      </c>
      <c r="E1403" s="48">
        <f>[1]Source!I1276</f>
        <v>2</v>
      </c>
      <c r="F1403" s="37">
        <f>[1]Source!AL1276</f>
        <v>29766.46</v>
      </c>
      <c r="G1403" s="38"/>
      <c r="H1403" s="36">
        <f>[1]Source!AW1277</f>
        <v>1</v>
      </c>
      <c r="I1403" s="37">
        <f>[1]Source!P1276</f>
        <v>59532.92</v>
      </c>
      <c r="J1403" s="36">
        <f>IF([1]Source!BC1277&lt;&gt; 0, [1]Source!BC1277, 1)</f>
        <v>9.84</v>
      </c>
      <c r="K1403" s="49">
        <f>[1]Source!P1277</f>
        <v>585803.93000000005</v>
      </c>
      <c r="L1403">
        <f>350333.68</f>
        <v>350333.68</v>
      </c>
      <c r="M1403" s="50">
        <f>L1403*E1403</f>
        <v>700667.36</v>
      </c>
      <c r="N1403" s="64" t="s">
        <v>926</v>
      </c>
      <c r="Q1403">
        <f>[1]Source!X1276</f>
        <v>0</v>
      </c>
      <c r="R1403">
        <f>[1]Source!X1277</f>
        <v>0</v>
      </c>
      <c r="S1403">
        <f>[1]Source!Y1276</f>
        <v>0</v>
      </c>
      <c r="T1403">
        <f>[1]Source!Y1277</f>
        <v>0</v>
      </c>
      <c r="U1403">
        <f>ROUND((175/100)*ROUND([1]Source!R1276, 2), 2)</f>
        <v>0</v>
      </c>
      <c r="V1403">
        <f>ROUND((0/100)*ROUND([1]Source!R1277, 2), 2)</f>
        <v>0</v>
      </c>
      <c r="AC1403">
        <v>3</v>
      </c>
    </row>
    <row r="1404" spans="1:29" ht="13.8" hidden="1" x14ac:dyDescent="0.25">
      <c r="C1404" s="39" t="s">
        <v>49</v>
      </c>
      <c r="H1404" s="40">
        <f>I1403+0</f>
        <v>59532.92</v>
      </c>
      <c r="I1404" s="40"/>
      <c r="J1404" s="40">
        <f>K1403+0</f>
        <v>585803.93000000005</v>
      </c>
      <c r="K1404" s="40"/>
      <c r="O1404" s="42">
        <f>I1403+0</f>
        <v>59532.92</v>
      </c>
      <c r="P1404" s="42">
        <f>K1403+0</f>
        <v>585803.93000000005</v>
      </c>
    </row>
    <row r="1405" spans="1:29" hidden="1" x14ac:dyDescent="0.25"/>
    <row r="1406" spans="1:29" ht="343.8" x14ac:dyDescent="0.25">
      <c r="A1406" s="46">
        <v>115</v>
      </c>
      <c r="B1406" s="46" t="str">
        <f>[1]Source!F1278</f>
        <v>КА 10. 12</v>
      </c>
      <c r="C1406" s="46" t="s">
        <v>300</v>
      </c>
      <c r="D1406" s="47" t="str">
        <f>[1]Source!H1278</f>
        <v>ШТ</v>
      </c>
      <c r="E1406" s="48">
        <f>[1]Source!I1278</f>
        <v>2</v>
      </c>
      <c r="F1406" s="37">
        <f>[1]Source!AL1278</f>
        <v>31109.06</v>
      </c>
      <c r="G1406" s="38"/>
      <c r="H1406" s="36">
        <f>[1]Source!AW1279</f>
        <v>1</v>
      </c>
      <c r="I1406" s="37">
        <f>[1]Source!P1278</f>
        <v>62218.12</v>
      </c>
      <c r="J1406" s="36">
        <f>IF([1]Source!BC1279&lt;&gt; 0, [1]Source!BC1279, 1)</f>
        <v>9.84</v>
      </c>
      <c r="K1406" s="49">
        <f>[1]Source!P1279</f>
        <v>612226.30000000005</v>
      </c>
      <c r="L1406">
        <f>366135.31</f>
        <v>366135.31</v>
      </c>
      <c r="M1406" s="50">
        <f>L1406*E1406</f>
        <v>732270.62</v>
      </c>
      <c r="N1406" s="64" t="s">
        <v>926</v>
      </c>
      <c r="Q1406">
        <f>[1]Source!X1278</f>
        <v>0</v>
      </c>
      <c r="R1406">
        <f>[1]Source!X1279</f>
        <v>0</v>
      </c>
      <c r="S1406">
        <f>[1]Source!Y1278</f>
        <v>0</v>
      </c>
      <c r="T1406">
        <f>[1]Source!Y1279</f>
        <v>0</v>
      </c>
      <c r="U1406">
        <f>ROUND((175/100)*ROUND([1]Source!R1278, 2), 2)</f>
        <v>0</v>
      </c>
      <c r="V1406">
        <f>ROUND((0/100)*ROUND([1]Source!R1279, 2), 2)</f>
        <v>0</v>
      </c>
      <c r="AC1406">
        <v>3</v>
      </c>
    </row>
    <row r="1407" spans="1:29" ht="13.8" hidden="1" x14ac:dyDescent="0.25">
      <c r="C1407" s="39" t="s">
        <v>49</v>
      </c>
      <c r="H1407" s="40">
        <f>I1406+0</f>
        <v>62218.12</v>
      </c>
      <c r="I1407" s="40"/>
      <c r="J1407" s="40">
        <f>K1406+0</f>
        <v>612226.30000000005</v>
      </c>
      <c r="K1407" s="40"/>
      <c r="O1407" s="42">
        <f>I1406+0</f>
        <v>62218.12</v>
      </c>
      <c r="P1407" s="42">
        <f>K1406+0</f>
        <v>612226.30000000005</v>
      </c>
    </row>
    <row r="1408" spans="1:29" hidden="1" x14ac:dyDescent="0.25"/>
    <row r="1409" spans="1:29" ht="330" x14ac:dyDescent="0.25">
      <c r="A1409" s="46">
        <v>116</v>
      </c>
      <c r="B1409" s="46" t="str">
        <f>[1]Source!F1280</f>
        <v>КА 111</v>
      </c>
      <c r="C1409" s="46" t="s">
        <v>301</v>
      </c>
      <c r="D1409" s="47" t="str">
        <f>[1]Source!H1280</f>
        <v>ШТ</v>
      </c>
      <c r="E1409" s="48">
        <f>[1]Source!I1280</f>
        <v>5</v>
      </c>
      <c r="F1409" s="37">
        <f>[1]Source!AL1280</f>
        <v>31763.98</v>
      </c>
      <c r="G1409" s="38"/>
      <c r="H1409" s="36">
        <f>[1]Source!AW1281</f>
        <v>1</v>
      </c>
      <c r="I1409" s="37">
        <f>[1]Source!P1280</f>
        <v>158819.9</v>
      </c>
      <c r="J1409" s="36">
        <f>IF([1]Source!BC1281&lt;&gt; 0, [1]Source!BC1281, 1)</f>
        <v>9.84</v>
      </c>
      <c r="K1409" s="49">
        <f>[1]Source!P1281</f>
        <v>1562787.82</v>
      </c>
      <c r="L1409">
        <f>373843.42</f>
        <v>373843.42</v>
      </c>
      <c r="M1409" s="50">
        <f>L1409*E1409</f>
        <v>1869217.0999999999</v>
      </c>
      <c r="N1409" s="64" t="s">
        <v>926</v>
      </c>
      <c r="Q1409">
        <f>[1]Source!X1280</f>
        <v>0</v>
      </c>
      <c r="R1409">
        <f>[1]Source!X1281</f>
        <v>0</v>
      </c>
      <c r="S1409">
        <f>[1]Source!Y1280</f>
        <v>0</v>
      </c>
      <c r="T1409">
        <f>[1]Source!Y1281</f>
        <v>0</v>
      </c>
      <c r="U1409">
        <f>ROUND((175/100)*ROUND([1]Source!R1280, 2), 2)</f>
        <v>0</v>
      </c>
      <c r="V1409">
        <f>ROUND((0/100)*ROUND([1]Source!R1281, 2), 2)</f>
        <v>0</v>
      </c>
      <c r="AC1409">
        <v>3</v>
      </c>
    </row>
    <row r="1410" spans="1:29" ht="13.8" hidden="1" x14ac:dyDescent="0.25">
      <c r="C1410" s="39" t="s">
        <v>49</v>
      </c>
      <c r="H1410" s="40">
        <f>I1409+0</f>
        <v>158819.9</v>
      </c>
      <c r="I1410" s="40"/>
      <c r="J1410" s="40">
        <f>K1409+0</f>
        <v>1562787.82</v>
      </c>
      <c r="K1410" s="40"/>
      <c r="O1410" s="42">
        <f>I1409+0</f>
        <v>158819.9</v>
      </c>
      <c r="P1410" s="42">
        <f>K1409+0</f>
        <v>1562787.82</v>
      </c>
    </row>
    <row r="1411" spans="1:29" hidden="1" x14ac:dyDescent="0.25"/>
    <row r="1412" spans="1:29" ht="343.8" x14ac:dyDescent="0.25">
      <c r="A1412" s="46">
        <v>117</v>
      </c>
      <c r="B1412" s="46" t="str">
        <f>[1]Source!F1282</f>
        <v>КА 32. 53. 117</v>
      </c>
      <c r="C1412" s="46" t="s">
        <v>302</v>
      </c>
      <c r="D1412" s="47" t="str">
        <f>[1]Source!H1282</f>
        <v>ШТ</v>
      </c>
      <c r="E1412" s="48">
        <f>[1]Source!I1282</f>
        <v>5</v>
      </c>
      <c r="F1412" s="37">
        <f>[1]Source!AL1282</f>
        <v>32746.38</v>
      </c>
      <c r="G1412" s="38"/>
      <c r="H1412" s="36">
        <f>[1]Source!AW1283</f>
        <v>1</v>
      </c>
      <c r="I1412" s="37">
        <f>[1]Source!P1282</f>
        <v>163731.9</v>
      </c>
      <c r="J1412" s="36">
        <f>IF([1]Source!BC1283&lt;&gt; 0, [1]Source!BC1283, 1)</f>
        <v>9.84</v>
      </c>
      <c r="K1412" s="49">
        <f>[1]Source!P1283</f>
        <v>1611121.9</v>
      </c>
      <c r="L1412">
        <f>385405.59</f>
        <v>385405.59</v>
      </c>
      <c r="M1412" s="50">
        <f>L1412*E1412</f>
        <v>1927027.9500000002</v>
      </c>
      <c r="N1412" s="64" t="s">
        <v>926</v>
      </c>
      <c r="Q1412">
        <f>[1]Source!X1282</f>
        <v>0</v>
      </c>
      <c r="R1412">
        <f>[1]Source!X1283</f>
        <v>0</v>
      </c>
      <c r="S1412">
        <f>[1]Source!Y1282</f>
        <v>0</v>
      </c>
      <c r="T1412">
        <f>[1]Source!Y1283</f>
        <v>0</v>
      </c>
      <c r="U1412">
        <f>ROUND((175/100)*ROUND([1]Source!R1282, 2), 2)</f>
        <v>0</v>
      </c>
      <c r="V1412">
        <f>ROUND((0/100)*ROUND([1]Source!R1283, 2), 2)</f>
        <v>0</v>
      </c>
      <c r="AC1412">
        <v>3</v>
      </c>
    </row>
    <row r="1413" spans="1:29" ht="13.8" hidden="1" x14ac:dyDescent="0.25">
      <c r="C1413" s="39" t="s">
        <v>49</v>
      </c>
      <c r="H1413" s="40">
        <f>I1412+0</f>
        <v>163731.9</v>
      </c>
      <c r="I1413" s="40"/>
      <c r="J1413" s="40">
        <f>K1412+0</f>
        <v>1611121.9</v>
      </c>
      <c r="K1413" s="40"/>
      <c r="O1413" s="42">
        <f>I1412+0</f>
        <v>163731.9</v>
      </c>
      <c r="P1413" s="42">
        <f>K1412+0</f>
        <v>1611121.9</v>
      </c>
    </row>
    <row r="1414" spans="1:29" hidden="1" x14ac:dyDescent="0.25"/>
    <row r="1415" spans="1:29" ht="82.8" hidden="1" x14ac:dyDescent="0.25">
      <c r="A1415" s="27">
        <v>118</v>
      </c>
      <c r="B1415" s="27" t="str">
        <f>[1]Source!F1284</f>
        <v>3.10-84-12</v>
      </c>
      <c r="C1415" s="27" t="s">
        <v>303</v>
      </c>
      <c r="D1415" s="28" t="str">
        <f>[1]Source!H1284</f>
        <v>100 м2</v>
      </c>
      <c r="E1415" s="29">
        <f>[1]Source!I1284</f>
        <v>6.9829999999999997</v>
      </c>
      <c r="F1415" s="30"/>
      <c r="G1415" s="31"/>
      <c r="H1415" s="29"/>
      <c r="I1415" s="30"/>
      <c r="J1415" s="29"/>
      <c r="K1415" s="30"/>
      <c r="Q1415">
        <f>[1]Source!X1284</f>
        <v>15286.62</v>
      </c>
      <c r="R1415">
        <f>[1]Source!X1285</f>
        <v>861400.92</v>
      </c>
      <c r="S1415">
        <f>[1]Source!Y1284</f>
        <v>7406.92</v>
      </c>
      <c r="T1415">
        <f>[1]Source!Y1285</f>
        <v>417379.83</v>
      </c>
      <c r="U1415">
        <f>ROUND((175/100)*ROUND([1]Source!R1284, 2), 2)</f>
        <v>540.07000000000005</v>
      </c>
      <c r="V1415">
        <f>ROUND((0/100)*ROUND([1]Source!R1285, 2), 2)</f>
        <v>0</v>
      </c>
      <c r="AC1415">
        <v>0</v>
      </c>
    </row>
    <row r="1416" spans="1:29" hidden="1" x14ac:dyDescent="0.25">
      <c r="C1416" s="32" t="str">
        <f>"Объем: "&amp;[1]Source!I1284&amp;"=698,3/"&amp;"100"</f>
        <v>Объем: 6,983=698,3/100</v>
      </c>
    </row>
    <row r="1417" spans="1:29" ht="14.4" hidden="1" x14ac:dyDescent="0.25">
      <c r="A1417" s="27"/>
      <c r="B1417" s="27"/>
      <c r="C1417" s="27" t="s">
        <v>36</v>
      </c>
      <c r="D1417" s="28"/>
      <c r="E1417" s="29"/>
      <c r="F1417" s="30">
        <f>[1]Source!AO1284</f>
        <v>1531.38</v>
      </c>
      <c r="G1417" s="31" t="s">
        <v>37</v>
      </c>
      <c r="H1417" s="29">
        <f>[1]Source!AV1285</f>
        <v>1.0469999999999999</v>
      </c>
      <c r="I1417" s="30">
        <f>[1]Source!S1284</f>
        <v>15450.79</v>
      </c>
      <c r="J1417" s="29">
        <f>IF([1]Source!BA1285&lt;&gt; 0, [1]Source!BA1285, 1)</f>
        <v>56.35</v>
      </c>
      <c r="K1417" s="30">
        <f>[1]Source!S1285</f>
        <v>870652.02</v>
      </c>
    </row>
    <row r="1418" spans="1:29" ht="14.4" hidden="1" x14ac:dyDescent="0.25">
      <c r="A1418" s="27"/>
      <c r="B1418" s="27"/>
      <c r="C1418" s="27" t="s">
        <v>38</v>
      </c>
      <c r="D1418" s="28"/>
      <c r="E1418" s="29"/>
      <c r="F1418" s="30">
        <f>[1]Source!AM1284</f>
        <v>169.07</v>
      </c>
      <c r="G1418" s="31" t="s">
        <v>39</v>
      </c>
      <c r="H1418" s="29">
        <f>[1]Source!AV1285</f>
        <v>1.0469999999999999</v>
      </c>
      <c r="I1418" s="30">
        <f>[1]Source!Q1284</f>
        <v>1854.16</v>
      </c>
      <c r="J1418" s="29">
        <f>IF([1]Source!BB1285&lt;&gt; 0, [1]Source!BB1285, 1)</f>
        <v>18.39</v>
      </c>
      <c r="K1418" s="30">
        <f>[1]Source!Q1285</f>
        <v>34098</v>
      </c>
    </row>
    <row r="1419" spans="1:29" ht="14.4" hidden="1" x14ac:dyDescent="0.25">
      <c r="A1419" s="27"/>
      <c r="B1419" s="27"/>
      <c r="C1419" s="27" t="s">
        <v>40</v>
      </c>
      <c r="D1419" s="28"/>
      <c r="E1419" s="29"/>
      <c r="F1419" s="30">
        <f>[1]Source!AN1284</f>
        <v>28.14</v>
      </c>
      <c r="G1419" s="31" t="s">
        <v>39</v>
      </c>
      <c r="H1419" s="29">
        <f>[1]Source!AV1285</f>
        <v>1.0469999999999999</v>
      </c>
      <c r="I1419" s="33">
        <f>[1]Source!R1284</f>
        <v>308.61</v>
      </c>
      <c r="J1419" s="29">
        <f>IF([1]Source!BS1285&lt;&gt; 0, [1]Source!BS1285, 1)</f>
        <v>56.35</v>
      </c>
      <c r="K1419" s="33">
        <f>[1]Source!R1285</f>
        <v>17390.169999999998</v>
      </c>
    </row>
    <row r="1420" spans="1:29" ht="14.4" hidden="1" x14ac:dyDescent="0.25">
      <c r="A1420" s="27"/>
      <c r="B1420" s="27"/>
      <c r="C1420" s="27" t="s">
        <v>41</v>
      </c>
      <c r="D1420" s="28"/>
      <c r="E1420" s="29"/>
      <c r="F1420" s="30">
        <f>[1]Source!AL1284</f>
        <v>2955.45</v>
      </c>
      <c r="G1420" s="31"/>
      <c r="H1420" s="29">
        <f>[1]Source!AW1285</f>
        <v>1</v>
      </c>
      <c r="I1420" s="30">
        <f>[1]Source!P1284</f>
        <v>20637.91</v>
      </c>
      <c r="J1420" s="29">
        <f>IF([1]Source!BC1285&lt;&gt; 0, [1]Source!BC1285, 1)</f>
        <v>10.220000000000001</v>
      </c>
      <c r="K1420" s="30">
        <f>[1]Source!P1285</f>
        <v>210919.44</v>
      </c>
    </row>
    <row r="1421" spans="1:29" ht="193.2" hidden="1" x14ac:dyDescent="0.25">
      <c r="A1421" s="27" t="s">
        <v>304</v>
      </c>
      <c r="B1421" s="27" t="str">
        <f>[1]Source!F1286</f>
        <v>1.1-1-2469</v>
      </c>
      <c r="C1421" s="27" t="s">
        <v>290</v>
      </c>
      <c r="D1421" s="28" t="str">
        <f>[1]Source!H1286</f>
        <v>м</v>
      </c>
      <c r="E1421" s="29">
        <f>[1]Source!I1286</f>
        <v>1634.0219999999999</v>
      </c>
      <c r="F1421" s="30">
        <f>[1]Source!AK1286</f>
        <v>14.98</v>
      </c>
      <c r="G1421" s="43" t="s">
        <v>54</v>
      </c>
      <c r="H1421" s="29">
        <f>[1]Source!AW1287</f>
        <v>1</v>
      </c>
      <c r="I1421" s="30">
        <f>[1]Source!O1286</f>
        <v>24477.65</v>
      </c>
      <c r="J1421" s="29">
        <f>IF([1]Source!BC1287&lt;&gt; 0, [1]Source!BC1287, 1)</f>
        <v>1.42</v>
      </c>
      <c r="K1421" s="30">
        <f>[1]Source!O1287</f>
        <v>34758.26</v>
      </c>
      <c r="Q1421">
        <f>[1]Source!X1286</f>
        <v>0</v>
      </c>
      <c r="R1421">
        <f>[1]Source!X1287</f>
        <v>0</v>
      </c>
      <c r="S1421">
        <f>[1]Source!Y1286</f>
        <v>0</v>
      </c>
      <c r="T1421">
        <f>[1]Source!Y1287</f>
        <v>0</v>
      </c>
      <c r="U1421">
        <f>ROUND((175/100)*ROUND([1]Source!R1286, 2), 2)</f>
        <v>0</v>
      </c>
      <c r="V1421">
        <f>ROUND((0/100)*ROUND([1]Source!R1287, 2), 2)</f>
        <v>0</v>
      </c>
      <c r="AC1421">
        <v>3</v>
      </c>
    </row>
    <row r="1422" spans="1:29" ht="234.6" hidden="1" x14ac:dyDescent="0.25">
      <c r="A1422" s="27" t="s">
        <v>305</v>
      </c>
      <c r="B1422" s="27" t="str">
        <f>[1]Source!F1288</f>
        <v>1.1-1-2980</v>
      </c>
      <c r="C1422" s="27" t="s">
        <v>292</v>
      </c>
      <c r="D1422" s="28" t="str">
        <f>[1]Source!H1288</f>
        <v>м</v>
      </c>
      <c r="E1422" s="29">
        <f>[1]Source!I1288</f>
        <v>1634.0219999999999</v>
      </c>
      <c r="F1422" s="30">
        <f>[1]Source!AK1288</f>
        <v>14.75</v>
      </c>
      <c r="G1422" s="43" t="s">
        <v>54</v>
      </c>
      <c r="H1422" s="29">
        <f>[1]Source!AW1289</f>
        <v>1</v>
      </c>
      <c r="I1422" s="30">
        <f>[1]Source!O1288</f>
        <v>24101.82</v>
      </c>
      <c r="J1422" s="29">
        <f>IF([1]Source!BC1289&lt;&gt; 0, [1]Source!BC1289, 1)</f>
        <v>1.91</v>
      </c>
      <c r="K1422" s="30">
        <f>[1]Source!O1289</f>
        <v>46034.48</v>
      </c>
      <c r="Q1422">
        <f>[1]Source!X1288</f>
        <v>0</v>
      </c>
      <c r="R1422">
        <f>[1]Source!X1289</f>
        <v>0</v>
      </c>
      <c r="S1422">
        <f>[1]Source!Y1288</f>
        <v>0</v>
      </c>
      <c r="T1422">
        <f>[1]Source!Y1289</f>
        <v>0</v>
      </c>
      <c r="U1422">
        <f>ROUND((175/100)*ROUND([1]Source!R1288, 2), 2)</f>
        <v>0</v>
      </c>
      <c r="V1422">
        <f>ROUND((0/100)*ROUND([1]Source!R1289, 2), 2)</f>
        <v>0</v>
      </c>
      <c r="AC1422">
        <v>3</v>
      </c>
    </row>
    <row r="1423" spans="1:29" ht="14.4" hidden="1" x14ac:dyDescent="0.25">
      <c r="A1423" s="27"/>
      <c r="B1423" s="27"/>
      <c r="C1423" s="27" t="s">
        <v>42</v>
      </c>
      <c r="D1423" s="28" t="s">
        <v>43</v>
      </c>
      <c r="E1423" s="29">
        <f>[1]Source!BZ1285</f>
        <v>97</v>
      </c>
      <c r="F1423" s="30"/>
      <c r="G1423" s="31"/>
      <c r="H1423" s="29"/>
      <c r="I1423" s="30">
        <f>SUM(Q1415:Q1422)</f>
        <v>15286.62</v>
      </c>
      <c r="J1423" s="29">
        <f>[1]Source!AT1285</f>
        <v>97</v>
      </c>
      <c r="K1423" s="30">
        <f>SUM(R1415:R1422)</f>
        <v>861400.92</v>
      </c>
    </row>
    <row r="1424" spans="1:29" ht="14.4" hidden="1" x14ac:dyDescent="0.25">
      <c r="A1424" s="27"/>
      <c r="B1424" s="27"/>
      <c r="C1424" s="27" t="s">
        <v>44</v>
      </c>
      <c r="D1424" s="28" t="s">
        <v>43</v>
      </c>
      <c r="E1424" s="29">
        <f>[1]Source!CA1285</f>
        <v>47</v>
      </c>
      <c r="F1424" s="30"/>
      <c r="G1424" s="31"/>
      <c r="H1424" s="29"/>
      <c r="I1424" s="30">
        <f>SUM(S1415:S1423)</f>
        <v>7406.92</v>
      </c>
      <c r="J1424" s="29">
        <f>[1]Source!AU1285</f>
        <v>47</v>
      </c>
      <c r="K1424" s="30">
        <f>SUM(T1415:T1423)</f>
        <v>417379.83</v>
      </c>
    </row>
    <row r="1425" spans="1:29" ht="14.4" hidden="1" x14ac:dyDescent="0.25">
      <c r="A1425" s="34"/>
      <c r="B1425" s="34"/>
      <c r="C1425" s="34" t="s">
        <v>45</v>
      </c>
      <c r="D1425" s="35" t="s">
        <v>46</v>
      </c>
      <c r="E1425" s="36">
        <f>[1]Source!AQ1284</f>
        <v>138.84</v>
      </c>
      <c r="F1425" s="37"/>
      <c r="G1425" s="38" t="s">
        <v>37</v>
      </c>
      <c r="H1425" s="36">
        <f>[1]Source!AV1285</f>
        <v>1.0469999999999999</v>
      </c>
      <c r="I1425" s="37">
        <f>[1]Source!U1284</f>
        <v>1400.8202626391999</v>
      </c>
      <c r="J1425" s="36"/>
      <c r="K1425" s="37"/>
    </row>
    <row r="1426" spans="1:29" ht="13.8" hidden="1" x14ac:dyDescent="0.25">
      <c r="C1426" s="39" t="s">
        <v>47</v>
      </c>
      <c r="H1426" s="40">
        <f>I1417+I1418+I1420+I1423+I1424+SUM(I1421:I1422)-SUMIF(AC1421:AC1422, 5, I1421:I1422)-SUMIF(AC1421:AC1422, 6, I1421:I1422)</f>
        <v>109215.87</v>
      </c>
      <c r="I1426" s="40"/>
      <c r="J1426" s="40">
        <f>K1417+K1418+K1420+K1423+K1424+SUM(K1421:K1422)-SUMIF(AC1421:AC1422, 5, K1421:K1422)-SUMIF(AC1421:AC1422, 6, K1421:K1422)</f>
        <v>2475242.9500000002</v>
      </c>
      <c r="K1426" s="40"/>
    </row>
    <row r="1427" spans="1:29" ht="13.8" hidden="1" x14ac:dyDescent="0.25">
      <c r="C1427" s="39" t="s">
        <v>48</v>
      </c>
      <c r="H1427" s="41">
        <f>SUMIF(AC1421:AC1422, 5, I1421:I1422)+SUMIF(AC1421:AC1422, 6, I1421:I1422)</f>
        <v>0</v>
      </c>
      <c r="I1427" s="41"/>
      <c r="J1427" s="41">
        <f>SUMIF(AC1421:AC1422, 5, K1421:K1422)+SUMIF(AC1421:AC1422, 6, K1421:K1422)</f>
        <v>0</v>
      </c>
      <c r="K1427" s="41"/>
    </row>
    <row r="1428" spans="1:29" ht="13.8" hidden="1" x14ac:dyDescent="0.25">
      <c r="C1428" s="39" t="s">
        <v>49</v>
      </c>
      <c r="H1428" s="41">
        <f>I1417+I1418+I1420+I1423+I1424+SUM(I1421:I1422)</f>
        <v>109215.87</v>
      </c>
      <c r="I1428" s="41"/>
      <c r="J1428" s="41">
        <f>K1417+K1418+K1420+K1423+K1424+SUM(K1421:K1422)</f>
        <v>2475242.9500000002</v>
      </c>
      <c r="K1428" s="41"/>
      <c r="O1428" s="42">
        <f>I1417+I1418+I1420+I1423+I1424+SUM(I1421:I1422)</f>
        <v>109215.87</v>
      </c>
      <c r="P1428" s="42">
        <f>K1417+K1418+K1420+K1423+K1424+SUM(K1421:K1422)</f>
        <v>2475242.9500000002</v>
      </c>
    </row>
    <row r="1429" spans="1:29" hidden="1" x14ac:dyDescent="0.25"/>
    <row r="1430" spans="1:29" ht="330" x14ac:dyDescent="0.25">
      <c r="A1430" s="46">
        <v>119</v>
      </c>
      <c r="B1430" s="46" t="str">
        <f>[1]Source!F1290</f>
        <v>КА 13</v>
      </c>
      <c r="C1430" s="46" t="s">
        <v>306</v>
      </c>
      <c r="D1430" s="47" t="str">
        <f>[1]Source!H1290</f>
        <v>ШТ</v>
      </c>
      <c r="E1430" s="48">
        <f>[1]Source!I1290</f>
        <v>1</v>
      </c>
      <c r="F1430" s="37">
        <f>[1]Source!AL1290</f>
        <v>34383.700000000004</v>
      </c>
      <c r="G1430" s="38"/>
      <c r="H1430" s="36">
        <f>[1]Source!AW1291</f>
        <v>1</v>
      </c>
      <c r="I1430" s="37">
        <f>[1]Source!P1290</f>
        <v>34383.699999999997</v>
      </c>
      <c r="J1430" s="36">
        <f>IF([1]Source!BC1291&lt;&gt; 0, [1]Source!BC1291, 1)</f>
        <v>9.84</v>
      </c>
      <c r="K1430" s="49">
        <f>[1]Source!P1291</f>
        <v>338335.61</v>
      </c>
      <c r="L1430">
        <f>404675.87</f>
        <v>404675.87</v>
      </c>
      <c r="M1430" s="50">
        <f>L1430*E1430</f>
        <v>404675.87</v>
      </c>
      <c r="N1430" s="64" t="s">
        <v>926</v>
      </c>
      <c r="Q1430">
        <f>[1]Source!X1290</f>
        <v>0</v>
      </c>
      <c r="R1430">
        <f>[1]Source!X1291</f>
        <v>0</v>
      </c>
      <c r="S1430">
        <f>[1]Source!Y1290</f>
        <v>0</v>
      </c>
      <c r="T1430">
        <f>[1]Source!Y1291</f>
        <v>0</v>
      </c>
      <c r="U1430">
        <f>ROUND((175/100)*ROUND([1]Source!R1290, 2), 2)</f>
        <v>0</v>
      </c>
      <c r="V1430">
        <f>ROUND((0/100)*ROUND([1]Source!R1291, 2), 2)</f>
        <v>0</v>
      </c>
      <c r="AC1430">
        <v>3</v>
      </c>
    </row>
    <row r="1431" spans="1:29" ht="13.8" hidden="1" x14ac:dyDescent="0.25">
      <c r="C1431" s="39" t="s">
        <v>49</v>
      </c>
      <c r="H1431" s="40">
        <f>I1430+0</f>
        <v>34383.699999999997</v>
      </c>
      <c r="I1431" s="40"/>
      <c r="J1431" s="40">
        <f>K1430+0</f>
        <v>338335.61</v>
      </c>
      <c r="K1431" s="40"/>
      <c r="O1431" s="42">
        <f>I1430+0</f>
        <v>34383.699999999997</v>
      </c>
      <c r="P1431" s="42">
        <f>K1430+0</f>
        <v>338335.61</v>
      </c>
    </row>
    <row r="1432" spans="1:29" hidden="1" x14ac:dyDescent="0.25"/>
    <row r="1433" spans="1:29" ht="343.8" x14ac:dyDescent="0.25">
      <c r="A1433" s="46">
        <v>120</v>
      </c>
      <c r="B1433" s="46" t="str">
        <f>[1]Source!F1292</f>
        <v>КА 11.14.21.22</v>
      </c>
      <c r="C1433" s="46" t="s">
        <v>307</v>
      </c>
      <c r="D1433" s="47" t="str">
        <f>[1]Source!H1292</f>
        <v>ШТ</v>
      </c>
      <c r="E1433" s="48">
        <f>[1]Source!I1292</f>
        <v>4</v>
      </c>
      <c r="F1433" s="37">
        <f>[1]Source!AL1292</f>
        <v>36021.01</v>
      </c>
      <c r="G1433" s="38"/>
      <c r="H1433" s="36">
        <f>[1]Source!AW1293</f>
        <v>1</v>
      </c>
      <c r="I1433" s="37">
        <f>[1]Source!P1292</f>
        <v>144084.04</v>
      </c>
      <c r="J1433" s="36">
        <f>IF([1]Source!BC1293&lt;&gt; 0, [1]Source!BC1293, 1)</f>
        <v>9.84</v>
      </c>
      <c r="K1433" s="49">
        <f>[1]Source!P1293</f>
        <v>1417786.95</v>
      </c>
      <c r="L1433">
        <f>423946.14</f>
        <v>423946.14</v>
      </c>
      <c r="M1433" s="50">
        <f>L1433*E1433</f>
        <v>1695784.56</v>
      </c>
      <c r="N1433" s="64" t="s">
        <v>926</v>
      </c>
      <c r="Q1433">
        <f>[1]Source!X1292</f>
        <v>0</v>
      </c>
      <c r="R1433">
        <f>[1]Source!X1293</f>
        <v>0</v>
      </c>
      <c r="S1433">
        <f>[1]Source!Y1292</f>
        <v>0</v>
      </c>
      <c r="T1433">
        <f>[1]Source!Y1293</f>
        <v>0</v>
      </c>
      <c r="U1433">
        <f>ROUND((175/100)*ROUND([1]Source!R1292, 2), 2)</f>
        <v>0</v>
      </c>
      <c r="V1433">
        <f>ROUND((0/100)*ROUND([1]Source!R1293, 2), 2)</f>
        <v>0</v>
      </c>
      <c r="AC1433">
        <v>3</v>
      </c>
    </row>
    <row r="1434" spans="1:29" ht="13.8" hidden="1" x14ac:dyDescent="0.25">
      <c r="C1434" s="39" t="s">
        <v>49</v>
      </c>
      <c r="H1434" s="40">
        <f>I1433+0</f>
        <v>144084.04</v>
      </c>
      <c r="I1434" s="40"/>
      <c r="J1434" s="40">
        <f>K1433+0</f>
        <v>1417786.95</v>
      </c>
      <c r="K1434" s="40"/>
      <c r="O1434" s="42">
        <f>I1433+0</f>
        <v>144084.04</v>
      </c>
      <c r="P1434" s="42">
        <f>K1433+0</f>
        <v>1417786.95</v>
      </c>
    </row>
    <row r="1435" spans="1:29" hidden="1" x14ac:dyDescent="0.25"/>
    <row r="1436" spans="1:29" ht="330" x14ac:dyDescent="0.25">
      <c r="A1436" s="46">
        <v>121</v>
      </c>
      <c r="B1436" s="46" t="str">
        <f>[1]Source!F1294</f>
        <v>КА 14</v>
      </c>
      <c r="C1436" s="46" t="s">
        <v>308</v>
      </c>
      <c r="D1436" s="47" t="str">
        <f>[1]Source!H1294</f>
        <v>ШТ</v>
      </c>
      <c r="E1436" s="48">
        <f>[1]Source!I1294</f>
        <v>1</v>
      </c>
      <c r="F1436" s="37">
        <f>[1]Source!AL1294</f>
        <v>37658.33</v>
      </c>
      <c r="G1436" s="38"/>
      <c r="H1436" s="36">
        <f>[1]Source!AW1295</f>
        <v>1</v>
      </c>
      <c r="I1436" s="37">
        <f>[1]Source!P1294</f>
        <v>37658.33</v>
      </c>
      <c r="J1436" s="36">
        <f>IF([1]Source!BC1295&lt;&gt; 0, [1]Source!BC1295, 1)</f>
        <v>9.84</v>
      </c>
      <c r="K1436" s="49">
        <f>[1]Source!P1295</f>
        <v>370557.97</v>
      </c>
      <c r="L1436">
        <f>443216.42</f>
        <v>443216.42</v>
      </c>
      <c r="M1436" s="50">
        <f>L1436*E1436</f>
        <v>443216.42</v>
      </c>
      <c r="N1436" s="64" t="s">
        <v>926</v>
      </c>
      <c r="Q1436">
        <f>[1]Source!X1294</f>
        <v>0</v>
      </c>
      <c r="R1436">
        <f>[1]Source!X1295</f>
        <v>0</v>
      </c>
      <c r="S1436">
        <f>[1]Source!Y1294</f>
        <v>0</v>
      </c>
      <c r="T1436">
        <f>[1]Source!Y1295</f>
        <v>0</v>
      </c>
      <c r="U1436">
        <f>ROUND((175/100)*ROUND([1]Source!R1294, 2), 2)</f>
        <v>0</v>
      </c>
      <c r="V1436">
        <f>ROUND((0/100)*ROUND([1]Source!R1295, 2), 2)</f>
        <v>0</v>
      </c>
      <c r="AC1436">
        <v>3</v>
      </c>
    </row>
    <row r="1437" spans="1:29" ht="13.8" hidden="1" x14ac:dyDescent="0.25">
      <c r="C1437" s="39" t="s">
        <v>49</v>
      </c>
      <c r="H1437" s="40">
        <f>I1436+0</f>
        <v>37658.33</v>
      </c>
      <c r="I1437" s="40"/>
      <c r="J1437" s="40">
        <f>K1436+0</f>
        <v>370557.97</v>
      </c>
      <c r="K1437" s="40"/>
      <c r="O1437" s="42">
        <f>I1436+0</f>
        <v>37658.33</v>
      </c>
      <c r="P1437" s="42">
        <f>K1436+0</f>
        <v>370557.97</v>
      </c>
    </row>
    <row r="1438" spans="1:29" hidden="1" x14ac:dyDescent="0.25"/>
    <row r="1439" spans="1:29" ht="343.8" x14ac:dyDescent="0.25">
      <c r="A1439" s="53">
        <v>122</v>
      </c>
      <c r="B1439" s="53" t="str">
        <f>[1]Source!F1296</f>
        <v>КА 16. 26.33</v>
      </c>
      <c r="C1439" s="53" t="s">
        <v>309</v>
      </c>
      <c r="D1439" s="54" t="str">
        <f>[1]Source!H1296</f>
        <v>ШТ</v>
      </c>
      <c r="E1439" s="55">
        <f>[1]Source!I1296</f>
        <v>3</v>
      </c>
      <c r="F1439" s="30">
        <f>[1]Source!AL1296</f>
        <v>39295.65</v>
      </c>
      <c r="G1439" s="31"/>
      <c r="H1439" s="29">
        <f>[1]Source!AW1297</f>
        <v>1</v>
      </c>
      <c r="I1439" s="30">
        <f>[1]Source!P1296</f>
        <v>117886.95</v>
      </c>
      <c r="J1439" s="29">
        <f>IF([1]Source!BC1297&lt;&gt; 0, [1]Source!BC1297, 1)</f>
        <v>9.84</v>
      </c>
      <c r="K1439" s="56">
        <f>[1]Source!P1297</f>
        <v>1160007.5900000001</v>
      </c>
      <c r="L1439">
        <f>462486.7</f>
        <v>462486.7</v>
      </c>
      <c r="M1439" s="50">
        <f>L1439*E1439</f>
        <v>1387460.1</v>
      </c>
      <c r="N1439" s="64" t="s">
        <v>926</v>
      </c>
      <c r="Q1439">
        <f>[1]Source!X1296</f>
        <v>0</v>
      </c>
      <c r="R1439">
        <f>[1]Source!X1297</f>
        <v>0</v>
      </c>
      <c r="S1439">
        <f>[1]Source!Y1296</f>
        <v>0</v>
      </c>
      <c r="T1439">
        <f>[1]Source!Y1297</f>
        <v>0</v>
      </c>
      <c r="U1439">
        <f>ROUND((175/100)*ROUND([1]Source!R1296, 2), 2)</f>
        <v>0</v>
      </c>
      <c r="V1439">
        <f>ROUND((0/100)*ROUND([1]Source!R1297, 2), 2)</f>
        <v>0</v>
      </c>
      <c r="AC1439">
        <v>3</v>
      </c>
    </row>
    <row r="1440" spans="1:29" hidden="1" x14ac:dyDescent="0.25">
      <c r="A1440" s="57"/>
      <c r="B1440" s="57"/>
      <c r="C1440" s="58" t="str">
        <f>"Объем: "&amp;[1]Source!I1296&amp;"=1+"&amp;"1+"&amp;"1"</f>
        <v>Объем: 3=1+1+1</v>
      </c>
      <c r="D1440" s="57"/>
      <c r="E1440" s="57"/>
      <c r="F1440" s="57"/>
      <c r="G1440" s="57"/>
      <c r="H1440" s="57"/>
      <c r="I1440" s="57"/>
      <c r="J1440" s="57"/>
      <c r="K1440" s="57"/>
    </row>
    <row r="1441" spans="1:29" ht="13.8" hidden="1" x14ac:dyDescent="0.25">
      <c r="C1441" s="39" t="s">
        <v>49</v>
      </c>
      <c r="H1441" s="40">
        <f>I1439+0</f>
        <v>117886.95</v>
      </c>
      <c r="I1441" s="40"/>
      <c r="J1441" s="40">
        <f>K1439+0</f>
        <v>1160007.5900000001</v>
      </c>
      <c r="K1441" s="40"/>
      <c r="O1441" s="42">
        <f>I1439+0</f>
        <v>117886.95</v>
      </c>
      <c r="P1441" s="42">
        <f>K1439+0</f>
        <v>1160007.5900000001</v>
      </c>
    </row>
    <row r="1442" spans="1:29" hidden="1" x14ac:dyDescent="0.25"/>
    <row r="1443" spans="1:29" ht="330" x14ac:dyDescent="0.25">
      <c r="A1443" s="46">
        <v>123</v>
      </c>
      <c r="B1443" s="46" t="str">
        <f>[1]Source!F1298</f>
        <v>КА19</v>
      </c>
      <c r="C1443" s="46" t="s">
        <v>310</v>
      </c>
      <c r="D1443" s="47" t="str">
        <f>[1]Source!H1298</f>
        <v>ШТ</v>
      </c>
      <c r="E1443" s="48">
        <f>[1]Source!I1298</f>
        <v>3</v>
      </c>
      <c r="F1443" s="37">
        <f>[1]Source!AL1298</f>
        <v>38749.880000000005</v>
      </c>
      <c r="G1443" s="38"/>
      <c r="H1443" s="36">
        <f>[1]Source!AW1299</f>
        <v>1</v>
      </c>
      <c r="I1443" s="37">
        <f>[1]Source!P1298</f>
        <v>116249.64</v>
      </c>
      <c r="J1443" s="36">
        <f>IF([1]Source!BC1299&lt;&gt; 0, [1]Source!BC1299, 1)</f>
        <v>9.84</v>
      </c>
      <c r="K1443" s="49">
        <f>[1]Source!P1299</f>
        <v>1143896.46</v>
      </c>
      <c r="L1443">
        <f>456063.28</f>
        <v>456063.28</v>
      </c>
      <c r="M1443" s="50">
        <f>L1443*E1443</f>
        <v>1368189.84</v>
      </c>
      <c r="N1443" s="64" t="s">
        <v>926</v>
      </c>
      <c r="Q1443">
        <f>[1]Source!X1298</f>
        <v>0</v>
      </c>
      <c r="R1443">
        <f>[1]Source!X1299</f>
        <v>0</v>
      </c>
      <c r="S1443">
        <f>[1]Source!Y1298</f>
        <v>0</v>
      </c>
      <c r="T1443">
        <f>[1]Source!Y1299</f>
        <v>0</v>
      </c>
      <c r="U1443">
        <f>ROUND((175/100)*ROUND([1]Source!R1298, 2), 2)</f>
        <v>0</v>
      </c>
      <c r="V1443">
        <f>ROUND((0/100)*ROUND([1]Source!R1299, 2), 2)</f>
        <v>0</v>
      </c>
      <c r="AC1443">
        <v>3</v>
      </c>
    </row>
    <row r="1444" spans="1:29" ht="13.8" hidden="1" x14ac:dyDescent="0.25">
      <c r="C1444" s="39" t="s">
        <v>49</v>
      </c>
      <c r="H1444" s="40">
        <f>I1443+0</f>
        <v>116249.64</v>
      </c>
      <c r="I1444" s="40"/>
      <c r="J1444" s="40">
        <f>K1443+0</f>
        <v>1143896.46</v>
      </c>
      <c r="K1444" s="40"/>
      <c r="O1444" s="42">
        <f>I1443+0</f>
        <v>116249.64</v>
      </c>
      <c r="P1444" s="42">
        <f>K1443+0</f>
        <v>1143896.46</v>
      </c>
    </row>
    <row r="1445" spans="1:29" hidden="1" x14ac:dyDescent="0.25"/>
    <row r="1446" spans="1:29" ht="343.8" x14ac:dyDescent="0.25">
      <c r="A1446" s="46">
        <v>124</v>
      </c>
      <c r="B1446" s="46" t="str">
        <f>[1]Source!F1300</f>
        <v>КА 55</v>
      </c>
      <c r="C1446" s="46" t="s">
        <v>311</v>
      </c>
      <c r="D1446" s="47" t="str">
        <f>[1]Source!H1300</f>
        <v>ШТ</v>
      </c>
      <c r="E1446" s="48">
        <f>[1]Source!I1300</f>
        <v>2</v>
      </c>
      <c r="F1446" s="37">
        <f>[1]Source!AL1300</f>
        <v>40114.32</v>
      </c>
      <c r="G1446" s="38"/>
      <c r="H1446" s="36">
        <f>[1]Source!AW1301</f>
        <v>1</v>
      </c>
      <c r="I1446" s="37">
        <f>[1]Source!P1300</f>
        <v>80228.639999999999</v>
      </c>
      <c r="J1446" s="36">
        <f>IF([1]Source!BC1301&lt;&gt; 0, [1]Source!BC1301, 1)</f>
        <v>9.84</v>
      </c>
      <c r="K1446" s="49">
        <f>[1]Source!P1301</f>
        <v>789449.82</v>
      </c>
      <c r="L1446">
        <f>472121.84</f>
        <v>472121.84</v>
      </c>
      <c r="M1446" s="50">
        <f>L1446*E1446</f>
        <v>944243.68</v>
      </c>
      <c r="N1446" s="64" t="s">
        <v>926</v>
      </c>
      <c r="Q1446">
        <f>[1]Source!X1300</f>
        <v>0</v>
      </c>
      <c r="R1446">
        <f>[1]Source!X1301</f>
        <v>0</v>
      </c>
      <c r="S1446">
        <f>[1]Source!Y1300</f>
        <v>0</v>
      </c>
      <c r="T1446">
        <f>[1]Source!Y1301</f>
        <v>0</v>
      </c>
      <c r="U1446">
        <f>ROUND((175/100)*ROUND([1]Source!R1300, 2), 2)</f>
        <v>0</v>
      </c>
      <c r="V1446">
        <f>ROUND((0/100)*ROUND([1]Source!R1301, 2), 2)</f>
        <v>0</v>
      </c>
      <c r="AC1446">
        <v>3</v>
      </c>
    </row>
    <row r="1447" spans="1:29" ht="13.8" hidden="1" x14ac:dyDescent="0.25">
      <c r="C1447" s="39" t="s">
        <v>49</v>
      </c>
      <c r="H1447" s="40">
        <f>I1446+0</f>
        <v>80228.639999999999</v>
      </c>
      <c r="I1447" s="40"/>
      <c r="J1447" s="40">
        <f>K1446+0</f>
        <v>789449.82</v>
      </c>
      <c r="K1447" s="40"/>
      <c r="O1447" s="42">
        <f>I1446+0</f>
        <v>80228.639999999999</v>
      </c>
      <c r="P1447" s="42">
        <f>K1446+0</f>
        <v>789449.82</v>
      </c>
    </row>
    <row r="1448" spans="1:29" hidden="1" x14ac:dyDescent="0.25"/>
    <row r="1449" spans="1:29" ht="330" x14ac:dyDescent="0.25">
      <c r="A1449" s="46">
        <v>125</v>
      </c>
      <c r="B1449" s="46" t="str">
        <f>[1]Source!F1302</f>
        <v>КА 20</v>
      </c>
      <c r="C1449" s="46" t="s">
        <v>312</v>
      </c>
      <c r="D1449" s="47" t="str">
        <f>[1]Source!H1302</f>
        <v>ШТ</v>
      </c>
      <c r="E1449" s="48">
        <f>[1]Source!I1302</f>
        <v>3</v>
      </c>
      <c r="F1449" s="37">
        <f>[1]Source!AL1302</f>
        <v>41478.74</v>
      </c>
      <c r="G1449" s="38"/>
      <c r="H1449" s="36">
        <f>[1]Source!AW1303</f>
        <v>1</v>
      </c>
      <c r="I1449" s="37">
        <f>[1]Source!P1302</f>
        <v>124436.22</v>
      </c>
      <c r="J1449" s="36">
        <f>IF([1]Source!BC1303&lt;&gt; 0, [1]Source!BC1303, 1)</f>
        <v>9.84</v>
      </c>
      <c r="K1449" s="49">
        <f>[1]Source!P1303</f>
        <v>1224452.3999999999</v>
      </c>
      <c r="L1449">
        <f>488180.41</f>
        <v>488180.41</v>
      </c>
      <c r="M1449" s="50">
        <f>L1449*E1449</f>
        <v>1464541.23</v>
      </c>
      <c r="N1449" s="64" t="s">
        <v>926</v>
      </c>
      <c r="Q1449">
        <f>[1]Source!X1302</f>
        <v>0</v>
      </c>
      <c r="R1449">
        <f>[1]Source!X1303</f>
        <v>0</v>
      </c>
      <c r="S1449">
        <f>[1]Source!Y1302</f>
        <v>0</v>
      </c>
      <c r="T1449">
        <f>[1]Source!Y1303</f>
        <v>0</v>
      </c>
      <c r="U1449">
        <f>ROUND((175/100)*ROUND([1]Source!R1302, 2), 2)</f>
        <v>0</v>
      </c>
      <c r="V1449">
        <f>ROUND((0/100)*ROUND([1]Source!R1303, 2), 2)</f>
        <v>0</v>
      </c>
      <c r="AC1449">
        <v>3</v>
      </c>
    </row>
    <row r="1450" spans="1:29" ht="13.8" hidden="1" x14ac:dyDescent="0.25">
      <c r="C1450" s="39" t="s">
        <v>49</v>
      </c>
      <c r="H1450" s="40">
        <f>I1449+0</f>
        <v>124436.22</v>
      </c>
      <c r="I1450" s="40"/>
      <c r="J1450" s="40">
        <f>K1449+0</f>
        <v>1224452.3999999999</v>
      </c>
      <c r="K1450" s="40"/>
      <c r="O1450" s="42">
        <f>I1449+0</f>
        <v>124436.22</v>
      </c>
      <c r="P1450" s="42">
        <f>K1449+0</f>
        <v>1224452.3999999999</v>
      </c>
    </row>
    <row r="1451" spans="1:29" hidden="1" x14ac:dyDescent="0.25"/>
    <row r="1452" spans="1:29" ht="330" x14ac:dyDescent="0.25">
      <c r="A1452" s="46">
        <v>126</v>
      </c>
      <c r="B1452" s="46" t="str">
        <f>[1]Source!F1304</f>
        <v>КА 30</v>
      </c>
      <c r="C1452" s="46" t="s">
        <v>313</v>
      </c>
      <c r="D1452" s="47" t="str">
        <f>[1]Source!H1304</f>
        <v>ШТ</v>
      </c>
      <c r="E1452" s="48">
        <f>[1]Source!I1304</f>
        <v>2</v>
      </c>
      <c r="F1452" s="37">
        <f>[1]Source!AL1304</f>
        <v>41751.630000000005</v>
      </c>
      <c r="G1452" s="38"/>
      <c r="H1452" s="36">
        <f>[1]Source!AW1305</f>
        <v>1</v>
      </c>
      <c r="I1452" s="37">
        <f>[1]Source!P1304</f>
        <v>83503.259999999995</v>
      </c>
      <c r="J1452" s="36">
        <f>IF([1]Source!BC1305&lt;&gt; 0, [1]Source!BC1305, 1)</f>
        <v>9.84</v>
      </c>
      <c r="K1452" s="49">
        <f>[1]Source!P1305</f>
        <v>821672.08</v>
      </c>
      <c r="L1452">
        <f>491392.12</f>
        <v>491392.12</v>
      </c>
      <c r="M1452" s="50">
        <f>L1452*E1452</f>
        <v>982784.24</v>
      </c>
      <c r="N1452" s="64" t="s">
        <v>926</v>
      </c>
      <c r="Q1452">
        <f>[1]Source!X1304</f>
        <v>0</v>
      </c>
      <c r="R1452">
        <f>[1]Source!X1305</f>
        <v>0</v>
      </c>
      <c r="S1452">
        <f>[1]Source!Y1304</f>
        <v>0</v>
      </c>
      <c r="T1452">
        <f>[1]Source!Y1305</f>
        <v>0</v>
      </c>
      <c r="U1452">
        <f>ROUND((175/100)*ROUND([1]Source!R1304, 2), 2)</f>
        <v>0</v>
      </c>
      <c r="V1452">
        <f>ROUND((0/100)*ROUND([1]Source!R1305, 2), 2)</f>
        <v>0</v>
      </c>
      <c r="AC1452">
        <v>3</v>
      </c>
    </row>
    <row r="1453" spans="1:29" ht="13.8" hidden="1" x14ac:dyDescent="0.25">
      <c r="C1453" s="39" t="s">
        <v>49</v>
      </c>
      <c r="H1453" s="40">
        <f>I1452+0</f>
        <v>83503.259999999995</v>
      </c>
      <c r="I1453" s="40"/>
      <c r="J1453" s="40">
        <f>K1452+0</f>
        <v>821672.08</v>
      </c>
      <c r="K1453" s="40"/>
      <c r="O1453" s="42">
        <f>I1452+0</f>
        <v>83503.259999999995</v>
      </c>
      <c r="P1453" s="42">
        <f>K1452+0</f>
        <v>821672.08</v>
      </c>
    </row>
    <row r="1454" spans="1:29" hidden="1" x14ac:dyDescent="0.25"/>
    <row r="1455" spans="1:29" ht="330" x14ac:dyDescent="0.25">
      <c r="A1455" s="46">
        <v>127</v>
      </c>
      <c r="B1455" s="46" t="str">
        <f>[1]Source!F1306</f>
        <v>КА 36</v>
      </c>
      <c r="C1455" s="46" t="s">
        <v>314</v>
      </c>
      <c r="D1455" s="47" t="str">
        <f>[1]Source!H1306</f>
        <v>ШТ</v>
      </c>
      <c r="E1455" s="48">
        <f>[1]Source!I1306</f>
        <v>1</v>
      </c>
      <c r="F1455" s="37">
        <f>[1]Source!AL1306</f>
        <v>40932.97</v>
      </c>
      <c r="G1455" s="38"/>
      <c r="H1455" s="36">
        <f>[1]Source!AW1307</f>
        <v>1</v>
      </c>
      <c r="I1455" s="37">
        <f>[1]Source!P1306</f>
        <v>40932.97</v>
      </c>
      <c r="J1455" s="36">
        <f>IF([1]Source!BC1307&lt;&gt; 0, [1]Source!BC1307, 1)</f>
        <v>9.84</v>
      </c>
      <c r="K1455" s="49">
        <f>[1]Source!P1307</f>
        <v>402780.42</v>
      </c>
      <c r="L1455">
        <f>481756.98</f>
        <v>481756.98</v>
      </c>
      <c r="M1455" s="50">
        <f>L1455*E1455</f>
        <v>481756.98</v>
      </c>
      <c r="N1455" s="64" t="s">
        <v>926</v>
      </c>
      <c r="Q1455">
        <f>[1]Source!X1306</f>
        <v>0</v>
      </c>
      <c r="R1455">
        <f>[1]Source!X1307</f>
        <v>0</v>
      </c>
      <c r="S1455">
        <f>[1]Source!Y1306</f>
        <v>0</v>
      </c>
      <c r="T1455">
        <f>[1]Source!Y1307</f>
        <v>0</v>
      </c>
      <c r="U1455">
        <f>ROUND((175/100)*ROUND([1]Source!R1306, 2), 2)</f>
        <v>0</v>
      </c>
      <c r="V1455">
        <f>ROUND((0/100)*ROUND([1]Source!R1307, 2), 2)</f>
        <v>0</v>
      </c>
      <c r="AC1455">
        <v>3</v>
      </c>
    </row>
    <row r="1456" spans="1:29" ht="13.8" hidden="1" x14ac:dyDescent="0.25">
      <c r="C1456" s="39" t="s">
        <v>49</v>
      </c>
      <c r="H1456" s="40">
        <f>I1455+0</f>
        <v>40932.97</v>
      </c>
      <c r="I1456" s="40"/>
      <c r="J1456" s="40">
        <f>K1455+0</f>
        <v>402780.42</v>
      </c>
      <c r="K1456" s="40"/>
      <c r="O1456" s="42">
        <f>I1455+0</f>
        <v>40932.97</v>
      </c>
      <c r="P1456" s="42">
        <f>K1455+0</f>
        <v>402780.42</v>
      </c>
    </row>
    <row r="1457" spans="1:29" hidden="1" x14ac:dyDescent="0.25"/>
    <row r="1458" spans="1:29" ht="330" x14ac:dyDescent="0.25">
      <c r="A1458" s="46">
        <v>128</v>
      </c>
      <c r="B1458" s="46" t="str">
        <f>[1]Source!F1308</f>
        <v>КА 49</v>
      </c>
      <c r="C1458" s="46" t="s">
        <v>315</v>
      </c>
      <c r="D1458" s="47" t="str">
        <f>[1]Source!H1308</f>
        <v>ШТ</v>
      </c>
      <c r="E1458" s="48">
        <f>[1]Source!I1308</f>
        <v>16</v>
      </c>
      <c r="F1458" s="37">
        <f>[1]Source!AL1308</f>
        <v>41546.97</v>
      </c>
      <c r="G1458" s="38"/>
      <c r="H1458" s="36">
        <f>[1]Source!AW1309</f>
        <v>1</v>
      </c>
      <c r="I1458" s="37">
        <f>[1]Source!P1308</f>
        <v>664751.52</v>
      </c>
      <c r="J1458" s="36">
        <f>IF([1]Source!BC1309&lt;&gt; 0, [1]Source!BC1309, 1)</f>
        <v>9.84</v>
      </c>
      <c r="K1458" s="49">
        <f>[1]Source!P1309</f>
        <v>6541154.96</v>
      </c>
      <c r="L1458">
        <f>488983.34</f>
        <v>488983.34</v>
      </c>
      <c r="M1458" s="50">
        <f>L1458*E1458</f>
        <v>7823733.4400000004</v>
      </c>
      <c r="N1458" s="64" t="s">
        <v>926</v>
      </c>
      <c r="Q1458">
        <f>[1]Source!X1308</f>
        <v>0</v>
      </c>
      <c r="R1458">
        <f>[1]Source!X1309</f>
        <v>0</v>
      </c>
      <c r="S1458">
        <f>[1]Source!Y1308</f>
        <v>0</v>
      </c>
      <c r="T1458">
        <f>[1]Source!Y1309</f>
        <v>0</v>
      </c>
      <c r="U1458">
        <f>ROUND((175/100)*ROUND([1]Source!R1308, 2), 2)</f>
        <v>0</v>
      </c>
      <c r="V1458">
        <f>ROUND((0/100)*ROUND([1]Source!R1309, 2), 2)</f>
        <v>0</v>
      </c>
      <c r="AC1458">
        <v>3</v>
      </c>
    </row>
    <row r="1459" spans="1:29" ht="13.8" hidden="1" x14ac:dyDescent="0.25">
      <c r="C1459" s="39" t="s">
        <v>49</v>
      </c>
      <c r="H1459" s="40">
        <f>I1458+0</f>
        <v>664751.52</v>
      </c>
      <c r="I1459" s="40"/>
      <c r="J1459" s="40">
        <f>K1458+0</f>
        <v>6541154.96</v>
      </c>
      <c r="K1459" s="40"/>
      <c r="O1459" s="42">
        <f>I1458+0</f>
        <v>664751.52</v>
      </c>
      <c r="P1459" s="42">
        <f>K1458+0</f>
        <v>6541154.96</v>
      </c>
    </row>
    <row r="1460" spans="1:29" hidden="1" x14ac:dyDescent="0.25"/>
    <row r="1461" spans="1:29" ht="330" x14ac:dyDescent="0.25">
      <c r="A1461" s="46">
        <v>129</v>
      </c>
      <c r="B1461" s="46" t="str">
        <f>[1]Source!F1310</f>
        <v>КА 54</v>
      </c>
      <c r="C1461" s="46" t="s">
        <v>316</v>
      </c>
      <c r="D1461" s="47" t="str">
        <f>[1]Source!H1310</f>
        <v>ШТ</v>
      </c>
      <c r="E1461" s="48">
        <f>[1]Source!I1310</f>
        <v>6</v>
      </c>
      <c r="F1461" s="37">
        <f>[1]Source!AL1310</f>
        <v>33073.840000000004</v>
      </c>
      <c r="G1461" s="38"/>
      <c r="H1461" s="36">
        <f>[1]Source!AW1311</f>
        <v>1</v>
      </c>
      <c r="I1461" s="37">
        <f>[1]Source!P1310</f>
        <v>198443.04</v>
      </c>
      <c r="J1461" s="36">
        <f>IF([1]Source!BC1311&lt;&gt; 0, [1]Source!BC1311, 1)</f>
        <v>9.84</v>
      </c>
      <c r="K1461" s="49">
        <f>[1]Source!P1311</f>
        <v>1952679.51</v>
      </c>
      <c r="L1461">
        <f>389259.64</f>
        <v>389259.64</v>
      </c>
      <c r="M1461" s="50">
        <f>L1461*E1461</f>
        <v>2335557.84</v>
      </c>
      <c r="N1461" s="64" t="s">
        <v>926</v>
      </c>
      <c r="Q1461">
        <f>[1]Source!X1310</f>
        <v>0</v>
      </c>
      <c r="R1461">
        <f>[1]Source!X1311</f>
        <v>0</v>
      </c>
      <c r="S1461">
        <f>[1]Source!Y1310</f>
        <v>0</v>
      </c>
      <c r="T1461">
        <f>[1]Source!Y1311</f>
        <v>0</v>
      </c>
      <c r="U1461">
        <f>ROUND((175/100)*ROUND([1]Source!R1310, 2), 2)</f>
        <v>0</v>
      </c>
      <c r="V1461">
        <f>ROUND((0/100)*ROUND([1]Source!R1311, 2), 2)</f>
        <v>0</v>
      </c>
      <c r="AC1461">
        <v>3</v>
      </c>
    </row>
    <row r="1462" spans="1:29" ht="13.8" hidden="1" x14ac:dyDescent="0.25">
      <c r="C1462" s="39" t="s">
        <v>49</v>
      </c>
      <c r="H1462" s="40">
        <f>I1461+0</f>
        <v>198443.04</v>
      </c>
      <c r="I1462" s="40"/>
      <c r="J1462" s="40">
        <f>K1461+0</f>
        <v>1952679.51</v>
      </c>
      <c r="K1462" s="40"/>
      <c r="O1462" s="42">
        <f>I1461+0</f>
        <v>198443.04</v>
      </c>
      <c r="P1462" s="42">
        <f>K1461+0</f>
        <v>1952679.51</v>
      </c>
    </row>
    <row r="1463" spans="1:29" hidden="1" x14ac:dyDescent="0.25"/>
    <row r="1464" spans="1:29" ht="343.8" x14ac:dyDescent="0.25">
      <c r="A1464" s="53">
        <v>130</v>
      </c>
      <c r="B1464" s="53" t="str">
        <f>[1]Source!F1312</f>
        <v>КА 17. 18</v>
      </c>
      <c r="C1464" s="53" t="s">
        <v>317</v>
      </c>
      <c r="D1464" s="54" t="str">
        <f>[1]Source!H1312</f>
        <v>ШТ</v>
      </c>
      <c r="E1464" s="55">
        <f>[1]Source!I1312</f>
        <v>6</v>
      </c>
      <c r="F1464" s="30">
        <f>[1]Source!AL1312</f>
        <v>43116.060000000005</v>
      </c>
      <c r="G1464" s="31"/>
      <c r="H1464" s="29">
        <f>[1]Source!AW1313</f>
        <v>1</v>
      </c>
      <c r="I1464" s="30">
        <f>[1]Source!P1312</f>
        <v>258696.36</v>
      </c>
      <c r="J1464" s="29">
        <f>IF([1]Source!BC1313&lt;&gt; 0, [1]Source!BC1313, 1)</f>
        <v>9.84</v>
      </c>
      <c r="K1464" s="56">
        <f>[1]Source!P1313</f>
        <v>2545572.1800000002</v>
      </c>
      <c r="L1464">
        <f>507450.69</f>
        <v>507450.69</v>
      </c>
      <c r="M1464" s="50">
        <f>L1464*E1464</f>
        <v>3044704.14</v>
      </c>
      <c r="N1464" s="64" t="s">
        <v>926</v>
      </c>
      <c r="Q1464">
        <f>[1]Source!X1312</f>
        <v>0</v>
      </c>
      <c r="R1464">
        <f>[1]Source!X1313</f>
        <v>0</v>
      </c>
      <c r="S1464">
        <f>[1]Source!Y1312</f>
        <v>0</v>
      </c>
      <c r="T1464">
        <f>[1]Source!Y1313</f>
        <v>0</v>
      </c>
      <c r="U1464">
        <f>ROUND((175/100)*ROUND([1]Source!R1312, 2), 2)</f>
        <v>0</v>
      </c>
      <c r="V1464">
        <f>ROUND((0/100)*ROUND([1]Source!R1313, 2), 2)</f>
        <v>0</v>
      </c>
      <c r="AC1464">
        <v>3</v>
      </c>
    </row>
    <row r="1465" spans="1:29" hidden="1" x14ac:dyDescent="0.25">
      <c r="A1465" s="57"/>
      <c r="B1465" s="57"/>
      <c r="C1465" s="58" t="str">
        <f>"Объем: "&amp;[1]Source!I1312&amp;"=3+"&amp;"3"</f>
        <v>Объем: 6=3+3</v>
      </c>
      <c r="D1465" s="57"/>
      <c r="E1465" s="57"/>
      <c r="F1465" s="57"/>
      <c r="G1465" s="57"/>
      <c r="H1465" s="57"/>
      <c r="I1465" s="57"/>
      <c r="J1465" s="57"/>
      <c r="K1465" s="57"/>
    </row>
    <row r="1466" spans="1:29" ht="13.8" hidden="1" x14ac:dyDescent="0.25">
      <c r="C1466" s="39" t="s">
        <v>49</v>
      </c>
      <c r="H1466" s="40">
        <f>I1464+0</f>
        <v>258696.36</v>
      </c>
      <c r="I1466" s="40"/>
      <c r="J1466" s="40">
        <f>K1464+0</f>
        <v>2545572.1800000002</v>
      </c>
      <c r="K1466" s="40"/>
      <c r="O1466" s="42">
        <f>I1464+0</f>
        <v>258696.36</v>
      </c>
      <c r="P1466" s="42">
        <f>K1464+0</f>
        <v>2545572.1800000002</v>
      </c>
    </row>
    <row r="1467" spans="1:29" hidden="1" x14ac:dyDescent="0.25"/>
    <row r="1468" spans="1:29" ht="343.8" x14ac:dyDescent="0.25">
      <c r="A1468" s="46">
        <v>131</v>
      </c>
      <c r="B1468" s="46" t="str">
        <f>[1]Source!F1314</f>
        <v>КА 24. 41</v>
      </c>
      <c r="C1468" s="46" t="s">
        <v>318</v>
      </c>
      <c r="D1468" s="47" t="str">
        <f>[1]Source!H1314</f>
        <v>ШТ</v>
      </c>
      <c r="E1468" s="48">
        <f>[1]Source!I1314</f>
        <v>8</v>
      </c>
      <c r="F1468" s="37">
        <f>[1]Source!AL1314</f>
        <v>42160.959999999999</v>
      </c>
      <c r="G1468" s="38"/>
      <c r="H1468" s="36">
        <f>[1]Source!AW1315</f>
        <v>1</v>
      </c>
      <c r="I1468" s="37">
        <f>[1]Source!P1314</f>
        <v>337287.67999999999</v>
      </c>
      <c r="J1468" s="36">
        <f>IF([1]Source!BC1315&lt;&gt; 0, [1]Source!BC1315, 1)</f>
        <v>9.84</v>
      </c>
      <c r="K1468" s="49">
        <f>[1]Source!P1315</f>
        <v>3318910.77</v>
      </c>
      <c r="L1468">
        <f>496209.69</f>
        <v>496209.69</v>
      </c>
      <c r="M1468" s="50">
        <f>L1468*E1468</f>
        <v>3969677.52</v>
      </c>
      <c r="N1468" s="64" t="s">
        <v>926</v>
      </c>
      <c r="Q1468">
        <f>[1]Source!X1314</f>
        <v>0</v>
      </c>
      <c r="R1468">
        <f>[1]Source!X1315</f>
        <v>0</v>
      </c>
      <c r="S1468">
        <f>[1]Source!Y1314</f>
        <v>0</v>
      </c>
      <c r="T1468">
        <f>[1]Source!Y1315</f>
        <v>0</v>
      </c>
      <c r="U1468">
        <f>ROUND((175/100)*ROUND([1]Source!R1314, 2), 2)</f>
        <v>0</v>
      </c>
      <c r="V1468">
        <f>ROUND((0/100)*ROUND([1]Source!R1315, 2), 2)</f>
        <v>0</v>
      </c>
      <c r="AC1468">
        <v>3</v>
      </c>
    </row>
    <row r="1469" spans="1:29" ht="13.8" hidden="1" x14ac:dyDescent="0.25">
      <c r="C1469" s="39" t="s">
        <v>49</v>
      </c>
      <c r="H1469" s="40">
        <f>I1468+0</f>
        <v>337287.67999999999</v>
      </c>
      <c r="I1469" s="40"/>
      <c r="J1469" s="40">
        <f>K1468+0</f>
        <v>3318910.77</v>
      </c>
      <c r="K1469" s="40"/>
      <c r="O1469" s="42">
        <f>I1468+0</f>
        <v>337287.67999999999</v>
      </c>
      <c r="P1469" s="42">
        <f>K1468+0</f>
        <v>3318910.77</v>
      </c>
    </row>
    <row r="1470" spans="1:29" hidden="1" x14ac:dyDescent="0.25"/>
    <row r="1471" spans="1:29" ht="330" x14ac:dyDescent="0.25">
      <c r="A1471" s="46">
        <v>132</v>
      </c>
      <c r="B1471" s="46" t="str">
        <f>[1]Source!F1316</f>
        <v>КА 27</v>
      </c>
      <c r="C1471" s="46" t="s">
        <v>319</v>
      </c>
      <c r="D1471" s="47" t="str">
        <f>[1]Source!H1316</f>
        <v>ШТ</v>
      </c>
      <c r="E1471" s="48">
        <f>[1]Source!I1316</f>
        <v>1</v>
      </c>
      <c r="F1471" s="37">
        <f>[1]Source!AL1316</f>
        <v>37658.33</v>
      </c>
      <c r="G1471" s="38"/>
      <c r="H1471" s="36">
        <f>[1]Source!AW1317</f>
        <v>1</v>
      </c>
      <c r="I1471" s="37">
        <f>[1]Source!P1316</f>
        <v>37658.33</v>
      </c>
      <c r="J1471" s="36">
        <f>IF([1]Source!BC1317&lt;&gt; 0, [1]Source!BC1317, 1)</f>
        <v>9.84</v>
      </c>
      <c r="K1471" s="49">
        <f>[1]Source!P1317</f>
        <v>370557.97</v>
      </c>
      <c r="L1471">
        <f>443216.42</f>
        <v>443216.42</v>
      </c>
      <c r="M1471" s="50">
        <f>L1471*E1471</f>
        <v>443216.42</v>
      </c>
      <c r="N1471" s="64" t="s">
        <v>926</v>
      </c>
      <c r="Q1471">
        <f>[1]Source!X1316</f>
        <v>0</v>
      </c>
      <c r="R1471">
        <f>[1]Source!X1317</f>
        <v>0</v>
      </c>
      <c r="S1471">
        <f>[1]Source!Y1316</f>
        <v>0</v>
      </c>
      <c r="T1471">
        <f>[1]Source!Y1317</f>
        <v>0</v>
      </c>
      <c r="U1471">
        <f>ROUND((175/100)*ROUND([1]Source!R1316, 2), 2)</f>
        <v>0</v>
      </c>
      <c r="V1471">
        <f>ROUND((0/100)*ROUND([1]Source!R1317, 2), 2)</f>
        <v>0</v>
      </c>
      <c r="AC1471">
        <v>3</v>
      </c>
    </row>
    <row r="1472" spans="1:29" ht="13.8" hidden="1" x14ac:dyDescent="0.25">
      <c r="C1472" s="39" t="s">
        <v>49</v>
      </c>
      <c r="H1472" s="40">
        <f>I1471+0</f>
        <v>37658.33</v>
      </c>
      <c r="I1472" s="40"/>
      <c r="J1472" s="40">
        <f>K1471+0</f>
        <v>370557.97</v>
      </c>
      <c r="K1472" s="40"/>
      <c r="O1472" s="42">
        <f>I1471+0</f>
        <v>37658.33</v>
      </c>
      <c r="P1472" s="42">
        <f>K1471+0</f>
        <v>370557.97</v>
      </c>
    </row>
    <row r="1473" spans="1:29" hidden="1" x14ac:dyDescent="0.25"/>
    <row r="1474" spans="1:29" ht="330" x14ac:dyDescent="0.25">
      <c r="A1474" s="46">
        <v>133</v>
      </c>
      <c r="B1474" s="46" t="str">
        <f>[1]Source!F1318</f>
        <v>КА 28</v>
      </c>
      <c r="C1474" s="46" t="s">
        <v>320</v>
      </c>
      <c r="D1474" s="47" t="str">
        <f>[1]Source!H1318</f>
        <v>ШТ</v>
      </c>
      <c r="E1474" s="48">
        <f>[1]Source!I1318</f>
        <v>2</v>
      </c>
      <c r="F1474" s="37">
        <f>[1]Source!AL1318</f>
        <v>43388.94</v>
      </c>
      <c r="G1474" s="38"/>
      <c r="H1474" s="36">
        <f>[1]Source!AW1319</f>
        <v>1</v>
      </c>
      <c r="I1474" s="37">
        <f>[1]Source!P1318</f>
        <v>86777.88</v>
      </c>
      <c r="J1474" s="36">
        <f>IF([1]Source!BC1319&lt;&gt; 0, [1]Source!BC1319, 1)</f>
        <v>9.84</v>
      </c>
      <c r="K1474" s="49">
        <f>[1]Source!P1319</f>
        <v>853894.34</v>
      </c>
      <c r="L1474">
        <f>510662.4</f>
        <v>510662.40000000002</v>
      </c>
      <c r="M1474" s="50">
        <f>L1474*E1474</f>
        <v>1021324.8</v>
      </c>
      <c r="N1474" s="64" t="s">
        <v>926</v>
      </c>
      <c r="Q1474">
        <f>[1]Source!X1318</f>
        <v>0</v>
      </c>
      <c r="R1474">
        <f>[1]Source!X1319</f>
        <v>0</v>
      </c>
      <c r="S1474">
        <f>[1]Source!Y1318</f>
        <v>0</v>
      </c>
      <c r="T1474">
        <f>[1]Source!Y1319</f>
        <v>0</v>
      </c>
      <c r="U1474">
        <f>ROUND((175/100)*ROUND([1]Source!R1318, 2), 2)</f>
        <v>0</v>
      </c>
      <c r="V1474">
        <f>ROUND((0/100)*ROUND([1]Source!R1319, 2), 2)</f>
        <v>0</v>
      </c>
      <c r="AC1474">
        <v>3</v>
      </c>
    </row>
    <row r="1475" spans="1:29" ht="13.8" hidden="1" x14ac:dyDescent="0.25">
      <c r="C1475" s="39" t="s">
        <v>49</v>
      </c>
      <c r="H1475" s="40">
        <f>I1474+0</f>
        <v>86777.88</v>
      </c>
      <c r="I1475" s="40"/>
      <c r="J1475" s="40">
        <f>K1474+0</f>
        <v>853894.34</v>
      </c>
      <c r="K1475" s="40"/>
      <c r="O1475" s="42">
        <f>I1474+0</f>
        <v>86777.88</v>
      </c>
      <c r="P1475" s="42">
        <f>K1474+0</f>
        <v>853894.34</v>
      </c>
    </row>
    <row r="1476" spans="1:29" hidden="1" x14ac:dyDescent="0.25"/>
    <row r="1477" spans="1:29" ht="343.8" x14ac:dyDescent="0.25">
      <c r="A1477" s="53">
        <v>134</v>
      </c>
      <c r="B1477" s="53" t="str">
        <f>[1]Source!F1320</f>
        <v>КА 37. 46</v>
      </c>
      <c r="C1477" s="53" t="s">
        <v>321</v>
      </c>
      <c r="D1477" s="54" t="str">
        <f>[1]Source!H1320</f>
        <v>ШТ</v>
      </c>
      <c r="E1477" s="55">
        <f>[1]Source!I1320</f>
        <v>4</v>
      </c>
      <c r="F1477" s="30">
        <f>[1]Source!AL1320</f>
        <v>42570.29</v>
      </c>
      <c r="G1477" s="31"/>
      <c r="H1477" s="29">
        <f>[1]Source!AW1321</f>
        <v>1</v>
      </c>
      <c r="I1477" s="30">
        <f>[1]Source!P1320</f>
        <v>170281.16</v>
      </c>
      <c r="J1477" s="29">
        <f>IF([1]Source!BC1321&lt;&gt; 0, [1]Source!BC1321, 1)</f>
        <v>9.84</v>
      </c>
      <c r="K1477" s="56">
        <f>[1]Source!P1321</f>
        <v>1675566.61</v>
      </c>
      <c r="L1477">
        <f>501027.26</f>
        <v>501027.26</v>
      </c>
      <c r="M1477" s="50">
        <f>L1477*E1477</f>
        <v>2004109.04</v>
      </c>
      <c r="N1477" s="64" t="s">
        <v>926</v>
      </c>
      <c r="Q1477">
        <f>[1]Source!X1320</f>
        <v>0</v>
      </c>
      <c r="R1477">
        <f>[1]Source!X1321</f>
        <v>0</v>
      </c>
      <c r="S1477">
        <f>[1]Source!Y1320</f>
        <v>0</v>
      </c>
      <c r="T1477">
        <f>[1]Source!Y1321</f>
        <v>0</v>
      </c>
      <c r="U1477">
        <f>ROUND((175/100)*ROUND([1]Source!R1320, 2), 2)</f>
        <v>0</v>
      </c>
      <c r="V1477">
        <f>ROUND((0/100)*ROUND([1]Source!R1321, 2), 2)</f>
        <v>0</v>
      </c>
      <c r="AC1477">
        <v>3</v>
      </c>
    </row>
    <row r="1478" spans="1:29" hidden="1" x14ac:dyDescent="0.25">
      <c r="A1478" s="57"/>
      <c r="B1478" s="57"/>
      <c r="C1478" s="58" t="str">
        <f>"Объем: "&amp;[1]Source!I1320&amp;"=1+"&amp;"3"</f>
        <v>Объем: 4=1+3</v>
      </c>
      <c r="D1478" s="57"/>
      <c r="E1478" s="57"/>
      <c r="F1478" s="57"/>
      <c r="G1478" s="57"/>
      <c r="H1478" s="57"/>
      <c r="I1478" s="57"/>
      <c r="J1478" s="57"/>
      <c r="K1478" s="57"/>
    </row>
    <row r="1479" spans="1:29" ht="13.8" hidden="1" x14ac:dyDescent="0.25">
      <c r="C1479" s="39" t="s">
        <v>49</v>
      </c>
      <c r="H1479" s="40">
        <f>I1477+0</f>
        <v>170281.16</v>
      </c>
      <c r="I1479" s="40"/>
      <c r="J1479" s="40">
        <f>K1477+0</f>
        <v>1675566.61</v>
      </c>
      <c r="K1479" s="40"/>
      <c r="O1479" s="42">
        <f>I1477+0</f>
        <v>170281.16</v>
      </c>
      <c r="P1479" s="42">
        <f>K1477+0</f>
        <v>1675566.61</v>
      </c>
    </row>
    <row r="1480" spans="1:29" hidden="1" x14ac:dyDescent="0.25"/>
    <row r="1481" spans="1:29" ht="330" x14ac:dyDescent="0.25">
      <c r="A1481" s="46">
        <v>135</v>
      </c>
      <c r="B1481" s="46" t="str">
        <f>[1]Source!F1322</f>
        <v>КА 47</v>
      </c>
      <c r="C1481" s="46" t="s">
        <v>322</v>
      </c>
      <c r="D1481" s="47" t="str">
        <f>[1]Source!H1322</f>
        <v>ШТ</v>
      </c>
      <c r="E1481" s="48">
        <f>[1]Source!I1322</f>
        <v>16</v>
      </c>
      <c r="F1481" s="37">
        <f>[1]Source!AL1322</f>
        <v>49017.23</v>
      </c>
      <c r="G1481" s="38"/>
      <c r="H1481" s="36">
        <f>[1]Source!AW1323</f>
        <v>1</v>
      </c>
      <c r="I1481" s="37">
        <f>[1]Source!P1322</f>
        <v>784275.68</v>
      </c>
      <c r="J1481" s="36">
        <f>IF([1]Source!BC1323&lt;&gt; 0, [1]Source!BC1323, 1)</f>
        <v>9.84</v>
      </c>
      <c r="K1481" s="49">
        <f>[1]Source!P1323</f>
        <v>7717272.6900000004</v>
      </c>
      <c r="L1481">
        <f>576903.99</f>
        <v>576903.99</v>
      </c>
      <c r="M1481" s="50">
        <f>L1481*E1481</f>
        <v>9230463.8399999999</v>
      </c>
      <c r="N1481" s="64" t="s">
        <v>926</v>
      </c>
      <c r="Q1481">
        <f>[1]Source!X1322</f>
        <v>0</v>
      </c>
      <c r="R1481">
        <f>[1]Source!X1323</f>
        <v>0</v>
      </c>
      <c r="S1481">
        <f>[1]Source!Y1322</f>
        <v>0</v>
      </c>
      <c r="T1481">
        <f>[1]Source!Y1323</f>
        <v>0</v>
      </c>
      <c r="U1481">
        <f>ROUND((175/100)*ROUND([1]Source!R1322, 2), 2)</f>
        <v>0</v>
      </c>
      <c r="V1481">
        <f>ROUND((0/100)*ROUND([1]Source!R1323, 2), 2)</f>
        <v>0</v>
      </c>
      <c r="AC1481">
        <v>3</v>
      </c>
    </row>
    <row r="1482" spans="1:29" ht="13.8" hidden="1" x14ac:dyDescent="0.25">
      <c r="C1482" s="39" t="s">
        <v>49</v>
      </c>
      <c r="H1482" s="40">
        <f>I1481+0</f>
        <v>784275.68</v>
      </c>
      <c r="I1482" s="40"/>
      <c r="J1482" s="40">
        <f>K1481+0</f>
        <v>7717272.6900000004</v>
      </c>
      <c r="K1482" s="40"/>
      <c r="O1482" s="42">
        <f>I1481+0</f>
        <v>784275.68</v>
      </c>
      <c r="P1482" s="42">
        <f>K1481+0</f>
        <v>7717272.6900000004</v>
      </c>
    </row>
    <row r="1483" spans="1:29" hidden="1" x14ac:dyDescent="0.25"/>
    <row r="1484" spans="1:29" ht="330" x14ac:dyDescent="0.25">
      <c r="A1484" s="46">
        <v>136</v>
      </c>
      <c r="B1484" s="46" t="str">
        <f>[1]Source!F1324</f>
        <v>КА 50</v>
      </c>
      <c r="C1484" s="46" t="s">
        <v>323</v>
      </c>
      <c r="D1484" s="47" t="str">
        <f>[1]Source!H1324</f>
        <v>ШТ</v>
      </c>
      <c r="E1484" s="48">
        <f>[1]Source!I1324</f>
        <v>16</v>
      </c>
      <c r="F1484" s="37">
        <f>[1]Source!AL1324</f>
        <v>42467.96</v>
      </c>
      <c r="G1484" s="38"/>
      <c r="H1484" s="36">
        <f>[1]Source!AW1325</f>
        <v>1</v>
      </c>
      <c r="I1484" s="37">
        <f>[1]Source!P1324</f>
        <v>679487.36</v>
      </c>
      <c r="J1484" s="36">
        <f>IF([1]Source!BC1325&lt;&gt; 0, [1]Source!BC1325, 1)</f>
        <v>9.84</v>
      </c>
      <c r="K1484" s="49">
        <f>[1]Source!P1325</f>
        <v>6686155.6200000001</v>
      </c>
      <c r="L1484">
        <f>499822.87</f>
        <v>499822.87</v>
      </c>
      <c r="M1484" s="50">
        <f>L1484*E1484</f>
        <v>7997165.9199999999</v>
      </c>
      <c r="N1484" s="64" t="s">
        <v>926</v>
      </c>
      <c r="Q1484">
        <f>[1]Source!X1324</f>
        <v>0</v>
      </c>
      <c r="R1484">
        <f>[1]Source!X1325</f>
        <v>0</v>
      </c>
      <c r="S1484">
        <f>[1]Source!Y1324</f>
        <v>0</v>
      </c>
      <c r="T1484">
        <f>[1]Source!Y1325</f>
        <v>0</v>
      </c>
      <c r="U1484">
        <f>ROUND((175/100)*ROUND([1]Source!R1324, 2), 2)</f>
        <v>0</v>
      </c>
      <c r="V1484">
        <f>ROUND((0/100)*ROUND([1]Source!R1325, 2), 2)</f>
        <v>0</v>
      </c>
      <c r="AC1484">
        <v>3</v>
      </c>
    </row>
    <row r="1485" spans="1:29" ht="13.8" hidden="1" x14ac:dyDescent="0.25">
      <c r="C1485" s="39" t="s">
        <v>49</v>
      </c>
      <c r="H1485" s="40">
        <f>I1484+0</f>
        <v>679487.36</v>
      </c>
      <c r="I1485" s="40"/>
      <c r="J1485" s="40">
        <f>K1484+0</f>
        <v>6686155.6200000001</v>
      </c>
      <c r="K1485" s="40"/>
      <c r="O1485" s="42">
        <f>I1484+0</f>
        <v>679487.36</v>
      </c>
      <c r="P1485" s="42">
        <f>K1484+0</f>
        <v>6686155.6200000001</v>
      </c>
    </row>
    <row r="1486" spans="1:29" hidden="1" x14ac:dyDescent="0.25"/>
    <row r="1487" spans="1:29" ht="330" x14ac:dyDescent="0.25">
      <c r="A1487" s="46">
        <v>137</v>
      </c>
      <c r="B1487" s="46" t="str">
        <f>[1]Source!F1326</f>
        <v>КА 52</v>
      </c>
      <c r="C1487" s="46" t="s">
        <v>324</v>
      </c>
      <c r="D1487" s="47" t="str">
        <f>[1]Source!H1326</f>
        <v>ШТ</v>
      </c>
      <c r="E1487" s="48">
        <f>[1]Source!I1326</f>
        <v>1</v>
      </c>
      <c r="F1487" s="37">
        <f>[1]Source!AL1326</f>
        <v>42570.29</v>
      </c>
      <c r="G1487" s="38"/>
      <c r="H1487" s="36">
        <f>[1]Source!AW1327</f>
        <v>1</v>
      </c>
      <c r="I1487" s="37">
        <f>[1]Source!P1326</f>
        <v>42570.29</v>
      </c>
      <c r="J1487" s="36">
        <f>IF([1]Source!BC1327&lt;&gt; 0, [1]Source!BC1327, 1)</f>
        <v>9.84</v>
      </c>
      <c r="K1487" s="49">
        <f>[1]Source!P1327</f>
        <v>418891.65</v>
      </c>
      <c r="L1487">
        <f>501027.26</f>
        <v>501027.26</v>
      </c>
      <c r="M1487" s="50">
        <f>L1487*E1487</f>
        <v>501027.26</v>
      </c>
      <c r="N1487" s="64" t="s">
        <v>926</v>
      </c>
      <c r="Q1487">
        <f>[1]Source!X1326</f>
        <v>0</v>
      </c>
      <c r="R1487">
        <f>[1]Source!X1327</f>
        <v>0</v>
      </c>
      <c r="S1487">
        <f>[1]Source!Y1326</f>
        <v>0</v>
      </c>
      <c r="T1487">
        <f>[1]Source!Y1327</f>
        <v>0</v>
      </c>
      <c r="U1487">
        <f>ROUND((175/100)*ROUND([1]Source!R1326, 2), 2)</f>
        <v>0</v>
      </c>
      <c r="V1487">
        <f>ROUND((0/100)*ROUND([1]Source!R1327, 2), 2)</f>
        <v>0</v>
      </c>
      <c r="AC1487">
        <v>3</v>
      </c>
    </row>
    <row r="1488" spans="1:29" ht="13.8" hidden="1" x14ac:dyDescent="0.25">
      <c r="C1488" s="39" t="s">
        <v>49</v>
      </c>
      <c r="H1488" s="40">
        <f>I1487+0</f>
        <v>42570.29</v>
      </c>
      <c r="I1488" s="40"/>
      <c r="J1488" s="40">
        <f>K1487+0</f>
        <v>418891.65</v>
      </c>
      <c r="K1488" s="40"/>
      <c r="O1488" s="42">
        <f>I1487+0</f>
        <v>42570.29</v>
      </c>
      <c r="P1488" s="42">
        <f>K1487+0</f>
        <v>418891.65</v>
      </c>
    </row>
    <row r="1489" spans="1:29" hidden="1" x14ac:dyDescent="0.25"/>
    <row r="1490" spans="1:29" ht="330" x14ac:dyDescent="0.25">
      <c r="A1490" s="46">
        <v>138</v>
      </c>
      <c r="B1490" s="46" t="str">
        <f>[1]Source!F1328</f>
        <v>КА 31</v>
      </c>
      <c r="C1490" s="46" t="s">
        <v>325</v>
      </c>
      <c r="D1490" s="47" t="str">
        <f>[1]Source!H1328</f>
        <v>ШТ</v>
      </c>
      <c r="E1490" s="48">
        <f>[1]Source!I1328</f>
        <v>2</v>
      </c>
      <c r="F1490" s="37">
        <f>[1]Source!AL1328</f>
        <v>44207.61</v>
      </c>
      <c r="G1490" s="38"/>
      <c r="H1490" s="36">
        <f>[1]Source!AW1329</f>
        <v>1</v>
      </c>
      <c r="I1490" s="37">
        <f>[1]Source!P1328</f>
        <v>88415.22</v>
      </c>
      <c r="J1490" s="36">
        <f>IF([1]Source!BC1329&lt;&gt; 0, [1]Source!BC1329, 1)</f>
        <v>9.84</v>
      </c>
      <c r="K1490" s="49">
        <f>[1]Source!P1329</f>
        <v>870005.76000000001</v>
      </c>
      <c r="L1490">
        <f>520297.54</f>
        <v>520297.54</v>
      </c>
      <c r="M1490" s="50">
        <f>L1490*E1490</f>
        <v>1040595.08</v>
      </c>
      <c r="N1490" s="64" t="s">
        <v>926</v>
      </c>
      <c r="Q1490">
        <f>[1]Source!X1328</f>
        <v>0</v>
      </c>
      <c r="R1490">
        <f>[1]Source!X1329</f>
        <v>0</v>
      </c>
      <c r="S1490">
        <f>[1]Source!Y1328</f>
        <v>0</v>
      </c>
      <c r="T1490">
        <f>[1]Source!Y1329</f>
        <v>0</v>
      </c>
      <c r="U1490">
        <f>ROUND((175/100)*ROUND([1]Source!R1328, 2), 2)</f>
        <v>0</v>
      </c>
      <c r="V1490">
        <f>ROUND((0/100)*ROUND([1]Source!R1329, 2), 2)</f>
        <v>0</v>
      </c>
      <c r="AC1490">
        <v>3</v>
      </c>
    </row>
    <row r="1491" spans="1:29" ht="13.8" hidden="1" x14ac:dyDescent="0.25">
      <c r="C1491" s="39" t="s">
        <v>49</v>
      </c>
      <c r="H1491" s="40">
        <f>I1490+0</f>
        <v>88415.22</v>
      </c>
      <c r="I1491" s="40"/>
      <c r="J1491" s="40">
        <f>K1490+0</f>
        <v>870005.76000000001</v>
      </c>
      <c r="K1491" s="40"/>
      <c r="O1491" s="42">
        <f>I1490+0</f>
        <v>88415.22</v>
      </c>
      <c r="P1491" s="42">
        <f>K1490+0</f>
        <v>870005.76000000001</v>
      </c>
    </row>
    <row r="1492" spans="1:29" hidden="1" x14ac:dyDescent="0.25"/>
    <row r="1493" spans="1:29" ht="330" x14ac:dyDescent="0.25">
      <c r="A1493" s="46">
        <v>139</v>
      </c>
      <c r="B1493" s="46" t="str">
        <f>[1]Source!F1330</f>
        <v>КА 25</v>
      </c>
      <c r="C1493" s="46" t="s">
        <v>326</v>
      </c>
      <c r="D1493" s="47" t="str">
        <f>[1]Source!H1330</f>
        <v>ШТ</v>
      </c>
      <c r="E1493" s="48">
        <f>[1]Source!I1330</f>
        <v>4</v>
      </c>
      <c r="F1493" s="37">
        <f>[1]Source!AL1330</f>
        <v>45026.270000000004</v>
      </c>
      <c r="G1493" s="38"/>
      <c r="H1493" s="36">
        <f>[1]Source!AW1331</f>
        <v>1</v>
      </c>
      <c r="I1493" s="37">
        <f>[1]Source!P1330</f>
        <v>180105.08</v>
      </c>
      <c r="J1493" s="36">
        <f>IF([1]Source!BC1331&lt;&gt; 0, [1]Source!BC1331, 1)</f>
        <v>9.84</v>
      </c>
      <c r="K1493" s="49">
        <f>[1]Source!P1331</f>
        <v>1772233.99</v>
      </c>
      <c r="L1493">
        <f>529932.68</f>
        <v>529932.68000000005</v>
      </c>
      <c r="M1493" s="50">
        <f>L1493*E1493</f>
        <v>2119730.7200000002</v>
      </c>
      <c r="N1493" s="64" t="s">
        <v>926</v>
      </c>
      <c r="Q1493">
        <f>[1]Source!X1330</f>
        <v>0</v>
      </c>
      <c r="R1493">
        <f>[1]Source!X1331</f>
        <v>0</v>
      </c>
      <c r="S1493">
        <f>[1]Source!Y1330</f>
        <v>0</v>
      </c>
      <c r="T1493">
        <f>[1]Source!Y1331</f>
        <v>0</v>
      </c>
      <c r="U1493">
        <f>ROUND((175/100)*ROUND([1]Source!R1330, 2), 2)</f>
        <v>0</v>
      </c>
      <c r="V1493">
        <f>ROUND((0/100)*ROUND([1]Source!R1331, 2), 2)</f>
        <v>0</v>
      </c>
      <c r="AC1493">
        <v>3</v>
      </c>
    </row>
    <row r="1494" spans="1:29" ht="13.8" hidden="1" x14ac:dyDescent="0.25">
      <c r="C1494" s="39" t="s">
        <v>49</v>
      </c>
      <c r="H1494" s="40">
        <f>I1493+0</f>
        <v>180105.08</v>
      </c>
      <c r="I1494" s="40"/>
      <c r="J1494" s="40">
        <f>K1493+0</f>
        <v>1772233.99</v>
      </c>
      <c r="K1494" s="40"/>
      <c r="O1494" s="42">
        <f>I1493+0</f>
        <v>180105.08</v>
      </c>
      <c r="P1494" s="42">
        <f>K1493+0</f>
        <v>1772233.99</v>
      </c>
    </row>
    <row r="1495" spans="1:29" hidden="1" x14ac:dyDescent="0.25"/>
    <row r="1496" spans="1:29" ht="330" x14ac:dyDescent="0.25">
      <c r="A1496" s="46">
        <v>140</v>
      </c>
      <c r="B1496" s="46" t="str">
        <f>[1]Source!F1332</f>
        <v>КА 29</v>
      </c>
      <c r="C1496" s="46" t="s">
        <v>327</v>
      </c>
      <c r="D1496" s="47" t="str">
        <f>[1]Source!H1332</f>
        <v>ШТ</v>
      </c>
      <c r="E1496" s="48">
        <f>[1]Source!I1332</f>
        <v>2</v>
      </c>
      <c r="F1496" s="37">
        <f>[1]Source!AL1332</f>
        <v>46663.58</v>
      </c>
      <c r="G1496" s="38"/>
      <c r="H1496" s="36">
        <f>[1]Source!AW1333</f>
        <v>1</v>
      </c>
      <c r="I1496" s="37">
        <f>[1]Source!P1332</f>
        <v>93327.16</v>
      </c>
      <c r="J1496" s="36">
        <f>IF([1]Source!BC1333&lt;&gt; 0, [1]Source!BC1333, 1)</f>
        <v>9.84</v>
      </c>
      <c r="K1496" s="49">
        <f>[1]Source!P1333</f>
        <v>918339.25</v>
      </c>
      <c r="L1496">
        <f>549202.96</f>
        <v>549202.96</v>
      </c>
      <c r="M1496" s="50">
        <f>L1496*E1496</f>
        <v>1098405.92</v>
      </c>
      <c r="N1496" s="64" t="s">
        <v>926</v>
      </c>
      <c r="Q1496">
        <f>[1]Source!X1332</f>
        <v>0</v>
      </c>
      <c r="R1496">
        <f>[1]Source!X1333</f>
        <v>0</v>
      </c>
      <c r="S1496">
        <f>[1]Source!Y1332</f>
        <v>0</v>
      </c>
      <c r="T1496">
        <f>[1]Source!Y1333</f>
        <v>0</v>
      </c>
      <c r="U1496">
        <f>ROUND((175/100)*ROUND([1]Source!R1332, 2), 2)</f>
        <v>0</v>
      </c>
      <c r="V1496">
        <f>ROUND((0/100)*ROUND([1]Source!R1333, 2), 2)</f>
        <v>0</v>
      </c>
      <c r="AC1496">
        <v>3</v>
      </c>
    </row>
    <row r="1497" spans="1:29" ht="13.8" hidden="1" x14ac:dyDescent="0.25">
      <c r="C1497" s="39" t="s">
        <v>49</v>
      </c>
      <c r="H1497" s="40">
        <f>I1496+0</f>
        <v>93327.16</v>
      </c>
      <c r="I1497" s="40"/>
      <c r="J1497" s="40">
        <f>K1496+0</f>
        <v>918339.25</v>
      </c>
      <c r="K1497" s="40"/>
      <c r="O1497" s="42">
        <f>I1496+0</f>
        <v>93327.16</v>
      </c>
      <c r="P1497" s="42">
        <f>K1496+0</f>
        <v>918339.25</v>
      </c>
    </row>
    <row r="1498" spans="1:29" hidden="1" x14ac:dyDescent="0.25"/>
    <row r="1499" spans="1:29" ht="343.8" x14ac:dyDescent="0.25">
      <c r="A1499" s="46">
        <v>141</v>
      </c>
      <c r="B1499" s="46" t="str">
        <f>[1]Source!F1334</f>
        <v>КА 34. 35. 81</v>
      </c>
      <c r="C1499" s="46" t="s">
        <v>328</v>
      </c>
      <c r="D1499" s="47" t="str">
        <f>[1]Source!H1334</f>
        <v>ШТ</v>
      </c>
      <c r="E1499" s="48">
        <f>[1]Source!I1334</f>
        <v>3</v>
      </c>
      <c r="F1499" s="37">
        <f>[1]Source!AL1334</f>
        <v>45844.93</v>
      </c>
      <c r="G1499" s="38"/>
      <c r="H1499" s="36">
        <f>[1]Source!AW1335</f>
        <v>1</v>
      </c>
      <c r="I1499" s="37">
        <f>[1]Source!P1334</f>
        <v>137534.79</v>
      </c>
      <c r="J1499" s="36">
        <f>IF([1]Source!BC1335&lt;&gt; 0, [1]Source!BC1335, 1)</f>
        <v>9.84</v>
      </c>
      <c r="K1499" s="49">
        <f>[1]Source!P1335</f>
        <v>1353342.33</v>
      </c>
      <c r="L1499">
        <f>539567.82</f>
        <v>539567.81999999995</v>
      </c>
      <c r="M1499" s="50">
        <f>L1499*E1499</f>
        <v>1618703.46</v>
      </c>
      <c r="N1499" s="64" t="s">
        <v>926</v>
      </c>
      <c r="Q1499">
        <f>[1]Source!X1334</f>
        <v>0</v>
      </c>
      <c r="R1499">
        <f>[1]Source!X1335</f>
        <v>0</v>
      </c>
      <c r="S1499">
        <f>[1]Source!Y1334</f>
        <v>0</v>
      </c>
      <c r="T1499">
        <f>[1]Source!Y1335</f>
        <v>0</v>
      </c>
      <c r="U1499">
        <f>ROUND((175/100)*ROUND([1]Source!R1334, 2), 2)</f>
        <v>0</v>
      </c>
      <c r="V1499">
        <f>ROUND((0/100)*ROUND([1]Source!R1335, 2), 2)</f>
        <v>0</v>
      </c>
      <c r="AC1499">
        <v>3</v>
      </c>
    </row>
    <row r="1500" spans="1:29" ht="13.8" hidden="1" x14ac:dyDescent="0.25">
      <c r="C1500" s="39" t="s">
        <v>49</v>
      </c>
      <c r="H1500" s="40">
        <f>I1499+0</f>
        <v>137534.79</v>
      </c>
      <c r="I1500" s="40"/>
      <c r="J1500" s="40">
        <f>K1499+0</f>
        <v>1353342.33</v>
      </c>
      <c r="K1500" s="40"/>
      <c r="O1500" s="42">
        <f>I1499+0</f>
        <v>137534.79</v>
      </c>
      <c r="P1500" s="42">
        <f>K1499+0</f>
        <v>1353342.33</v>
      </c>
    </row>
    <row r="1501" spans="1:29" hidden="1" x14ac:dyDescent="0.25"/>
    <row r="1502" spans="1:29" ht="330" x14ac:dyDescent="0.25">
      <c r="A1502" s="46">
        <v>142</v>
      </c>
      <c r="B1502" s="46" t="str">
        <f>[1]Source!F1336</f>
        <v>КА 63</v>
      </c>
      <c r="C1502" s="46" t="s">
        <v>329</v>
      </c>
      <c r="D1502" s="47" t="str">
        <f>[1]Source!H1336</f>
        <v>ШТ</v>
      </c>
      <c r="E1502" s="48">
        <f>[1]Source!I1336</f>
        <v>1</v>
      </c>
      <c r="F1502" s="37">
        <f>[1]Source!AL1336</f>
        <v>47482.239999999998</v>
      </c>
      <c r="G1502" s="38"/>
      <c r="H1502" s="36">
        <f>[1]Source!AW1337</f>
        <v>1</v>
      </c>
      <c r="I1502" s="37">
        <f>[1]Source!P1336</f>
        <v>47482.239999999998</v>
      </c>
      <c r="J1502" s="36">
        <f>IF([1]Source!BC1337&lt;&gt; 0, [1]Source!BC1337, 1)</f>
        <v>9.84</v>
      </c>
      <c r="K1502" s="49">
        <f>[1]Source!P1337</f>
        <v>467225.24</v>
      </c>
      <c r="L1502">
        <f>558838.1</f>
        <v>558838.1</v>
      </c>
      <c r="M1502" s="50">
        <f>L1502*E1502</f>
        <v>558838.1</v>
      </c>
      <c r="N1502" s="64" t="s">
        <v>926</v>
      </c>
      <c r="Q1502">
        <f>[1]Source!X1336</f>
        <v>0</v>
      </c>
      <c r="R1502">
        <f>[1]Source!X1337</f>
        <v>0</v>
      </c>
      <c r="S1502">
        <f>[1]Source!Y1336</f>
        <v>0</v>
      </c>
      <c r="T1502">
        <f>[1]Source!Y1337</f>
        <v>0</v>
      </c>
      <c r="U1502">
        <f>ROUND((175/100)*ROUND([1]Source!R1336, 2), 2)</f>
        <v>0</v>
      </c>
      <c r="V1502">
        <f>ROUND((0/100)*ROUND([1]Source!R1337, 2), 2)</f>
        <v>0</v>
      </c>
      <c r="AC1502">
        <v>3</v>
      </c>
    </row>
    <row r="1503" spans="1:29" ht="13.8" hidden="1" x14ac:dyDescent="0.25">
      <c r="C1503" s="39" t="s">
        <v>49</v>
      </c>
      <c r="H1503" s="40">
        <f>I1502+0</f>
        <v>47482.239999999998</v>
      </c>
      <c r="I1503" s="40"/>
      <c r="J1503" s="40">
        <f>K1502+0</f>
        <v>467225.24</v>
      </c>
      <c r="K1503" s="40"/>
      <c r="O1503" s="42">
        <f>I1502+0</f>
        <v>47482.239999999998</v>
      </c>
      <c r="P1503" s="42">
        <f>K1502+0</f>
        <v>467225.24</v>
      </c>
    </row>
    <row r="1504" spans="1:29" hidden="1" x14ac:dyDescent="0.25"/>
    <row r="1505" spans="1:29" ht="330" x14ac:dyDescent="0.25">
      <c r="A1505" s="46">
        <v>143</v>
      </c>
      <c r="B1505" s="46" t="str">
        <f>[1]Source!F1338</f>
        <v>КА 48</v>
      </c>
      <c r="C1505" s="46" t="s">
        <v>330</v>
      </c>
      <c r="D1505" s="47" t="str">
        <f>[1]Source!H1338</f>
        <v>ШТ</v>
      </c>
      <c r="E1505" s="48">
        <f>[1]Source!I1338</f>
        <v>16</v>
      </c>
      <c r="F1505" s="37">
        <f>[1]Source!AL1338</f>
        <v>50347.56</v>
      </c>
      <c r="G1505" s="38"/>
      <c r="H1505" s="36">
        <f>[1]Source!AW1339</f>
        <v>1</v>
      </c>
      <c r="I1505" s="37">
        <f>[1]Source!P1338</f>
        <v>805560.96</v>
      </c>
      <c r="J1505" s="36">
        <f>IF([1]Source!BC1339&lt;&gt; 0, [1]Source!BC1339, 1)</f>
        <v>9.84</v>
      </c>
      <c r="K1505" s="49">
        <f>[1]Source!P1339</f>
        <v>7926719.8499999996</v>
      </c>
      <c r="L1505">
        <f>592561.09</f>
        <v>592561.09</v>
      </c>
      <c r="M1505" s="50">
        <f>L1505*E1505</f>
        <v>9480977.4399999995</v>
      </c>
      <c r="N1505" s="64" t="s">
        <v>926</v>
      </c>
      <c r="Q1505">
        <f>[1]Source!X1338</f>
        <v>0</v>
      </c>
      <c r="R1505">
        <f>[1]Source!X1339</f>
        <v>0</v>
      </c>
      <c r="S1505">
        <f>[1]Source!Y1338</f>
        <v>0</v>
      </c>
      <c r="T1505">
        <f>[1]Source!Y1339</f>
        <v>0</v>
      </c>
      <c r="U1505">
        <f>ROUND((175/100)*ROUND([1]Source!R1338, 2), 2)</f>
        <v>0</v>
      </c>
      <c r="V1505">
        <f>ROUND((0/100)*ROUND([1]Source!R1339, 2), 2)</f>
        <v>0</v>
      </c>
      <c r="AC1505">
        <v>3</v>
      </c>
    </row>
    <row r="1506" spans="1:29" ht="13.8" hidden="1" x14ac:dyDescent="0.25">
      <c r="C1506" s="39" t="s">
        <v>49</v>
      </c>
      <c r="H1506" s="40">
        <f>I1505+0</f>
        <v>805560.96</v>
      </c>
      <c r="I1506" s="40"/>
      <c r="J1506" s="40">
        <f>K1505+0</f>
        <v>7926719.8499999996</v>
      </c>
      <c r="K1506" s="40"/>
      <c r="O1506" s="42">
        <f>I1505+0</f>
        <v>805560.96</v>
      </c>
      <c r="P1506" s="42">
        <f>K1505+0</f>
        <v>7926719.8499999996</v>
      </c>
    </row>
    <row r="1507" spans="1:29" hidden="1" x14ac:dyDescent="0.25"/>
    <row r="1508" spans="1:29" ht="343.8" x14ac:dyDescent="0.25">
      <c r="A1508" s="53">
        <v>144</v>
      </c>
      <c r="B1508" s="53" t="str">
        <f>[1]Source!F1340</f>
        <v>КА 23.65. 73.79</v>
      </c>
      <c r="C1508" s="53" t="s">
        <v>331</v>
      </c>
      <c r="D1508" s="54" t="str">
        <f>[1]Source!H1340</f>
        <v>ШТ</v>
      </c>
      <c r="E1508" s="55">
        <f>[1]Source!I1340</f>
        <v>9</v>
      </c>
      <c r="F1508" s="30">
        <f>[1]Source!AL1340</f>
        <v>50756.880000000005</v>
      </c>
      <c r="G1508" s="31"/>
      <c r="H1508" s="29">
        <f>[1]Source!AW1341</f>
        <v>1</v>
      </c>
      <c r="I1508" s="30">
        <f>[1]Source!P1340</f>
        <v>456811.92</v>
      </c>
      <c r="J1508" s="29">
        <f>IF([1]Source!BC1341&lt;&gt; 0, [1]Source!BC1341, 1)</f>
        <v>9.84</v>
      </c>
      <c r="K1508" s="56">
        <f>[1]Source!P1341</f>
        <v>4495029.29</v>
      </c>
      <c r="L1508">
        <f>597378.66</f>
        <v>597378.66</v>
      </c>
      <c r="M1508" s="50">
        <f>L1508*E1508</f>
        <v>5376407.9400000004</v>
      </c>
      <c r="N1508" s="64" t="s">
        <v>926</v>
      </c>
      <c r="Q1508">
        <f>[1]Source!X1340</f>
        <v>0</v>
      </c>
      <c r="R1508">
        <f>[1]Source!X1341</f>
        <v>0</v>
      </c>
      <c r="S1508">
        <f>[1]Source!Y1340</f>
        <v>0</v>
      </c>
      <c r="T1508">
        <f>[1]Source!Y1341</f>
        <v>0</v>
      </c>
      <c r="U1508">
        <f>ROUND((175/100)*ROUND([1]Source!R1340, 2), 2)</f>
        <v>0</v>
      </c>
      <c r="V1508">
        <f>ROUND((0/100)*ROUND([1]Source!R1341, 2), 2)</f>
        <v>0</v>
      </c>
      <c r="AC1508">
        <v>3</v>
      </c>
    </row>
    <row r="1509" spans="1:29" hidden="1" x14ac:dyDescent="0.25">
      <c r="A1509" s="57"/>
      <c r="B1509" s="57"/>
      <c r="C1509" s="58" t="str">
        <f>"Объем: "&amp;[1]Source!I1340&amp;"=4+"&amp;"2+"&amp;"1+"&amp;"1+"&amp;"1"</f>
        <v>Объем: 9=4+2+1+1+1</v>
      </c>
      <c r="D1509" s="57"/>
      <c r="E1509" s="57"/>
      <c r="F1509" s="57"/>
      <c r="G1509" s="57"/>
      <c r="H1509" s="57"/>
      <c r="I1509" s="57"/>
      <c r="J1509" s="57"/>
      <c r="K1509" s="57"/>
    </row>
    <row r="1510" spans="1:29" ht="13.8" hidden="1" x14ac:dyDescent="0.25">
      <c r="C1510" s="39" t="s">
        <v>49</v>
      </c>
      <c r="H1510" s="40">
        <f>I1508+0</f>
        <v>456811.92</v>
      </c>
      <c r="I1510" s="40"/>
      <c r="J1510" s="40">
        <f>K1508+0</f>
        <v>4495029.29</v>
      </c>
      <c r="K1510" s="40"/>
      <c r="O1510" s="42">
        <f>I1508+0</f>
        <v>456811.92</v>
      </c>
      <c r="P1510" s="42">
        <f>K1508+0</f>
        <v>4495029.29</v>
      </c>
    </row>
    <row r="1511" spans="1:29" hidden="1" x14ac:dyDescent="0.25"/>
    <row r="1512" spans="1:29" ht="330" x14ac:dyDescent="0.25">
      <c r="A1512" s="46">
        <v>145</v>
      </c>
      <c r="B1512" s="46" t="str">
        <f>[1]Source!F1342</f>
        <v>КА 64</v>
      </c>
      <c r="C1512" s="46" t="s">
        <v>332</v>
      </c>
      <c r="D1512" s="47" t="str">
        <f>[1]Source!H1342</f>
        <v>ШТ</v>
      </c>
      <c r="E1512" s="48">
        <f>[1]Source!I1342</f>
        <v>2</v>
      </c>
      <c r="F1512" s="37">
        <f>[1]Source!AL1342</f>
        <v>47957.060000000005</v>
      </c>
      <c r="G1512" s="38"/>
      <c r="H1512" s="36">
        <f>[1]Source!AW1343</f>
        <v>1</v>
      </c>
      <c r="I1512" s="37">
        <f>[1]Source!P1342</f>
        <v>95914.12</v>
      </c>
      <c r="J1512" s="36">
        <f>IF([1]Source!BC1343&lt;&gt; 0, [1]Source!BC1343, 1)</f>
        <v>9.84</v>
      </c>
      <c r="K1512" s="49">
        <f>[1]Source!P1343</f>
        <v>943794.94</v>
      </c>
      <c r="L1512">
        <f>564426.48</f>
        <v>564426.48</v>
      </c>
      <c r="M1512" s="50">
        <f>L1512*E1512</f>
        <v>1128852.96</v>
      </c>
      <c r="N1512" s="64" t="s">
        <v>926</v>
      </c>
      <c r="Q1512">
        <f>[1]Source!X1342</f>
        <v>0</v>
      </c>
      <c r="R1512">
        <f>[1]Source!X1343</f>
        <v>0</v>
      </c>
      <c r="S1512">
        <f>[1]Source!Y1342</f>
        <v>0</v>
      </c>
      <c r="T1512">
        <f>[1]Source!Y1343</f>
        <v>0</v>
      </c>
      <c r="U1512">
        <f>ROUND((175/100)*ROUND([1]Source!R1342, 2), 2)</f>
        <v>0</v>
      </c>
      <c r="V1512">
        <f>ROUND((0/100)*ROUND([1]Source!R1343, 2), 2)</f>
        <v>0</v>
      </c>
      <c r="AC1512">
        <v>3</v>
      </c>
    </row>
    <row r="1513" spans="1:29" ht="13.8" hidden="1" x14ac:dyDescent="0.25">
      <c r="C1513" s="39" t="s">
        <v>49</v>
      </c>
      <c r="H1513" s="40">
        <f>I1512+0</f>
        <v>95914.12</v>
      </c>
      <c r="I1513" s="40"/>
      <c r="J1513" s="40">
        <f>K1512+0</f>
        <v>943794.94</v>
      </c>
      <c r="K1513" s="40"/>
      <c r="O1513" s="42">
        <f>I1512+0</f>
        <v>95914.12</v>
      </c>
      <c r="P1513" s="42">
        <f>K1512+0</f>
        <v>943794.94</v>
      </c>
    </row>
    <row r="1514" spans="1:29" hidden="1" x14ac:dyDescent="0.25"/>
    <row r="1515" spans="1:29" ht="343.8" x14ac:dyDescent="0.25">
      <c r="A1515" s="53">
        <v>146</v>
      </c>
      <c r="B1515" s="53" t="str">
        <f>[1]Source!F1344</f>
        <v>КА 56.58</v>
      </c>
      <c r="C1515" s="53" t="s">
        <v>333</v>
      </c>
      <c r="D1515" s="54" t="str">
        <f>[1]Source!H1344</f>
        <v>ШТ</v>
      </c>
      <c r="E1515" s="55">
        <f>[1]Source!I1344</f>
        <v>7</v>
      </c>
      <c r="F1515" s="30">
        <f>[1]Source!AL1344</f>
        <v>40114.32</v>
      </c>
      <c r="G1515" s="31"/>
      <c r="H1515" s="29">
        <f>[1]Source!AW1345</f>
        <v>1</v>
      </c>
      <c r="I1515" s="30">
        <f>[1]Source!P1344</f>
        <v>280800.24</v>
      </c>
      <c r="J1515" s="29">
        <f>IF([1]Source!BC1345&lt;&gt; 0, [1]Source!BC1345, 1)</f>
        <v>9.84</v>
      </c>
      <c r="K1515" s="56">
        <f>[1]Source!P1345</f>
        <v>2763074.36</v>
      </c>
      <c r="L1515">
        <f>472121.84</f>
        <v>472121.84</v>
      </c>
      <c r="M1515" s="50">
        <f>L1515*E1515</f>
        <v>3304852.8800000004</v>
      </c>
      <c r="N1515" s="64" t="s">
        <v>926</v>
      </c>
      <c r="Q1515">
        <f>[1]Source!X1344</f>
        <v>0</v>
      </c>
      <c r="R1515">
        <f>[1]Source!X1345</f>
        <v>0</v>
      </c>
      <c r="S1515">
        <f>[1]Source!Y1344</f>
        <v>0</v>
      </c>
      <c r="T1515">
        <f>[1]Source!Y1345</f>
        <v>0</v>
      </c>
      <c r="U1515">
        <f>ROUND((175/100)*ROUND([1]Source!R1344, 2), 2)</f>
        <v>0</v>
      </c>
      <c r="V1515">
        <f>ROUND((0/100)*ROUND([1]Source!R1345, 2), 2)</f>
        <v>0</v>
      </c>
      <c r="AC1515">
        <v>3</v>
      </c>
    </row>
    <row r="1516" spans="1:29" hidden="1" x14ac:dyDescent="0.25">
      <c r="A1516" s="57"/>
      <c r="B1516" s="57"/>
      <c r="C1516" s="58" t="str">
        <f>"Объем: "&amp;[1]Source!I1344&amp;"=4+"&amp;"3"</f>
        <v>Объем: 7=4+3</v>
      </c>
      <c r="D1516" s="57"/>
      <c r="E1516" s="57"/>
      <c r="F1516" s="57"/>
      <c r="G1516" s="57"/>
      <c r="H1516" s="57"/>
      <c r="I1516" s="57"/>
      <c r="J1516" s="57"/>
      <c r="K1516" s="57"/>
    </row>
    <row r="1517" spans="1:29" ht="13.8" hidden="1" x14ac:dyDescent="0.25">
      <c r="C1517" s="39" t="s">
        <v>49</v>
      </c>
      <c r="H1517" s="40">
        <f>I1515+0</f>
        <v>280800.24</v>
      </c>
      <c r="I1517" s="40"/>
      <c r="J1517" s="40">
        <f>K1515+0</f>
        <v>2763074.36</v>
      </c>
      <c r="K1517" s="40"/>
      <c r="O1517" s="42">
        <f>I1515+0</f>
        <v>280800.24</v>
      </c>
      <c r="P1517" s="42">
        <f>K1515+0</f>
        <v>2763074.36</v>
      </c>
    </row>
    <row r="1518" spans="1:29" hidden="1" x14ac:dyDescent="0.25"/>
    <row r="1519" spans="1:29" ht="343.8" x14ac:dyDescent="0.25">
      <c r="A1519" s="53">
        <v>147</v>
      </c>
      <c r="B1519" s="53" t="str">
        <f>[1]Source!F1346</f>
        <v>КА 61.76</v>
      </c>
      <c r="C1519" s="53" t="s">
        <v>334</v>
      </c>
      <c r="D1519" s="54" t="str">
        <f>[1]Source!H1346</f>
        <v>ШТ</v>
      </c>
      <c r="E1519" s="55">
        <f>[1]Source!I1346</f>
        <v>6</v>
      </c>
      <c r="F1519" s="30">
        <f>[1]Source!AL1346</f>
        <v>54577.29</v>
      </c>
      <c r="G1519" s="31"/>
      <c r="H1519" s="29">
        <f>[1]Source!AW1347</f>
        <v>1</v>
      </c>
      <c r="I1519" s="30">
        <f>[1]Source!P1346</f>
        <v>327463.74</v>
      </c>
      <c r="J1519" s="29">
        <f>IF([1]Source!BC1347&lt;&gt; 0, [1]Source!BC1347, 1)</f>
        <v>9.84</v>
      </c>
      <c r="K1519" s="56">
        <f>[1]Source!P1347</f>
        <v>3222243.2</v>
      </c>
      <c r="L1519">
        <f>642342.64</f>
        <v>642342.64</v>
      </c>
      <c r="M1519" s="50">
        <f>L1519*E1519</f>
        <v>3854055.84</v>
      </c>
      <c r="N1519" s="64" t="s">
        <v>926</v>
      </c>
      <c r="Q1519">
        <f>[1]Source!X1346</f>
        <v>0</v>
      </c>
      <c r="R1519">
        <f>[1]Source!X1347</f>
        <v>0</v>
      </c>
      <c r="S1519">
        <f>[1]Source!Y1346</f>
        <v>0</v>
      </c>
      <c r="T1519">
        <f>[1]Source!Y1347</f>
        <v>0</v>
      </c>
      <c r="U1519">
        <f>ROUND((175/100)*ROUND([1]Source!R1346, 2), 2)</f>
        <v>0</v>
      </c>
      <c r="V1519">
        <f>ROUND((0/100)*ROUND([1]Source!R1347, 2), 2)</f>
        <v>0</v>
      </c>
      <c r="AC1519">
        <v>3</v>
      </c>
    </row>
    <row r="1520" spans="1:29" hidden="1" x14ac:dyDescent="0.25">
      <c r="A1520" s="57"/>
      <c r="B1520" s="57"/>
      <c r="C1520" s="58" t="str">
        <f>"Объем: "&amp;[1]Source!I1346&amp;"=3+"&amp;"3"</f>
        <v>Объем: 6=3+3</v>
      </c>
      <c r="D1520" s="57"/>
      <c r="E1520" s="57"/>
      <c r="F1520" s="57"/>
      <c r="G1520" s="57"/>
      <c r="H1520" s="57"/>
      <c r="I1520" s="57"/>
      <c r="J1520" s="57"/>
      <c r="K1520" s="57"/>
    </row>
    <row r="1521" spans="1:29" ht="13.8" hidden="1" x14ac:dyDescent="0.25">
      <c r="C1521" s="39" t="s">
        <v>49</v>
      </c>
      <c r="H1521" s="40">
        <f>I1519+0</f>
        <v>327463.74</v>
      </c>
      <c r="I1521" s="40"/>
      <c r="J1521" s="40">
        <f>K1519+0</f>
        <v>3222243.2</v>
      </c>
      <c r="K1521" s="40"/>
      <c r="O1521" s="42">
        <f>I1519+0</f>
        <v>327463.74</v>
      </c>
      <c r="P1521" s="42">
        <f>K1519+0</f>
        <v>3222243.2</v>
      </c>
    </row>
    <row r="1522" spans="1:29" hidden="1" x14ac:dyDescent="0.25"/>
    <row r="1523" spans="1:29" ht="343.8" x14ac:dyDescent="0.25">
      <c r="A1523" s="53">
        <v>148</v>
      </c>
      <c r="B1523" s="53" t="str">
        <f>[1]Source!F1348</f>
        <v>КА  71.84.88</v>
      </c>
      <c r="C1523" s="53" t="s">
        <v>335</v>
      </c>
      <c r="D1523" s="54" t="str">
        <f>[1]Source!H1348</f>
        <v>ШТ</v>
      </c>
      <c r="E1523" s="55">
        <f>[1]Source!I1348</f>
        <v>3</v>
      </c>
      <c r="F1523" s="30">
        <f>[1]Source!AL1348</f>
        <v>54031.520000000004</v>
      </c>
      <c r="G1523" s="31"/>
      <c r="H1523" s="29">
        <f>[1]Source!AW1349</f>
        <v>1</v>
      </c>
      <c r="I1523" s="30">
        <f>[1]Source!P1348</f>
        <v>162094.56</v>
      </c>
      <c r="J1523" s="29">
        <f>IF([1]Source!BC1349&lt;&gt; 0, [1]Source!BC1349, 1)</f>
        <v>9.84</v>
      </c>
      <c r="K1523" s="56">
        <f>[1]Source!P1349</f>
        <v>1595010.47</v>
      </c>
      <c r="L1523">
        <f>635919.22</f>
        <v>635919.22</v>
      </c>
      <c r="M1523" s="50">
        <f>L1523*E1523</f>
        <v>1907757.66</v>
      </c>
      <c r="N1523" s="64" t="s">
        <v>926</v>
      </c>
      <c r="Q1523">
        <f>[1]Source!X1348</f>
        <v>0</v>
      </c>
      <c r="R1523">
        <f>[1]Source!X1349</f>
        <v>0</v>
      </c>
      <c r="S1523">
        <f>[1]Source!Y1348</f>
        <v>0</v>
      </c>
      <c r="T1523">
        <f>[1]Source!Y1349</f>
        <v>0</v>
      </c>
      <c r="U1523">
        <f>ROUND((175/100)*ROUND([1]Source!R1348, 2), 2)</f>
        <v>0</v>
      </c>
      <c r="V1523">
        <f>ROUND((0/100)*ROUND([1]Source!R1349, 2), 2)</f>
        <v>0</v>
      </c>
      <c r="AC1523">
        <v>3</v>
      </c>
    </row>
    <row r="1524" spans="1:29" hidden="1" x14ac:dyDescent="0.25">
      <c r="A1524" s="57"/>
      <c r="B1524" s="57"/>
      <c r="C1524" s="58" t="str">
        <f>"Объем: "&amp;[1]Source!I1348&amp;"=1+"&amp;"1+"&amp;"1"</f>
        <v>Объем: 3=1+1+1</v>
      </c>
      <c r="D1524" s="57"/>
      <c r="E1524" s="57"/>
      <c r="F1524" s="57"/>
      <c r="G1524" s="57"/>
      <c r="H1524" s="57"/>
      <c r="I1524" s="57"/>
      <c r="J1524" s="57"/>
      <c r="K1524" s="57"/>
    </row>
    <row r="1525" spans="1:29" ht="13.8" hidden="1" x14ac:dyDescent="0.25">
      <c r="C1525" s="39" t="s">
        <v>49</v>
      </c>
      <c r="H1525" s="40">
        <f>I1523+0</f>
        <v>162094.56</v>
      </c>
      <c r="I1525" s="40"/>
      <c r="J1525" s="40">
        <f>K1523+0</f>
        <v>1595010.47</v>
      </c>
      <c r="K1525" s="40"/>
      <c r="O1525" s="42">
        <f>I1523+0</f>
        <v>162094.56</v>
      </c>
      <c r="P1525" s="42">
        <f>K1523+0</f>
        <v>1595010.47</v>
      </c>
    </row>
    <row r="1526" spans="1:29" hidden="1" x14ac:dyDescent="0.25"/>
    <row r="1527" spans="1:29" ht="343.8" x14ac:dyDescent="0.25">
      <c r="A1527" s="53">
        <v>149</v>
      </c>
      <c r="B1527" s="53" t="str">
        <f>[1]Source!F1350</f>
        <v>КА 59. 60.85</v>
      </c>
      <c r="C1527" s="53" t="s">
        <v>336</v>
      </c>
      <c r="D1527" s="54" t="str">
        <f>[1]Source!H1350</f>
        <v>ШТ</v>
      </c>
      <c r="E1527" s="55">
        <f>[1]Source!I1350</f>
        <v>10</v>
      </c>
      <c r="F1527" s="30">
        <f>[1]Source!AL1350</f>
        <v>55123.06</v>
      </c>
      <c r="G1527" s="31"/>
      <c r="H1527" s="29">
        <f>[1]Source!AW1351</f>
        <v>1</v>
      </c>
      <c r="I1527" s="30">
        <f>[1]Source!P1350</f>
        <v>551230.6</v>
      </c>
      <c r="J1527" s="29">
        <f>IF([1]Source!BC1351&lt;&gt; 0, [1]Source!BC1351, 1)</f>
        <v>9.84</v>
      </c>
      <c r="K1527" s="56">
        <f>[1]Source!P1351</f>
        <v>5424109.0999999996</v>
      </c>
      <c r="L1527">
        <f>648766.07</f>
        <v>648766.06999999995</v>
      </c>
      <c r="M1527" s="50">
        <f>L1527*E1527</f>
        <v>6487660.6999999993</v>
      </c>
      <c r="N1527" s="64" t="s">
        <v>926</v>
      </c>
      <c r="Q1527">
        <f>[1]Source!X1350</f>
        <v>0</v>
      </c>
      <c r="R1527">
        <f>[1]Source!X1351</f>
        <v>0</v>
      </c>
      <c r="S1527">
        <f>[1]Source!Y1350</f>
        <v>0</v>
      </c>
      <c r="T1527">
        <f>[1]Source!Y1351</f>
        <v>0</v>
      </c>
      <c r="U1527">
        <f>ROUND((175/100)*ROUND([1]Source!R1350, 2), 2)</f>
        <v>0</v>
      </c>
      <c r="V1527">
        <f>ROUND((0/100)*ROUND([1]Source!R1351, 2), 2)</f>
        <v>0</v>
      </c>
      <c r="AC1527">
        <v>3</v>
      </c>
    </row>
    <row r="1528" spans="1:29" hidden="1" x14ac:dyDescent="0.25">
      <c r="A1528" s="57"/>
      <c r="B1528" s="57"/>
      <c r="C1528" s="58" t="str">
        <f>"Объем: "&amp;[1]Source!I1350&amp;"=3+"&amp;"3+"&amp;"1+"&amp;"3"</f>
        <v>Объем: 10=3+3+1+3</v>
      </c>
      <c r="D1528" s="57"/>
      <c r="E1528" s="57"/>
      <c r="F1528" s="57"/>
      <c r="G1528" s="57"/>
      <c r="H1528" s="57"/>
      <c r="I1528" s="57"/>
      <c r="J1528" s="57"/>
      <c r="K1528" s="57"/>
    </row>
    <row r="1529" spans="1:29" ht="13.8" hidden="1" x14ac:dyDescent="0.25">
      <c r="C1529" s="39" t="s">
        <v>49</v>
      </c>
      <c r="H1529" s="40">
        <f>I1527+0</f>
        <v>551230.6</v>
      </c>
      <c r="I1529" s="40"/>
      <c r="J1529" s="40">
        <f>K1527+0</f>
        <v>5424109.0999999996</v>
      </c>
      <c r="K1529" s="40"/>
      <c r="O1529" s="42">
        <f>I1527+0</f>
        <v>551230.6</v>
      </c>
      <c r="P1529" s="42">
        <f>K1527+0</f>
        <v>5424109.0999999996</v>
      </c>
    </row>
    <row r="1530" spans="1:29" hidden="1" x14ac:dyDescent="0.25"/>
    <row r="1531" spans="1:29" ht="343.8" x14ac:dyDescent="0.25">
      <c r="A1531" s="46">
        <v>150</v>
      </c>
      <c r="B1531" s="46" t="str">
        <f>[1]Source!F1352</f>
        <v>КА 62..77</v>
      </c>
      <c r="C1531" s="46" t="s">
        <v>337</v>
      </c>
      <c r="D1531" s="47" t="str">
        <f>[1]Source!H1352</f>
        <v>ШТ</v>
      </c>
      <c r="E1531" s="48">
        <f>[1]Source!I1352</f>
        <v>6</v>
      </c>
      <c r="F1531" s="37">
        <f>[1]Source!AL1352</f>
        <v>55123.06</v>
      </c>
      <c r="G1531" s="38"/>
      <c r="H1531" s="36">
        <f>[1]Source!AW1353</f>
        <v>1</v>
      </c>
      <c r="I1531" s="37">
        <f>[1]Source!P1352</f>
        <v>330738.36</v>
      </c>
      <c r="J1531" s="36">
        <f>IF([1]Source!BC1353&lt;&gt; 0, [1]Source!BC1353, 1)</f>
        <v>9.84</v>
      </c>
      <c r="K1531" s="49">
        <f>[1]Source!P1353</f>
        <v>3254465.46</v>
      </c>
      <c r="L1531">
        <f>648766.07</f>
        <v>648766.06999999995</v>
      </c>
      <c r="M1531" s="50">
        <f>L1531*E1531</f>
        <v>3892596.42</v>
      </c>
      <c r="N1531" s="64" t="s">
        <v>926</v>
      </c>
      <c r="Q1531">
        <f>[1]Source!X1352</f>
        <v>0</v>
      </c>
      <c r="R1531">
        <f>[1]Source!X1353</f>
        <v>0</v>
      </c>
      <c r="S1531">
        <f>[1]Source!Y1352</f>
        <v>0</v>
      </c>
      <c r="T1531">
        <f>[1]Source!Y1353</f>
        <v>0</v>
      </c>
      <c r="U1531">
        <f>ROUND((175/100)*ROUND([1]Source!R1352, 2), 2)</f>
        <v>0</v>
      </c>
      <c r="V1531">
        <f>ROUND((0/100)*ROUND([1]Source!R1353, 2), 2)</f>
        <v>0</v>
      </c>
      <c r="AC1531">
        <v>3</v>
      </c>
    </row>
    <row r="1532" spans="1:29" ht="13.8" hidden="1" x14ac:dyDescent="0.25">
      <c r="C1532" s="39" t="s">
        <v>49</v>
      </c>
      <c r="H1532" s="40">
        <f>I1531+0</f>
        <v>330738.36</v>
      </c>
      <c r="I1532" s="40"/>
      <c r="J1532" s="40">
        <f>K1531+0</f>
        <v>3254465.46</v>
      </c>
      <c r="K1532" s="40"/>
      <c r="O1532" s="42">
        <f>I1531+0</f>
        <v>330738.36</v>
      </c>
      <c r="P1532" s="42">
        <f>K1531+0</f>
        <v>3254465.46</v>
      </c>
    </row>
    <row r="1533" spans="1:29" hidden="1" x14ac:dyDescent="0.25"/>
    <row r="1534" spans="1:29" ht="357.6" x14ac:dyDescent="0.25">
      <c r="A1534" s="46">
        <v>151</v>
      </c>
      <c r="B1534" s="46" t="str">
        <f>[1]Source!F1354</f>
        <v>КА 72. 83.86. 94.97.98</v>
      </c>
      <c r="C1534" s="46" t="s">
        <v>338</v>
      </c>
      <c r="D1534" s="47" t="str">
        <f>[1]Source!H1354</f>
        <v>ШТ</v>
      </c>
      <c r="E1534" s="48">
        <f>[1]Source!I1354</f>
        <v>6</v>
      </c>
      <c r="F1534" s="37">
        <f>[1]Source!AL1354</f>
        <v>54571.840000000004</v>
      </c>
      <c r="G1534" s="38"/>
      <c r="H1534" s="36">
        <f>[1]Source!AW1355</f>
        <v>1</v>
      </c>
      <c r="I1534" s="37">
        <f>[1]Source!P1354</f>
        <v>327431.03999999998</v>
      </c>
      <c r="J1534" s="36">
        <f>IF([1]Source!BC1355&lt;&gt; 0, [1]Source!BC1355, 1)</f>
        <v>9.84</v>
      </c>
      <c r="K1534" s="49">
        <f>[1]Source!P1355</f>
        <v>3221921.43</v>
      </c>
      <c r="L1534">
        <f>642278.41</f>
        <v>642278.41</v>
      </c>
      <c r="M1534" s="50">
        <f>L1534*E1534</f>
        <v>3853670.46</v>
      </c>
      <c r="N1534" s="64" t="s">
        <v>926</v>
      </c>
      <c r="Q1534">
        <f>[1]Source!X1354</f>
        <v>0</v>
      </c>
      <c r="R1534">
        <f>[1]Source!X1355</f>
        <v>0</v>
      </c>
      <c r="S1534">
        <f>[1]Source!Y1354</f>
        <v>0</v>
      </c>
      <c r="T1534">
        <f>[1]Source!Y1355</f>
        <v>0</v>
      </c>
      <c r="U1534">
        <f>ROUND((175/100)*ROUND([1]Source!R1354, 2), 2)</f>
        <v>0</v>
      </c>
      <c r="V1534">
        <f>ROUND((0/100)*ROUND([1]Source!R1355, 2), 2)</f>
        <v>0</v>
      </c>
      <c r="AC1534">
        <v>3</v>
      </c>
    </row>
    <row r="1535" spans="1:29" ht="13.8" hidden="1" x14ac:dyDescent="0.25">
      <c r="C1535" s="39" t="s">
        <v>49</v>
      </c>
      <c r="H1535" s="40">
        <f>I1534+0</f>
        <v>327431.03999999998</v>
      </c>
      <c r="I1535" s="40"/>
      <c r="J1535" s="40">
        <f>K1534+0</f>
        <v>3221921.43</v>
      </c>
      <c r="K1535" s="40"/>
      <c r="O1535" s="42">
        <f>I1534+0</f>
        <v>327431.03999999998</v>
      </c>
      <c r="P1535" s="42">
        <f>K1534+0</f>
        <v>3221921.43</v>
      </c>
    </row>
    <row r="1536" spans="1:29" hidden="1" x14ac:dyDescent="0.25"/>
    <row r="1537" spans="1:29" ht="343.8" x14ac:dyDescent="0.25">
      <c r="A1537" s="53">
        <v>152</v>
      </c>
      <c r="B1537" s="53" t="str">
        <f>[1]Source!F1356</f>
        <v>КА 74.75</v>
      </c>
      <c r="C1537" s="53" t="s">
        <v>339</v>
      </c>
      <c r="D1537" s="54" t="str">
        <f>[1]Source!H1356</f>
        <v>ШТ</v>
      </c>
      <c r="E1537" s="55">
        <f>[1]Source!I1356</f>
        <v>6</v>
      </c>
      <c r="F1537" s="30">
        <f>[1]Source!AL1356</f>
        <v>51264.46</v>
      </c>
      <c r="G1537" s="31"/>
      <c r="H1537" s="29">
        <f>[1]Source!AW1357</f>
        <v>1</v>
      </c>
      <c r="I1537" s="30">
        <f>[1]Source!P1356</f>
        <v>307586.76</v>
      </c>
      <c r="J1537" s="29">
        <f>IF([1]Source!BC1357&lt;&gt; 0, [1]Source!BC1357, 1)</f>
        <v>9.84</v>
      </c>
      <c r="K1537" s="56">
        <f>[1]Source!P1357</f>
        <v>3026653.72</v>
      </c>
      <c r="L1537">
        <v>603352.43999999994</v>
      </c>
      <c r="M1537" s="50">
        <f>L1537*E1537</f>
        <v>3620114.6399999997</v>
      </c>
      <c r="N1537" s="64" t="s">
        <v>926</v>
      </c>
      <c r="Q1537">
        <f>[1]Source!X1356</f>
        <v>0</v>
      </c>
      <c r="R1537">
        <f>[1]Source!X1357</f>
        <v>0</v>
      </c>
      <c r="S1537">
        <f>[1]Source!Y1356</f>
        <v>0</v>
      </c>
      <c r="T1537">
        <f>[1]Source!Y1357</f>
        <v>0</v>
      </c>
      <c r="U1537">
        <f>ROUND((175/100)*ROUND([1]Source!R1356, 2), 2)</f>
        <v>0</v>
      </c>
      <c r="V1537">
        <f>ROUND((0/100)*ROUND([1]Source!R1357, 2), 2)</f>
        <v>0</v>
      </c>
      <c r="AC1537">
        <v>3</v>
      </c>
    </row>
    <row r="1538" spans="1:29" hidden="1" x14ac:dyDescent="0.25">
      <c r="A1538" s="57"/>
      <c r="B1538" s="57"/>
      <c r="C1538" s="58" t="str">
        <f>"Объем: "&amp;[1]Source!I1356&amp;"=3+"&amp;"3"</f>
        <v>Объем: 6=3+3</v>
      </c>
      <c r="D1538" s="57"/>
      <c r="E1538" s="57"/>
      <c r="F1538" s="57"/>
      <c r="G1538" s="57"/>
      <c r="H1538" s="57"/>
      <c r="I1538" s="57"/>
      <c r="J1538" s="57"/>
      <c r="K1538" s="57"/>
    </row>
    <row r="1539" spans="1:29" ht="13.8" hidden="1" x14ac:dyDescent="0.25">
      <c r="C1539" s="39" t="s">
        <v>49</v>
      </c>
      <c r="H1539" s="40">
        <f>I1537+0</f>
        <v>307586.76</v>
      </c>
      <c r="I1539" s="40"/>
      <c r="J1539" s="40">
        <f>K1537+0</f>
        <v>3026653.72</v>
      </c>
      <c r="K1539" s="40"/>
      <c r="O1539" s="42">
        <f>I1537+0</f>
        <v>307586.76</v>
      </c>
      <c r="P1539" s="42">
        <f>K1537+0</f>
        <v>3026653.72</v>
      </c>
    </row>
    <row r="1540" spans="1:29" hidden="1" x14ac:dyDescent="0.25"/>
    <row r="1541" spans="1:29" ht="357.6" x14ac:dyDescent="0.25">
      <c r="A1541" s="46">
        <v>153</v>
      </c>
      <c r="B1541" s="46" t="str">
        <f>[1]Source!F1358</f>
        <v>КА 69. 70.82.87.89</v>
      </c>
      <c r="C1541" s="46" t="s">
        <v>340</v>
      </c>
      <c r="D1541" s="47" t="str">
        <f>[1]Source!H1358</f>
        <v>ШТ</v>
      </c>
      <c r="E1541" s="48">
        <f>[1]Source!I1358</f>
        <v>5</v>
      </c>
      <c r="F1541" s="37">
        <f>[1]Source!AL1358</f>
        <v>60580.79</v>
      </c>
      <c r="G1541" s="38"/>
      <c r="H1541" s="36">
        <f>[1]Source!AW1359</f>
        <v>1</v>
      </c>
      <c r="I1541" s="37">
        <f>[1]Source!P1358</f>
        <v>302903.95</v>
      </c>
      <c r="J1541" s="36">
        <f>IF([1]Source!BC1359&lt;&gt; 0, [1]Source!BC1359, 1)</f>
        <v>9.84</v>
      </c>
      <c r="K1541" s="49">
        <f>[1]Source!P1359</f>
        <v>2980574.87</v>
      </c>
      <c r="L1541">
        <v>713000.23</v>
      </c>
      <c r="M1541" s="50">
        <f>L1541*E1541</f>
        <v>3565001.15</v>
      </c>
      <c r="N1541" s="64" t="s">
        <v>926</v>
      </c>
      <c r="Q1541">
        <f>[1]Source!X1358</f>
        <v>0</v>
      </c>
      <c r="R1541">
        <f>[1]Source!X1359</f>
        <v>0</v>
      </c>
      <c r="S1541">
        <f>[1]Source!Y1358</f>
        <v>0</v>
      </c>
      <c r="T1541">
        <f>[1]Source!Y1359</f>
        <v>0</v>
      </c>
      <c r="U1541">
        <f>ROUND((175/100)*ROUND([1]Source!R1358, 2), 2)</f>
        <v>0</v>
      </c>
      <c r="V1541">
        <f>ROUND((0/100)*ROUND([1]Source!R1359, 2), 2)</f>
        <v>0</v>
      </c>
      <c r="AC1541">
        <v>3</v>
      </c>
    </row>
    <row r="1542" spans="1:29" ht="13.8" hidden="1" x14ac:dyDescent="0.25">
      <c r="C1542" s="39" t="s">
        <v>49</v>
      </c>
      <c r="H1542" s="40">
        <f>I1541+0</f>
        <v>302903.95</v>
      </c>
      <c r="I1542" s="40"/>
      <c r="J1542" s="40">
        <f>K1541+0</f>
        <v>2980574.87</v>
      </c>
      <c r="K1542" s="40"/>
      <c r="O1542" s="42">
        <f>I1541+0</f>
        <v>302903.95</v>
      </c>
      <c r="P1542" s="42">
        <f>K1541+0</f>
        <v>2980574.87</v>
      </c>
    </row>
    <row r="1543" spans="1:29" hidden="1" x14ac:dyDescent="0.25"/>
    <row r="1544" spans="1:29" ht="330" x14ac:dyDescent="0.25">
      <c r="A1544" s="46">
        <v>154</v>
      </c>
      <c r="B1544" s="46" t="str">
        <f>[1]Source!F1360</f>
        <v>КА 66</v>
      </c>
      <c r="C1544" s="46" t="s">
        <v>341</v>
      </c>
      <c r="D1544" s="47" t="str">
        <f>[1]Source!H1360</f>
        <v>ШТ</v>
      </c>
      <c r="E1544" s="48">
        <f>[1]Source!I1360</f>
        <v>1</v>
      </c>
      <c r="F1544" s="37">
        <f>[1]Source!AL1360</f>
        <v>51264.46</v>
      </c>
      <c r="G1544" s="38"/>
      <c r="H1544" s="36">
        <f>[1]Source!AW1361</f>
        <v>1</v>
      </c>
      <c r="I1544" s="37">
        <f>[1]Source!P1360</f>
        <v>51264.46</v>
      </c>
      <c r="J1544" s="36">
        <f>IF([1]Source!BC1361&lt;&gt; 0, [1]Source!BC1361, 1)</f>
        <v>9.84</v>
      </c>
      <c r="K1544" s="49">
        <f>[1]Source!P1361</f>
        <v>504442.29</v>
      </c>
      <c r="L1544">
        <f>603352.44</f>
        <v>603352.43999999994</v>
      </c>
      <c r="M1544" s="50">
        <f>L1544*E1544</f>
        <v>603352.43999999994</v>
      </c>
      <c r="N1544" s="64" t="s">
        <v>926</v>
      </c>
      <c r="Q1544">
        <f>[1]Source!X1360</f>
        <v>0</v>
      </c>
      <c r="R1544">
        <f>[1]Source!X1361</f>
        <v>0</v>
      </c>
      <c r="S1544">
        <f>[1]Source!Y1360</f>
        <v>0</v>
      </c>
      <c r="T1544">
        <f>[1]Source!Y1361</f>
        <v>0</v>
      </c>
      <c r="U1544">
        <f>ROUND((175/100)*ROUND([1]Source!R1360, 2), 2)</f>
        <v>0</v>
      </c>
      <c r="V1544">
        <f>ROUND((0/100)*ROUND([1]Source!R1361, 2), 2)</f>
        <v>0</v>
      </c>
      <c r="AC1544">
        <v>3</v>
      </c>
    </row>
    <row r="1545" spans="1:29" ht="13.8" hidden="1" x14ac:dyDescent="0.25">
      <c r="C1545" s="39" t="s">
        <v>49</v>
      </c>
      <c r="H1545" s="40">
        <f>I1544+0</f>
        <v>51264.46</v>
      </c>
      <c r="I1545" s="40"/>
      <c r="J1545" s="40">
        <f>K1544+0</f>
        <v>504442.29</v>
      </c>
      <c r="K1545" s="40"/>
      <c r="O1545" s="42">
        <f>I1544+0</f>
        <v>51264.46</v>
      </c>
      <c r="P1545" s="42">
        <f>K1544+0</f>
        <v>504442.29</v>
      </c>
    </row>
    <row r="1546" spans="1:29" hidden="1" x14ac:dyDescent="0.25"/>
    <row r="1547" spans="1:29" ht="343.8" x14ac:dyDescent="0.25">
      <c r="A1547" s="46">
        <v>155</v>
      </c>
      <c r="B1547" s="46" t="str">
        <f>[1]Source!F1362</f>
        <v>КА 67.68.92</v>
      </c>
      <c r="C1547" s="46" t="s">
        <v>342</v>
      </c>
      <c r="D1547" s="47" t="str">
        <f>[1]Source!H1362</f>
        <v>ШТ</v>
      </c>
      <c r="E1547" s="48">
        <f>[1]Source!I1362</f>
        <v>3</v>
      </c>
      <c r="F1547" s="37">
        <f>[1]Source!AL1362</f>
        <v>63855.44</v>
      </c>
      <c r="G1547" s="38"/>
      <c r="H1547" s="36">
        <f>[1]Source!AW1363</f>
        <v>1</v>
      </c>
      <c r="I1547" s="37">
        <f>[1]Source!P1362</f>
        <v>191566.32</v>
      </c>
      <c r="J1547" s="36">
        <f>IF([1]Source!BC1363&lt;&gt; 0, [1]Source!BC1363, 1)</f>
        <v>9.84</v>
      </c>
      <c r="K1547" s="49">
        <f>[1]Source!P1363</f>
        <v>1885012.59</v>
      </c>
      <c r="L1547">
        <f>751540.89</f>
        <v>751540.89</v>
      </c>
      <c r="M1547" s="50">
        <f>L1547*E1547</f>
        <v>2254622.67</v>
      </c>
      <c r="N1547" s="64" t="s">
        <v>926</v>
      </c>
      <c r="Q1547">
        <f>[1]Source!X1362</f>
        <v>0</v>
      </c>
      <c r="R1547">
        <f>[1]Source!X1363</f>
        <v>0</v>
      </c>
      <c r="S1547">
        <f>[1]Source!Y1362</f>
        <v>0</v>
      </c>
      <c r="T1547">
        <f>[1]Source!Y1363</f>
        <v>0</v>
      </c>
      <c r="U1547">
        <f>ROUND((175/100)*ROUND([1]Source!R1362, 2), 2)</f>
        <v>0</v>
      </c>
      <c r="V1547">
        <f>ROUND((0/100)*ROUND([1]Source!R1363, 2), 2)</f>
        <v>0</v>
      </c>
      <c r="AC1547">
        <v>3</v>
      </c>
    </row>
    <row r="1548" spans="1:29" ht="13.8" hidden="1" x14ac:dyDescent="0.25">
      <c r="C1548" s="39" t="s">
        <v>49</v>
      </c>
      <c r="H1548" s="40">
        <f>I1547+0</f>
        <v>191566.32</v>
      </c>
      <c r="I1548" s="40"/>
      <c r="J1548" s="40">
        <f>K1547+0</f>
        <v>1885012.59</v>
      </c>
      <c r="K1548" s="40"/>
      <c r="O1548" s="42">
        <f>I1547+0</f>
        <v>191566.32</v>
      </c>
      <c r="P1548" s="42">
        <f>K1547+0</f>
        <v>1885012.59</v>
      </c>
    </row>
    <row r="1549" spans="1:29" hidden="1" x14ac:dyDescent="0.25"/>
    <row r="1550" spans="1:29" ht="330" x14ac:dyDescent="0.25">
      <c r="A1550" s="46">
        <v>156</v>
      </c>
      <c r="B1550" s="46" t="str">
        <f>[1]Source!F1364</f>
        <v>КА 104</v>
      </c>
      <c r="C1550" s="46" t="s">
        <v>343</v>
      </c>
      <c r="D1550" s="47" t="str">
        <f>[1]Source!H1364</f>
        <v>ШТ</v>
      </c>
      <c r="E1550" s="48">
        <f>[1]Source!I1364</f>
        <v>3</v>
      </c>
      <c r="F1550" s="37">
        <f>[1]Source!AL1364</f>
        <v>63309.670000000006</v>
      </c>
      <c r="G1550" s="38"/>
      <c r="H1550" s="36">
        <f>[1]Source!AW1365</f>
        <v>1</v>
      </c>
      <c r="I1550" s="37">
        <f>[1]Source!P1364</f>
        <v>189929.01</v>
      </c>
      <c r="J1550" s="36">
        <f>IF([1]Source!BC1365&lt;&gt; 0, [1]Source!BC1365, 1)</f>
        <v>9.84</v>
      </c>
      <c r="K1550" s="49">
        <f>[1]Source!P1365</f>
        <v>1868901.46</v>
      </c>
      <c r="L1550">
        <f>745117.47</f>
        <v>745117.47</v>
      </c>
      <c r="M1550" s="50">
        <f>L1550*E1550</f>
        <v>2235352.41</v>
      </c>
      <c r="N1550" s="64" t="s">
        <v>926</v>
      </c>
      <c r="Q1550">
        <f>[1]Source!X1364</f>
        <v>0</v>
      </c>
      <c r="R1550">
        <f>[1]Source!X1365</f>
        <v>0</v>
      </c>
      <c r="S1550">
        <f>[1]Source!Y1364</f>
        <v>0</v>
      </c>
      <c r="T1550">
        <f>[1]Source!Y1365</f>
        <v>0</v>
      </c>
      <c r="U1550">
        <f>ROUND((175/100)*ROUND([1]Source!R1364, 2), 2)</f>
        <v>0</v>
      </c>
      <c r="V1550">
        <f>ROUND((0/100)*ROUND([1]Source!R1365, 2), 2)</f>
        <v>0</v>
      </c>
      <c r="AC1550">
        <v>3</v>
      </c>
    </row>
    <row r="1551" spans="1:29" ht="13.8" hidden="1" x14ac:dyDescent="0.25">
      <c r="C1551" s="39" t="s">
        <v>49</v>
      </c>
      <c r="H1551" s="40">
        <f>I1550+0</f>
        <v>189929.01</v>
      </c>
      <c r="I1551" s="40"/>
      <c r="J1551" s="40">
        <f>K1550+0</f>
        <v>1868901.46</v>
      </c>
      <c r="K1551" s="40"/>
      <c r="O1551" s="42">
        <f>I1550+0</f>
        <v>189929.01</v>
      </c>
      <c r="P1551" s="42">
        <f>K1550+0</f>
        <v>1868901.46</v>
      </c>
    </row>
    <row r="1552" spans="1:29" hidden="1" x14ac:dyDescent="0.25"/>
    <row r="1553" spans="1:29" ht="330" x14ac:dyDescent="0.25">
      <c r="A1553" s="46">
        <v>157</v>
      </c>
      <c r="B1553" s="46" t="str">
        <f>[1]Source!F1366</f>
        <v>КА 106</v>
      </c>
      <c r="C1553" s="46" t="s">
        <v>344</v>
      </c>
      <c r="D1553" s="47" t="str">
        <f>[1]Source!H1366</f>
        <v>ШТ</v>
      </c>
      <c r="E1553" s="48">
        <f>[1]Source!I1366</f>
        <v>2</v>
      </c>
      <c r="F1553" s="37">
        <f>[1]Source!AL1366</f>
        <v>63036.78</v>
      </c>
      <c r="G1553" s="38"/>
      <c r="H1553" s="36">
        <f>[1]Source!AW1367</f>
        <v>1</v>
      </c>
      <c r="I1553" s="37">
        <f>[1]Source!P1366</f>
        <v>126073.56</v>
      </c>
      <c r="J1553" s="36">
        <f>IF([1]Source!BC1367&lt;&gt; 0, [1]Source!BC1367, 1)</f>
        <v>9.84</v>
      </c>
      <c r="K1553" s="49">
        <f>[1]Source!P1367</f>
        <v>1240563.83</v>
      </c>
      <c r="L1553">
        <f>741905.75</f>
        <v>741905.75</v>
      </c>
      <c r="M1553" s="50">
        <f>L1553*E1553</f>
        <v>1483811.5</v>
      </c>
      <c r="N1553" s="64" t="s">
        <v>926</v>
      </c>
      <c r="Q1553">
        <f>[1]Source!X1366</f>
        <v>0</v>
      </c>
      <c r="R1553">
        <f>[1]Source!X1367</f>
        <v>0</v>
      </c>
      <c r="S1553">
        <f>[1]Source!Y1366</f>
        <v>0</v>
      </c>
      <c r="T1553">
        <f>[1]Source!Y1367</f>
        <v>0</v>
      </c>
      <c r="U1553">
        <f>ROUND((175/100)*ROUND([1]Source!R1366, 2), 2)</f>
        <v>0</v>
      </c>
      <c r="V1553">
        <f>ROUND((0/100)*ROUND([1]Source!R1367, 2), 2)</f>
        <v>0</v>
      </c>
      <c r="AC1553">
        <v>3</v>
      </c>
    </row>
    <row r="1554" spans="1:29" ht="13.8" hidden="1" x14ac:dyDescent="0.25">
      <c r="C1554" s="39" t="s">
        <v>49</v>
      </c>
      <c r="H1554" s="40">
        <f>I1553+0</f>
        <v>126073.56</v>
      </c>
      <c r="I1554" s="40"/>
      <c r="J1554" s="40">
        <f>K1553+0</f>
        <v>1240563.83</v>
      </c>
      <c r="K1554" s="40"/>
      <c r="O1554" s="42">
        <f>I1553+0</f>
        <v>126073.56</v>
      </c>
      <c r="P1554" s="42">
        <f>K1553+0</f>
        <v>1240563.83</v>
      </c>
    </row>
    <row r="1555" spans="1:29" hidden="1" x14ac:dyDescent="0.25"/>
    <row r="1556" spans="1:29" ht="343.8" x14ac:dyDescent="0.25">
      <c r="A1556" s="46">
        <v>158</v>
      </c>
      <c r="B1556" s="46" t="str">
        <f>[1]Source!F1368</f>
        <v>КА 93.95</v>
      </c>
      <c r="C1556" s="46" t="s">
        <v>345</v>
      </c>
      <c r="D1556" s="47" t="str">
        <f>[1]Source!H1368</f>
        <v>ШТ</v>
      </c>
      <c r="E1556" s="48">
        <f>[1]Source!I1368</f>
        <v>2</v>
      </c>
      <c r="F1556" s="37">
        <f>[1]Source!AL1368</f>
        <v>61186.61</v>
      </c>
      <c r="G1556" s="38"/>
      <c r="H1556" s="36">
        <f>[1]Source!AW1369</f>
        <v>1</v>
      </c>
      <c r="I1556" s="37">
        <f>[1]Source!P1368</f>
        <v>122373.22</v>
      </c>
      <c r="J1556" s="36">
        <f>IF([1]Source!BC1369&lt;&gt; 0, [1]Source!BC1369, 1)</f>
        <v>9.84</v>
      </c>
      <c r="K1556" s="49">
        <f>[1]Source!P1369</f>
        <v>1204152.48</v>
      </c>
      <c r="L1556">
        <v>720130.34</v>
      </c>
      <c r="M1556" s="50">
        <f>L1556*E1556</f>
        <v>1440260.68</v>
      </c>
      <c r="N1556" s="64" t="s">
        <v>926</v>
      </c>
      <c r="Q1556">
        <f>[1]Source!X1368</f>
        <v>0</v>
      </c>
      <c r="R1556">
        <f>[1]Source!X1369</f>
        <v>0</v>
      </c>
      <c r="S1556">
        <f>[1]Source!Y1368</f>
        <v>0</v>
      </c>
      <c r="T1556">
        <f>[1]Source!Y1369</f>
        <v>0</v>
      </c>
      <c r="U1556">
        <f>ROUND((175/100)*ROUND([1]Source!R1368, 2), 2)</f>
        <v>0</v>
      </c>
      <c r="V1556">
        <f>ROUND((0/100)*ROUND([1]Source!R1369, 2), 2)</f>
        <v>0</v>
      </c>
      <c r="AC1556">
        <v>3</v>
      </c>
    </row>
    <row r="1557" spans="1:29" ht="13.8" hidden="1" x14ac:dyDescent="0.25">
      <c r="C1557" s="39" t="s">
        <v>49</v>
      </c>
      <c r="H1557" s="40">
        <f>I1556+0</f>
        <v>122373.22</v>
      </c>
      <c r="I1557" s="40"/>
      <c r="J1557" s="40">
        <f>K1556+0</f>
        <v>1204152.48</v>
      </c>
      <c r="K1557" s="40"/>
      <c r="O1557" s="42">
        <f>I1556+0</f>
        <v>122373.22</v>
      </c>
      <c r="P1557" s="42">
        <f>K1556+0</f>
        <v>1204152.48</v>
      </c>
    </row>
    <row r="1558" spans="1:29" hidden="1" x14ac:dyDescent="0.25"/>
    <row r="1559" spans="1:29" ht="330" x14ac:dyDescent="0.25">
      <c r="A1559" s="46">
        <v>159</v>
      </c>
      <c r="B1559" s="46" t="str">
        <f>[1]Source!F1370</f>
        <v>КА 102</v>
      </c>
      <c r="C1559" s="46" t="s">
        <v>346</v>
      </c>
      <c r="D1559" s="47" t="str">
        <f>[1]Source!H1370</f>
        <v>ШТ</v>
      </c>
      <c r="E1559" s="48">
        <f>[1]Source!I1370</f>
        <v>3</v>
      </c>
      <c r="F1559" s="37">
        <f>[1]Source!AL1370</f>
        <v>59532.909999999996</v>
      </c>
      <c r="G1559" s="38"/>
      <c r="H1559" s="36">
        <f>[1]Source!AW1371</f>
        <v>1</v>
      </c>
      <c r="I1559" s="37">
        <f>[1]Source!P1370</f>
        <v>178598.73</v>
      </c>
      <c r="J1559" s="36">
        <f>IF([1]Source!BC1371&lt;&gt; 0, [1]Source!BC1371, 1)</f>
        <v>9.84</v>
      </c>
      <c r="K1559" s="49">
        <f>[1]Source!P1371</f>
        <v>1757411.5</v>
      </c>
      <c r="L1559">
        <v>700667.35</v>
      </c>
      <c r="M1559" s="50">
        <f>L1559*E1559</f>
        <v>2102002.0499999998</v>
      </c>
      <c r="N1559" s="64" t="s">
        <v>926</v>
      </c>
      <c r="Q1559">
        <f>[1]Source!X1370</f>
        <v>0</v>
      </c>
      <c r="R1559">
        <f>[1]Source!X1371</f>
        <v>0</v>
      </c>
      <c r="S1559">
        <f>[1]Source!Y1370</f>
        <v>0</v>
      </c>
      <c r="T1559">
        <f>[1]Source!Y1371</f>
        <v>0</v>
      </c>
      <c r="U1559">
        <f>ROUND((175/100)*ROUND([1]Source!R1370, 2), 2)</f>
        <v>0</v>
      </c>
      <c r="V1559">
        <f>ROUND((0/100)*ROUND([1]Source!R1371, 2), 2)</f>
        <v>0</v>
      </c>
      <c r="AC1559">
        <v>3</v>
      </c>
    </row>
    <row r="1560" spans="1:29" ht="13.8" hidden="1" x14ac:dyDescent="0.25">
      <c r="C1560" s="39" t="s">
        <v>49</v>
      </c>
      <c r="H1560" s="40">
        <f>I1559+0</f>
        <v>178598.73</v>
      </c>
      <c r="I1560" s="40"/>
      <c r="J1560" s="40">
        <f>K1559+0</f>
        <v>1757411.5</v>
      </c>
      <c r="K1560" s="40"/>
      <c r="O1560" s="42">
        <f>I1559+0</f>
        <v>178598.73</v>
      </c>
      <c r="P1560" s="42">
        <f>K1559+0</f>
        <v>1757411.5</v>
      </c>
    </row>
    <row r="1561" spans="1:29" hidden="1" x14ac:dyDescent="0.25"/>
    <row r="1562" spans="1:29" ht="330" x14ac:dyDescent="0.25">
      <c r="A1562" s="46">
        <v>160</v>
      </c>
      <c r="B1562" s="46" t="str">
        <f>[1]Source!F1372</f>
        <v>КА 103</v>
      </c>
      <c r="C1562" s="46" t="s">
        <v>347</v>
      </c>
      <c r="D1562" s="47" t="str">
        <f>[1]Source!H1372</f>
        <v>ШТ</v>
      </c>
      <c r="E1562" s="48">
        <f>[1]Source!I1372</f>
        <v>3</v>
      </c>
      <c r="F1562" s="37">
        <f>[1]Source!AL1372</f>
        <v>70732.180000000008</v>
      </c>
      <c r="G1562" s="38"/>
      <c r="H1562" s="36">
        <f>[1]Source!AW1373</f>
        <v>1</v>
      </c>
      <c r="I1562" s="37">
        <f>[1]Source!P1372</f>
        <v>212196.54</v>
      </c>
      <c r="J1562" s="36">
        <f>IF([1]Source!BC1373&lt;&gt; 0, [1]Source!BC1373, 1)</f>
        <v>9.84</v>
      </c>
      <c r="K1562" s="49">
        <f>[1]Source!P1373</f>
        <v>2088013.95</v>
      </c>
      <c r="L1562">
        <v>832476.07</v>
      </c>
      <c r="M1562" s="50">
        <f>L1562*E1562</f>
        <v>2497428.21</v>
      </c>
      <c r="N1562" s="64" t="s">
        <v>926</v>
      </c>
      <c r="Q1562">
        <f>[1]Source!X1372</f>
        <v>0</v>
      </c>
      <c r="R1562">
        <f>[1]Source!X1373</f>
        <v>0</v>
      </c>
      <c r="S1562">
        <f>[1]Source!Y1372</f>
        <v>0</v>
      </c>
      <c r="T1562">
        <f>[1]Source!Y1373</f>
        <v>0</v>
      </c>
      <c r="U1562">
        <f>ROUND((175/100)*ROUND([1]Source!R1372, 2), 2)</f>
        <v>0</v>
      </c>
      <c r="V1562">
        <f>ROUND((0/100)*ROUND([1]Source!R1373, 2), 2)</f>
        <v>0</v>
      </c>
      <c r="AC1562">
        <v>3</v>
      </c>
    </row>
    <row r="1563" spans="1:29" ht="13.8" hidden="1" x14ac:dyDescent="0.25">
      <c r="C1563" s="39" t="s">
        <v>49</v>
      </c>
      <c r="H1563" s="40">
        <f>I1562+0</f>
        <v>212196.54</v>
      </c>
      <c r="I1563" s="40"/>
      <c r="J1563" s="40">
        <f>K1562+0</f>
        <v>2088013.95</v>
      </c>
      <c r="K1563" s="40"/>
      <c r="O1563" s="42">
        <f>I1562+0</f>
        <v>212196.54</v>
      </c>
      <c r="P1563" s="42">
        <f>K1562+0</f>
        <v>2088013.95</v>
      </c>
    </row>
    <row r="1564" spans="1:29" hidden="1" x14ac:dyDescent="0.25"/>
    <row r="1565" spans="1:29" ht="330" x14ac:dyDescent="0.25">
      <c r="A1565" s="46">
        <v>161</v>
      </c>
      <c r="B1565" s="46" t="str">
        <f>[1]Source!F1374</f>
        <v>КА 96</v>
      </c>
      <c r="C1565" s="46" t="s">
        <v>348</v>
      </c>
      <c r="D1565" s="47" t="str">
        <f>[1]Source!H1374</f>
        <v>ШТ</v>
      </c>
      <c r="E1565" s="48">
        <f>[1]Source!I1374</f>
        <v>5</v>
      </c>
      <c r="F1565" s="37">
        <f>[1]Source!AL1374</f>
        <v>64493.99</v>
      </c>
      <c r="G1565" s="38"/>
      <c r="H1565" s="36">
        <f>[1]Source!AW1375</f>
        <v>1</v>
      </c>
      <c r="I1565" s="37">
        <f>[1]Source!P1374</f>
        <v>322469.95</v>
      </c>
      <c r="J1565" s="36">
        <f>IF([1]Source!BC1375&lt;&gt; 0, [1]Source!BC1375, 1)</f>
        <v>9.84</v>
      </c>
      <c r="K1565" s="49">
        <f>[1]Source!P1375</f>
        <v>3173104.31</v>
      </c>
      <c r="L1565">
        <v>759056.3</v>
      </c>
      <c r="M1565" s="50">
        <f>L1565*E1565</f>
        <v>3795281.5</v>
      </c>
      <c r="N1565" s="64" t="s">
        <v>926</v>
      </c>
      <c r="Q1565">
        <f>[1]Source!X1374</f>
        <v>0</v>
      </c>
      <c r="R1565">
        <f>[1]Source!X1375</f>
        <v>0</v>
      </c>
      <c r="S1565">
        <f>[1]Source!Y1374</f>
        <v>0</v>
      </c>
      <c r="T1565">
        <f>[1]Source!Y1375</f>
        <v>0</v>
      </c>
      <c r="U1565">
        <f>ROUND((175/100)*ROUND([1]Source!R1374, 2), 2)</f>
        <v>0</v>
      </c>
      <c r="V1565">
        <f>ROUND((0/100)*ROUND([1]Source!R1375, 2), 2)</f>
        <v>0</v>
      </c>
      <c r="AC1565">
        <v>3</v>
      </c>
    </row>
    <row r="1566" spans="1:29" ht="13.8" hidden="1" x14ac:dyDescent="0.25">
      <c r="C1566" s="39" t="s">
        <v>49</v>
      </c>
      <c r="H1566" s="40">
        <f>I1565+0</f>
        <v>322469.95</v>
      </c>
      <c r="I1566" s="40"/>
      <c r="J1566" s="40">
        <f>K1565+0</f>
        <v>3173104.31</v>
      </c>
      <c r="K1566" s="40"/>
      <c r="O1566" s="42">
        <f>I1565+0</f>
        <v>322469.95</v>
      </c>
      <c r="P1566" s="42">
        <f>K1565+0</f>
        <v>3173104.31</v>
      </c>
    </row>
    <row r="1567" spans="1:29" hidden="1" x14ac:dyDescent="0.25"/>
    <row r="1568" spans="1:29" ht="330" x14ac:dyDescent="0.25">
      <c r="A1568" s="46">
        <v>162</v>
      </c>
      <c r="B1568" s="46" t="str">
        <f>[1]Source!F1376</f>
        <v>КА 120</v>
      </c>
      <c r="C1568" s="46" t="s">
        <v>349</v>
      </c>
      <c r="D1568" s="47" t="str">
        <f>[1]Source!H1376</f>
        <v>ШТ</v>
      </c>
      <c r="E1568" s="48">
        <f>[1]Source!I1376</f>
        <v>4</v>
      </c>
      <c r="F1568" s="37">
        <f>[1]Source!AL1376</f>
        <v>23151.68</v>
      </c>
      <c r="G1568" s="38"/>
      <c r="H1568" s="36">
        <f>[1]Source!AW1377</f>
        <v>1</v>
      </c>
      <c r="I1568" s="37">
        <f>[1]Source!P1376</f>
        <v>92606.720000000001</v>
      </c>
      <c r="J1568" s="36">
        <f>IF([1]Source!BC1377&lt;&gt; 0, [1]Source!BC1377, 1)</f>
        <v>9.84</v>
      </c>
      <c r="K1568" s="49">
        <f>[1]Source!P1377</f>
        <v>911250.12</v>
      </c>
      <c r="L1568">
        <v>272481.75</v>
      </c>
      <c r="M1568" s="50">
        <f>L1568*E1568</f>
        <v>1089927</v>
      </c>
      <c r="N1568" s="64" t="s">
        <v>926</v>
      </c>
      <c r="Q1568">
        <f>[1]Source!X1376</f>
        <v>0</v>
      </c>
      <c r="R1568">
        <f>[1]Source!X1377</f>
        <v>0</v>
      </c>
      <c r="S1568">
        <f>[1]Source!Y1376</f>
        <v>0</v>
      </c>
      <c r="T1568">
        <f>[1]Source!Y1377</f>
        <v>0</v>
      </c>
      <c r="U1568">
        <f>ROUND((175/100)*ROUND([1]Source!R1376, 2), 2)</f>
        <v>0</v>
      </c>
      <c r="V1568">
        <f>ROUND((0/100)*ROUND([1]Source!R1377, 2), 2)</f>
        <v>0</v>
      </c>
      <c r="AC1568">
        <v>3</v>
      </c>
    </row>
    <row r="1569" spans="1:29" ht="13.8" hidden="1" x14ac:dyDescent="0.25">
      <c r="C1569" s="39" t="s">
        <v>49</v>
      </c>
      <c r="H1569" s="40">
        <f>I1568+0</f>
        <v>92606.720000000001</v>
      </c>
      <c r="I1569" s="40"/>
      <c r="J1569" s="40">
        <f>K1568+0</f>
        <v>911250.12</v>
      </c>
      <c r="K1569" s="40"/>
      <c r="O1569" s="42">
        <f>I1568+0</f>
        <v>92606.720000000001</v>
      </c>
      <c r="P1569" s="42">
        <f>K1568+0</f>
        <v>911250.12</v>
      </c>
    </row>
    <row r="1570" spans="1:29" hidden="1" x14ac:dyDescent="0.25"/>
    <row r="1571" spans="1:29" ht="343.8" x14ac:dyDescent="0.25">
      <c r="A1571" s="46">
        <v>163</v>
      </c>
      <c r="B1571" s="46" t="str">
        <f>[1]Source!F1378</f>
        <v>КА 99</v>
      </c>
      <c r="C1571" s="46" t="s">
        <v>350</v>
      </c>
      <c r="D1571" s="47" t="str">
        <f>[1]Source!H1378</f>
        <v>ШТ</v>
      </c>
      <c r="E1571" s="48">
        <f>[1]Source!I1378</f>
        <v>1</v>
      </c>
      <c r="F1571" s="37">
        <f>[1]Source!AL1378</f>
        <v>66147.679999999993</v>
      </c>
      <c r="G1571" s="38"/>
      <c r="H1571" s="36">
        <f>[1]Source!AW1379</f>
        <v>1</v>
      </c>
      <c r="I1571" s="37">
        <f>[1]Source!P1378</f>
        <v>66147.679999999993</v>
      </c>
      <c r="J1571" s="36">
        <f>IF([1]Source!BC1379&lt;&gt; 0, [1]Source!BC1379, 1)</f>
        <v>9.84</v>
      </c>
      <c r="K1571" s="49">
        <f>[1]Source!P1379</f>
        <v>650893.17000000004</v>
      </c>
      <c r="L1571">
        <v>778519.28</v>
      </c>
      <c r="M1571" s="50">
        <f>L1571*E1571</f>
        <v>778519.28</v>
      </c>
      <c r="N1571" s="64" t="s">
        <v>926</v>
      </c>
      <c r="Q1571">
        <f>[1]Source!X1378</f>
        <v>0</v>
      </c>
      <c r="R1571">
        <f>[1]Source!X1379</f>
        <v>0</v>
      </c>
      <c r="S1571">
        <f>[1]Source!Y1378</f>
        <v>0</v>
      </c>
      <c r="T1571">
        <f>[1]Source!Y1379</f>
        <v>0</v>
      </c>
      <c r="U1571">
        <f>ROUND((175/100)*ROUND([1]Source!R1378, 2), 2)</f>
        <v>0</v>
      </c>
      <c r="V1571">
        <f>ROUND((0/100)*ROUND([1]Source!R1379, 2), 2)</f>
        <v>0</v>
      </c>
      <c r="AC1571">
        <v>3</v>
      </c>
    </row>
    <row r="1572" spans="1:29" ht="13.8" hidden="1" x14ac:dyDescent="0.25">
      <c r="C1572" s="39" t="s">
        <v>49</v>
      </c>
      <c r="H1572" s="40">
        <f>I1571+0</f>
        <v>66147.679999999993</v>
      </c>
      <c r="I1572" s="40"/>
      <c r="J1572" s="40">
        <f>K1571+0</f>
        <v>650893.17000000004</v>
      </c>
      <c r="K1572" s="40"/>
      <c r="O1572" s="42">
        <f>I1571+0</f>
        <v>66147.679999999993</v>
      </c>
      <c r="P1572" s="42">
        <f>K1571+0</f>
        <v>650893.17000000004</v>
      </c>
    </row>
    <row r="1573" spans="1:29" hidden="1" x14ac:dyDescent="0.25"/>
    <row r="1574" spans="1:29" ht="330" x14ac:dyDescent="0.25">
      <c r="A1574" s="46">
        <v>164</v>
      </c>
      <c r="B1574" s="46" t="str">
        <f>[1]Source!F1380</f>
        <v>КА 100</v>
      </c>
      <c r="C1574" s="46" t="s">
        <v>351</v>
      </c>
      <c r="D1574" s="47" t="str">
        <f>[1]Source!H1380</f>
        <v>ШТ</v>
      </c>
      <c r="E1574" s="48">
        <f>[1]Source!I1380</f>
        <v>4</v>
      </c>
      <c r="F1574" s="37">
        <f>[1]Source!AL1380</f>
        <v>82353.86</v>
      </c>
      <c r="G1574" s="38"/>
      <c r="H1574" s="36">
        <f>[1]Source!AW1381</f>
        <v>1</v>
      </c>
      <c r="I1574" s="37">
        <f>[1]Source!P1380</f>
        <v>329415.44</v>
      </c>
      <c r="J1574" s="36">
        <f>IF([1]Source!BC1381&lt;&gt; 0, [1]Source!BC1381, 1)</f>
        <v>9.84</v>
      </c>
      <c r="K1574" s="49">
        <f>[1]Source!P1381</f>
        <v>3241447.93</v>
      </c>
      <c r="L1574">
        <v>969256.51</v>
      </c>
      <c r="M1574" s="50">
        <f>L1574*E1574</f>
        <v>3877026.04</v>
      </c>
      <c r="N1574" s="64" t="s">
        <v>926</v>
      </c>
      <c r="Q1574">
        <f>[1]Source!X1380</f>
        <v>0</v>
      </c>
      <c r="R1574">
        <f>[1]Source!X1381</f>
        <v>0</v>
      </c>
      <c r="S1574">
        <f>[1]Source!Y1380</f>
        <v>0</v>
      </c>
      <c r="T1574">
        <f>[1]Source!Y1381</f>
        <v>0</v>
      </c>
      <c r="U1574">
        <f>ROUND((175/100)*ROUND([1]Source!R1380, 2), 2)</f>
        <v>0</v>
      </c>
      <c r="V1574">
        <f>ROUND((0/100)*ROUND([1]Source!R1381, 2), 2)</f>
        <v>0</v>
      </c>
      <c r="AC1574">
        <v>3</v>
      </c>
    </row>
    <row r="1575" spans="1:29" ht="13.8" hidden="1" x14ac:dyDescent="0.25">
      <c r="C1575" s="39" t="s">
        <v>49</v>
      </c>
      <c r="H1575" s="40">
        <f>I1574+0</f>
        <v>329415.44</v>
      </c>
      <c r="I1575" s="40"/>
      <c r="J1575" s="40">
        <f>K1574+0</f>
        <v>3241447.93</v>
      </c>
      <c r="K1575" s="40"/>
      <c r="O1575" s="42">
        <f>I1574+0</f>
        <v>329415.44</v>
      </c>
      <c r="P1575" s="42">
        <f>K1574+0</f>
        <v>3241447.93</v>
      </c>
    </row>
    <row r="1576" spans="1:29" hidden="1" x14ac:dyDescent="0.25"/>
    <row r="1577" spans="1:29" ht="330" x14ac:dyDescent="0.25">
      <c r="A1577" s="46">
        <v>165</v>
      </c>
      <c r="B1577" s="46" t="str">
        <f>[1]Source!F1382</f>
        <v>КА 107</v>
      </c>
      <c r="C1577" s="46" t="s">
        <v>352</v>
      </c>
      <c r="D1577" s="47" t="str">
        <f>[1]Source!H1382</f>
        <v>ШТ</v>
      </c>
      <c r="E1577" s="48">
        <f>[1]Source!I1382</f>
        <v>1</v>
      </c>
      <c r="F1577" s="37">
        <f>[1]Source!AL1382</f>
        <v>71439.490000000005</v>
      </c>
      <c r="G1577" s="38"/>
      <c r="H1577" s="36">
        <f>[1]Source!AW1383</f>
        <v>1</v>
      </c>
      <c r="I1577" s="37">
        <f>[1]Source!P1382</f>
        <v>71439.490000000005</v>
      </c>
      <c r="J1577" s="36">
        <f>IF([1]Source!BC1383&lt;&gt; 0, [1]Source!BC1383, 1)</f>
        <v>9.84</v>
      </c>
      <c r="K1577" s="49">
        <f>[1]Source!P1383</f>
        <v>702964.58</v>
      </c>
      <c r="L1577">
        <v>840800.83</v>
      </c>
      <c r="M1577" s="50">
        <f>L1577*E1577</f>
        <v>840800.83</v>
      </c>
      <c r="N1577" s="64" t="s">
        <v>926</v>
      </c>
      <c r="Q1577">
        <f>[1]Source!X1382</f>
        <v>0</v>
      </c>
      <c r="R1577">
        <f>[1]Source!X1383</f>
        <v>0</v>
      </c>
      <c r="S1577">
        <f>[1]Source!Y1382</f>
        <v>0</v>
      </c>
      <c r="T1577">
        <f>[1]Source!Y1383</f>
        <v>0</v>
      </c>
      <c r="U1577">
        <f>ROUND((175/100)*ROUND([1]Source!R1382, 2), 2)</f>
        <v>0</v>
      </c>
      <c r="V1577">
        <f>ROUND((0/100)*ROUND([1]Source!R1383, 2), 2)</f>
        <v>0</v>
      </c>
      <c r="AC1577">
        <v>3</v>
      </c>
    </row>
    <row r="1578" spans="1:29" ht="13.8" hidden="1" x14ac:dyDescent="0.25">
      <c r="C1578" s="39" t="s">
        <v>49</v>
      </c>
      <c r="H1578" s="40">
        <f>I1577+0</f>
        <v>71439.490000000005</v>
      </c>
      <c r="I1578" s="40"/>
      <c r="J1578" s="40">
        <f>K1577+0</f>
        <v>702964.58</v>
      </c>
      <c r="K1578" s="40"/>
      <c r="O1578" s="42">
        <f>I1577+0</f>
        <v>71439.490000000005</v>
      </c>
      <c r="P1578" s="42">
        <f>K1577+0</f>
        <v>702964.58</v>
      </c>
    </row>
    <row r="1579" spans="1:29" hidden="1" x14ac:dyDescent="0.25"/>
    <row r="1580" spans="1:29" ht="41.4" hidden="1" x14ac:dyDescent="0.25">
      <c r="A1580" s="27">
        <v>166</v>
      </c>
      <c r="B1580" s="27" t="str">
        <f>[1]Source!F1384</f>
        <v>3.10-123-1</v>
      </c>
      <c r="C1580" s="27" t="s">
        <v>353</v>
      </c>
      <c r="D1580" s="28" t="str">
        <f>[1]Source!H1384</f>
        <v>100 шт.</v>
      </c>
      <c r="E1580" s="29">
        <f>[1]Source!I1384</f>
        <v>2.5</v>
      </c>
      <c r="F1580" s="30"/>
      <c r="G1580" s="31"/>
      <c r="H1580" s="29"/>
      <c r="I1580" s="30"/>
      <c r="J1580" s="29"/>
      <c r="K1580" s="30"/>
      <c r="Q1580">
        <f>[1]Source!X1384</f>
        <v>511.91</v>
      </c>
      <c r="R1580">
        <f>[1]Source!X1385</f>
        <v>28846.01</v>
      </c>
      <c r="S1580">
        <f>[1]Source!Y1384</f>
        <v>248.04</v>
      </c>
      <c r="T1580">
        <f>[1]Source!Y1385</f>
        <v>13976.93</v>
      </c>
      <c r="U1580">
        <f>ROUND((175/100)*ROUND([1]Source!R1384, 2), 2)</f>
        <v>29.47</v>
      </c>
      <c r="V1580">
        <f>ROUND((0/100)*ROUND([1]Source!R1385, 2), 2)</f>
        <v>0</v>
      </c>
      <c r="AC1580">
        <v>0</v>
      </c>
    </row>
    <row r="1581" spans="1:29" hidden="1" x14ac:dyDescent="0.25">
      <c r="C1581" s="32" t="str">
        <f>"Объем: "&amp;[1]Source!I1384&amp;"=250/"&amp;"100"</f>
        <v>Объем: 2,5=250/100</v>
      </c>
    </row>
    <row r="1582" spans="1:29" ht="14.4" hidden="1" x14ac:dyDescent="0.25">
      <c r="A1582" s="27"/>
      <c r="B1582" s="27"/>
      <c r="C1582" s="27" t="s">
        <v>36</v>
      </c>
      <c r="D1582" s="28"/>
      <c r="E1582" s="29"/>
      <c r="F1582" s="30">
        <f>[1]Source!AO1384</f>
        <v>141.44</v>
      </c>
      <c r="G1582" s="31" t="s">
        <v>37</v>
      </c>
      <c r="H1582" s="29">
        <f>[1]Source!AV1385</f>
        <v>1.0469999999999999</v>
      </c>
      <c r="I1582" s="30">
        <f>[1]Source!S1384</f>
        <v>510.9</v>
      </c>
      <c r="J1582" s="29">
        <f>IF([1]Source!BA1385&lt;&gt; 0, [1]Source!BA1385, 1)</f>
        <v>56.35</v>
      </c>
      <c r="K1582" s="30">
        <f>[1]Source!S1385</f>
        <v>28789.22</v>
      </c>
    </row>
    <row r="1583" spans="1:29" ht="14.4" hidden="1" x14ac:dyDescent="0.25">
      <c r="A1583" s="27"/>
      <c r="B1583" s="27"/>
      <c r="C1583" s="27" t="s">
        <v>38</v>
      </c>
      <c r="D1583" s="28"/>
      <c r="E1583" s="29"/>
      <c r="F1583" s="30">
        <f>[1]Source!AM1384</f>
        <v>33.14</v>
      </c>
      <c r="G1583" s="31" t="s">
        <v>39</v>
      </c>
      <c r="H1583" s="29">
        <f>[1]Source!AV1385</f>
        <v>1.0469999999999999</v>
      </c>
      <c r="I1583" s="30">
        <f>[1]Source!Q1384</f>
        <v>130.12</v>
      </c>
      <c r="J1583" s="29">
        <f>IF([1]Source!BB1385&lt;&gt; 0, [1]Source!BB1385, 1)</f>
        <v>15.98</v>
      </c>
      <c r="K1583" s="30">
        <f>[1]Source!Q1385</f>
        <v>2079.3200000000002</v>
      </c>
    </row>
    <row r="1584" spans="1:29" ht="14.4" hidden="1" x14ac:dyDescent="0.25">
      <c r="A1584" s="27"/>
      <c r="B1584" s="27"/>
      <c r="C1584" s="27" t="s">
        <v>40</v>
      </c>
      <c r="D1584" s="28"/>
      <c r="E1584" s="29"/>
      <c r="F1584" s="30">
        <f>[1]Source!AN1384</f>
        <v>4.29</v>
      </c>
      <c r="G1584" s="31" t="s">
        <v>39</v>
      </c>
      <c r="H1584" s="29">
        <f>[1]Source!AV1385</f>
        <v>1.0469999999999999</v>
      </c>
      <c r="I1584" s="33">
        <f>[1]Source!R1384</f>
        <v>16.84</v>
      </c>
      <c r="J1584" s="29">
        <f>IF([1]Source!BS1385&lt;&gt; 0, [1]Source!BS1385, 1)</f>
        <v>56.35</v>
      </c>
      <c r="K1584" s="33">
        <f>[1]Source!R1385</f>
        <v>948.93</v>
      </c>
    </row>
    <row r="1585" spans="1:29" ht="14.4" hidden="1" x14ac:dyDescent="0.25">
      <c r="A1585" s="27"/>
      <c r="B1585" s="27"/>
      <c r="C1585" s="27" t="s">
        <v>41</v>
      </c>
      <c r="D1585" s="28"/>
      <c r="E1585" s="29"/>
      <c r="F1585" s="30">
        <f>[1]Source!AL1384</f>
        <v>41.72</v>
      </c>
      <c r="G1585" s="31"/>
      <c r="H1585" s="29">
        <f>[1]Source!AW1385</f>
        <v>1</v>
      </c>
      <c r="I1585" s="30">
        <f>[1]Source!P1384</f>
        <v>104.3</v>
      </c>
      <c r="J1585" s="29">
        <f>IF([1]Source!BC1385&lt;&gt; 0, [1]Source!BC1385, 1)</f>
        <v>3.81</v>
      </c>
      <c r="K1585" s="30">
        <f>[1]Source!P1385</f>
        <v>397.38</v>
      </c>
    </row>
    <row r="1586" spans="1:29" ht="55.2" hidden="1" x14ac:dyDescent="0.25">
      <c r="A1586" s="27" t="s">
        <v>354</v>
      </c>
      <c r="B1586" s="27" t="str">
        <f>[1]Source!F1386</f>
        <v>1.1-1-4106</v>
      </c>
      <c r="C1586" s="27" t="s">
        <v>355</v>
      </c>
      <c r="D1586" s="28" t="str">
        <f>[1]Source!H1386</f>
        <v>м2</v>
      </c>
      <c r="E1586" s="29">
        <f>[1]Source!I1386</f>
        <v>278.60000000000002</v>
      </c>
      <c r="F1586" s="30">
        <f>[1]Source!AK1386</f>
        <v>85.38</v>
      </c>
      <c r="G1586" s="43" t="s">
        <v>54</v>
      </c>
      <c r="H1586" s="29">
        <f>[1]Source!AW1387</f>
        <v>1</v>
      </c>
      <c r="I1586" s="30">
        <f>[1]Source!O1386</f>
        <v>23786.87</v>
      </c>
      <c r="J1586" s="29">
        <f>IF([1]Source!BC1387&lt;&gt; 0, [1]Source!BC1387, 1)</f>
        <v>8.8000000000000007</v>
      </c>
      <c r="K1586" s="30">
        <f>[1]Source!O1387</f>
        <v>209324.46</v>
      </c>
      <c r="Q1586">
        <f>[1]Source!X1386</f>
        <v>0</v>
      </c>
      <c r="R1586">
        <f>[1]Source!X1387</f>
        <v>0</v>
      </c>
      <c r="S1586">
        <f>[1]Source!Y1386</f>
        <v>0</v>
      </c>
      <c r="T1586">
        <f>[1]Source!Y1387</f>
        <v>0</v>
      </c>
      <c r="U1586">
        <f>ROUND((175/100)*ROUND([1]Source!R1386, 2), 2)</f>
        <v>0</v>
      </c>
      <c r="V1586">
        <f>ROUND((0/100)*ROUND([1]Source!R1387, 2), 2)</f>
        <v>0</v>
      </c>
      <c r="AC1586">
        <v>3</v>
      </c>
    </row>
    <row r="1587" spans="1:29" ht="41.4" hidden="1" x14ac:dyDescent="0.25">
      <c r="A1587" s="27" t="s">
        <v>356</v>
      </c>
      <c r="B1587" s="27" t="str">
        <f>[1]Source!F1388</f>
        <v>1.1-1-4107</v>
      </c>
      <c r="C1587" s="27" t="s">
        <v>357</v>
      </c>
      <c r="D1587" s="28" t="str">
        <f>[1]Source!H1388</f>
        <v>100 шт.</v>
      </c>
      <c r="E1587" s="29">
        <f>[1]Source!I1388</f>
        <v>10</v>
      </c>
      <c r="F1587" s="30">
        <f>[1]Source!AK1388</f>
        <v>21.54</v>
      </c>
      <c r="G1587" s="43" t="s">
        <v>54</v>
      </c>
      <c r="H1587" s="29">
        <f>[1]Source!AW1389</f>
        <v>1</v>
      </c>
      <c r="I1587" s="30">
        <f>[1]Source!O1388</f>
        <v>215.4</v>
      </c>
      <c r="J1587" s="29">
        <f>IF([1]Source!BC1389&lt;&gt; 0, [1]Source!BC1389, 1)</f>
        <v>17.12</v>
      </c>
      <c r="K1587" s="30">
        <f>[1]Source!O1389</f>
        <v>3687.65</v>
      </c>
      <c r="Q1587">
        <f>[1]Source!X1388</f>
        <v>0</v>
      </c>
      <c r="R1587">
        <f>[1]Source!X1389</f>
        <v>0</v>
      </c>
      <c r="S1587">
        <f>[1]Source!Y1388</f>
        <v>0</v>
      </c>
      <c r="T1587">
        <f>[1]Source!Y1389</f>
        <v>0</v>
      </c>
      <c r="U1587">
        <f>ROUND((175/100)*ROUND([1]Source!R1388, 2), 2)</f>
        <v>0</v>
      </c>
      <c r="V1587">
        <f>ROUND((0/100)*ROUND([1]Source!R1389, 2), 2)</f>
        <v>0</v>
      </c>
      <c r="AC1587">
        <v>3</v>
      </c>
    </row>
    <row r="1588" spans="1:29" ht="14.4" hidden="1" x14ac:dyDescent="0.25">
      <c r="A1588" s="27"/>
      <c r="B1588" s="27"/>
      <c r="C1588" s="27" t="s">
        <v>42</v>
      </c>
      <c r="D1588" s="28" t="s">
        <v>43</v>
      </c>
      <c r="E1588" s="29">
        <f>[1]Source!BZ1385</f>
        <v>97</v>
      </c>
      <c r="F1588" s="30"/>
      <c r="G1588" s="31"/>
      <c r="H1588" s="29"/>
      <c r="I1588" s="30">
        <f>SUM(Q1580:Q1587)</f>
        <v>511.91</v>
      </c>
      <c r="J1588" s="29">
        <f>[1]Source!AT1385</f>
        <v>97</v>
      </c>
      <c r="K1588" s="30">
        <f>SUM(R1580:R1587)</f>
        <v>28846.01</v>
      </c>
    </row>
    <row r="1589" spans="1:29" ht="14.4" hidden="1" x14ac:dyDescent="0.25">
      <c r="A1589" s="27"/>
      <c r="B1589" s="27"/>
      <c r="C1589" s="27" t="s">
        <v>44</v>
      </c>
      <c r="D1589" s="28" t="s">
        <v>43</v>
      </c>
      <c r="E1589" s="29">
        <f>[1]Source!CA1385</f>
        <v>47</v>
      </c>
      <c r="F1589" s="30"/>
      <c r="G1589" s="31"/>
      <c r="H1589" s="29"/>
      <c r="I1589" s="30">
        <f>SUM(S1580:S1588)</f>
        <v>248.04</v>
      </c>
      <c r="J1589" s="29">
        <f>[1]Source!AU1385</f>
        <v>47</v>
      </c>
      <c r="K1589" s="30">
        <f>SUM(T1580:T1588)</f>
        <v>13976.93</v>
      </c>
    </row>
    <row r="1590" spans="1:29" ht="14.4" hidden="1" x14ac:dyDescent="0.25">
      <c r="A1590" s="34"/>
      <c r="B1590" s="34"/>
      <c r="C1590" s="34" t="s">
        <v>45</v>
      </c>
      <c r="D1590" s="35" t="s">
        <v>46</v>
      </c>
      <c r="E1590" s="36">
        <f>[1]Source!AQ1384</f>
        <v>12.71</v>
      </c>
      <c r="F1590" s="37"/>
      <c r="G1590" s="38" t="s">
        <v>37</v>
      </c>
      <c r="H1590" s="36">
        <f>[1]Source!AV1385</f>
        <v>1.0469999999999999</v>
      </c>
      <c r="I1590" s="37">
        <f>[1]Source!U1384</f>
        <v>45.910426499999993</v>
      </c>
      <c r="J1590" s="36"/>
      <c r="K1590" s="37"/>
    </row>
    <row r="1591" spans="1:29" ht="13.8" hidden="1" x14ac:dyDescent="0.25">
      <c r="C1591" s="39" t="s">
        <v>47</v>
      </c>
      <c r="H1591" s="40">
        <f>I1582+I1583+I1585+I1588+I1589+SUM(I1586:I1587)-SUMIF(AC1586:AC1587, 5, I1586:I1587)-SUMIF(AC1586:AC1587, 6, I1586:I1587)</f>
        <v>25507.54</v>
      </c>
      <c r="I1591" s="40"/>
      <c r="J1591" s="40">
        <f>K1582+K1583+K1585+K1588+K1589+SUM(K1586:K1587)-SUMIF(AC1586:AC1587, 5, K1586:K1587)-SUMIF(AC1586:AC1587, 6, K1586:K1587)</f>
        <v>287100.96999999997</v>
      </c>
      <c r="K1591" s="40"/>
    </row>
    <row r="1592" spans="1:29" ht="13.8" hidden="1" x14ac:dyDescent="0.25">
      <c r="C1592" s="39" t="s">
        <v>48</v>
      </c>
      <c r="H1592" s="41">
        <f>SUMIF(AC1586:AC1587, 5, I1586:I1587)+SUMIF(AC1586:AC1587, 6, I1586:I1587)</f>
        <v>0</v>
      </c>
      <c r="I1592" s="41"/>
      <c r="J1592" s="41">
        <f>SUMIF(AC1586:AC1587, 5, K1586:K1587)+SUMIF(AC1586:AC1587, 6, K1586:K1587)</f>
        <v>0</v>
      </c>
      <c r="K1592" s="41"/>
    </row>
    <row r="1593" spans="1:29" ht="13.8" hidden="1" x14ac:dyDescent="0.25">
      <c r="C1593" s="39" t="s">
        <v>49</v>
      </c>
      <c r="H1593" s="41">
        <f>I1582+I1583+I1585+I1588+I1589+SUM(I1586:I1587)</f>
        <v>25507.54</v>
      </c>
      <c r="I1593" s="41"/>
      <c r="J1593" s="41">
        <f>K1582+K1583+K1585+K1588+K1589+SUM(K1586:K1587)</f>
        <v>287100.96999999997</v>
      </c>
      <c r="K1593" s="41"/>
      <c r="O1593" s="42">
        <f>I1582+I1583+I1585+I1588+I1589+SUM(I1586:I1587)</f>
        <v>25507.54</v>
      </c>
      <c r="P1593" s="42">
        <f>K1582+K1583+K1585+K1588+K1589+SUM(K1586:K1587)</f>
        <v>287100.96999999997</v>
      </c>
    </row>
    <row r="1594" spans="1:29" hidden="1" x14ac:dyDescent="0.25"/>
    <row r="1595" spans="1:29" ht="41.4" hidden="1" x14ac:dyDescent="0.25">
      <c r="A1595" s="27">
        <v>167</v>
      </c>
      <c r="B1595" s="27" t="str">
        <f>[1]Source!F1390</f>
        <v>3.10-127-1</v>
      </c>
      <c r="C1595" s="27" t="s">
        <v>358</v>
      </c>
      <c r="D1595" s="28" t="str">
        <f>[1]Source!H1390</f>
        <v>100 шт.</v>
      </c>
      <c r="E1595" s="29">
        <f>[1]Source!I1390</f>
        <v>2.5</v>
      </c>
      <c r="F1595" s="30"/>
      <c r="G1595" s="31"/>
      <c r="H1595" s="29"/>
      <c r="I1595" s="30"/>
      <c r="J1595" s="29"/>
      <c r="K1595" s="30"/>
      <c r="Q1595">
        <f>[1]Source!X1390</f>
        <v>91.88</v>
      </c>
      <c r="R1595">
        <f>[1]Source!X1391</f>
        <v>5177.3500000000004</v>
      </c>
      <c r="S1595">
        <f>[1]Source!Y1390</f>
        <v>44.52</v>
      </c>
      <c r="T1595">
        <f>[1]Source!Y1391</f>
        <v>2508.61</v>
      </c>
      <c r="U1595">
        <f>ROUND((175/100)*ROUND([1]Source!R1390, 2), 2)</f>
        <v>1.72</v>
      </c>
      <c r="V1595">
        <f>ROUND((0/100)*ROUND([1]Source!R1391, 2), 2)</f>
        <v>0</v>
      </c>
      <c r="AC1595">
        <v>0</v>
      </c>
    </row>
    <row r="1596" spans="1:29" hidden="1" x14ac:dyDescent="0.25">
      <c r="C1596" s="32" t="str">
        <f>"Объем: "&amp;[1]Source!I1390&amp;"=250/"&amp;"100"</f>
        <v>Объем: 2,5=250/100</v>
      </c>
    </row>
    <row r="1597" spans="1:29" ht="14.4" hidden="1" x14ac:dyDescent="0.25">
      <c r="A1597" s="27"/>
      <c r="B1597" s="27"/>
      <c r="C1597" s="27" t="s">
        <v>36</v>
      </c>
      <c r="D1597" s="28"/>
      <c r="E1597" s="29"/>
      <c r="F1597" s="30">
        <f>[1]Source!AO1390</f>
        <v>25.95</v>
      </c>
      <c r="G1597" s="31" t="s">
        <v>37</v>
      </c>
      <c r="H1597" s="29">
        <f>[1]Source!AV1391</f>
        <v>1.0469999999999999</v>
      </c>
      <c r="I1597" s="30">
        <f>[1]Source!S1390</f>
        <v>93.74</v>
      </c>
      <c r="J1597" s="29">
        <f>IF([1]Source!BA1391&lt;&gt; 0, [1]Source!BA1391, 1)</f>
        <v>56.35</v>
      </c>
      <c r="K1597" s="30">
        <f>[1]Source!S1391</f>
        <v>5282.25</v>
      </c>
    </row>
    <row r="1598" spans="1:29" ht="14.4" hidden="1" x14ac:dyDescent="0.25">
      <c r="A1598" s="27"/>
      <c r="B1598" s="27"/>
      <c r="C1598" s="27" t="s">
        <v>38</v>
      </c>
      <c r="D1598" s="28"/>
      <c r="E1598" s="29"/>
      <c r="F1598" s="30">
        <f>[1]Source!AM1390</f>
        <v>2.15</v>
      </c>
      <c r="G1598" s="31" t="s">
        <v>39</v>
      </c>
      <c r="H1598" s="29">
        <f>[1]Source!AV1391</f>
        <v>1.0469999999999999</v>
      </c>
      <c r="I1598" s="30">
        <f>[1]Source!Q1390</f>
        <v>8.44</v>
      </c>
      <c r="J1598" s="29">
        <f>IF([1]Source!BB1391&lt;&gt; 0, [1]Source!BB1391, 1)</f>
        <v>15.39</v>
      </c>
      <c r="K1598" s="30">
        <f>[1]Source!Q1391</f>
        <v>129.88999999999999</v>
      </c>
    </row>
    <row r="1599" spans="1:29" ht="14.4" hidden="1" x14ac:dyDescent="0.25">
      <c r="A1599" s="27"/>
      <c r="B1599" s="27"/>
      <c r="C1599" s="27" t="s">
        <v>40</v>
      </c>
      <c r="D1599" s="28"/>
      <c r="E1599" s="29"/>
      <c r="F1599" s="30">
        <f>[1]Source!AN1390</f>
        <v>0.25</v>
      </c>
      <c r="G1599" s="31" t="s">
        <v>39</v>
      </c>
      <c r="H1599" s="29">
        <f>[1]Source!AV1391</f>
        <v>1.0469999999999999</v>
      </c>
      <c r="I1599" s="33">
        <f>[1]Source!R1390</f>
        <v>0.98</v>
      </c>
      <c r="J1599" s="29">
        <f>IF([1]Source!BS1391&lt;&gt; 0, [1]Source!BS1391, 1)</f>
        <v>56.35</v>
      </c>
      <c r="K1599" s="33">
        <f>[1]Source!R1391</f>
        <v>55.22</v>
      </c>
    </row>
    <row r="1600" spans="1:29" ht="14.4" hidden="1" x14ac:dyDescent="0.25">
      <c r="A1600" s="27"/>
      <c r="B1600" s="27"/>
      <c r="C1600" s="27" t="s">
        <v>41</v>
      </c>
      <c r="D1600" s="28"/>
      <c r="E1600" s="29"/>
      <c r="F1600" s="30">
        <f>[1]Source!AL1390</f>
        <v>25.42</v>
      </c>
      <c r="G1600" s="31"/>
      <c r="H1600" s="29">
        <f>[1]Source!AW1391</f>
        <v>1</v>
      </c>
      <c r="I1600" s="30">
        <f>[1]Source!P1390</f>
        <v>63.55</v>
      </c>
      <c r="J1600" s="29">
        <f>IF([1]Source!BC1391&lt;&gt; 0, [1]Source!BC1391, 1)</f>
        <v>2.37</v>
      </c>
      <c r="K1600" s="30">
        <f>[1]Source!P1391</f>
        <v>150.61000000000001</v>
      </c>
    </row>
    <row r="1601" spans="1:29" ht="43.2" hidden="1" x14ac:dyDescent="0.25">
      <c r="A1601" s="27" t="s">
        <v>359</v>
      </c>
      <c r="B1601" s="27" t="str">
        <f>[1]Source!F1392</f>
        <v>1.8-3-24</v>
      </c>
      <c r="C1601" s="27" t="s">
        <v>360</v>
      </c>
      <c r="D1601" s="28" t="str">
        <f>[1]Source!H1392</f>
        <v>КОМПЛЕКТ</v>
      </c>
      <c r="E1601" s="29">
        <f>[1]Source!I1392</f>
        <v>250</v>
      </c>
      <c r="F1601" s="30">
        <f>[1]Source!AK1392</f>
        <v>26.56</v>
      </c>
      <c r="G1601" s="43" t="s">
        <v>54</v>
      </c>
      <c r="H1601" s="29">
        <f>[1]Source!AW1393</f>
        <v>1</v>
      </c>
      <c r="I1601" s="30">
        <f>[1]Source!O1392</f>
        <v>6640</v>
      </c>
      <c r="J1601" s="29">
        <f>IF([1]Source!BC1393&lt;&gt; 0, [1]Source!BC1393, 1)</f>
        <v>9.86</v>
      </c>
      <c r="K1601" s="30">
        <f>[1]Source!O1393</f>
        <v>65470.400000000001</v>
      </c>
      <c r="Q1601">
        <f>[1]Source!X1392</f>
        <v>0</v>
      </c>
      <c r="R1601">
        <f>[1]Source!X1393</f>
        <v>0</v>
      </c>
      <c r="S1601">
        <f>[1]Source!Y1392</f>
        <v>0</v>
      </c>
      <c r="T1601">
        <f>[1]Source!Y1393</f>
        <v>0</v>
      </c>
      <c r="U1601">
        <f>ROUND((175/100)*ROUND([1]Source!R1392, 2), 2)</f>
        <v>0</v>
      </c>
      <c r="V1601">
        <f>ROUND((0/100)*ROUND([1]Source!R1393, 2), 2)</f>
        <v>0</v>
      </c>
      <c r="AC1601">
        <v>3</v>
      </c>
    </row>
    <row r="1602" spans="1:29" ht="14.4" hidden="1" x14ac:dyDescent="0.25">
      <c r="A1602" s="27"/>
      <c r="B1602" s="27"/>
      <c r="C1602" s="27" t="s">
        <v>42</v>
      </c>
      <c r="D1602" s="28" t="s">
        <v>43</v>
      </c>
      <c r="E1602" s="29">
        <f>[1]Source!BZ1391</f>
        <v>97</v>
      </c>
      <c r="F1602" s="30"/>
      <c r="G1602" s="31"/>
      <c r="H1602" s="29"/>
      <c r="I1602" s="30">
        <f>SUM(Q1595:Q1601)</f>
        <v>91.88</v>
      </c>
      <c r="J1602" s="29">
        <f>[1]Source!AT1391</f>
        <v>97</v>
      </c>
      <c r="K1602" s="30">
        <f>SUM(R1595:R1601)</f>
        <v>5177.3500000000004</v>
      </c>
    </row>
    <row r="1603" spans="1:29" ht="14.4" hidden="1" x14ac:dyDescent="0.25">
      <c r="A1603" s="27"/>
      <c r="B1603" s="27"/>
      <c r="C1603" s="27" t="s">
        <v>44</v>
      </c>
      <c r="D1603" s="28" t="s">
        <v>43</v>
      </c>
      <c r="E1603" s="29">
        <f>[1]Source!CA1391</f>
        <v>47</v>
      </c>
      <c r="F1603" s="30"/>
      <c r="G1603" s="31"/>
      <c r="H1603" s="29"/>
      <c r="I1603" s="30">
        <f>SUM(S1595:S1602)</f>
        <v>44.52</v>
      </c>
      <c r="J1603" s="29">
        <f>[1]Source!AU1391</f>
        <v>47</v>
      </c>
      <c r="K1603" s="30">
        <f>SUM(T1595:T1602)</f>
        <v>2508.61</v>
      </c>
    </row>
    <row r="1604" spans="1:29" ht="14.4" hidden="1" x14ac:dyDescent="0.25">
      <c r="A1604" s="34"/>
      <c r="B1604" s="34"/>
      <c r="C1604" s="34" t="s">
        <v>45</v>
      </c>
      <c r="D1604" s="35" t="s">
        <v>46</v>
      </c>
      <c r="E1604" s="36">
        <f>[1]Source!AQ1390</f>
        <v>2.33</v>
      </c>
      <c r="F1604" s="37"/>
      <c r="G1604" s="38" t="s">
        <v>37</v>
      </c>
      <c r="H1604" s="36">
        <f>[1]Source!AV1391</f>
        <v>1.0469999999999999</v>
      </c>
      <c r="I1604" s="37">
        <f>[1]Source!U1390</f>
        <v>8.4163094999999988</v>
      </c>
      <c r="J1604" s="36"/>
      <c r="K1604" s="37"/>
    </row>
    <row r="1605" spans="1:29" ht="13.8" hidden="1" x14ac:dyDescent="0.25">
      <c r="C1605" s="39" t="s">
        <v>47</v>
      </c>
      <c r="H1605" s="40">
        <f>I1597+I1598+I1600+I1602+I1603+SUM(I1601:I1601)-SUMIF(AC1601:AC1601, 5, I1601:I1601)-SUMIF(AC1601:AC1601, 6, I1601:I1601)</f>
        <v>6942.13</v>
      </c>
      <c r="I1605" s="40"/>
      <c r="J1605" s="40">
        <f>K1597+K1598+K1600+K1602+K1603+SUM(K1601:K1601)-SUMIF(AC1601:AC1601, 5, K1601:K1601)-SUMIF(AC1601:AC1601, 6, K1601:K1601)</f>
        <v>78719.11</v>
      </c>
      <c r="K1605" s="40"/>
    </row>
    <row r="1606" spans="1:29" ht="13.8" hidden="1" x14ac:dyDescent="0.25">
      <c r="C1606" s="39" t="s">
        <v>48</v>
      </c>
      <c r="H1606" s="41">
        <f>SUMIF(AC1601:AC1601, 5, I1601:I1601)+SUMIF(AC1601:AC1601, 6, I1601:I1601)</f>
        <v>0</v>
      </c>
      <c r="I1606" s="41"/>
      <c r="J1606" s="41">
        <f>SUMIF(AC1601:AC1601, 5, K1601:K1601)+SUMIF(AC1601:AC1601, 6, K1601:K1601)</f>
        <v>0</v>
      </c>
      <c r="K1606" s="41"/>
    </row>
    <row r="1607" spans="1:29" ht="13.8" hidden="1" x14ac:dyDescent="0.25">
      <c r="C1607" s="39" t="s">
        <v>49</v>
      </c>
      <c r="H1607" s="41">
        <f>I1597+I1598+I1600+I1602+I1603+SUM(I1601:I1601)</f>
        <v>6942.13</v>
      </c>
      <c r="I1607" s="41"/>
      <c r="J1607" s="41">
        <f>K1597+K1598+K1600+K1602+K1603+SUM(K1601:K1601)</f>
        <v>78719.11</v>
      </c>
      <c r="K1607" s="41"/>
      <c r="O1607" s="42">
        <f>I1597+I1598+I1600+I1602+I1603+SUM(I1601:I1601)</f>
        <v>6942.13</v>
      </c>
      <c r="P1607" s="42">
        <f>K1597+K1598+K1600+K1602+K1603+SUM(K1601:K1601)</f>
        <v>78719.11</v>
      </c>
    </row>
    <row r="1608" spans="1:29" hidden="1" x14ac:dyDescent="0.25"/>
    <row r="1609" spans="1:29" hidden="1" x14ac:dyDescent="0.25"/>
    <row r="1610" spans="1:29" ht="13.8" hidden="1" x14ac:dyDescent="0.25">
      <c r="A1610" s="44" t="str">
        <f>CONCATENATE("Итого по подразделу: ",IF([1]Source!G1395&lt;&gt;"Новый подраздел", [1]Source!G1395, ""))</f>
        <v>Итого по подразделу: Монтаж наружных оконных блоков ПВХ.</v>
      </c>
      <c r="B1610" s="44"/>
      <c r="C1610" s="44"/>
      <c r="D1610" s="44"/>
      <c r="E1610" s="44"/>
      <c r="F1610" s="44"/>
      <c r="G1610" s="44"/>
      <c r="H1610" s="41">
        <f>SUM(O1368:O1609)</f>
        <v>11719355.119999999</v>
      </c>
      <c r="I1610" s="45"/>
      <c r="J1610" s="41">
        <f>SUM(P1368:P1609)</f>
        <v>116955323.73000002</v>
      </c>
      <c r="K1610" s="45"/>
    </row>
    <row r="1611" spans="1:29" hidden="1" x14ac:dyDescent="0.25">
      <c r="A1611" t="s">
        <v>55</v>
      </c>
      <c r="I1611">
        <f>SUM(W1368:W1610)</f>
        <v>0</v>
      </c>
      <c r="J1611">
        <f>SUM(X1368:X1610)</f>
        <v>0</v>
      </c>
    </row>
    <row r="1612" spans="1:29" hidden="1" x14ac:dyDescent="0.25">
      <c r="A1612" t="s">
        <v>56</v>
      </c>
      <c r="I1612">
        <f>SUM(Y1368:Y1611)</f>
        <v>0</v>
      </c>
      <c r="J1612">
        <f>SUM(Z1368:Z1611)</f>
        <v>0</v>
      </c>
    </row>
    <row r="1613" spans="1:29" hidden="1" x14ac:dyDescent="0.25"/>
    <row r="1614" spans="1:29" ht="16.8" hidden="1" x14ac:dyDescent="0.25">
      <c r="A1614" s="11" t="str">
        <f>CONCATENATE("Подраздел: ",IF([1]Source!G1425&lt;&gt;"Новый подраздел", [1]Source!G1425, ""))</f>
        <v>Подраздел: Монтаж наружных витражей из алюминиевого профиля</v>
      </c>
      <c r="B1614" s="11"/>
      <c r="C1614" s="11"/>
      <c r="D1614" s="11"/>
      <c r="E1614" s="11"/>
      <c r="F1614" s="11"/>
      <c r="G1614" s="11"/>
      <c r="H1614" s="11"/>
      <c r="I1614" s="11"/>
      <c r="J1614" s="11"/>
      <c r="K1614" s="11"/>
    </row>
    <row r="1615" spans="1:29" ht="55.2" hidden="1" x14ac:dyDescent="0.25">
      <c r="A1615" s="27">
        <v>168</v>
      </c>
      <c r="B1615" s="27" t="str">
        <f>[1]Source!F1429</f>
        <v>3.9-83-4</v>
      </c>
      <c r="C1615" s="27" t="s">
        <v>361</v>
      </c>
      <c r="D1615" s="28" t="str">
        <f>[1]Source!H1429</f>
        <v>100 м2</v>
      </c>
      <c r="E1615" s="29">
        <f>[1]Source!I1429</f>
        <v>0.56000000000000005</v>
      </c>
      <c r="F1615" s="30"/>
      <c r="G1615" s="31"/>
      <c r="H1615" s="29"/>
      <c r="I1615" s="30"/>
      <c r="J1615" s="29"/>
      <c r="K1615" s="30"/>
      <c r="Q1615">
        <f>[1]Source!X1429</f>
        <v>943.4</v>
      </c>
      <c r="R1615">
        <f>[1]Source!X1430</f>
        <v>53160.34</v>
      </c>
      <c r="S1615">
        <f>[1]Source!Y1429</f>
        <v>595.24</v>
      </c>
      <c r="T1615">
        <f>[1]Source!Y1430</f>
        <v>33541.64</v>
      </c>
      <c r="U1615">
        <f>ROUND((175/100)*ROUND([1]Source!R1429, 2), 2)</f>
        <v>11.8</v>
      </c>
      <c r="V1615">
        <f>ROUND((0/100)*ROUND([1]Source!R1430, 2), 2)</f>
        <v>0</v>
      </c>
      <c r="AC1615">
        <v>0</v>
      </c>
    </row>
    <row r="1616" spans="1:29" hidden="1" x14ac:dyDescent="0.25">
      <c r="C1616" s="32" t="str">
        <f>"Объем: "&amp;[1]Source!I1429&amp;"=56/"&amp;"100"</f>
        <v>Объем: 0,56=56/100</v>
      </c>
    </row>
    <row r="1617" spans="1:29" ht="14.4" hidden="1" x14ac:dyDescent="0.25">
      <c r="A1617" s="27"/>
      <c r="B1617" s="27"/>
      <c r="C1617" s="27" t="s">
        <v>36</v>
      </c>
      <c r="D1617" s="28"/>
      <c r="E1617" s="29"/>
      <c r="F1617" s="30">
        <f>[1]Source!AO1429</f>
        <v>1328.94</v>
      </c>
      <c r="G1617" s="31" t="s">
        <v>37</v>
      </c>
      <c r="H1617" s="29">
        <f>[1]Source!AV1430</f>
        <v>1.087</v>
      </c>
      <c r="I1617" s="30">
        <f>[1]Source!S1429</f>
        <v>1116.3499999999999</v>
      </c>
      <c r="J1617" s="29">
        <f>IF([1]Source!BA1430&lt;&gt; 0, [1]Source!BA1430, 1)</f>
        <v>56.35</v>
      </c>
      <c r="K1617" s="30">
        <f>[1]Source!S1430</f>
        <v>62906.32</v>
      </c>
    </row>
    <row r="1618" spans="1:29" ht="14.4" hidden="1" x14ac:dyDescent="0.25">
      <c r="A1618" s="27"/>
      <c r="B1618" s="27"/>
      <c r="C1618" s="27" t="s">
        <v>38</v>
      </c>
      <c r="D1618" s="28"/>
      <c r="E1618" s="29"/>
      <c r="F1618" s="30">
        <f>[1]Source!AM1429</f>
        <v>86.35</v>
      </c>
      <c r="G1618" s="31" t="s">
        <v>39</v>
      </c>
      <c r="H1618" s="29">
        <f>[1]Source!AV1430</f>
        <v>1.087</v>
      </c>
      <c r="I1618" s="30">
        <f>[1]Source!Q1429</f>
        <v>78.84</v>
      </c>
      <c r="J1618" s="29">
        <f>IF([1]Source!BB1430&lt;&gt; 0, [1]Source!BB1430, 1)</f>
        <v>13.88</v>
      </c>
      <c r="K1618" s="30">
        <f>[1]Source!Q1430</f>
        <v>1094.3</v>
      </c>
    </row>
    <row r="1619" spans="1:29" ht="14.4" hidden="1" x14ac:dyDescent="0.25">
      <c r="A1619" s="27"/>
      <c r="B1619" s="27"/>
      <c r="C1619" s="27" t="s">
        <v>40</v>
      </c>
      <c r="D1619" s="28"/>
      <c r="E1619" s="29"/>
      <c r="F1619" s="30">
        <f>[1]Source!AN1429</f>
        <v>7.38</v>
      </c>
      <c r="G1619" s="31" t="s">
        <v>39</v>
      </c>
      <c r="H1619" s="29">
        <f>[1]Source!AV1430</f>
        <v>1.087</v>
      </c>
      <c r="I1619" s="33">
        <f>[1]Source!R1429</f>
        <v>6.74</v>
      </c>
      <c r="J1619" s="29">
        <f>IF([1]Source!BS1430&lt;&gt; 0, [1]Source!BS1430, 1)</f>
        <v>56.35</v>
      </c>
      <c r="K1619" s="33">
        <f>[1]Source!R1430</f>
        <v>379.8</v>
      </c>
    </row>
    <row r="1620" spans="1:29" ht="14.4" hidden="1" x14ac:dyDescent="0.25">
      <c r="A1620" s="27"/>
      <c r="B1620" s="27"/>
      <c r="C1620" s="27" t="s">
        <v>41</v>
      </c>
      <c r="D1620" s="28"/>
      <c r="E1620" s="29"/>
      <c r="F1620" s="30">
        <f>[1]Source!AL1429</f>
        <v>2818.39</v>
      </c>
      <c r="G1620" s="31"/>
      <c r="H1620" s="29">
        <f>[1]Source!AW1430</f>
        <v>1</v>
      </c>
      <c r="I1620" s="30">
        <f>[1]Source!P1429</f>
        <v>1578.3</v>
      </c>
      <c r="J1620" s="29">
        <f>IF([1]Source!BC1430&lt;&gt; 0, [1]Source!BC1430, 1)</f>
        <v>6.02</v>
      </c>
      <c r="K1620" s="30">
        <f>[1]Source!P1430</f>
        <v>9501.3700000000008</v>
      </c>
    </row>
    <row r="1621" spans="1:29" ht="193.2" hidden="1" x14ac:dyDescent="0.25">
      <c r="A1621" s="27" t="s">
        <v>362</v>
      </c>
      <c r="B1621" s="27" t="str">
        <f>[1]Source!F1431</f>
        <v>1.1-1-2982</v>
      </c>
      <c r="C1621" s="27" t="s">
        <v>363</v>
      </c>
      <c r="D1621" s="28" t="str">
        <f>[1]Source!H1431</f>
        <v>м</v>
      </c>
      <c r="E1621" s="29">
        <f>[1]Source!I1431</f>
        <v>122.304</v>
      </c>
      <c r="F1621" s="30">
        <f>[1]Source!AK1431</f>
        <v>13.94</v>
      </c>
      <c r="G1621" s="43" t="s">
        <v>54</v>
      </c>
      <c r="H1621" s="29">
        <f>[1]Source!AW1432</f>
        <v>1</v>
      </c>
      <c r="I1621" s="30">
        <f>[1]Source!O1431</f>
        <v>1704.92</v>
      </c>
      <c r="J1621" s="29">
        <f>IF([1]Source!BC1432&lt;&gt; 0, [1]Source!BC1432, 1)</f>
        <v>0.68</v>
      </c>
      <c r="K1621" s="30">
        <f>[1]Source!O1432</f>
        <v>1159.3499999999999</v>
      </c>
      <c r="Q1621">
        <f>[1]Source!X1431</f>
        <v>0</v>
      </c>
      <c r="R1621">
        <f>[1]Source!X1432</f>
        <v>0</v>
      </c>
      <c r="S1621">
        <f>[1]Source!Y1431</f>
        <v>0</v>
      </c>
      <c r="T1621">
        <f>[1]Source!Y1432</f>
        <v>0</v>
      </c>
      <c r="U1621">
        <f>ROUND((175/100)*ROUND([1]Source!R1431, 2), 2)</f>
        <v>0</v>
      </c>
      <c r="V1621">
        <f>ROUND((0/100)*ROUND([1]Source!R1432, 2), 2)</f>
        <v>0</v>
      </c>
      <c r="AC1621">
        <v>3</v>
      </c>
    </row>
    <row r="1622" spans="1:29" ht="193.2" hidden="1" x14ac:dyDescent="0.25">
      <c r="A1622" s="27" t="s">
        <v>364</v>
      </c>
      <c r="B1622" s="27" t="str">
        <f>[1]Source!F1433</f>
        <v>1.1-1-2469</v>
      </c>
      <c r="C1622" s="27" t="s">
        <v>290</v>
      </c>
      <c r="D1622" s="28" t="str">
        <f>[1]Source!H1433</f>
        <v>м</v>
      </c>
      <c r="E1622" s="29">
        <f>[1]Source!I1433</f>
        <v>122.304</v>
      </c>
      <c r="F1622" s="30">
        <f>[1]Source!AK1433</f>
        <v>14.98</v>
      </c>
      <c r="G1622" s="43" t="s">
        <v>54</v>
      </c>
      <c r="H1622" s="29">
        <f>[1]Source!AW1434</f>
        <v>1</v>
      </c>
      <c r="I1622" s="30">
        <f>[1]Source!O1433</f>
        <v>1832.11</v>
      </c>
      <c r="J1622" s="29">
        <f>IF([1]Source!BC1434&lt;&gt; 0, [1]Source!BC1434, 1)</f>
        <v>1.42</v>
      </c>
      <c r="K1622" s="30">
        <f>[1]Source!O1434</f>
        <v>2601.6</v>
      </c>
      <c r="Q1622">
        <f>[1]Source!X1433</f>
        <v>0</v>
      </c>
      <c r="R1622">
        <f>[1]Source!X1434</f>
        <v>0</v>
      </c>
      <c r="S1622">
        <f>[1]Source!Y1433</f>
        <v>0</v>
      </c>
      <c r="T1622">
        <f>[1]Source!Y1434</f>
        <v>0</v>
      </c>
      <c r="U1622">
        <f>ROUND((175/100)*ROUND([1]Source!R1433, 2), 2)</f>
        <v>0</v>
      </c>
      <c r="V1622">
        <f>ROUND((0/100)*ROUND([1]Source!R1434, 2), 2)</f>
        <v>0</v>
      </c>
      <c r="AC1622">
        <v>3</v>
      </c>
    </row>
    <row r="1623" spans="1:29" ht="14.4" hidden="1" x14ac:dyDescent="0.25">
      <c r="A1623" s="27"/>
      <c r="B1623" s="27"/>
      <c r="C1623" s="27" t="s">
        <v>42</v>
      </c>
      <c r="D1623" s="28" t="s">
        <v>43</v>
      </c>
      <c r="E1623" s="29">
        <f>[1]Source!BZ1430</f>
        <v>84</v>
      </c>
      <c r="F1623" s="30"/>
      <c r="G1623" s="31"/>
      <c r="H1623" s="29"/>
      <c r="I1623" s="30">
        <f>SUM(Q1615:Q1622)</f>
        <v>943.4</v>
      </c>
      <c r="J1623" s="29">
        <f>[1]Source!AT1430</f>
        <v>84</v>
      </c>
      <c r="K1623" s="30">
        <f>SUM(R1615:R1622)</f>
        <v>53160.34</v>
      </c>
    </row>
    <row r="1624" spans="1:29" ht="14.4" hidden="1" x14ac:dyDescent="0.25">
      <c r="A1624" s="27"/>
      <c r="B1624" s="27"/>
      <c r="C1624" s="27" t="s">
        <v>44</v>
      </c>
      <c r="D1624" s="28" t="s">
        <v>43</v>
      </c>
      <c r="E1624" s="29">
        <f>[1]Source!CA1430</f>
        <v>53</v>
      </c>
      <c r="F1624" s="30"/>
      <c r="G1624" s="31"/>
      <c r="H1624" s="29"/>
      <c r="I1624" s="30">
        <f>SUM(S1615:S1623)</f>
        <v>595.24</v>
      </c>
      <c r="J1624" s="29">
        <f>[1]Source!AU1430</f>
        <v>53</v>
      </c>
      <c r="K1624" s="30">
        <f>SUM(T1615:T1623)</f>
        <v>33541.64</v>
      </c>
    </row>
    <row r="1625" spans="1:29" ht="14.4" hidden="1" x14ac:dyDescent="0.25">
      <c r="A1625" s="34"/>
      <c r="B1625" s="34"/>
      <c r="C1625" s="34" t="s">
        <v>45</v>
      </c>
      <c r="D1625" s="35" t="s">
        <v>46</v>
      </c>
      <c r="E1625" s="36">
        <f>[1]Source!AQ1429</f>
        <v>107.51</v>
      </c>
      <c r="F1625" s="37"/>
      <c r="G1625" s="38" t="s">
        <v>37</v>
      </c>
      <c r="H1625" s="36">
        <f>[1]Source!AV1430</f>
        <v>1.087</v>
      </c>
      <c r="I1625" s="37">
        <f>[1]Source!U1429</f>
        <v>90.312012335999995</v>
      </c>
      <c r="J1625" s="36"/>
      <c r="K1625" s="37"/>
    </row>
    <row r="1626" spans="1:29" ht="13.8" hidden="1" x14ac:dyDescent="0.25">
      <c r="C1626" s="39" t="s">
        <v>47</v>
      </c>
      <c r="H1626" s="40">
        <f>I1617+I1618+I1620+I1623+I1624+SUM(I1621:I1622)-SUMIF(AC1621:AC1622, 5, I1621:I1622)-SUMIF(AC1621:AC1622, 6, I1621:I1622)</f>
        <v>7849.16</v>
      </c>
      <c r="I1626" s="40"/>
      <c r="J1626" s="40">
        <f>K1617+K1618+K1620+K1623+K1624+SUM(K1621:K1622)-SUMIF(AC1621:AC1622, 5, K1621:K1622)-SUMIF(AC1621:AC1622, 6, K1621:K1622)</f>
        <v>163964.92000000001</v>
      </c>
      <c r="K1626" s="40"/>
    </row>
    <row r="1627" spans="1:29" ht="13.8" hidden="1" x14ac:dyDescent="0.25">
      <c r="C1627" s="39" t="s">
        <v>48</v>
      </c>
      <c r="H1627" s="41">
        <f>SUMIF(AC1621:AC1622, 5, I1621:I1622)+SUMIF(AC1621:AC1622, 6, I1621:I1622)</f>
        <v>0</v>
      </c>
      <c r="I1627" s="41"/>
      <c r="J1627" s="41">
        <f>SUMIF(AC1621:AC1622, 5, K1621:K1622)+SUMIF(AC1621:AC1622, 6, K1621:K1622)</f>
        <v>0</v>
      </c>
      <c r="K1627" s="41"/>
    </row>
    <row r="1628" spans="1:29" ht="13.8" hidden="1" x14ac:dyDescent="0.25">
      <c r="C1628" s="39" t="s">
        <v>49</v>
      </c>
      <c r="H1628" s="41">
        <f>I1617+I1618+I1620+I1623+I1624+SUM(I1621:I1622)</f>
        <v>7849.16</v>
      </c>
      <c r="I1628" s="41"/>
      <c r="J1628" s="41">
        <f>K1617+K1618+K1620+K1623+K1624+SUM(K1621:K1622)</f>
        <v>163964.92000000001</v>
      </c>
      <c r="K1628" s="41"/>
      <c r="O1628" s="42">
        <f>I1617+I1618+I1620+I1623+I1624+SUM(I1621:I1622)</f>
        <v>7849.16</v>
      </c>
      <c r="P1628" s="42">
        <f>K1617+K1618+K1620+K1623+K1624+SUM(K1621:K1622)</f>
        <v>163964.92000000001</v>
      </c>
    </row>
    <row r="1629" spans="1:29" hidden="1" x14ac:dyDescent="0.25"/>
    <row r="1630" spans="1:29" ht="41.4" hidden="1" x14ac:dyDescent="0.25">
      <c r="A1630" s="27">
        <v>169</v>
      </c>
      <c r="B1630" s="27" t="str">
        <f>[1]Source!F1435</f>
        <v>3.9-84-2</v>
      </c>
      <c r="C1630" s="27" t="s">
        <v>365</v>
      </c>
      <c r="D1630" s="28" t="str">
        <f>[1]Source!H1435</f>
        <v>100 м2</v>
      </c>
      <c r="E1630" s="29">
        <f>[1]Source!I1435</f>
        <v>0.56000000000000005</v>
      </c>
      <c r="F1630" s="30"/>
      <c r="G1630" s="31"/>
      <c r="H1630" s="29"/>
      <c r="I1630" s="30"/>
      <c r="J1630" s="29"/>
      <c r="K1630" s="30"/>
      <c r="Q1630">
        <f>[1]Source!X1435</f>
        <v>1579.39</v>
      </c>
      <c r="R1630">
        <f>[1]Source!X1436</f>
        <v>88998.81</v>
      </c>
      <c r="S1630">
        <f>[1]Source!Y1435</f>
        <v>996.52</v>
      </c>
      <c r="T1630">
        <f>[1]Source!Y1436</f>
        <v>56154.01</v>
      </c>
      <c r="U1630">
        <f>ROUND((175/100)*ROUND([1]Source!R1435, 2), 2)</f>
        <v>45.17</v>
      </c>
      <c r="V1630">
        <f>ROUND((0/100)*ROUND([1]Source!R1436, 2), 2)</f>
        <v>0</v>
      </c>
      <c r="AC1630">
        <v>0</v>
      </c>
    </row>
    <row r="1631" spans="1:29" hidden="1" x14ac:dyDescent="0.25">
      <c r="C1631" s="32" t="str">
        <f>"Объем: "&amp;[1]Source!I1435&amp;"=56/"&amp;"100"</f>
        <v>Объем: 0,56=56/100</v>
      </c>
    </row>
    <row r="1632" spans="1:29" ht="14.4" hidden="1" x14ac:dyDescent="0.25">
      <c r="A1632" s="27"/>
      <c r="B1632" s="27"/>
      <c r="C1632" s="27" t="s">
        <v>36</v>
      </c>
      <c r="D1632" s="28"/>
      <c r="E1632" s="29"/>
      <c r="F1632" s="30">
        <f>[1]Source!AO1435</f>
        <v>2207.56</v>
      </c>
      <c r="G1632" s="31" t="s">
        <v>37</v>
      </c>
      <c r="H1632" s="29">
        <f>[1]Source!AV1436</f>
        <v>1.087</v>
      </c>
      <c r="I1632" s="30">
        <f>[1]Source!S1435</f>
        <v>1854.42</v>
      </c>
      <c r="J1632" s="29">
        <f>IF([1]Source!BA1436&lt;&gt; 0, [1]Source!BA1436, 1)</f>
        <v>56.35</v>
      </c>
      <c r="K1632" s="30">
        <f>[1]Source!S1436</f>
        <v>104496.57</v>
      </c>
    </row>
    <row r="1633" spans="1:29" ht="14.4" hidden="1" x14ac:dyDescent="0.25">
      <c r="A1633" s="27"/>
      <c r="B1633" s="27"/>
      <c r="C1633" s="27" t="s">
        <v>38</v>
      </c>
      <c r="D1633" s="28"/>
      <c r="E1633" s="29"/>
      <c r="F1633" s="30">
        <f>[1]Source!AM1435</f>
        <v>243.71</v>
      </c>
      <c r="G1633" s="31" t="s">
        <v>39</v>
      </c>
      <c r="H1633" s="29">
        <f>[1]Source!AV1436</f>
        <v>1.087</v>
      </c>
      <c r="I1633" s="30">
        <f>[1]Source!Q1435</f>
        <v>222.53</v>
      </c>
      <c r="J1633" s="29">
        <f>IF([1]Source!BB1436&lt;&gt; 0, [1]Source!BB1436, 1)</f>
        <v>15.43</v>
      </c>
      <c r="K1633" s="30">
        <f>[1]Source!Q1436</f>
        <v>3433.64</v>
      </c>
    </row>
    <row r="1634" spans="1:29" ht="14.4" hidden="1" x14ac:dyDescent="0.25">
      <c r="A1634" s="27"/>
      <c r="B1634" s="27"/>
      <c r="C1634" s="27" t="s">
        <v>40</v>
      </c>
      <c r="D1634" s="28"/>
      <c r="E1634" s="29"/>
      <c r="F1634" s="30">
        <f>[1]Source!AN1435</f>
        <v>28.27</v>
      </c>
      <c r="G1634" s="31" t="s">
        <v>39</v>
      </c>
      <c r="H1634" s="29">
        <f>[1]Source!AV1436</f>
        <v>1.087</v>
      </c>
      <c r="I1634" s="33">
        <f>[1]Source!R1435</f>
        <v>25.81</v>
      </c>
      <c r="J1634" s="29">
        <f>IF([1]Source!BS1436&lt;&gt; 0, [1]Source!BS1436, 1)</f>
        <v>56.35</v>
      </c>
      <c r="K1634" s="33">
        <f>[1]Source!R1436</f>
        <v>1454.39</v>
      </c>
    </row>
    <row r="1635" spans="1:29" ht="14.4" hidden="1" x14ac:dyDescent="0.25">
      <c r="A1635" s="27"/>
      <c r="B1635" s="27"/>
      <c r="C1635" s="27" t="s">
        <v>41</v>
      </c>
      <c r="D1635" s="28"/>
      <c r="E1635" s="29"/>
      <c r="F1635" s="30">
        <f>[1]Source!AL1435</f>
        <v>1577.27</v>
      </c>
      <c r="G1635" s="31"/>
      <c r="H1635" s="29">
        <f>[1]Source!AW1436</f>
        <v>1</v>
      </c>
      <c r="I1635" s="30">
        <f>[1]Source!P1435</f>
        <v>883.27</v>
      </c>
      <c r="J1635" s="29">
        <f>IF([1]Source!BC1436&lt;&gt; 0, [1]Source!BC1436, 1)</f>
        <v>4.66</v>
      </c>
      <c r="K1635" s="30">
        <f>[1]Source!P1436</f>
        <v>4116.04</v>
      </c>
    </row>
    <row r="1636" spans="1:29" ht="69" hidden="1" x14ac:dyDescent="0.25">
      <c r="A1636" s="27" t="s">
        <v>366</v>
      </c>
      <c r="B1636" s="27" t="str">
        <f>[1]Source!F1437</f>
        <v>1.1-1-2121</v>
      </c>
      <c r="C1636" s="27" t="s">
        <v>367</v>
      </c>
      <c r="D1636" s="28" t="str">
        <f>[1]Source!H1437</f>
        <v>м2</v>
      </c>
      <c r="E1636" s="29">
        <f>[1]Source!I1437</f>
        <v>2.2623999999999998E-2</v>
      </c>
      <c r="F1636" s="30">
        <f>[1]Source!AK1437</f>
        <v>145.16999999999999</v>
      </c>
      <c r="G1636" s="43" t="s">
        <v>54</v>
      </c>
      <c r="H1636" s="29">
        <f>[1]Source!AW1438</f>
        <v>1</v>
      </c>
      <c r="I1636" s="30">
        <f>[1]Source!O1437</f>
        <v>3.28</v>
      </c>
      <c r="J1636" s="29">
        <f>IF([1]Source!BC1438&lt;&gt; 0, [1]Source!BC1438, 1)</f>
        <v>5.69</v>
      </c>
      <c r="K1636" s="30">
        <f>[1]Source!O1438</f>
        <v>18.66</v>
      </c>
      <c r="Q1636">
        <f>[1]Source!X1437</f>
        <v>0</v>
      </c>
      <c r="R1636">
        <f>[1]Source!X1438</f>
        <v>0</v>
      </c>
      <c r="S1636">
        <f>[1]Source!Y1437</f>
        <v>0</v>
      </c>
      <c r="T1636">
        <f>[1]Source!Y1438</f>
        <v>0</v>
      </c>
      <c r="U1636">
        <f>ROUND((175/100)*ROUND([1]Source!R1437, 2), 2)</f>
        <v>0</v>
      </c>
      <c r="V1636">
        <f>ROUND((0/100)*ROUND([1]Source!R1438, 2), 2)</f>
        <v>0</v>
      </c>
      <c r="AC1636">
        <v>3</v>
      </c>
    </row>
    <row r="1637" spans="1:29" ht="27.6" hidden="1" x14ac:dyDescent="0.25">
      <c r="A1637" s="27" t="s">
        <v>368</v>
      </c>
      <c r="B1637" s="27" t="str">
        <f>[1]Source!F1439</f>
        <v>1.7-3-2</v>
      </c>
      <c r="C1637" s="27" t="s">
        <v>369</v>
      </c>
      <c r="D1637" s="28" t="str">
        <f>[1]Source!H1439</f>
        <v>шт.</v>
      </c>
      <c r="E1637" s="29">
        <f>[1]Source!I1439</f>
        <v>10</v>
      </c>
      <c r="F1637" s="30">
        <f>[1]Source!AK1439</f>
        <v>378.22</v>
      </c>
      <c r="G1637" s="43" t="s">
        <v>54</v>
      </c>
      <c r="H1637" s="29">
        <f>[1]Source!AW1440</f>
        <v>1</v>
      </c>
      <c r="I1637" s="30">
        <f>[1]Source!O1439</f>
        <v>3782.2</v>
      </c>
      <c r="J1637" s="29">
        <f>IF([1]Source!BC1440&lt;&gt; 0, [1]Source!BC1440, 1)</f>
        <v>1.7</v>
      </c>
      <c r="K1637" s="30">
        <f>[1]Source!O1440</f>
        <v>6429.74</v>
      </c>
      <c r="Q1637">
        <f>[1]Source!X1439</f>
        <v>0</v>
      </c>
      <c r="R1637">
        <f>[1]Source!X1440</f>
        <v>0</v>
      </c>
      <c r="S1637">
        <f>[1]Source!Y1439</f>
        <v>0</v>
      </c>
      <c r="T1637">
        <f>[1]Source!Y1440</f>
        <v>0</v>
      </c>
      <c r="U1637">
        <f>ROUND((175/100)*ROUND([1]Source!R1439, 2), 2)</f>
        <v>0</v>
      </c>
      <c r="V1637">
        <f>ROUND((0/100)*ROUND([1]Source!R1440, 2), 2)</f>
        <v>0</v>
      </c>
      <c r="AC1637">
        <v>3</v>
      </c>
    </row>
    <row r="1638" spans="1:29" ht="55.2" hidden="1" x14ac:dyDescent="0.25">
      <c r="A1638" s="27" t="s">
        <v>370</v>
      </c>
      <c r="B1638" s="27" t="str">
        <f>[1]Source!F1441</f>
        <v>1.7-3-112</v>
      </c>
      <c r="C1638" s="27" t="s">
        <v>371</v>
      </c>
      <c r="D1638" s="28" t="str">
        <f>[1]Source!H1441</f>
        <v>шт.</v>
      </c>
      <c r="E1638" s="29">
        <f>[1]Source!I1441</f>
        <v>10</v>
      </c>
      <c r="F1638" s="30">
        <f>[1]Source!AK1441</f>
        <v>15.25</v>
      </c>
      <c r="G1638" s="43" t="s">
        <v>54</v>
      </c>
      <c r="H1638" s="29">
        <f>[1]Source!AW1442</f>
        <v>1</v>
      </c>
      <c r="I1638" s="30">
        <f>[1]Source!O1441</f>
        <v>152.5</v>
      </c>
      <c r="J1638" s="29">
        <f>IF([1]Source!BC1442&lt;&gt; 0, [1]Source!BC1442, 1)</f>
        <v>2.37</v>
      </c>
      <c r="K1638" s="30">
        <f>[1]Source!O1442</f>
        <v>361.43</v>
      </c>
      <c r="Q1638">
        <f>[1]Source!X1441</f>
        <v>0</v>
      </c>
      <c r="R1638">
        <f>[1]Source!X1442</f>
        <v>0</v>
      </c>
      <c r="S1638">
        <f>[1]Source!Y1441</f>
        <v>0</v>
      </c>
      <c r="T1638">
        <f>[1]Source!Y1442</f>
        <v>0</v>
      </c>
      <c r="U1638">
        <f>ROUND((175/100)*ROUND([1]Source!R1441, 2), 2)</f>
        <v>0</v>
      </c>
      <c r="V1638">
        <f>ROUND((0/100)*ROUND([1]Source!R1442, 2), 2)</f>
        <v>0</v>
      </c>
      <c r="AC1638">
        <v>3</v>
      </c>
    </row>
    <row r="1639" spans="1:29" ht="55.2" hidden="1" x14ac:dyDescent="0.25">
      <c r="A1639" s="27" t="s">
        <v>372</v>
      </c>
      <c r="B1639" s="27" t="str">
        <f>[1]Source!F1443</f>
        <v>1.7-3-65</v>
      </c>
      <c r="C1639" s="27" t="s">
        <v>373</v>
      </c>
      <c r="D1639" s="28" t="str">
        <f>[1]Source!H1443</f>
        <v>шт.</v>
      </c>
      <c r="E1639" s="29">
        <f>[1]Source!I1443</f>
        <v>10</v>
      </c>
      <c r="F1639" s="30">
        <f>[1]Source!AK1443</f>
        <v>1347.82</v>
      </c>
      <c r="G1639" s="43" t="s">
        <v>54</v>
      </c>
      <c r="H1639" s="29">
        <f>[1]Source!AW1444</f>
        <v>1</v>
      </c>
      <c r="I1639" s="30">
        <f>[1]Source!O1443</f>
        <v>13478.2</v>
      </c>
      <c r="J1639" s="29">
        <f>IF([1]Source!BC1444&lt;&gt; 0, [1]Source!BC1444, 1)</f>
        <v>4</v>
      </c>
      <c r="K1639" s="30">
        <f>[1]Source!O1444</f>
        <v>53912.800000000003</v>
      </c>
      <c r="Q1639">
        <f>[1]Source!X1443</f>
        <v>0</v>
      </c>
      <c r="R1639">
        <f>[1]Source!X1444</f>
        <v>0</v>
      </c>
      <c r="S1639">
        <f>[1]Source!Y1443</f>
        <v>0</v>
      </c>
      <c r="T1639">
        <f>[1]Source!Y1444</f>
        <v>0</v>
      </c>
      <c r="U1639">
        <f>ROUND((175/100)*ROUND([1]Source!R1443, 2), 2)</f>
        <v>0</v>
      </c>
      <c r="V1639">
        <f>ROUND((0/100)*ROUND([1]Source!R1444, 2), 2)</f>
        <v>0</v>
      </c>
      <c r="AC1639">
        <v>3</v>
      </c>
    </row>
    <row r="1640" spans="1:29" ht="14.4" hidden="1" x14ac:dyDescent="0.25">
      <c r="A1640" s="27"/>
      <c r="B1640" s="27"/>
      <c r="C1640" s="27" t="s">
        <v>42</v>
      </c>
      <c r="D1640" s="28" t="s">
        <v>43</v>
      </c>
      <c r="E1640" s="29">
        <f>[1]Source!BZ1436</f>
        <v>84</v>
      </c>
      <c r="F1640" s="30"/>
      <c r="G1640" s="31"/>
      <c r="H1640" s="29"/>
      <c r="I1640" s="30">
        <f>SUM(Q1630:Q1639)</f>
        <v>1579.39</v>
      </c>
      <c r="J1640" s="29">
        <f>[1]Source!AT1436</f>
        <v>84</v>
      </c>
      <c r="K1640" s="30">
        <f>SUM(R1630:R1639)</f>
        <v>88998.81</v>
      </c>
    </row>
    <row r="1641" spans="1:29" ht="14.4" hidden="1" x14ac:dyDescent="0.25">
      <c r="A1641" s="27"/>
      <c r="B1641" s="27"/>
      <c r="C1641" s="27" t="s">
        <v>44</v>
      </c>
      <c r="D1641" s="28" t="s">
        <v>43</v>
      </c>
      <c r="E1641" s="29">
        <f>[1]Source!CA1436</f>
        <v>53</v>
      </c>
      <c r="F1641" s="30"/>
      <c r="G1641" s="31"/>
      <c r="H1641" s="29"/>
      <c r="I1641" s="30">
        <f>SUM(S1630:S1640)</f>
        <v>996.52</v>
      </c>
      <c r="J1641" s="29">
        <f>[1]Source!AU1436</f>
        <v>53</v>
      </c>
      <c r="K1641" s="30">
        <f>SUM(T1630:T1640)</f>
        <v>56154.01</v>
      </c>
    </row>
    <row r="1642" spans="1:29" ht="14.4" hidden="1" x14ac:dyDescent="0.25">
      <c r="A1642" s="34"/>
      <c r="B1642" s="34"/>
      <c r="C1642" s="34" t="s">
        <v>45</v>
      </c>
      <c r="D1642" s="35" t="s">
        <v>46</v>
      </c>
      <c r="E1642" s="36">
        <f>[1]Source!AQ1435</f>
        <v>183.77</v>
      </c>
      <c r="F1642" s="37"/>
      <c r="G1642" s="38" t="s">
        <v>37</v>
      </c>
      <c r="H1642" s="36">
        <f>[1]Source!AV1436</f>
        <v>1.087</v>
      </c>
      <c r="I1642" s="37">
        <f>[1]Source!U1435</f>
        <v>154.372974672</v>
      </c>
      <c r="J1642" s="36"/>
      <c r="K1642" s="37"/>
    </row>
    <row r="1643" spans="1:29" ht="13.8" hidden="1" x14ac:dyDescent="0.25">
      <c r="C1643" s="39" t="s">
        <v>47</v>
      </c>
      <c r="H1643" s="40">
        <f>I1632+I1633+I1635+I1640+I1641+SUM(I1636:I1639)-SUMIF(AC1636:AC1639, 5, I1636:I1639)-SUMIF(AC1636:AC1639, 6, I1636:I1639)</f>
        <v>22952.31</v>
      </c>
      <c r="I1643" s="40"/>
      <c r="J1643" s="40">
        <f>K1632+K1633+K1635+K1640+K1641+SUM(K1636:K1639)-SUMIF(AC1636:AC1639, 5, K1636:K1639)-SUMIF(AC1636:AC1639, 6, K1636:K1639)</f>
        <v>317921.7</v>
      </c>
      <c r="K1643" s="40"/>
    </row>
    <row r="1644" spans="1:29" ht="13.8" hidden="1" x14ac:dyDescent="0.25">
      <c r="C1644" s="39" t="s">
        <v>48</v>
      </c>
      <c r="H1644" s="41">
        <f>SUMIF(AC1636:AC1639, 5, I1636:I1639)+SUMIF(AC1636:AC1639, 6, I1636:I1639)</f>
        <v>0</v>
      </c>
      <c r="I1644" s="41"/>
      <c r="J1644" s="41">
        <f>SUMIF(AC1636:AC1639, 5, K1636:K1639)+SUMIF(AC1636:AC1639, 6, K1636:K1639)</f>
        <v>0</v>
      </c>
      <c r="K1644" s="41"/>
    </row>
    <row r="1645" spans="1:29" ht="13.8" hidden="1" x14ac:dyDescent="0.25">
      <c r="C1645" s="39" t="s">
        <v>49</v>
      </c>
      <c r="H1645" s="41">
        <f>I1632+I1633+I1635+I1640+I1641+SUM(I1636:I1639)</f>
        <v>22952.31</v>
      </c>
      <c r="I1645" s="41"/>
      <c r="J1645" s="41">
        <f>K1632+K1633+K1635+K1640+K1641+SUM(K1636:K1639)</f>
        <v>317921.7</v>
      </c>
      <c r="K1645" s="41"/>
      <c r="O1645" s="42">
        <f>I1632+I1633+I1635+I1640+I1641+SUM(I1636:I1639)</f>
        <v>22952.31</v>
      </c>
      <c r="P1645" s="42">
        <f>K1632+K1633+K1635+K1640+K1641+SUM(K1636:K1639)</f>
        <v>317921.7</v>
      </c>
    </row>
    <row r="1646" spans="1:29" hidden="1" x14ac:dyDescent="0.25"/>
    <row r="1647" spans="1:29" ht="55.2" hidden="1" x14ac:dyDescent="0.25">
      <c r="A1647" s="27">
        <v>170</v>
      </c>
      <c r="B1647" s="27" t="str">
        <f>[1]Source!F1445</f>
        <v>3.9-84-7</v>
      </c>
      <c r="C1647" s="27" t="s">
        <v>374</v>
      </c>
      <c r="D1647" s="28" t="str">
        <f>[1]Source!H1445</f>
        <v>100 м2</v>
      </c>
      <c r="E1647" s="29">
        <f>[1]Source!I1445</f>
        <v>1.7000000000000001E-2</v>
      </c>
      <c r="F1647" s="30"/>
      <c r="G1647" s="31"/>
      <c r="H1647" s="29"/>
      <c r="I1647" s="30"/>
      <c r="J1647" s="29"/>
      <c r="K1647" s="30"/>
      <c r="Q1647">
        <f>[1]Source!X1445</f>
        <v>17.489999999999998</v>
      </c>
      <c r="R1647">
        <f>[1]Source!X1446</f>
        <v>985.49</v>
      </c>
      <c r="S1647">
        <f>[1]Source!Y1445</f>
        <v>11.03</v>
      </c>
      <c r="T1647">
        <f>[1]Source!Y1446</f>
        <v>621.79999999999995</v>
      </c>
      <c r="U1647">
        <f>ROUND((175/100)*ROUND([1]Source!R1445, 2), 2)</f>
        <v>0.77</v>
      </c>
      <c r="V1647">
        <f>ROUND((0/100)*ROUND([1]Source!R1446, 2), 2)</f>
        <v>0</v>
      </c>
      <c r="AC1647">
        <v>0</v>
      </c>
    </row>
    <row r="1648" spans="1:29" hidden="1" x14ac:dyDescent="0.25">
      <c r="C1648" s="32" t="str">
        <f>"Объем: "&amp;[1]Source!I1445&amp;"=1,7/"&amp;"100"</f>
        <v>Объем: 0,017=1,7/100</v>
      </c>
    </row>
    <row r="1649" spans="1:29" ht="14.4" hidden="1" x14ac:dyDescent="0.25">
      <c r="A1649" s="27"/>
      <c r="B1649" s="27"/>
      <c r="C1649" s="27" t="s">
        <v>36</v>
      </c>
      <c r="D1649" s="28"/>
      <c r="E1649" s="29"/>
      <c r="F1649" s="30">
        <f>[1]Source!AO1445</f>
        <v>799.34</v>
      </c>
      <c r="G1649" s="31" t="s">
        <v>37</v>
      </c>
      <c r="H1649" s="29">
        <f>[1]Source!AV1446</f>
        <v>1.087</v>
      </c>
      <c r="I1649" s="30">
        <f>[1]Source!S1445</f>
        <v>20.38</v>
      </c>
      <c r="J1649" s="29">
        <f>IF([1]Source!BA1446&lt;&gt; 0, [1]Source!BA1446, 1)</f>
        <v>56.35</v>
      </c>
      <c r="K1649" s="30">
        <f>[1]Source!S1446</f>
        <v>1148.4100000000001</v>
      </c>
    </row>
    <row r="1650" spans="1:29" ht="14.4" hidden="1" x14ac:dyDescent="0.25">
      <c r="A1650" s="27"/>
      <c r="B1650" s="27"/>
      <c r="C1650" s="27" t="s">
        <v>38</v>
      </c>
      <c r="D1650" s="28"/>
      <c r="E1650" s="29"/>
      <c r="F1650" s="30">
        <f>[1]Source!AM1445</f>
        <v>115.28</v>
      </c>
      <c r="G1650" s="31" t="s">
        <v>39</v>
      </c>
      <c r="H1650" s="29">
        <f>[1]Source!AV1446</f>
        <v>1.087</v>
      </c>
      <c r="I1650" s="30">
        <f>[1]Source!Q1445</f>
        <v>3.2</v>
      </c>
      <c r="J1650" s="29">
        <f>IF([1]Source!BB1446&lt;&gt; 0, [1]Source!BB1446, 1)</f>
        <v>16.39</v>
      </c>
      <c r="K1650" s="30">
        <f>[1]Source!Q1446</f>
        <v>52.45</v>
      </c>
    </row>
    <row r="1651" spans="1:29" ht="14.4" hidden="1" x14ac:dyDescent="0.25">
      <c r="A1651" s="27"/>
      <c r="B1651" s="27"/>
      <c r="C1651" s="27" t="s">
        <v>40</v>
      </c>
      <c r="D1651" s="28"/>
      <c r="E1651" s="29"/>
      <c r="F1651" s="30">
        <f>[1]Source!AN1445</f>
        <v>15.9</v>
      </c>
      <c r="G1651" s="31" t="s">
        <v>39</v>
      </c>
      <c r="H1651" s="29">
        <f>[1]Source!AV1446</f>
        <v>1.087</v>
      </c>
      <c r="I1651" s="33">
        <f>[1]Source!R1445</f>
        <v>0.44</v>
      </c>
      <c r="J1651" s="29">
        <f>IF([1]Source!BS1446&lt;&gt; 0, [1]Source!BS1446, 1)</f>
        <v>56.35</v>
      </c>
      <c r="K1651" s="33">
        <f>[1]Source!R1446</f>
        <v>24.79</v>
      </c>
    </row>
    <row r="1652" spans="1:29" ht="14.4" hidden="1" x14ac:dyDescent="0.25">
      <c r="A1652" s="27"/>
      <c r="B1652" s="27"/>
      <c r="C1652" s="27" t="s">
        <v>41</v>
      </c>
      <c r="D1652" s="28"/>
      <c r="E1652" s="29"/>
      <c r="F1652" s="30">
        <f>[1]Source!AL1445</f>
        <v>17.079999999999998</v>
      </c>
      <c r="G1652" s="31"/>
      <c r="H1652" s="29">
        <f>[1]Source!AW1446</f>
        <v>1</v>
      </c>
      <c r="I1652" s="30">
        <f>[1]Source!P1445</f>
        <v>0.28999999999999998</v>
      </c>
      <c r="J1652" s="29">
        <f>IF([1]Source!BC1446&lt;&gt; 0, [1]Source!BC1446, 1)</f>
        <v>3.95</v>
      </c>
      <c r="K1652" s="30">
        <f>[1]Source!P1446</f>
        <v>1.1499999999999999</v>
      </c>
    </row>
    <row r="1653" spans="1:29" ht="55.2" hidden="1" x14ac:dyDescent="0.25">
      <c r="A1653" s="27" t="s">
        <v>375</v>
      </c>
      <c r="B1653" s="27" t="str">
        <f>[1]Source!F1447</f>
        <v>1.7-3-112</v>
      </c>
      <c r="C1653" s="27" t="s">
        <v>371</v>
      </c>
      <c r="D1653" s="28" t="str">
        <f>[1]Source!H1447</f>
        <v>шт.</v>
      </c>
      <c r="E1653" s="29">
        <f>[1]Source!I1447</f>
        <v>0.30357099999999998</v>
      </c>
      <c r="F1653" s="30">
        <f>[1]Source!AK1447</f>
        <v>15.25</v>
      </c>
      <c r="G1653" s="43" t="s">
        <v>54</v>
      </c>
      <c r="H1653" s="29">
        <f>[1]Source!AW1448</f>
        <v>1</v>
      </c>
      <c r="I1653" s="30">
        <f>[1]Source!O1447</f>
        <v>4.63</v>
      </c>
      <c r="J1653" s="29">
        <f>IF([1]Source!BC1448&lt;&gt; 0, [1]Source!BC1448, 1)</f>
        <v>2.37</v>
      </c>
      <c r="K1653" s="30">
        <f>[1]Source!O1448</f>
        <v>10.97</v>
      </c>
      <c r="Q1653">
        <f>[1]Source!X1447</f>
        <v>0</v>
      </c>
      <c r="R1653">
        <f>[1]Source!X1448</f>
        <v>0</v>
      </c>
      <c r="S1653">
        <f>[1]Source!Y1447</f>
        <v>0</v>
      </c>
      <c r="T1653">
        <f>[1]Source!Y1448</f>
        <v>0</v>
      </c>
      <c r="U1653">
        <f>ROUND((175/100)*ROUND([1]Source!R1447, 2), 2)</f>
        <v>0</v>
      </c>
      <c r="V1653">
        <f>ROUND((0/100)*ROUND([1]Source!R1448, 2), 2)</f>
        <v>0</v>
      </c>
      <c r="AC1653">
        <v>3</v>
      </c>
    </row>
    <row r="1654" spans="1:29" ht="14.4" hidden="1" x14ac:dyDescent="0.25">
      <c r="A1654" s="27"/>
      <c r="B1654" s="27"/>
      <c r="C1654" s="27" t="s">
        <v>42</v>
      </c>
      <c r="D1654" s="28" t="s">
        <v>43</v>
      </c>
      <c r="E1654" s="29">
        <f>[1]Source!BZ1446</f>
        <v>84</v>
      </c>
      <c r="F1654" s="30"/>
      <c r="G1654" s="31"/>
      <c r="H1654" s="29"/>
      <c r="I1654" s="30">
        <f>SUM(Q1647:Q1653)</f>
        <v>17.489999999999998</v>
      </c>
      <c r="J1654" s="29">
        <f>[1]Source!AT1446</f>
        <v>84</v>
      </c>
      <c r="K1654" s="30">
        <f>SUM(R1647:R1653)</f>
        <v>985.49</v>
      </c>
    </row>
    <row r="1655" spans="1:29" ht="14.4" hidden="1" x14ac:dyDescent="0.25">
      <c r="A1655" s="27"/>
      <c r="B1655" s="27"/>
      <c r="C1655" s="27" t="s">
        <v>44</v>
      </c>
      <c r="D1655" s="28" t="s">
        <v>43</v>
      </c>
      <c r="E1655" s="29">
        <f>[1]Source!CA1446</f>
        <v>53</v>
      </c>
      <c r="F1655" s="30"/>
      <c r="G1655" s="31"/>
      <c r="H1655" s="29"/>
      <c r="I1655" s="30">
        <f>SUM(S1647:S1654)</f>
        <v>11.03</v>
      </c>
      <c r="J1655" s="29">
        <f>[1]Source!AU1446</f>
        <v>53</v>
      </c>
      <c r="K1655" s="30">
        <f>SUM(T1647:T1654)</f>
        <v>621.79999999999995</v>
      </c>
    </row>
    <row r="1656" spans="1:29" ht="14.4" hidden="1" x14ac:dyDescent="0.25">
      <c r="A1656" s="34"/>
      <c r="B1656" s="34"/>
      <c r="C1656" s="34" t="s">
        <v>45</v>
      </c>
      <c r="D1656" s="35" t="s">
        <v>46</v>
      </c>
      <c r="E1656" s="36">
        <f>[1]Source!AQ1445</f>
        <v>69.03</v>
      </c>
      <c r="F1656" s="37"/>
      <c r="G1656" s="38" t="s">
        <v>37</v>
      </c>
      <c r="H1656" s="36">
        <f>[1]Source!AV1446</f>
        <v>1.087</v>
      </c>
      <c r="I1656" s="37">
        <f>[1]Source!U1445</f>
        <v>1.7603354105999998</v>
      </c>
      <c r="J1656" s="36"/>
      <c r="K1656" s="37"/>
    </row>
    <row r="1657" spans="1:29" ht="13.8" hidden="1" x14ac:dyDescent="0.25">
      <c r="C1657" s="39" t="s">
        <v>47</v>
      </c>
      <c r="H1657" s="40">
        <f>I1649+I1650+I1652+I1654+I1655+SUM(I1653:I1653)-SUMIF(AC1653:AC1653, 5, I1653:I1653)-SUMIF(AC1653:AC1653, 6, I1653:I1653)</f>
        <v>57.02</v>
      </c>
      <c r="I1657" s="40"/>
      <c r="J1657" s="40">
        <f>K1649+K1650+K1652+K1654+K1655+SUM(K1653:K1653)-SUMIF(AC1653:AC1653, 5, K1653:K1653)-SUMIF(AC1653:AC1653, 6, K1653:K1653)</f>
        <v>2820.27</v>
      </c>
      <c r="K1657" s="40"/>
    </row>
    <row r="1658" spans="1:29" ht="13.8" hidden="1" x14ac:dyDescent="0.25">
      <c r="C1658" s="39" t="s">
        <v>48</v>
      </c>
      <c r="H1658" s="41">
        <f>SUMIF(AC1653:AC1653, 5, I1653:I1653)+SUMIF(AC1653:AC1653, 6, I1653:I1653)</f>
        <v>0</v>
      </c>
      <c r="I1658" s="41"/>
      <c r="J1658" s="41">
        <f>SUMIF(AC1653:AC1653, 5, K1653:K1653)+SUMIF(AC1653:AC1653, 6, K1653:K1653)</f>
        <v>0</v>
      </c>
      <c r="K1658" s="41"/>
    </row>
    <row r="1659" spans="1:29" ht="13.8" hidden="1" x14ac:dyDescent="0.25">
      <c r="C1659" s="39" t="s">
        <v>49</v>
      </c>
      <c r="H1659" s="41">
        <f>I1649+I1650+I1652+I1654+I1655+SUM(I1653:I1653)</f>
        <v>57.02</v>
      </c>
      <c r="I1659" s="41"/>
      <c r="J1659" s="41">
        <f>K1649+K1650+K1652+K1654+K1655+SUM(K1653:K1653)</f>
        <v>2820.27</v>
      </c>
      <c r="K1659" s="41"/>
      <c r="O1659" s="42">
        <f>I1649+I1650+I1652+I1654+I1655+SUM(I1653:I1653)</f>
        <v>57.02</v>
      </c>
      <c r="P1659" s="42">
        <f>K1649+K1650+K1652+K1654+K1655+SUM(K1653:K1653)</f>
        <v>2820.27</v>
      </c>
    </row>
    <row r="1660" spans="1:29" hidden="1" x14ac:dyDescent="0.25"/>
    <row r="1661" spans="1:29" ht="55.2" hidden="1" x14ac:dyDescent="0.25">
      <c r="A1661" s="27">
        <v>171</v>
      </c>
      <c r="B1661" s="27" t="str">
        <f>[1]Source!F1449</f>
        <v>3.9-84-8</v>
      </c>
      <c r="C1661" s="27" t="s">
        <v>376</v>
      </c>
      <c r="D1661" s="28" t="str">
        <f>[1]Source!H1449</f>
        <v>100 м2</v>
      </c>
      <c r="E1661" s="29">
        <f>[1]Source!I1449</f>
        <v>0.54300000000000004</v>
      </c>
      <c r="F1661" s="30"/>
      <c r="G1661" s="31"/>
      <c r="H1661" s="29"/>
      <c r="I1661" s="30"/>
      <c r="J1661" s="29"/>
      <c r="K1661" s="30"/>
      <c r="Q1661">
        <f>[1]Source!X1449</f>
        <v>442.4</v>
      </c>
      <c r="R1661">
        <f>[1]Source!X1450</f>
        <v>24929.4</v>
      </c>
      <c r="S1661">
        <f>[1]Source!Y1449</f>
        <v>279.14</v>
      </c>
      <c r="T1661">
        <f>[1]Source!Y1450</f>
        <v>15729.27</v>
      </c>
      <c r="U1661">
        <f>ROUND((175/100)*ROUND([1]Source!R1449, 2), 2)</f>
        <v>24.64</v>
      </c>
      <c r="V1661">
        <f>ROUND((0/100)*ROUND([1]Source!R1450, 2), 2)</f>
        <v>0</v>
      </c>
      <c r="AC1661">
        <v>0</v>
      </c>
    </row>
    <row r="1662" spans="1:29" hidden="1" x14ac:dyDescent="0.25">
      <c r="C1662" s="32" t="str">
        <f>"Объем: "&amp;[1]Source!I1449&amp;"=(56-"&amp;"1,7)/"&amp;"100"</f>
        <v>Объем: 0,543=(56-1,7)/100</v>
      </c>
    </row>
    <row r="1663" spans="1:29" ht="14.4" hidden="1" x14ac:dyDescent="0.25">
      <c r="A1663" s="27"/>
      <c r="B1663" s="27"/>
      <c r="C1663" s="27" t="s">
        <v>36</v>
      </c>
      <c r="D1663" s="28"/>
      <c r="E1663" s="29"/>
      <c r="F1663" s="30">
        <f>[1]Source!AO1449</f>
        <v>629.30999999999995</v>
      </c>
      <c r="G1663" s="31" t="s">
        <v>37</v>
      </c>
      <c r="H1663" s="29">
        <f>[1]Source!AV1450</f>
        <v>1.087</v>
      </c>
      <c r="I1663" s="30">
        <f>[1]Source!S1449</f>
        <v>512.59</v>
      </c>
      <c r="J1663" s="29">
        <f>IF([1]Source!BA1450&lt;&gt; 0, [1]Source!BA1450, 1)</f>
        <v>56.35</v>
      </c>
      <c r="K1663" s="30">
        <f>[1]Source!S1450</f>
        <v>28884.45</v>
      </c>
    </row>
    <row r="1664" spans="1:29" ht="14.4" hidden="1" x14ac:dyDescent="0.25">
      <c r="A1664" s="27"/>
      <c r="B1664" s="27"/>
      <c r="C1664" s="27" t="s">
        <v>38</v>
      </c>
      <c r="D1664" s="28"/>
      <c r="E1664" s="29"/>
      <c r="F1664" s="30">
        <f>[1]Source!AM1449</f>
        <v>112.46</v>
      </c>
      <c r="G1664" s="31" t="s">
        <v>39</v>
      </c>
      <c r="H1664" s="29">
        <f>[1]Source!AV1450</f>
        <v>1.087</v>
      </c>
      <c r="I1664" s="30">
        <f>[1]Source!Q1449</f>
        <v>99.57</v>
      </c>
      <c r="J1664" s="29">
        <f>IF([1]Source!BB1450&lt;&gt; 0, [1]Source!BB1450, 1)</f>
        <v>16.559999999999999</v>
      </c>
      <c r="K1664" s="30">
        <f>[1]Source!Q1450</f>
        <v>1648.88</v>
      </c>
    </row>
    <row r="1665" spans="1:29" ht="14.4" hidden="1" x14ac:dyDescent="0.25">
      <c r="A1665" s="27"/>
      <c r="B1665" s="27"/>
      <c r="C1665" s="27" t="s">
        <v>40</v>
      </c>
      <c r="D1665" s="28"/>
      <c r="E1665" s="29"/>
      <c r="F1665" s="30">
        <f>[1]Source!AN1449</f>
        <v>15.9</v>
      </c>
      <c r="G1665" s="31" t="s">
        <v>39</v>
      </c>
      <c r="H1665" s="29">
        <f>[1]Source!AV1450</f>
        <v>1.087</v>
      </c>
      <c r="I1665" s="33">
        <f>[1]Source!R1449</f>
        <v>14.08</v>
      </c>
      <c r="J1665" s="29">
        <f>IF([1]Source!BS1450&lt;&gt; 0, [1]Source!BS1450, 1)</f>
        <v>56.35</v>
      </c>
      <c r="K1665" s="33">
        <f>[1]Source!R1450</f>
        <v>793.41</v>
      </c>
    </row>
    <row r="1666" spans="1:29" ht="14.4" hidden="1" x14ac:dyDescent="0.25">
      <c r="A1666" s="27"/>
      <c r="B1666" s="27"/>
      <c r="C1666" s="27" t="s">
        <v>41</v>
      </c>
      <c r="D1666" s="28"/>
      <c r="E1666" s="29"/>
      <c r="F1666" s="30">
        <f>[1]Source!AL1449</f>
        <v>11.79</v>
      </c>
      <c r="G1666" s="31"/>
      <c r="H1666" s="29">
        <f>[1]Source!AW1450</f>
        <v>1</v>
      </c>
      <c r="I1666" s="30">
        <f>[1]Source!P1449</f>
        <v>6.4</v>
      </c>
      <c r="J1666" s="29">
        <f>IF([1]Source!BC1450&lt;&gt; 0, [1]Source!BC1450, 1)</f>
        <v>3.95</v>
      </c>
      <c r="K1666" s="30">
        <f>[1]Source!P1450</f>
        <v>25.28</v>
      </c>
    </row>
    <row r="1667" spans="1:29" ht="55.2" hidden="1" x14ac:dyDescent="0.25">
      <c r="A1667" s="27" t="s">
        <v>377</v>
      </c>
      <c r="B1667" s="27" t="str">
        <f>[1]Source!F1451</f>
        <v>1.7-3-112</v>
      </c>
      <c r="C1667" s="27" t="s">
        <v>371</v>
      </c>
      <c r="D1667" s="28" t="str">
        <f>[1]Source!H1451</f>
        <v>шт.</v>
      </c>
      <c r="E1667" s="29">
        <f>[1]Source!I1451</f>
        <v>10</v>
      </c>
      <c r="F1667" s="30">
        <f>[1]Source!AK1451</f>
        <v>15.25</v>
      </c>
      <c r="G1667" s="43" t="s">
        <v>54</v>
      </c>
      <c r="H1667" s="29">
        <f>[1]Source!AW1452</f>
        <v>1</v>
      </c>
      <c r="I1667" s="30">
        <f>[1]Source!O1451</f>
        <v>152.5</v>
      </c>
      <c r="J1667" s="29">
        <f>IF([1]Source!BC1452&lt;&gt; 0, [1]Source!BC1452, 1)</f>
        <v>2.37</v>
      </c>
      <c r="K1667" s="30">
        <f>[1]Source!O1452</f>
        <v>361.43</v>
      </c>
      <c r="Q1667">
        <f>[1]Source!X1451</f>
        <v>0</v>
      </c>
      <c r="R1667">
        <f>[1]Source!X1452</f>
        <v>0</v>
      </c>
      <c r="S1667">
        <f>[1]Source!Y1451</f>
        <v>0</v>
      </c>
      <c r="T1667">
        <f>[1]Source!Y1452</f>
        <v>0</v>
      </c>
      <c r="U1667">
        <f>ROUND((175/100)*ROUND([1]Source!R1451, 2), 2)</f>
        <v>0</v>
      </c>
      <c r="V1667">
        <f>ROUND((0/100)*ROUND([1]Source!R1452, 2), 2)</f>
        <v>0</v>
      </c>
      <c r="AC1667">
        <v>3</v>
      </c>
    </row>
    <row r="1668" spans="1:29" ht="14.4" hidden="1" x14ac:dyDescent="0.25">
      <c r="A1668" s="27"/>
      <c r="B1668" s="27"/>
      <c r="C1668" s="27" t="s">
        <v>42</v>
      </c>
      <c r="D1668" s="28" t="s">
        <v>43</v>
      </c>
      <c r="E1668" s="29">
        <f>[1]Source!BZ1450</f>
        <v>84</v>
      </c>
      <c r="F1668" s="30"/>
      <c r="G1668" s="31"/>
      <c r="H1668" s="29"/>
      <c r="I1668" s="30">
        <f>SUM(Q1661:Q1667)</f>
        <v>442.4</v>
      </c>
      <c r="J1668" s="29">
        <f>[1]Source!AT1450</f>
        <v>84</v>
      </c>
      <c r="K1668" s="30">
        <f>SUM(R1661:R1667)</f>
        <v>24929.4</v>
      </c>
    </row>
    <row r="1669" spans="1:29" ht="14.4" hidden="1" x14ac:dyDescent="0.25">
      <c r="A1669" s="27"/>
      <c r="B1669" s="27"/>
      <c r="C1669" s="27" t="s">
        <v>44</v>
      </c>
      <c r="D1669" s="28" t="s">
        <v>43</v>
      </c>
      <c r="E1669" s="29">
        <f>[1]Source!CA1450</f>
        <v>53</v>
      </c>
      <c r="F1669" s="30"/>
      <c r="G1669" s="31"/>
      <c r="H1669" s="29"/>
      <c r="I1669" s="30">
        <f>SUM(S1661:S1668)</f>
        <v>279.14</v>
      </c>
      <c r="J1669" s="29">
        <f>[1]Source!AU1450</f>
        <v>53</v>
      </c>
      <c r="K1669" s="30">
        <f>SUM(T1661:T1668)</f>
        <v>15729.27</v>
      </c>
    </row>
    <row r="1670" spans="1:29" ht="14.4" hidden="1" x14ac:dyDescent="0.25">
      <c r="A1670" s="34"/>
      <c r="B1670" s="34"/>
      <c r="C1670" s="34" t="s">
        <v>45</v>
      </c>
      <c r="D1670" s="35" t="s">
        <v>46</v>
      </c>
      <c r="E1670" s="36">
        <f>[1]Source!AQ1449</f>
        <v>54.86</v>
      </c>
      <c r="F1670" s="37"/>
      <c r="G1670" s="38" t="s">
        <v>37</v>
      </c>
      <c r="H1670" s="36">
        <f>[1]Source!AV1450</f>
        <v>1.087</v>
      </c>
      <c r="I1670" s="37">
        <f>[1]Source!U1449</f>
        <v>44.6852573388</v>
      </c>
      <c r="J1670" s="36"/>
      <c r="K1670" s="37"/>
    </row>
    <row r="1671" spans="1:29" ht="13.8" hidden="1" x14ac:dyDescent="0.25">
      <c r="C1671" s="39" t="s">
        <v>47</v>
      </c>
      <c r="H1671" s="40">
        <f>I1663+I1664+I1666+I1668+I1669+SUM(I1667:I1667)-SUMIF(AC1667:AC1667, 5, I1667:I1667)-SUMIF(AC1667:AC1667, 6, I1667:I1667)</f>
        <v>1492.6</v>
      </c>
      <c r="I1671" s="40"/>
      <c r="J1671" s="40">
        <f>K1663+K1664+K1666+K1668+K1669+SUM(K1667:K1667)-SUMIF(AC1667:AC1667, 5, K1667:K1667)-SUMIF(AC1667:AC1667, 6, K1667:K1667)</f>
        <v>71578.709999999992</v>
      </c>
      <c r="K1671" s="40"/>
    </row>
    <row r="1672" spans="1:29" ht="13.8" hidden="1" x14ac:dyDescent="0.25">
      <c r="C1672" s="39" t="s">
        <v>48</v>
      </c>
      <c r="H1672" s="41">
        <f>SUMIF(AC1667:AC1667, 5, I1667:I1667)+SUMIF(AC1667:AC1667, 6, I1667:I1667)</f>
        <v>0</v>
      </c>
      <c r="I1672" s="41"/>
      <c r="J1672" s="41">
        <f>SUMIF(AC1667:AC1667, 5, K1667:K1667)+SUMIF(AC1667:AC1667, 6, K1667:K1667)</f>
        <v>0</v>
      </c>
      <c r="K1672" s="41"/>
    </row>
    <row r="1673" spans="1:29" ht="13.8" hidden="1" x14ac:dyDescent="0.25">
      <c r="C1673" s="39" t="s">
        <v>49</v>
      </c>
      <c r="H1673" s="41">
        <f>I1663+I1664+I1666+I1668+I1669+SUM(I1667:I1667)</f>
        <v>1492.6</v>
      </c>
      <c r="I1673" s="41"/>
      <c r="J1673" s="41">
        <f>K1663+K1664+K1666+K1668+K1669+SUM(K1667:K1667)</f>
        <v>71578.709999999992</v>
      </c>
      <c r="K1673" s="41"/>
      <c r="O1673" s="42">
        <f>I1663+I1664+I1666+I1668+I1669+SUM(I1667:I1667)</f>
        <v>1492.6</v>
      </c>
      <c r="P1673" s="42">
        <f>K1663+K1664+K1666+K1668+K1669+SUM(K1667:K1667)</f>
        <v>71578.709999999992</v>
      </c>
    </row>
    <row r="1674" spans="1:29" hidden="1" x14ac:dyDescent="0.25"/>
    <row r="1675" spans="1:29" ht="171.6" x14ac:dyDescent="0.25">
      <c r="A1675" s="46">
        <v>172</v>
      </c>
      <c r="B1675" s="46" t="str">
        <f>[1]Source!F1453</f>
        <v>КА 38</v>
      </c>
      <c r="C1675" s="46" t="s">
        <v>378</v>
      </c>
      <c r="D1675" s="47" t="str">
        <f>[1]Source!H1453</f>
        <v/>
      </c>
      <c r="E1675" s="48">
        <f>[1]Source!I1453</f>
        <v>1</v>
      </c>
      <c r="F1675" s="37">
        <f>[1]Source!AL1453</f>
        <v>44207.61</v>
      </c>
      <c r="G1675" s="38"/>
      <c r="H1675" s="36">
        <f>[1]Source!AW1454</f>
        <v>1</v>
      </c>
      <c r="I1675" s="37">
        <f>[1]Source!P1453</f>
        <v>44207.61</v>
      </c>
      <c r="J1675" s="36">
        <f>IF([1]Source!BC1454&lt;&gt; 0, [1]Source!BC1454, 1)</f>
        <v>9.84</v>
      </c>
      <c r="K1675" s="49">
        <f>[1]Source!P1454</f>
        <v>435002.88</v>
      </c>
      <c r="L1675">
        <v>520297.54</v>
      </c>
      <c r="M1675" s="50">
        <f>L1675*E1675</f>
        <v>520297.54</v>
      </c>
      <c r="N1675" s="64" t="s">
        <v>926</v>
      </c>
      <c r="Q1675">
        <f>[1]Source!X1453</f>
        <v>0</v>
      </c>
      <c r="R1675">
        <f>[1]Source!X1454</f>
        <v>0</v>
      </c>
      <c r="S1675">
        <f>[1]Source!Y1453</f>
        <v>0</v>
      </c>
      <c r="T1675">
        <f>[1]Source!Y1454</f>
        <v>0</v>
      </c>
      <c r="U1675">
        <f>ROUND((175/100)*ROUND([1]Source!R1453, 2), 2)</f>
        <v>0</v>
      </c>
      <c r="V1675">
        <f>ROUND((0/100)*ROUND([1]Source!R1454, 2), 2)</f>
        <v>0</v>
      </c>
      <c r="AC1675">
        <v>3</v>
      </c>
    </row>
    <row r="1676" spans="1:29" ht="13.8" hidden="1" x14ac:dyDescent="0.25">
      <c r="C1676" s="39" t="s">
        <v>49</v>
      </c>
      <c r="H1676" s="40">
        <f>I1675+0</f>
        <v>44207.61</v>
      </c>
      <c r="I1676" s="40"/>
      <c r="J1676" s="40">
        <f>K1675+0</f>
        <v>435002.88</v>
      </c>
      <c r="K1676" s="40"/>
      <c r="O1676" s="42">
        <f>I1675+0</f>
        <v>44207.61</v>
      </c>
      <c r="P1676" s="42">
        <f>K1675+0</f>
        <v>435002.88</v>
      </c>
    </row>
    <row r="1677" spans="1:29" hidden="1" x14ac:dyDescent="0.25"/>
    <row r="1678" spans="1:29" ht="171.6" x14ac:dyDescent="0.25">
      <c r="A1678" s="46">
        <v>173</v>
      </c>
      <c r="B1678" s="46" t="str">
        <f>[1]Source!F1455</f>
        <v>КА 39</v>
      </c>
      <c r="C1678" s="46" t="s">
        <v>379</v>
      </c>
      <c r="D1678" s="47" t="str">
        <f>[1]Source!H1455</f>
        <v>ШТ</v>
      </c>
      <c r="E1678" s="48">
        <f>[1]Source!I1455</f>
        <v>1</v>
      </c>
      <c r="F1678" s="37">
        <f>[1]Source!AL1455</f>
        <v>41546.97</v>
      </c>
      <c r="G1678" s="38"/>
      <c r="H1678" s="36">
        <f>[1]Source!AW1456</f>
        <v>1</v>
      </c>
      <c r="I1678" s="37">
        <f>[1]Source!P1455</f>
        <v>41546.97</v>
      </c>
      <c r="J1678" s="36">
        <f>IF([1]Source!BC1456&lt;&gt; 0, [1]Source!BC1456, 1)</f>
        <v>9.84</v>
      </c>
      <c r="K1678" s="49">
        <f>[1]Source!P1456</f>
        <v>408822.18</v>
      </c>
      <c r="L1678">
        <v>488983.34</v>
      </c>
      <c r="M1678" s="50">
        <f>L1678*E1678</f>
        <v>488983.34</v>
      </c>
      <c r="N1678" s="64" t="s">
        <v>926</v>
      </c>
      <c r="Q1678">
        <f>[1]Source!X1455</f>
        <v>0</v>
      </c>
      <c r="R1678">
        <f>[1]Source!X1456</f>
        <v>0</v>
      </c>
      <c r="S1678">
        <f>[1]Source!Y1455</f>
        <v>0</v>
      </c>
      <c r="T1678">
        <f>[1]Source!Y1456</f>
        <v>0</v>
      </c>
      <c r="U1678">
        <f>ROUND((175/100)*ROUND([1]Source!R1455, 2), 2)</f>
        <v>0</v>
      </c>
      <c r="V1678">
        <f>ROUND((0/100)*ROUND([1]Source!R1456, 2), 2)</f>
        <v>0</v>
      </c>
      <c r="AC1678">
        <v>3</v>
      </c>
    </row>
    <row r="1679" spans="1:29" ht="13.8" hidden="1" x14ac:dyDescent="0.25">
      <c r="C1679" s="39" t="s">
        <v>49</v>
      </c>
      <c r="H1679" s="40">
        <f>I1678+0</f>
        <v>41546.97</v>
      </c>
      <c r="I1679" s="40"/>
      <c r="J1679" s="40">
        <f>K1678+0</f>
        <v>408822.18</v>
      </c>
      <c r="K1679" s="40"/>
      <c r="O1679" s="42">
        <f>I1678+0</f>
        <v>41546.97</v>
      </c>
      <c r="P1679" s="42">
        <f>K1678+0</f>
        <v>408822.18</v>
      </c>
    </row>
    <row r="1680" spans="1:29" hidden="1" x14ac:dyDescent="0.25"/>
    <row r="1681" spans="1:29" ht="171.6" x14ac:dyDescent="0.25">
      <c r="A1681" s="46">
        <v>174</v>
      </c>
      <c r="B1681" s="46" t="str">
        <f>[1]Source!F1457</f>
        <v>КА 40</v>
      </c>
      <c r="C1681" s="46" t="s">
        <v>380</v>
      </c>
      <c r="D1681" s="47" t="str">
        <f>[1]Source!H1457</f>
        <v>ШТ</v>
      </c>
      <c r="E1681" s="48">
        <f>[1]Source!I1457</f>
        <v>2</v>
      </c>
      <c r="F1681" s="37">
        <f>[1]Source!AL1457</f>
        <v>42570.29</v>
      </c>
      <c r="G1681" s="38"/>
      <c r="H1681" s="36">
        <f>[1]Source!AW1458</f>
        <v>1</v>
      </c>
      <c r="I1681" s="37">
        <f>[1]Source!P1457</f>
        <v>85140.58</v>
      </c>
      <c r="J1681" s="36">
        <f>IF([1]Source!BC1458&lt;&gt; 0, [1]Source!BC1458, 1)</f>
        <v>9.84</v>
      </c>
      <c r="K1681" s="49">
        <f>[1]Source!P1458</f>
        <v>837783.31</v>
      </c>
      <c r="L1681">
        <v>501027.26</v>
      </c>
      <c r="M1681" s="50">
        <f>L1681*E1681</f>
        <v>1002054.52</v>
      </c>
      <c r="N1681" s="64" t="s">
        <v>926</v>
      </c>
      <c r="Q1681">
        <f>[1]Source!X1457</f>
        <v>0</v>
      </c>
      <c r="R1681">
        <f>[1]Source!X1458</f>
        <v>0</v>
      </c>
      <c r="S1681">
        <f>[1]Source!Y1457</f>
        <v>0</v>
      </c>
      <c r="T1681">
        <f>[1]Source!Y1458</f>
        <v>0</v>
      </c>
      <c r="U1681">
        <f>ROUND((175/100)*ROUND([1]Source!R1457, 2), 2)</f>
        <v>0</v>
      </c>
      <c r="V1681">
        <f>ROUND((0/100)*ROUND([1]Source!R1458, 2), 2)</f>
        <v>0</v>
      </c>
      <c r="AC1681">
        <v>3</v>
      </c>
    </row>
    <row r="1682" spans="1:29" ht="13.8" hidden="1" x14ac:dyDescent="0.25">
      <c r="C1682" s="39" t="s">
        <v>49</v>
      </c>
      <c r="H1682" s="40">
        <f>I1681+0</f>
        <v>85140.58</v>
      </c>
      <c r="I1682" s="40"/>
      <c r="J1682" s="40">
        <f>K1681+0</f>
        <v>837783.31</v>
      </c>
      <c r="K1682" s="40"/>
      <c r="O1682" s="42">
        <f>I1681+0</f>
        <v>85140.58</v>
      </c>
      <c r="P1682" s="42">
        <f>K1681+0</f>
        <v>837783.31</v>
      </c>
    </row>
    <row r="1683" spans="1:29" hidden="1" x14ac:dyDescent="0.25"/>
    <row r="1684" spans="1:29" ht="171.6" x14ac:dyDescent="0.25">
      <c r="A1684" s="46">
        <v>175</v>
      </c>
      <c r="B1684" s="46" t="str">
        <f>[1]Source!F1459</f>
        <v>КА 42</v>
      </c>
      <c r="C1684" s="46" t="s">
        <v>381</v>
      </c>
      <c r="D1684" s="47" t="str">
        <f>[1]Source!H1459</f>
        <v>ШТ</v>
      </c>
      <c r="E1684" s="48">
        <f>[1]Source!I1459</f>
        <v>1</v>
      </c>
      <c r="F1684" s="37">
        <f>[1]Source!AL1459</f>
        <v>41546.97</v>
      </c>
      <c r="G1684" s="38"/>
      <c r="H1684" s="36">
        <f>[1]Source!AW1460</f>
        <v>1</v>
      </c>
      <c r="I1684" s="37">
        <f>[1]Source!P1459</f>
        <v>41546.97</v>
      </c>
      <c r="J1684" s="36">
        <f>IF([1]Source!BC1460&lt;&gt; 0, [1]Source!BC1460, 1)</f>
        <v>9.84</v>
      </c>
      <c r="K1684" s="49">
        <f>[1]Source!P1460</f>
        <v>408822.18</v>
      </c>
      <c r="L1684">
        <v>488983.34</v>
      </c>
      <c r="M1684" s="50">
        <f>L1684*E1684</f>
        <v>488983.34</v>
      </c>
      <c r="N1684" s="64" t="s">
        <v>926</v>
      </c>
      <c r="Q1684">
        <f>[1]Source!X1459</f>
        <v>0</v>
      </c>
      <c r="R1684">
        <f>[1]Source!X1460</f>
        <v>0</v>
      </c>
      <c r="S1684">
        <f>[1]Source!Y1459</f>
        <v>0</v>
      </c>
      <c r="T1684">
        <f>[1]Source!Y1460</f>
        <v>0</v>
      </c>
      <c r="U1684">
        <f>ROUND((175/100)*ROUND([1]Source!R1459, 2), 2)</f>
        <v>0</v>
      </c>
      <c r="V1684">
        <f>ROUND((0/100)*ROUND([1]Source!R1460, 2), 2)</f>
        <v>0</v>
      </c>
      <c r="AC1684">
        <v>3</v>
      </c>
    </row>
    <row r="1685" spans="1:29" ht="13.8" hidden="1" x14ac:dyDescent="0.25">
      <c r="C1685" s="39" t="s">
        <v>49</v>
      </c>
      <c r="H1685" s="40">
        <f>I1684+0</f>
        <v>41546.97</v>
      </c>
      <c r="I1685" s="40"/>
      <c r="J1685" s="40">
        <f>K1684+0</f>
        <v>408822.18</v>
      </c>
      <c r="K1685" s="40"/>
      <c r="O1685" s="42">
        <f>I1684+0</f>
        <v>41546.97</v>
      </c>
      <c r="P1685" s="42">
        <f>K1684+0</f>
        <v>408822.18</v>
      </c>
    </row>
    <row r="1686" spans="1:29" hidden="1" x14ac:dyDescent="0.25"/>
    <row r="1687" spans="1:29" ht="171.6" x14ac:dyDescent="0.25">
      <c r="A1687" s="46">
        <v>176</v>
      </c>
      <c r="B1687" s="46" t="str">
        <f>[1]Source!F1461</f>
        <v>КА 43</v>
      </c>
      <c r="C1687" s="46" t="s">
        <v>382</v>
      </c>
      <c r="D1687" s="47" t="str">
        <f>[1]Source!H1461</f>
        <v>ШТ</v>
      </c>
      <c r="E1687" s="48">
        <f>[1]Source!I1461</f>
        <v>1</v>
      </c>
      <c r="F1687" s="37">
        <f>[1]Source!AL1461</f>
        <v>41546.97</v>
      </c>
      <c r="G1687" s="38"/>
      <c r="H1687" s="36">
        <f>[1]Source!AW1462</f>
        <v>1</v>
      </c>
      <c r="I1687" s="37">
        <f>[1]Source!P1461</f>
        <v>41546.97</v>
      </c>
      <c r="J1687" s="36">
        <f>IF([1]Source!BC1462&lt;&gt; 0, [1]Source!BC1462, 1)</f>
        <v>9.84</v>
      </c>
      <c r="K1687" s="49">
        <f>[1]Source!P1462</f>
        <v>408822.18</v>
      </c>
      <c r="L1687">
        <v>488983.34</v>
      </c>
      <c r="M1687" s="50">
        <f>L1687*E1687</f>
        <v>488983.34</v>
      </c>
      <c r="N1687" s="64" t="s">
        <v>926</v>
      </c>
      <c r="Q1687">
        <f>[1]Source!X1461</f>
        <v>0</v>
      </c>
      <c r="R1687">
        <f>[1]Source!X1462</f>
        <v>0</v>
      </c>
      <c r="S1687">
        <f>[1]Source!Y1461</f>
        <v>0</v>
      </c>
      <c r="T1687">
        <f>[1]Source!Y1462</f>
        <v>0</v>
      </c>
      <c r="U1687">
        <f>ROUND((175/100)*ROUND([1]Source!R1461, 2), 2)</f>
        <v>0</v>
      </c>
      <c r="V1687">
        <f>ROUND((0/100)*ROUND([1]Source!R1462, 2), 2)</f>
        <v>0</v>
      </c>
      <c r="AC1687">
        <v>3</v>
      </c>
    </row>
    <row r="1688" spans="1:29" ht="13.8" hidden="1" x14ac:dyDescent="0.25">
      <c r="C1688" s="39" t="s">
        <v>49</v>
      </c>
      <c r="H1688" s="40">
        <f>I1687+0</f>
        <v>41546.97</v>
      </c>
      <c r="I1688" s="40"/>
      <c r="J1688" s="40">
        <f>K1687+0</f>
        <v>408822.18</v>
      </c>
      <c r="K1688" s="40"/>
      <c r="O1688" s="42">
        <f>I1687+0</f>
        <v>41546.97</v>
      </c>
      <c r="P1688" s="42">
        <f>K1687+0</f>
        <v>408822.18</v>
      </c>
    </row>
    <row r="1689" spans="1:29" hidden="1" x14ac:dyDescent="0.25"/>
    <row r="1690" spans="1:29" ht="171.6" x14ac:dyDescent="0.25">
      <c r="A1690" s="46">
        <v>177</v>
      </c>
      <c r="B1690" s="46" t="str">
        <f>[1]Source!F1463</f>
        <v>КА 44</v>
      </c>
      <c r="C1690" s="46" t="s">
        <v>383</v>
      </c>
      <c r="D1690" s="47" t="str">
        <f>[1]Source!H1463</f>
        <v>ШТ</v>
      </c>
      <c r="E1690" s="48">
        <f>[1]Source!I1463</f>
        <v>1</v>
      </c>
      <c r="F1690" s="37">
        <f>[1]Source!AL1463</f>
        <v>42570.29</v>
      </c>
      <c r="G1690" s="38"/>
      <c r="H1690" s="36">
        <f>[1]Source!AW1464</f>
        <v>1</v>
      </c>
      <c r="I1690" s="37">
        <f>[1]Source!P1463</f>
        <v>42570.29</v>
      </c>
      <c r="J1690" s="36">
        <f>IF([1]Source!BC1464&lt;&gt; 0, [1]Source!BC1464, 1)</f>
        <v>9.84</v>
      </c>
      <c r="K1690" s="49">
        <f>[1]Source!P1464</f>
        <v>418891.65</v>
      </c>
      <c r="L1690">
        <v>501027.26</v>
      </c>
      <c r="M1690" s="50">
        <f>L1690*E1690</f>
        <v>501027.26</v>
      </c>
      <c r="N1690" s="64" t="s">
        <v>926</v>
      </c>
      <c r="Q1690">
        <f>[1]Source!X1463</f>
        <v>0</v>
      </c>
      <c r="R1690">
        <f>[1]Source!X1464</f>
        <v>0</v>
      </c>
      <c r="S1690">
        <f>[1]Source!Y1463</f>
        <v>0</v>
      </c>
      <c r="T1690">
        <f>[1]Source!Y1464</f>
        <v>0</v>
      </c>
      <c r="U1690">
        <f>ROUND((175/100)*ROUND([1]Source!R1463, 2), 2)</f>
        <v>0</v>
      </c>
      <c r="V1690">
        <f>ROUND((0/100)*ROUND([1]Source!R1464, 2), 2)</f>
        <v>0</v>
      </c>
      <c r="AC1690">
        <v>3</v>
      </c>
    </row>
    <row r="1691" spans="1:29" ht="13.8" hidden="1" x14ac:dyDescent="0.25">
      <c r="C1691" s="39" t="s">
        <v>49</v>
      </c>
      <c r="H1691" s="40">
        <f>I1690+0</f>
        <v>42570.29</v>
      </c>
      <c r="I1691" s="40"/>
      <c r="J1691" s="40">
        <f>K1690+0</f>
        <v>418891.65</v>
      </c>
      <c r="K1691" s="40"/>
      <c r="O1691" s="42">
        <f>I1690+0</f>
        <v>42570.29</v>
      </c>
      <c r="P1691" s="42">
        <f>K1690+0</f>
        <v>418891.65</v>
      </c>
    </row>
    <row r="1692" spans="1:29" hidden="1" x14ac:dyDescent="0.25"/>
    <row r="1693" spans="1:29" ht="171.6" x14ac:dyDescent="0.25">
      <c r="A1693" s="46">
        <v>178</v>
      </c>
      <c r="B1693" s="46" t="str">
        <f>[1]Source!F1465</f>
        <v>КА 51</v>
      </c>
      <c r="C1693" s="46" t="s">
        <v>384</v>
      </c>
      <c r="D1693" s="47" t="str">
        <f>[1]Source!H1465</f>
        <v>ШТ</v>
      </c>
      <c r="E1693" s="48">
        <f>[1]Source!I1465</f>
        <v>1</v>
      </c>
      <c r="F1693" s="37">
        <f>[1]Source!AL1465</f>
        <v>39275.18</v>
      </c>
      <c r="G1693" s="38"/>
      <c r="H1693" s="36">
        <f>[1]Source!AW1466</f>
        <v>1</v>
      </c>
      <c r="I1693" s="37">
        <f>[1]Source!P1465</f>
        <v>39275.18</v>
      </c>
      <c r="J1693" s="36">
        <f>IF([1]Source!BC1466&lt;&gt; 0, [1]Source!BC1466, 1)</f>
        <v>9.84</v>
      </c>
      <c r="K1693" s="49">
        <f>[1]Source!P1466</f>
        <v>386467.77</v>
      </c>
      <c r="L1693">
        <v>462245.82</v>
      </c>
      <c r="M1693" s="50">
        <f>L1693*E1693</f>
        <v>462245.82</v>
      </c>
      <c r="N1693" s="64" t="s">
        <v>926</v>
      </c>
      <c r="Q1693">
        <f>[1]Source!X1465</f>
        <v>0</v>
      </c>
      <c r="R1693">
        <f>[1]Source!X1466</f>
        <v>0</v>
      </c>
      <c r="S1693">
        <f>[1]Source!Y1465</f>
        <v>0</v>
      </c>
      <c r="T1693">
        <f>[1]Source!Y1466</f>
        <v>0</v>
      </c>
      <c r="U1693">
        <f>ROUND((175/100)*ROUND([1]Source!R1465, 2), 2)</f>
        <v>0</v>
      </c>
      <c r="V1693">
        <f>ROUND((0/100)*ROUND([1]Source!R1466, 2), 2)</f>
        <v>0</v>
      </c>
      <c r="AC1693">
        <v>3</v>
      </c>
    </row>
    <row r="1694" spans="1:29" ht="13.8" hidden="1" x14ac:dyDescent="0.25">
      <c r="C1694" s="39" t="s">
        <v>49</v>
      </c>
      <c r="H1694" s="40">
        <f>I1693+0</f>
        <v>39275.18</v>
      </c>
      <c r="I1694" s="40"/>
      <c r="J1694" s="40">
        <f>K1693+0</f>
        <v>386467.77</v>
      </c>
      <c r="K1694" s="40"/>
      <c r="O1694" s="42">
        <f>I1693+0</f>
        <v>39275.18</v>
      </c>
      <c r="P1694" s="42">
        <f>K1693+0</f>
        <v>386467.77</v>
      </c>
    </row>
    <row r="1695" spans="1:29" hidden="1" x14ac:dyDescent="0.25"/>
    <row r="1696" spans="1:29" ht="171.6" x14ac:dyDescent="0.25">
      <c r="A1696" s="46">
        <v>179</v>
      </c>
      <c r="B1696" s="46" t="str">
        <f>[1]Source!F1467</f>
        <v>КА 57</v>
      </c>
      <c r="C1696" s="46" t="s">
        <v>385</v>
      </c>
      <c r="D1696" s="47" t="str">
        <f>[1]Source!H1467</f>
        <v>ШТ</v>
      </c>
      <c r="E1696" s="48">
        <f>[1]Source!I1467</f>
        <v>3</v>
      </c>
      <c r="F1696" s="37">
        <f>[1]Source!AL1467</f>
        <v>40515.449999999997</v>
      </c>
      <c r="G1696" s="38"/>
      <c r="H1696" s="36">
        <f>[1]Source!AW1468</f>
        <v>1</v>
      </c>
      <c r="I1696" s="37">
        <f>[1]Source!P1467</f>
        <v>121546.35</v>
      </c>
      <c r="J1696" s="36">
        <f>IF([1]Source!BC1468&lt;&gt; 0, [1]Source!BC1468, 1)</f>
        <v>9.84</v>
      </c>
      <c r="K1696" s="49">
        <f>[1]Source!P1468</f>
        <v>1196016.08</v>
      </c>
      <c r="L1696">
        <v>476843.06</v>
      </c>
      <c r="M1696" s="50">
        <f>L1696*E1696</f>
        <v>1430529.18</v>
      </c>
      <c r="N1696" s="64" t="s">
        <v>926</v>
      </c>
      <c r="Q1696">
        <f>[1]Source!X1467</f>
        <v>0</v>
      </c>
      <c r="R1696">
        <f>[1]Source!X1468</f>
        <v>0</v>
      </c>
      <c r="S1696">
        <f>[1]Source!Y1467</f>
        <v>0</v>
      </c>
      <c r="T1696">
        <f>[1]Source!Y1468</f>
        <v>0</v>
      </c>
      <c r="U1696">
        <f>ROUND((175/100)*ROUND([1]Source!R1467, 2), 2)</f>
        <v>0</v>
      </c>
      <c r="V1696">
        <f>ROUND((0/100)*ROUND([1]Source!R1468, 2), 2)</f>
        <v>0</v>
      </c>
      <c r="AC1696">
        <v>3</v>
      </c>
    </row>
    <row r="1697" spans="1:29" ht="13.8" hidden="1" x14ac:dyDescent="0.25">
      <c r="C1697" s="39" t="s">
        <v>49</v>
      </c>
      <c r="H1697" s="40">
        <f>I1696+0</f>
        <v>121546.35</v>
      </c>
      <c r="I1697" s="40"/>
      <c r="J1697" s="40">
        <f>K1696+0</f>
        <v>1196016.08</v>
      </c>
      <c r="K1697" s="40"/>
      <c r="O1697" s="42">
        <f>I1696+0</f>
        <v>121546.35</v>
      </c>
      <c r="P1697" s="42">
        <f>K1696+0</f>
        <v>1196016.08</v>
      </c>
    </row>
    <row r="1698" spans="1:29" hidden="1" x14ac:dyDescent="0.25"/>
    <row r="1699" spans="1:29" ht="171.6" x14ac:dyDescent="0.25">
      <c r="A1699" s="46">
        <v>180</v>
      </c>
      <c r="B1699" s="46" t="str">
        <f>[1]Source!F1469</f>
        <v>КА 78</v>
      </c>
      <c r="C1699" s="46" t="s">
        <v>386</v>
      </c>
      <c r="D1699" s="47" t="str">
        <f>[1]Source!H1469</f>
        <v>ШТ</v>
      </c>
      <c r="E1699" s="48">
        <f>[1]Source!I1469</f>
        <v>1</v>
      </c>
      <c r="F1699" s="37">
        <f>[1]Source!AL1469</f>
        <v>50756.880000000005</v>
      </c>
      <c r="G1699" s="38"/>
      <c r="H1699" s="36">
        <f>[1]Source!AW1470</f>
        <v>1</v>
      </c>
      <c r="I1699" s="37">
        <f>[1]Source!P1469</f>
        <v>50756.88</v>
      </c>
      <c r="J1699" s="36">
        <f>IF([1]Source!BC1470&lt;&gt; 0, [1]Source!BC1470, 1)</f>
        <v>9.84</v>
      </c>
      <c r="K1699" s="49">
        <f>[1]Source!P1470</f>
        <v>499447.7</v>
      </c>
      <c r="L1699">
        <v>597378.66</v>
      </c>
      <c r="M1699" s="50">
        <f>L1699*E1699</f>
        <v>597378.66</v>
      </c>
      <c r="N1699" s="64" t="s">
        <v>926</v>
      </c>
      <c r="Q1699">
        <f>[1]Source!X1469</f>
        <v>0</v>
      </c>
      <c r="R1699">
        <f>[1]Source!X1470</f>
        <v>0</v>
      </c>
      <c r="S1699">
        <f>[1]Source!Y1469</f>
        <v>0</v>
      </c>
      <c r="T1699">
        <f>[1]Source!Y1470</f>
        <v>0</v>
      </c>
      <c r="U1699">
        <f>ROUND((175/100)*ROUND([1]Source!R1469, 2), 2)</f>
        <v>0</v>
      </c>
      <c r="V1699">
        <f>ROUND((0/100)*ROUND([1]Source!R1470, 2), 2)</f>
        <v>0</v>
      </c>
      <c r="AC1699">
        <v>3</v>
      </c>
    </row>
    <row r="1700" spans="1:29" ht="13.8" hidden="1" x14ac:dyDescent="0.25">
      <c r="C1700" s="39" t="s">
        <v>49</v>
      </c>
      <c r="H1700" s="40">
        <f>I1699+0</f>
        <v>50756.88</v>
      </c>
      <c r="I1700" s="40"/>
      <c r="J1700" s="40">
        <f>K1699+0</f>
        <v>499447.7</v>
      </c>
      <c r="K1700" s="40"/>
      <c r="O1700" s="42">
        <f>I1699+0</f>
        <v>50756.88</v>
      </c>
      <c r="P1700" s="42">
        <f>K1699+0</f>
        <v>499447.7</v>
      </c>
    </row>
    <row r="1701" spans="1:29" hidden="1" x14ac:dyDescent="0.25"/>
    <row r="1702" spans="1:29" ht="171.6" x14ac:dyDescent="0.25">
      <c r="A1702" s="46">
        <v>181</v>
      </c>
      <c r="B1702" s="46" t="str">
        <f>[1]Source!F1471</f>
        <v>КА 80</v>
      </c>
      <c r="C1702" s="46" t="s">
        <v>387</v>
      </c>
      <c r="D1702" s="47" t="str">
        <f>[1]Source!H1471</f>
        <v>ШТ</v>
      </c>
      <c r="E1702" s="48">
        <f>[1]Source!I1471</f>
        <v>1</v>
      </c>
      <c r="F1702" s="37">
        <f>[1]Source!AL1471</f>
        <v>50756.880000000005</v>
      </c>
      <c r="G1702" s="38"/>
      <c r="H1702" s="36">
        <f>[1]Source!AW1472</f>
        <v>1</v>
      </c>
      <c r="I1702" s="37">
        <f>[1]Source!P1471</f>
        <v>50756.88</v>
      </c>
      <c r="J1702" s="36">
        <f>IF([1]Source!BC1472&lt;&gt; 0, [1]Source!BC1472, 1)</f>
        <v>9.84</v>
      </c>
      <c r="K1702" s="49">
        <f>[1]Source!P1472</f>
        <v>499447.7</v>
      </c>
      <c r="L1702">
        <v>597378.66</v>
      </c>
      <c r="M1702" s="50">
        <f>L1702*E1702</f>
        <v>597378.66</v>
      </c>
      <c r="N1702" s="64" t="s">
        <v>926</v>
      </c>
      <c r="Q1702">
        <f>[1]Source!X1471</f>
        <v>0</v>
      </c>
      <c r="R1702">
        <f>[1]Source!X1472</f>
        <v>0</v>
      </c>
      <c r="S1702">
        <f>[1]Source!Y1471</f>
        <v>0</v>
      </c>
      <c r="T1702">
        <f>[1]Source!Y1472</f>
        <v>0</v>
      </c>
      <c r="U1702">
        <f>ROUND((175/100)*ROUND([1]Source!R1471, 2), 2)</f>
        <v>0</v>
      </c>
      <c r="V1702">
        <f>ROUND((0/100)*ROUND([1]Source!R1472, 2), 2)</f>
        <v>0</v>
      </c>
      <c r="AC1702">
        <v>3</v>
      </c>
    </row>
    <row r="1703" spans="1:29" ht="13.8" hidden="1" x14ac:dyDescent="0.25">
      <c r="C1703" s="39" t="s">
        <v>49</v>
      </c>
      <c r="H1703" s="40">
        <f>I1702+0</f>
        <v>50756.88</v>
      </c>
      <c r="I1703" s="40"/>
      <c r="J1703" s="40">
        <f>K1702+0</f>
        <v>499447.7</v>
      </c>
      <c r="K1703" s="40"/>
      <c r="O1703" s="42">
        <f>I1702+0</f>
        <v>50756.88</v>
      </c>
      <c r="P1703" s="42">
        <f>K1702+0</f>
        <v>499447.7</v>
      </c>
    </row>
    <row r="1704" spans="1:29" hidden="1" x14ac:dyDescent="0.25"/>
    <row r="1705" spans="1:29" ht="171.6" x14ac:dyDescent="0.25">
      <c r="A1705" s="46">
        <v>182</v>
      </c>
      <c r="B1705" s="46" t="str">
        <f>[1]Source!F1473</f>
        <v>КА 90</v>
      </c>
      <c r="C1705" s="46" t="s">
        <v>388</v>
      </c>
      <c r="D1705" s="47" t="str">
        <f>[1]Source!H1473</f>
        <v>ШТ</v>
      </c>
      <c r="E1705" s="48">
        <f>[1]Source!I1473</f>
        <v>1</v>
      </c>
      <c r="F1705" s="37">
        <f>[1]Source!AL1473</f>
        <v>50756.880000000005</v>
      </c>
      <c r="G1705" s="38"/>
      <c r="H1705" s="36">
        <f>[1]Source!AW1474</f>
        <v>1</v>
      </c>
      <c r="I1705" s="37">
        <f>[1]Source!P1473</f>
        <v>50756.88</v>
      </c>
      <c r="J1705" s="36">
        <f>IF([1]Source!BC1474&lt;&gt; 0, [1]Source!BC1474, 1)</f>
        <v>9.84</v>
      </c>
      <c r="K1705" s="49">
        <f>[1]Source!P1474</f>
        <v>499447.7</v>
      </c>
      <c r="L1705">
        <v>597378.66</v>
      </c>
      <c r="M1705" s="50">
        <f>L1705*E1705</f>
        <v>597378.66</v>
      </c>
      <c r="N1705" s="64" t="s">
        <v>926</v>
      </c>
      <c r="Q1705">
        <f>[1]Source!X1473</f>
        <v>0</v>
      </c>
      <c r="R1705">
        <f>[1]Source!X1474</f>
        <v>0</v>
      </c>
      <c r="S1705">
        <f>[1]Source!Y1473</f>
        <v>0</v>
      </c>
      <c r="T1705">
        <f>[1]Source!Y1474</f>
        <v>0</v>
      </c>
      <c r="U1705">
        <f>ROUND((175/100)*ROUND([1]Source!R1473, 2), 2)</f>
        <v>0</v>
      </c>
      <c r="V1705">
        <f>ROUND((0/100)*ROUND([1]Source!R1474, 2), 2)</f>
        <v>0</v>
      </c>
      <c r="AC1705">
        <v>3</v>
      </c>
    </row>
    <row r="1706" spans="1:29" ht="13.8" hidden="1" x14ac:dyDescent="0.25">
      <c r="C1706" s="39" t="s">
        <v>49</v>
      </c>
      <c r="H1706" s="40">
        <f>I1705+0</f>
        <v>50756.88</v>
      </c>
      <c r="I1706" s="40"/>
      <c r="J1706" s="40">
        <f>K1705+0</f>
        <v>499447.7</v>
      </c>
      <c r="K1706" s="40"/>
      <c r="O1706" s="42">
        <f>I1705+0</f>
        <v>50756.88</v>
      </c>
      <c r="P1706" s="42">
        <f>K1705+0</f>
        <v>499447.7</v>
      </c>
    </row>
    <row r="1707" spans="1:29" hidden="1" x14ac:dyDescent="0.25"/>
    <row r="1708" spans="1:29" ht="171.6" x14ac:dyDescent="0.25">
      <c r="A1708" s="46">
        <v>183</v>
      </c>
      <c r="B1708" s="46" t="str">
        <f>[1]Source!F1475</f>
        <v>КА 91</v>
      </c>
      <c r="C1708" s="46" t="s">
        <v>389</v>
      </c>
      <c r="D1708" s="47" t="str">
        <f>[1]Source!H1475</f>
        <v>ШТ</v>
      </c>
      <c r="E1708" s="48">
        <f>[1]Source!I1475</f>
        <v>1</v>
      </c>
      <c r="F1708" s="37">
        <f>[1]Source!AL1475</f>
        <v>61186.61</v>
      </c>
      <c r="G1708" s="38"/>
      <c r="H1708" s="36">
        <f>[1]Source!AW1476</f>
        <v>1</v>
      </c>
      <c r="I1708" s="37">
        <f>[1]Source!P1475</f>
        <v>61186.61</v>
      </c>
      <c r="J1708" s="36">
        <f>IF([1]Source!BC1476&lt;&gt; 0, [1]Source!BC1476, 1)</f>
        <v>9.84</v>
      </c>
      <c r="K1708" s="49">
        <f>[1]Source!P1476</f>
        <v>602076.24</v>
      </c>
      <c r="L1708">
        <v>720130.34</v>
      </c>
      <c r="M1708" s="50">
        <f>L1708*E1708</f>
        <v>720130.34</v>
      </c>
      <c r="N1708" s="64" t="s">
        <v>926</v>
      </c>
      <c r="Q1708">
        <f>[1]Source!X1475</f>
        <v>0</v>
      </c>
      <c r="R1708">
        <f>[1]Source!X1476</f>
        <v>0</v>
      </c>
      <c r="S1708">
        <f>[1]Source!Y1475</f>
        <v>0</v>
      </c>
      <c r="T1708">
        <f>[1]Source!Y1476</f>
        <v>0</v>
      </c>
      <c r="U1708">
        <f>ROUND((175/100)*ROUND([1]Source!R1475, 2), 2)</f>
        <v>0</v>
      </c>
      <c r="V1708">
        <f>ROUND((0/100)*ROUND([1]Source!R1476, 2), 2)</f>
        <v>0</v>
      </c>
      <c r="AC1708">
        <v>3</v>
      </c>
    </row>
    <row r="1709" spans="1:29" ht="13.8" hidden="1" x14ac:dyDescent="0.25">
      <c r="C1709" s="39" t="s">
        <v>49</v>
      </c>
      <c r="H1709" s="40">
        <f>I1708+0</f>
        <v>61186.61</v>
      </c>
      <c r="I1709" s="40"/>
      <c r="J1709" s="40">
        <f>K1708+0</f>
        <v>602076.24</v>
      </c>
      <c r="K1709" s="40"/>
      <c r="O1709" s="42">
        <f>I1708+0</f>
        <v>61186.61</v>
      </c>
      <c r="P1709" s="42">
        <f>K1708+0</f>
        <v>602076.24</v>
      </c>
    </row>
    <row r="1710" spans="1:29" hidden="1" x14ac:dyDescent="0.25"/>
    <row r="1711" spans="1:29" ht="171.6" x14ac:dyDescent="0.25">
      <c r="A1711" s="46">
        <v>184</v>
      </c>
      <c r="B1711" s="46" t="str">
        <f>[1]Source!F1477</f>
        <v>КА101</v>
      </c>
      <c r="C1711" s="46" t="s">
        <v>390</v>
      </c>
      <c r="D1711" s="47" t="str">
        <f>[1]Source!H1477</f>
        <v>ШТ</v>
      </c>
      <c r="E1711" s="48">
        <f>[1]Source!I1477</f>
        <v>3</v>
      </c>
      <c r="F1711" s="37">
        <f>[1]Source!AL1477</f>
        <v>56760.39</v>
      </c>
      <c r="G1711" s="38"/>
      <c r="H1711" s="36">
        <f>[1]Source!AW1478</f>
        <v>1</v>
      </c>
      <c r="I1711" s="37">
        <f>[1]Source!P1477</f>
        <v>170281.17</v>
      </c>
      <c r="J1711" s="36">
        <f>IF([1]Source!BC1478&lt;&gt; 0, [1]Source!BC1478, 1)</f>
        <v>9.84</v>
      </c>
      <c r="K1711" s="49">
        <f>[1]Source!P1478</f>
        <v>1675566.71</v>
      </c>
      <c r="L1711">
        <v>668036.35</v>
      </c>
      <c r="M1711" s="50">
        <f>L1711*E1711</f>
        <v>2004109.0499999998</v>
      </c>
      <c r="N1711" s="64" t="s">
        <v>926</v>
      </c>
      <c r="Q1711">
        <f>[1]Source!X1477</f>
        <v>0</v>
      </c>
      <c r="R1711">
        <f>[1]Source!X1478</f>
        <v>0</v>
      </c>
      <c r="S1711">
        <f>[1]Source!Y1477</f>
        <v>0</v>
      </c>
      <c r="T1711">
        <f>[1]Source!Y1478</f>
        <v>0</v>
      </c>
      <c r="U1711">
        <f>ROUND((175/100)*ROUND([1]Source!R1477, 2), 2)</f>
        <v>0</v>
      </c>
      <c r="V1711">
        <f>ROUND((0/100)*ROUND([1]Source!R1478, 2), 2)</f>
        <v>0</v>
      </c>
      <c r="AC1711">
        <v>3</v>
      </c>
    </row>
    <row r="1712" spans="1:29" ht="13.8" hidden="1" x14ac:dyDescent="0.25">
      <c r="C1712" s="39" t="s">
        <v>49</v>
      </c>
      <c r="H1712" s="40">
        <f>I1711+0</f>
        <v>170281.17</v>
      </c>
      <c r="I1712" s="40"/>
      <c r="J1712" s="40">
        <f>K1711+0</f>
        <v>1675566.71</v>
      </c>
      <c r="K1712" s="40"/>
      <c r="O1712" s="42">
        <f>I1711+0</f>
        <v>170281.17</v>
      </c>
      <c r="P1712" s="42">
        <f>K1711+0</f>
        <v>1675566.71</v>
      </c>
    </row>
    <row r="1713" spans="1:29" hidden="1" x14ac:dyDescent="0.25"/>
    <row r="1714" spans="1:29" ht="171.6" x14ac:dyDescent="0.25">
      <c r="A1714" s="46">
        <v>185</v>
      </c>
      <c r="B1714" s="46" t="str">
        <f>[1]Source!F1479</f>
        <v>КА 112</v>
      </c>
      <c r="C1714" s="46" t="s">
        <v>391</v>
      </c>
      <c r="D1714" s="47" t="str">
        <f>[1]Source!H1479</f>
        <v>ШТ</v>
      </c>
      <c r="E1714" s="48">
        <f>[1]Source!I1479</f>
        <v>1</v>
      </c>
      <c r="F1714" s="37">
        <f>[1]Source!AL1479</f>
        <v>27998.149999999998</v>
      </c>
      <c r="G1714" s="38"/>
      <c r="H1714" s="36">
        <f>[1]Source!AW1480</f>
        <v>1</v>
      </c>
      <c r="I1714" s="37">
        <f>[1]Source!P1479</f>
        <v>27998.15</v>
      </c>
      <c r="J1714" s="36">
        <f>IF([1]Source!BC1480&lt;&gt; 0, [1]Source!BC1480, 1)</f>
        <v>9.84</v>
      </c>
      <c r="K1714" s="49">
        <f>[1]Source!P1480</f>
        <v>275501.8</v>
      </c>
      <c r="L1714">
        <v>329521.78000000003</v>
      </c>
      <c r="M1714" s="50">
        <f>L1714*E1714</f>
        <v>329521.78000000003</v>
      </c>
      <c r="N1714" s="64" t="s">
        <v>926</v>
      </c>
      <c r="Q1714">
        <f>[1]Source!X1479</f>
        <v>0</v>
      </c>
      <c r="R1714">
        <f>[1]Source!X1480</f>
        <v>0</v>
      </c>
      <c r="S1714">
        <f>[1]Source!Y1479</f>
        <v>0</v>
      </c>
      <c r="T1714">
        <f>[1]Source!Y1480</f>
        <v>0</v>
      </c>
      <c r="U1714">
        <f>ROUND((175/100)*ROUND([1]Source!R1479, 2), 2)</f>
        <v>0</v>
      </c>
      <c r="V1714">
        <f>ROUND((0/100)*ROUND([1]Source!R1480, 2), 2)</f>
        <v>0</v>
      </c>
      <c r="AC1714">
        <v>3</v>
      </c>
    </row>
    <row r="1715" spans="1:29" ht="13.8" hidden="1" x14ac:dyDescent="0.25">
      <c r="C1715" s="39" t="s">
        <v>49</v>
      </c>
      <c r="H1715" s="40">
        <f>I1714+0</f>
        <v>27998.15</v>
      </c>
      <c r="I1715" s="40"/>
      <c r="J1715" s="40">
        <f>K1714+0</f>
        <v>275501.8</v>
      </c>
      <c r="K1715" s="40"/>
      <c r="O1715" s="42">
        <f>I1714+0</f>
        <v>27998.15</v>
      </c>
      <c r="P1715" s="42">
        <f>K1714+0</f>
        <v>275501.8</v>
      </c>
    </row>
    <row r="1716" spans="1:29" hidden="1" x14ac:dyDescent="0.25"/>
    <row r="1717" spans="1:29" ht="55.2" hidden="1" x14ac:dyDescent="0.25">
      <c r="A1717" s="27">
        <v>186</v>
      </c>
      <c r="B1717" s="27" t="str">
        <f>[1]Source!F1481</f>
        <v>3.9-84-9</v>
      </c>
      <c r="C1717" s="27" t="s">
        <v>392</v>
      </c>
      <c r="D1717" s="28" t="str">
        <f>[1]Source!H1481</f>
        <v>100 м2</v>
      </c>
      <c r="E1717" s="29">
        <f>[1]Source!I1481</f>
        <v>6.7000000000000004E-2</v>
      </c>
      <c r="F1717" s="30"/>
      <c r="G1717" s="31"/>
      <c r="H1717" s="29"/>
      <c r="I1717" s="30"/>
      <c r="J1717" s="29"/>
      <c r="K1717" s="30"/>
      <c r="Q1717">
        <f>[1]Source!X1481</f>
        <v>36.15</v>
      </c>
      <c r="R1717">
        <f>[1]Source!X1482</f>
        <v>2036.78</v>
      </c>
      <c r="S1717">
        <f>[1]Source!Y1481</f>
        <v>22.81</v>
      </c>
      <c r="T1717">
        <f>[1]Source!Y1482</f>
        <v>1285.1099999999999</v>
      </c>
      <c r="U1717">
        <f>ROUND((175/100)*ROUND([1]Source!R1481, 2), 2)</f>
        <v>0</v>
      </c>
      <c r="V1717">
        <f>ROUND((0/100)*ROUND([1]Source!R1482, 2), 2)</f>
        <v>0</v>
      </c>
      <c r="AC1717">
        <v>0</v>
      </c>
    </row>
    <row r="1718" spans="1:29" hidden="1" x14ac:dyDescent="0.25">
      <c r="C1718" s="32" t="str">
        <f>"Объем: "&amp;[1]Source!I1481&amp;"=(2,2+"&amp;"0,8+"&amp;"2,7+"&amp;"1)/"&amp;"100"</f>
        <v>Объем: 0,067=(2,2+0,8+2,7+1)/100</v>
      </c>
    </row>
    <row r="1719" spans="1:29" ht="14.4" hidden="1" x14ac:dyDescent="0.25">
      <c r="A1719" s="27"/>
      <c r="B1719" s="27"/>
      <c r="C1719" s="27" t="s">
        <v>36</v>
      </c>
      <c r="D1719" s="28"/>
      <c r="E1719" s="29"/>
      <c r="F1719" s="30">
        <f>[1]Source!AO1481</f>
        <v>428.11</v>
      </c>
      <c r="G1719" s="31" t="s">
        <v>37</v>
      </c>
      <c r="H1719" s="29">
        <f>[1]Source!AV1482</f>
        <v>1.087</v>
      </c>
      <c r="I1719" s="30">
        <f>[1]Source!S1481</f>
        <v>43.03</v>
      </c>
      <c r="J1719" s="29">
        <f>IF([1]Source!BA1482&lt;&gt; 0, [1]Source!BA1482, 1)</f>
        <v>56.35</v>
      </c>
      <c r="K1719" s="30">
        <f>[1]Source!S1482</f>
        <v>2424.7399999999998</v>
      </c>
    </row>
    <row r="1720" spans="1:29" ht="14.4" hidden="1" x14ac:dyDescent="0.25">
      <c r="A1720" s="27"/>
      <c r="B1720" s="27"/>
      <c r="C1720" s="27" t="s">
        <v>38</v>
      </c>
      <c r="D1720" s="28"/>
      <c r="E1720" s="29"/>
      <c r="F1720" s="30">
        <f>[1]Source!AM1481</f>
        <v>3.71</v>
      </c>
      <c r="G1720" s="31" t="s">
        <v>39</v>
      </c>
      <c r="H1720" s="29">
        <f>[1]Source!AV1482</f>
        <v>1.087</v>
      </c>
      <c r="I1720" s="30">
        <f>[1]Source!Q1481</f>
        <v>0.41</v>
      </c>
      <c r="J1720" s="29">
        <f>IF([1]Source!BB1482&lt;&gt; 0, [1]Source!BB1482, 1)</f>
        <v>9.65</v>
      </c>
      <c r="K1720" s="30">
        <f>[1]Source!Q1482</f>
        <v>3.96</v>
      </c>
    </row>
    <row r="1721" spans="1:29" ht="14.4" hidden="1" x14ac:dyDescent="0.25">
      <c r="A1721" s="27"/>
      <c r="B1721" s="27"/>
      <c r="C1721" s="27" t="s">
        <v>41</v>
      </c>
      <c r="D1721" s="28"/>
      <c r="E1721" s="29"/>
      <c r="F1721" s="30">
        <f>[1]Source!AL1481</f>
        <v>14.94</v>
      </c>
      <c r="G1721" s="31"/>
      <c r="H1721" s="29">
        <f>[1]Source!AW1482</f>
        <v>1</v>
      </c>
      <c r="I1721" s="30">
        <f>[1]Source!P1481</f>
        <v>1</v>
      </c>
      <c r="J1721" s="29">
        <f>IF([1]Source!BC1482&lt;&gt; 0, [1]Source!BC1482, 1)</f>
        <v>3.95</v>
      </c>
      <c r="K1721" s="30">
        <f>[1]Source!P1482</f>
        <v>3.95</v>
      </c>
    </row>
    <row r="1722" spans="1:29" ht="55.2" hidden="1" x14ac:dyDescent="0.25">
      <c r="A1722" s="27" t="s">
        <v>393</v>
      </c>
      <c r="B1722" s="27" t="str">
        <f>[1]Source!F1483</f>
        <v>1.7-3-112</v>
      </c>
      <c r="C1722" s="27" t="s">
        <v>371</v>
      </c>
      <c r="D1722" s="28" t="str">
        <f>[1]Source!H1483</f>
        <v>шт.</v>
      </c>
      <c r="E1722" s="29">
        <f>[1]Source!I1483</f>
        <v>0.67</v>
      </c>
      <c r="F1722" s="30">
        <f>[1]Source!AK1483</f>
        <v>15.25</v>
      </c>
      <c r="G1722" s="43" t="s">
        <v>54</v>
      </c>
      <c r="H1722" s="29">
        <f>[1]Source!AW1484</f>
        <v>1</v>
      </c>
      <c r="I1722" s="30">
        <f>[1]Source!O1483</f>
        <v>10.220000000000001</v>
      </c>
      <c r="J1722" s="29">
        <f>IF([1]Source!BC1484&lt;&gt; 0, [1]Source!BC1484, 1)</f>
        <v>2.37</v>
      </c>
      <c r="K1722" s="30">
        <f>[1]Source!O1484</f>
        <v>24.22</v>
      </c>
      <c r="Q1722">
        <f>[1]Source!X1483</f>
        <v>0</v>
      </c>
      <c r="R1722">
        <f>[1]Source!X1484</f>
        <v>0</v>
      </c>
      <c r="S1722">
        <f>[1]Source!Y1483</f>
        <v>0</v>
      </c>
      <c r="T1722">
        <f>[1]Source!Y1484</f>
        <v>0</v>
      </c>
      <c r="U1722">
        <f>ROUND((175/100)*ROUND([1]Source!R1483, 2), 2)</f>
        <v>0</v>
      </c>
      <c r="V1722">
        <f>ROUND((0/100)*ROUND([1]Source!R1484, 2), 2)</f>
        <v>0</v>
      </c>
      <c r="AC1722">
        <v>3</v>
      </c>
    </row>
    <row r="1723" spans="1:29" ht="14.4" hidden="1" x14ac:dyDescent="0.25">
      <c r="A1723" s="27"/>
      <c r="B1723" s="27"/>
      <c r="C1723" s="27" t="s">
        <v>42</v>
      </c>
      <c r="D1723" s="28" t="s">
        <v>43</v>
      </c>
      <c r="E1723" s="29">
        <f>[1]Source!BZ1482</f>
        <v>84</v>
      </c>
      <c r="F1723" s="30"/>
      <c r="G1723" s="31"/>
      <c r="H1723" s="29"/>
      <c r="I1723" s="30">
        <f>SUM(Q1717:Q1722)</f>
        <v>36.15</v>
      </c>
      <c r="J1723" s="29">
        <f>[1]Source!AT1482</f>
        <v>84</v>
      </c>
      <c r="K1723" s="30">
        <f>SUM(R1717:R1722)</f>
        <v>2036.78</v>
      </c>
    </row>
    <row r="1724" spans="1:29" ht="14.4" hidden="1" x14ac:dyDescent="0.25">
      <c r="A1724" s="27"/>
      <c r="B1724" s="27"/>
      <c r="C1724" s="27" t="s">
        <v>44</v>
      </c>
      <c r="D1724" s="28" t="s">
        <v>43</v>
      </c>
      <c r="E1724" s="29">
        <f>[1]Source!CA1482</f>
        <v>53</v>
      </c>
      <c r="F1724" s="30"/>
      <c r="G1724" s="31"/>
      <c r="H1724" s="29"/>
      <c r="I1724" s="30">
        <f>SUM(S1717:S1723)</f>
        <v>22.81</v>
      </c>
      <c r="J1724" s="29">
        <f>[1]Source!AU1482</f>
        <v>53</v>
      </c>
      <c r="K1724" s="30">
        <f>SUM(T1717:T1723)</f>
        <v>1285.1099999999999</v>
      </c>
    </row>
    <row r="1725" spans="1:29" ht="14.4" hidden="1" x14ac:dyDescent="0.25">
      <c r="A1725" s="34"/>
      <c r="B1725" s="34"/>
      <c r="C1725" s="34" t="s">
        <v>45</v>
      </c>
      <c r="D1725" s="35" t="s">
        <v>46</v>
      </c>
      <c r="E1725" s="36">
        <f>[1]Source!AQ1481</f>
        <v>34.97</v>
      </c>
      <c r="F1725" s="37"/>
      <c r="G1725" s="38" t="s">
        <v>37</v>
      </c>
      <c r="H1725" s="36">
        <f>[1]Source!AV1482</f>
        <v>1.087</v>
      </c>
      <c r="I1725" s="37">
        <f>[1]Source!U1481</f>
        <v>3.5146255793999996</v>
      </c>
      <c r="J1725" s="36"/>
      <c r="K1725" s="37"/>
    </row>
    <row r="1726" spans="1:29" ht="13.8" hidden="1" x14ac:dyDescent="0.25">
      <c r="C1726" s="39" t="s">
        <v>47</v>
      </c>
      <c r="H1726" s="40">
        <f>I1719+I1720+I1721+I1723+I1724+SUM(I1722:I1722)-SUMIF(AC1722:AC1722, 5, I1722:I1722)-SUMIF(AC1722:AC1722, 6, I1722:I1722)</f>
        <v>113.62</v>
      </c>
      <c r="I1726" s="40"/>
      <c r="J1726" s="40">
        <f>K1719+K1720+K1721+K1723+K1724+SUM(K1722:K1722)-SUMIF(AC1722:AC1722, 5, K1722:K1722)-SUMIF(AC1722:AC1722, 6, K1722:K1722)</f>
        <v>5778.7599999999993</v>
      </c>
      <c r="K1726" s="40"/>
    </row>
    <row r="1727" spans="1:29" ht="13.8" hidden="1" x14ac:dyDescent="0.25">
      <c r="C1727" s="39" t="s">
        <v>48</v>
      </c>
      <c r="H1727" s="41">
        <f>SUMIF(AC1722:AC1722, 5, I1722:I1722)+SUMIF(AC1722:AC1722, 6, I1722:I1722)</f>
        <v>0</v>
      </c>
      <c r="I1727" s="41"/>
      <c r="J1727" s="41">
        <f>SUMIF(AC1722:AC1722, 5, K1722:K1722)+SUMIF(AC1722:AC1722, 6, K1722:K1722)</f>
        <v>0</v>
      </c>
      <c r="K1727" s="41"/>
    </row>
    <row r="1728" spans="1:29" ht="13.8" hidden="1" x14ac:dyDescent="0.25">
      <c r="C1728" s="39" t="s">
        <v>49</v>
      </c>
      <c r="H1728" s="41">
        <f>I1719+I1720+I1721+I1723+I1724+SUM(I1722:I1722)</f>
        <v>113.62</v>
      </c>
      <c r="I1728" s="41"/>
      <c r="J1728" s="41">
        <f>K1719+K1720+K1721+K1723+K1724+SUM(K1722:K1722)</f>
        <v>5778.7599999999993</v>
      </c>
      <c r="K1728" s="41"/>
      <c r="O1728" s="42">
        <f>I1719+I1720+I1721+I1723+I1724+SUM(I1722:I1722)</f>
        <v>113.62</v>
      </c>
      <c r="P1728" s="42">
        <f>K1719+K1720+K1721+K1723+K1724+SUM(K1722:K1722)</f>
        <v>5778.7599999999993</v>
      </c>
    </row>
    <row r="1729" spans="1:43" hidden="1" x14ac:dyDescent="0.25"/>
    <row r="1730" spans="1:43" ht="96" x14ac:dyDescent="0.25">
      <c r="A1730" s="46">
        <v>187</v>
      </c>
      <c r="B1730" s="46" t="str">
        <f>[1]Source!F1485</f>
        <v>КА 124</v>
      </c>
      <c r="C1730" s="46" t="s">
        <v>394</v>
      </c>
      <c r="D1730" s="47" t="str">
        <f>[1]Source!H1485</f>
        <v>ШТ</v>
      </c>
      <c r="E1730" s="48">
        <f>[1]Source!I1485</f>
        <v>2</v>
      </c>
      <c r="F1730" s="37">
        <f>[1]Source!AL1485</f>
        <v>953.83</v>
      </c>
      <c r="G1730" s="38"/>
      <c r="H1730" s="36">
        <f>[1]Source!AW1486</f>
        <v>1</v>
      </c>
      <c r="I1730" s="37">
        <f>[1]Source!P1485</f>
        <v>1907.66</v>
      </c>
      <c r="J1730" s="36">
        <f>IF([1]Source!BC1486&lt;&gt; 0, [1]Source!BC1486, 1)</f>
        <v>9.84</v>
      </c>
      <c r="K1730" s="49">
        <f>[1]Source!P1486</f>
        <v>18771.37</v>
      </c>
      <c r="L1730">
        <v>11226</v>
      </c>
      <c r="M1730" s="50">
        <f>L1730*E1730</f>
        <v>22452</v>
      </c>
      <c r="N1730" s="59" t="s">
        <v>180</v>
      </c>
      <c r="Q1730">
        <f>[1]Source!X1485</f>
        <v>0</v>
      </c>
      <c r="R1730">
        <f>[1]Source!X1486</f>
        <v>0</v>
      </c>
      <c r="S1730">
        <f>[1]Source!Y1485</f>
        <v>0</v>
      </c>
      <c r="T1730">
        <f>[1]Source!Y1486</f>
        <v>0</v>
      </c>
      <c r="U1730">
        <f>ROUND((175/100)*ROUND([1]Source!R1485, 2), 2)</f>
        <v>0</v>
      </c>
      <c r="V1730">
        <f>ROUND((0/100)*ROUND([1]Source!R1486, 2), 2)</f>
        <v>0</v>
      </c>
      <c r="AC1730">
        <v>3</v>
      </c>
    </row>
    <row r="1731" spans="1:43" ht="13.8" hidden="1" x14ac:dyDescent="0.25">
      <c r="C1731" s="39" t="s">
        <v>49</v>
      </c>
      <c r="H1731" s="40">
        <f>I1730+0</f>
        <v>1907.66</v>
      </c>
      <c r="I1731" s="40"/>
      <c r="J1731" s="40">
        <f>K1730+0</f>
        <v>18771.37</v>
      </c>
      <c r="K1731" s="40"/>
      <c r="O1731" s="42">
        <f>I1730+0</f>
        <v>1907.66</v>
      </c>
      <c r="P1731" s="42">
        <f>K1730+0</f>
        <v>18771.37</v>
      </c>
    </row>
    <row r="1732" spans="1:43" hidden="1" x14ac:dyDescent="0.25"/>
    <row r="1733" spans="1:43" ht="109.2" x14ac:dyDescent="0.25">
      <c r="A1733" s="46">
        <v>188</v>
      </c>
      <c r="B1733" s="46" t="str">
        <f>[1]Source!F1487</f>
        <v>КА 125</v>
      </c>
      <c r="C1733" s="46" t="s">
        <v>395</v>
      </c>
      <c r="D1733" s="47" t="str">
        <f>[1]Source!H1487</f>
        <v>ШТ</v>
      </c>
      <c r="E1733" s="48">
        <f>[1]Source!I1487</f>
        <v>2</v>
      </c>
      <c r="F1733" s="37">
        <f>[1]Source!AL1487</f>
        <v>449.46</v>
      </c>
      <c r="G1733" s="38"/>
      <c r="H1733" s="36">
        <f>[1]Source!AW1488</f>
        <v>1</v>
      </c>
      <c r="I1733" s="37">
        <f>[1]Source!P1487</f>
        <v>898.92</v>
      </c>
      <c r="J1733" s="36">
        <f>IF([1]Source!BC1488&lt;&gt; 0, [1]Source!BC1488, 1)</f>
        <v>9.84</v>
      </c>
      <c r="K1733" s="49">
        <f>[1]Source!P1488</f>
        <v>8845.3700000000008</v>
      </c>
      <c r="L1733">
        <v>5289.96</v>
      </c>
      <c r="M1733" s="50">
        <f>L1733*E1733</f>
        <v>10579.92</v>
      </c>
      <c r="N1733" s="59" t="s">
        <v>180</v>
      </c>
      <c r="Q1733">
        <f>[1]Source!X1487</f>
        <v>0</v>
      </c>
      <c r="R1733">
        <f>[1]Source!X1488</f>
        <v>0</v>
      </c>
      <c r="S1733">
        <f>[1]Source!Y1487</f>
        <v>0</v>
      </c>
      <c r="T1733">
        <f>[1]Source!Y1488</f>
        <v>0</v>
      </c>
      <c r="U1733">
        <f>ROUND((175/100)*ROUND([1]Source!R1487, 2), 2)</f>
        <v>0</v>
      </c>
      <c r="V1733">
        <f>ROUND((0/100)*ROUND([1]Source!R1488, 2), 2)</f>
        <v>0</v>
      </c>
      <c r="AC1733">
        <v>3</v>
      </c>
    </row>
    <row r="1734" spans="1:43" ht="13.8" hidden="1" x14ac:dyDescent="0.25">
      <c r="C1734" s="39" t="s">
        <v>49</v>
      </c>
      <c r="H1734" s="40">
        <f>I1733+0</f>
        <v>898.92</v>
      </c>
      <c r="I1734" s="40"/>
      <c r="J1734" s="40">
        <f>K1733+0</f>
        <v>8845.3700000000008</v>
      </c>
      <c r="K1734" s="40"/>
      <c r="O1734" s="42">
        <f>I1733+0</f>
        <v>898.92</v>
      </c>
      <c r="P1734" s="42">
        <f>K1733+0</f>
        <v>8845.3700000000008</v>
      </c>
    </row>
    <row r="1735" spans="1:43" hidden="1" x14ac:dyDescent="0.25"/>
    <row r="1736" spans="1:43" ht="109.2" x14ac:dyDescent="0.25">
      <c r="A1736" s="46">
        <v>189</v>
      </c>
      <c r="B1736" s="46" t="str">
        <f>[1]Source!F1489</f>
        <v>КА 126</v>
      </c>
      <c r="C1736" s="46" t="s">
        <v>396</v>
      </c>
      <c r="D1736" s="47" t="str">
        <f>[1]Source!H1489</f>
        <v>ШТ</v>
      </c>
      <c r="E1736" s="48">
        <f>[1]Source!I1489</f>
        <v>1</v>
      </c>
      <c r="F1736" s="37">
        <f>[1]Source!AL1489</f>
        <v>2430.94</v>
      </c>
      <c r="G1736" s="38"/>
      <c r="H1736" s="36">
        <f>[1]Source!AW1490</f>
        <v>1</v>
      </c>
      <c r="I1736" s="37">
        <f>[1]Source!P1489</f>
        <v>2430.94</v>
      </c>
      <c r="J1736" s="36">
        <f>IF([1]Source!BC1490&lt;&gt; 0, [1]Source!BC1490, 1)</f>
        <v>9.84</v>
      </c>
      <c r="K1736" s="49">
        <f>[1]Source!P1490</f>
        <v>23920.45</v>
      </c>
      <c r="L1736">
        <v>28610.69</v>
      </c>
      <c r="M1736" s="50">
        <f>L1736*E1736</f>
        <v>28610.69</v>
      </c>
      <c r="N1736" s="59" t="s">
        <v>180</v>
      </c>
      <c r="Q1736">
        <f>[1]Source!X1489</f>
        <v>0</v>
      </c>
      <c r="R1736">
        <f>[1]Source!X1490</f>
        <v>0</v>
      </c>
      <c r="S1736">
        <f>[1]Source!Y1489</f>
        <v>0</v>
      </c>
      <c r="T1736">
        <f>[1]Source!Y1490</f>
        <v>0</v>
      </c>
      <c r="U1736">
        <f>ROUND((175/100)*ROUND([1]Source!R1489, 2), 2)</f>
        <v>0</v>
      </c>
      <c r="V1736">
        <f>ROUND((0/100)*ROUND([1]Source!R1490, 2), 2)</f>
        <v>0</v>
      </c>
      <c r="AC1736">
        <v>3</v>
      </c>
    </row>
    <row r="1737" spans="1:43" ht="13.8" hidden="1" x14ac:dyDescent="0.25">
      <c r="C1737" s="39" t="s">
        <v>49</v>
      </c>
      <c r="H1737" s="40">
        <f>I1736+0</f>
        <v>2430.94</v>
      </c>
      <c r="I1737" s="40"/>
      <c r="J1737" s="40">
        <f>K1736+0</f>
        <v>23920.45</v>
      </c>
      <c r="K1737" s="40"/>
      <c r="O1737" s="42">
        <f>I1736+0</f>
        <v>2430.94</v>
      </c>
      <c r="P1737" s="42">
        <f>K1736+0</f>
        <v>23920.45</v>
      </c>
    </row>
    <row r="1738" spans="1:43" hidden="1" x14ac:dyDescent="0.25"/>
    <row r="1739" spans="1:43" ht="109.2" x14ac:dyDescent="0.25">
      <c r="A1739" s="46">
        <v>190</v>
      </c>
      <c r="B1739" s="46" t="str">
        <f>[1]Source!F1491</f>
        <v>КА 127</v>
      </c>
      <c r="C1739" s="46" t="s">
        <v>397</v>
      </c>
      <c r="D1739" s="47" t="str">
        <f>[1]Source!H1491</f>
        <v>ШТ</v>
      </c>
      <c r="E1739" s="48">
        <f>[1]Source!I1491</f>
        <v>2</v>
      </c>
      <c r="F1739" s="37">
        <f>[1]Source!AL1491</f>
        <v>521.53</v>
      </c>
      <c r="G1739" s="38"/>
      <c r="H1739" s="36">
        <f>[1]Source!AW1492</f>
        <v>1</v>
      </c>
      <c r="I1739" s="37">
        <f>[1]Source!P1491</f>
        <v>1043.06</v>
      </c>
      <c r="J1739" s="36">
        <f>IF([1]Source!BC1492&lt;&gt; 0, [1]Source!BC1492, 1)</f>
        <v>9.84</v>
      </c>
      <c r="K1739" s="49">
        <f>[1]Source!P1492</f>
        <v>10263.709999999999</v>
      </c>
      <c r="L1739">
        <v>6138.03</v>
      </c>
      <c r="M1739" s="50">
        <f>L1739*E1739</f>
        <v>12276.06</v>
      </c>
      <c r="N1739" s="59" t="s">
        <v>180</v>
      </c>
      <c r="Q1739">
        <f>[1]Source!X1491</f>
        <v>0</v>
      </c>
      <c r="R1739">
        <f>[1]Source!X1492</f>
        <v>0</v>
      </c>
      <c r="S1739">
        <f>[1]Source!Y1491</f>
        <v>0</v>
      </c>
      <c r="T1739">
        <f>[1]Source!Y1492</f>
        <v>0</v>
      </c>
      <c r="U1739">
        <f>ROUND((175/100)*ROUND([1]Source!R1491, 2), 2)</f>
        <v>0</v>
      </c>
      <c r="V1739">
        <f>ROUND((0/100)*ROUND([1]Source!R1492, 2), 2)</f>
        <v>0</v>
      </c>
      <c r="AC1739">
        <v>3</v>
      </c>
    </row>
    <row r="1740" spans="1:43" ht="13.8" hidden="1" x14ac:dyDescent="0.25">
      <c r="C1740" s="39" t="s">
        <v>49</v>
      </c>
      <c r="H1740" s="40">
        <f>I1739+0</f>
        <v>1043.06</v>
      </c>
      <c r="I1740" s="40"/>
      <c r="J1740" s="40">
        <f>K1739+0</f>
        <v>10263.709999999999</v>
      </c>
      <c r="K1740" s="40"/>
      <c r="O1740" s="42">
        <f>I1739+0</f>
        <v>1043.06</v>
      </c>
      <c r="P1740" s="42">
        <f>K1739+0</f>
        <v>10263.709999999999</v>
      </c>
    </row>
    <row r="1741" spans="1:43" hidden="1" x14ac:dyDescent="0.25"/>
    <row r="1742" spans="1:43" hidden="1" x14ac:dyDescent="0.25"/>
    <row r="1743" spans="1:43" ht="13.8" hidden="1" x14ac:dyDescent="0.25">
      <c r="A1743" s="44" t="str">
        <f>CONCATENATE("Итого по подразделу: ",IF([1]Source!G1494&lt;&gt;"Новый подраздел", [1]Source!G1494, ""))</f>
        <v>Итого по подразделу: Монтаж наружных витражей из алюминиевого профиля</v>
      </c>
      <c r="B1743" s="44"/>
      <c r="C1743" s="44"/>
      <c r="D1743" s="44"/>
      <c r="E1743" s="44"/>
      <c r="F1743" s="44"/>
      <c r="G1743" s="44"/>
      <c r="H1743" s="41">
        <f>SUM(O1614:O1742)</f>
        <v>907862.78000000014</v>
      </c>
      <c r="I1743" s="45"/>
      <c r="J1743" s="41">
        <f>SUM(P1614:P1742)</f>
        <v>9175981.3399999999</v>
      </c>
      <c r="K1743" s="45"/>
      <c r="AQ1743" s="52" t="str">
        <f>CONCATENATE("Итого по подразделу: ",IF([1]Source!G1494&lt;&gt;"Новый подраздел", [1]Source!G1494, ""))</f>
        <v>Итого по подразделу: Монтаж наружных витражей из алюминиевого профиля</v>
      </c>
    </row>
    <row r="1744" spans="1:43" hidden="1" x14ac:dyDescent="0.25">
      <c r="A1744" t="s">
        <v>55</v>
      </c>
      <c r="I1744">
        <f>SUM(W1614:W1743)</f>
        <v>0</v>
      </c>
      <c r="J1744">
        <f>SUM(X1614:X1743)</f>
        <v>0</v>
      </c>
    </row>
    <row r="1745" spans="1:29" hidden="1" x14ac:dyDescent="0.25">
      <c r="A1745" t="s">
        <v>56</v>
      </c>
      <c r="I1745">
        <f>SUM(Y1614:Y1744)</f>
        <v>0</v>
      </c>
      <c r="J1745">
        <f>SUM(Z1614:Z1744)</f>
        <v>0</v>
      </c>
    </row>
    <row r="1746" spans="1:29" hidden="1" x14ac:dyDescent="0.25"/>
    <row r="1747" spans="1:29" ht="13.8" hidden="1" x14ac:dyDescent="0.25">
      <c r="A1747" s="44" t="str">
        <f>CONCATENATE("Итого по разделу: ",IF([1]Source!G1524&lt;&gt;"Новый раздел", [1]Source!G1524, ""))</f>
        <v>Итого по разделу: Окна</v>
      </c>
      <c r="B1747" s="44"/>
      <c r="C1747" s="44"/>
      <c r="D1747" s="44"/>
      <c r="E1747" s="44"/>
      <c r="F1747" s="44"/>
      <c r="G1747" s="44"/>
      <c r="H1747" s="41">
        <f>SUM(O1325:O1746)</f>
        <v>12674676.85</v>
      </c>
      <c r="I1747" s="45"/>
      <c r="J1747" s="41">
        <f>SUM(P1325:P1746)</f>
        <v>128664140.86000004</v>
      </c>
      <c r="K1747" s="45"/>
    </row>
    <row r="1748" spans="1:29" hidden="1" x14ac:dyDescent="0.25">
      <c r="A1748" t="s">
        <v>55</v>
      </c>
      <c r="I1748">
        <f>SUM(W1325:W1747)</f>
        <v>0</v>
      </c>
      <c r="J1748">
        <f>SUM(X1325:X1747)</f>
        <v>0</v>
      </c>
    </row>
    <row r="1749" spans="1:29" hidden="1" x14ac:dyDescent="0.25">
      <c r="A1749" t="s">
        <v>56</v>
      </c>
      <c r="I1749">
        <f>SUM(Y1325:Y1748)</f>
        <v>0</v>
      </c>
      <c r="J1749">
        <f>SUM(Z1325:Z1748)</f>
        <v>0</v>
      </c>
    </row>
    <row r="1750" spans="1:29" hidden="1" x14ac:dyDescent="0.25"/>
    <row r="1751" spans="1:29" ht="16.8" hidden="1" x14ac:dyDescent="0.25">
      <c r="A1751" s="11" t="str">
        <f>CONCATENATE("Раздел: ",IF([1]Source!G1554&lt;&gt;"Новый раздел", [1]Source!G1554, ""))</f>
        <v>Раздел: Наружные двери</v>
      </c>
      <c r="B1751" s="11"/>
      <c r="C1751" s="11"/>
      <c r="D1751" s="11"/>
      <c r="E1751" s="11"/>
      <c r="F1751" s="11"/>
      <c r="G1751" s="11"/>
      <c r="H1751" s="11"/>
      <c r="I1751" s="11"/>
      <c r="J1751" s="11"/>
      <c r="K1751" s="11"/>
    </row>
    <row r="1752" spans="1:29" hidden="1" x14ac:dyDescent="0.25"/>
    <row r="1753" spans="1:29" ht="16.8" hidden="1" x14ac:dyDescent="0.25">
      <c r="A1753" s="11" t="str">
        <f>CONCATENATE("Подраздел: ",IF([1]Source!G1558&lt;&gt;"Новый подраздел", [1]Source!G1558, ""))</f>
        <v>Подраздел: Демонтажные работы</v>
      </c>
      <c r="B1753" s="11"/>
      <c r="C1753" s="11"/>
      <c r="D1753" s="11"/>
      <c r="E1753" s="11"/>
      <c r="F1753" s="11"/>
      <c r="G1753" s="11"/>
      <c r="H1753" s="11"/>
      <c r="I1753" s="11"/>
      <c r="J1753" s="11"/>
      <c r="K1753" s="11"/>
    </row>
    <row r="1754" spans="1:29" ht="41.4" hidden="1" x14ac:dyDescent="0.25">
      <c r="A1754" s="27">
        <v>191</v>
      </c>
      <c r="B1754" s="27" t="str">
        <f>[1]Source!F1562</f>
        <v>3.9-74-1</v>
      </c>
      <c r="C1754" s="27" t="s">
        <v>398</v>
      </c>
      <c r="D1754" s="28" t="str">
        <f>[1]Source!H1562</f>
        <v>10 шт.</v>
      </c>
      <c r="E1754" s="29">
        <f>[1]Source!I1562</f>
        <v>2.1</v>
      </c>
      <c r="F1754" s="30"/>
      <c r="G1754" s="31"/>
      <c r="H1754" s="29"/>
      <c r="I1754" s="30"/>
      <c r="J1754" s="29"/>
      <c r="K1754" s="30"/>
      <c r="Q1754">
        <f>[1]Source!X1562</f>
        <v>307.94</v>
      </c>
      <c r="R1754">
        <f>[1]Source!X1563</f>
        <v>17352.169999999998</v>
      </c>
      <c r="S1754">
        <f>[1]Source!Y1562</f>
        <v>194.29</v>
      </c>
      <c r="T1754">
        <f>[1]Source!Y1563</f>
        <v>10948.4</v>
      </c>
      <c r="U1754">
        <f>ROUND((175/100)*ROUND([1]Source!R1562, 2), 2)</f>
        <v>49.35</v>
      </c>
      <c r="V1754">
        <f>ROUND((0/100)*ROUND([1]Source!R1563, 2), 2)</f>
        <v>0</v>
      </c>
      <c r="AC1754">
        <v>0</v>
      </c>
    </row>
    <row r="1755" spans="1:29" hidden="1" x14ac:dyDescent="0.25">
      <c r="C1755" s="32" t="str">
        <f>"Объем: "&amp;[1]Source!I1562&amp;"=21/"&amp;"10"</f>
        <v>Объем: 2,1=21/10</v>
      </c>
    </row>
    <row r="1756" spans="1:29" ht="14.4" hidden="1" x14ac:dyDescent="0.25">
      <c r="A1756" s="27"/>
      <c r="B1756" s="27"/>
      <c r="C1756" s="27" t="s">
        <v>36</v>
      </c>
      <c r="D1756" s="28"/>
      <c r="E1756" s="29"/>
      <c r="F1756" s="30">
        <f>[1]Source!AO1562</f>
        <v>205.89</v>
      </c>
      <c r="G1756" s="31" t="s">
        <v>102</v>
      </c>
      <c r="H1756" s="29">
        <f>[1]Source!AV1563</f>
        <v>1.087</v>
      </c>
      <c r="I1756" s="30">
        <f>[1]Source!S1562</f>
        <v>338.39</v>
      </c>
      <c r="J1756" s="29">
        <f>IF([1]Source!BA1563&lt;&gt; 0, [1]Source!BA1563, 1)</f>
        <v>56.35</v>
      </c>
      <c r="K1756" s="30">
        <f>[1]Source!S1563</f>
        <v>19068.28</v>
      </c>
    </row>
    <row r="1757" spans="1:29" ht="14.4" hidden="1" x14ac:dyDescent="0.25">
      <c r="A1757" s="27"/>
      <c r="B1757" s="27"/>
      <c r="C1757" s="27" t="s">
        <v>38</v>
      </c>
      <c r="D1757" s="28"/>
      <c r="E1757" s="29"/>
      <c r="F1757" s="30">
        <f>[1]Source!AM1562</f>
        <v>113.73</v>
      </c>
      <c r="G1757" s="31" t="s">
        <v>102</v>
      </c>
      <c r="H1757" s="29">
        <f>[1]Source!AV1563</f>
        <v>1.087</v>
      </c>
      <c r="I1757" s="30">
        <f>[1]Source!Q1562</f>
        <v>186.92</v>
      </c>
      <c r="J1757" s="29">
        <f>IF([1]Source!BB1563&lt;&gt; 0, [1]Source!BB1563, 1)</f>
        <v>17.02</v>
      </c>
      <c r="K1757" s="30">
        <f>[1]Source!Q1563</f>
        <v>3181.38</v>
      </c>
    </row>
    <row r="1758" spans="1:29" ht="14.4" hidden="1" x14ac:dyDescent="0.25">
      <c r="A1758" s="27"/>
      <c r="B1758" s="27"/>
      <c r="C1758" s="27" t="s">
        <v>40</v>
      </c>
      <c r="D1758" s="28"/>
      <c r="E1758" s="29"/>
      <c r="F1758" s="30">
        <f>[1]Source!AN1562</f>
        <v>17.16</v>
      </c>
      <c r="G1758" s="31" t="s">
        <v>102</v>
      </c>
      <c r="H1758" s="29">
        <f>[1]Source!AV1563</f>
        <v>1.087</v>
      </c>
      <c r="I1758" s="33">
        <f>[1]Source!R1562</f>
        <v>28.2</v>
      </c>
      <c r="J1758" s="29">
        <f>IF([1]Source!BS1563&lt;&gt; 0, [1]Source!BS1563, 1)</f>
        <v>56.35</v>
      </c>
      <c r="K1758" s="33">
        <f>[1]Source!R1563</f>
        <v>1589.07</v>
      </c>
    </row>
    <row r="1759" spans="1:29" ht="14.4" hidden="1" x14ac:dyDescent="0.25">
      <c r="A1759" s="27"/>
      <c r="B1759" s="27"/>
      <c r="C1759" s="27" t="s">
        <v>41</v>
      </c>
      <c r="D1759" s="28"/>
      <c r="E1759" s="29"/>
      <c r="F1759" s="30">
        <f>[1]Source!AL1562</f>
        <v>487.88</v>
      </c>
      <c r="G1759" s="31" t="s">
        <v>64</v>
      </c>
      <c r="H1759" s="29">
        <f>[1]Source!AW1563</f>
        <v>1</v>
      </c>
      <c r="I1759" s="30">
        <f>[1]Source!P1562</f>
        <v>614.73</v>
      </c>
      <c r="J1759" s="29">
        <f>IF([1]Source!BC1563&lt;&gt; 0, [1]Source!BC1563, 1)</f>
        <v>6.4</v>
      </c>
      <c r="K1759" s="30">
        <f>[1]Source!P1563</f>
        <v>3934.27</v>
      </c>
    </row>
    <row r="1760" spans="1:29" ht="14.4" hidden="1" x14ac:dyDescent="0.25">
      <c r="A1760" s="27"/>
      <c r="B1760" s="27"/>
      <c r="C1760" s="27" t="s">
        <v>42</v>
      </c>
      <c r="D1760" s="28" t="s">
        <v>43</v>
      </c>
      <c r="E1760" s="29">
        <f>[1]Source!BZ1563</f>
        <v>84</v>
      </c>
      <c r="F1760" s="30"/>
      <c r="G1760" s="31"/>
      <c r="H1760" s="29"/>
      <c r="I1760" s="30">
        <f>SUM(Q1754:Q1759)</f>
        <v>307.94</v>
      </c>
      <c r="J1760" s="29">
        <f>[1]Source!AT1563</f>
        <v>84</v>
      </c>
      <c r="K1760" s="30">
        <f>SUM(R1754:R1759)</f>
        <v>17352.169999999998</v>
      </c>
    </row>
    <row r="1761" spans="1:29" ht="14.4" hidden="1" x14ac:dyDescent="0.25">
      <c r="A1761" s="27"/>
      <c r="B1761" s="27"/>
      <c r="C1761" s="27" t="s">
        <v>44</v>
      </c>
      <c r="D1761" s="28" t="s">
        <v>43</v>
      </c>
      <c r="E1761" s="29">
        <f>[1]Source!CA1563</f>
        <v>53</v>
      </c>
      <c r="F1761" s="30"/>
      <c r="G1761" s="31"/>
      <c r="H1761" s="29"/>
      <c r="I1761" s="30">
        <f>SUM(S1754:S1760)</f>
        <v>194.29</v>
      </c>
      <c r="J1761" s="29">
        <f>[1]Source!AU1563</f>
        <v>53</v>
      </c>
      <c r="K1761" s="30">
        <f>SUM(T1754:T1760)</f>
        <v>10948.4</v>
      </c>
    </row>
    <row r="1762" spans="1:29" ht="14.4" hidden="1" x14ac:dyDescent="0.25">
      <c r="A1762" s="34"/>
      <c r="B1762" s="34"/>
      <c r="C1762" s="34" t="s">
        <v>45</v>
      </c>
      <c r="D1762" s="35" t="s">
        <v>46</v>
      </c>
      <c r="E1762" s="36">
        <f>[1]Source!AQ1562</f>
        <v>18.38</v>
      </c>
      <c r="F1762" s="37"/>
      <c r="G1762" s="38" t="s">
        <v>102</v>
      </c>
      <c r="H1762" s="36">
        <f>[1]Source!AV1563</f>
        <v>1.087</v>
      </c>
      <c r="I1762" s="37">
        <f>[1]Source!U1562</f>
        <v>30.208338719999993</v>
      </c>
      <c r="J1762" s="36"/>
      <c r="K1762" s="37"/>
    </row>
    <row r="1763" spans="1:29" ht="13.8" hidden="1" x14ac:dyDescent="0.25">
      <c r="C1763" s="39" t="s">
        <v>47</v>
      </c>
      <c r="H1763" s="40">
        <f>I1756+I1757+I1759+I1760+I1761+0-0-0</f>
        <v>1642.27</v>
      </c>
      <c r="I1763" s="40"/>
      <c r="J1763" s="40">
        <f>K1756+K1757+K1759+K1760+K1761+0-0-0</f>
        <v>54484.5</v>
      </c>
      <c r="K1763" s="40"/>
    </row>
    <row r="1764" spans="1:29" ht="13.8" hidden="1" x14ac:dyDescent="0.25">
      <c r="C1764" s="39" t="s">
        <v>48</v>
      </c>
      <c r="H1764" s="41">
        <f>0+0</f>
        <v>0</v>
      </c>
      <c r="I1764" s="41"/>
      <c r="J1764" s="41">
        <f>0+0</f>
        <v>0</v>
      </c>
      <c r="K1764" s="41"/>
    </row>
    <row r="1765" spans="1:29" ht="13.8" hidden="1" x14ac:dyDescent="0.25">
      <c r="C1765" s="39" t="s">
        <v>49</v>
      </c>
      <c r="H1765" s="41">
        <f>I1756+I1757+I1759+I1760+I1761+0</f>
        <v>1642.27</v>
      </c>
      <c r="I1765" s="41"/>
      <c r="J1765" s="41">
        <f>K1756+K1757+K1759+K1760+K1761+0</f>
        <v>54484.5</v>
      </c>
      <c r="K1765" s="41"/>
      <c r="O1765" s="42">
        <f>I1756+I1757+I1759+I1760+I1761+0</f>
        <v>1642.27</v>
      </c>
      <c r="P1765" s="42">
        <f>K1756+K1757+K1759+K1760+K1761+0</f>
        <v>54484.5</v>
      </c>
    </row>
    <row r="1766" spans="1:29" hidden="1" x14ac:dyDescent="0.25"/>
    <row r="1767" spans="1:29" hidden="1" x14ac:dyDescent="0.25"/>
    <row r="1768" spans="1:29" ht="13.8" hidden="1" x14ac:dyDescent="0.25">
      <c r="A1768" s="44" t="str">
        <f>CONCATENATE("Итого по подразделу: ",IF([1]Source!G1565&lt;&gt;"Новый подраздел", [1]Source!G1565, ""))</f>
        <v>Итого по подразделу: Демонтажные работы</v>
      </c>
      <c r="B1768" s="44"/>
      <c r="C1768" s="44"/>
      <c r="D1768" s="44"/>
      <c r="E1768" s="44"/>
      <c r="F1768" s="44"/>
      <c r="G1768" s="44"/>
      <c r="H1768" s="41">
        <f>SUM(O1753:O1767)</f>
        <v>1642.27</v>
      </c>
      <c r="I1768" s="45"/>
      <c r="J1768" s="41">
        <f>SUM(P1753:P1767)</f>
        <v>54484.5</v>
      </c>
      <c r="K1768" s="45"/>
    </row>
    <row r="1769" spans="1:29" hidden="1" x14ac:dyDescent="0.25">
      <c r="A1769" t="s">
        <v>55</v>
      </c>
      <c r="I1769">
        <f>SUM(W1753:W1768)</f>
        <v>0</v>
      </c>
      <c r="J1769">
        <f>SUM(X1753:X1768)</f>
        <v>0</v>
      </c>
    </row>
    <row r="1770" spans="1:29" hidden="1" x14ac:dyDescent="0.25">
      <c r="A1770" t="s">
        <v>56</v>
      </c>
      <c r="I1770">
        <f>SUM(Y1753:Y1769)</f>
        <v>0</v>
      </c>
      <c r="J1770">
        <f>SUM(Z1753:Z1769)</f>
        <v>0</v>
      </c>
    </row>
    <row r="1771" spans="1:29" hidden="1" x14ac:dyDescent="0.25"/>
    <row r="1772" spans="1:29" ht="16.8" hidden="1" x14ac:dyDescent="0.25">
      <c r="A1772" s="11" t="str">
        <f>CONCATENATE("Подраздел: ",IF([1]Source!G1595&lt;&gt;"Новый подраздел", [1]Source!G1595, ""))</f>
        <v>Подраздел: Монтажные работы. Алюминиевые двери</v>
      </c>
      <c r="B1772" s="11"/>
      <c r="C1772" s="11"/>
      <c r="D1772" s="11"/>
      <c r="E1772" s="11"/>
      <c r="F1772" s="11"/>
      <c r="G1772" s="11"/>
      <c r="H1772" s="11"/>
      <c r="I1772" s="11"/>
      <c r="J1772" s="11"/>
      <c r="K1772" s="11"/>
    </row>
    <row r="1773" spans="1:29" ht="55.2" hidden="1" x14ac:dyDescent="0.25">
      <c r="A1773" s="27">
        <v>192</v>
      </c>
      <c r="B1773" s="27" t="str">
        <f>[1]Source!F1599</f>
        <v>3.9-68-1</v>
      </c>
      <c r="C1773" s="27" t="s">
        <v>399</v>
      </c>
      <c r="D1773" s="28" t="str">
        <f>[1]Source!H1599</f>
        <v>100 м2</v>
      </c>
      <c r="E1773" s="29">
        <f>[1]Source!I1599</f>
        <v>0.25700000000000001</v>
      </c>
      <c r="F1773" s="30"/>
      <c r="G1773" s="31"/>
      <c r="H1773" s="29"/>
      <c r="I1773" s="30"/>
      <c r="J1773" s="29"/>
      <c r="K1773" s="30"/>
      <c r="Q1773">
        <f>[1]Source!X1599</f>
        <v>691.17</v>
      </c>
      <c r="R1773">
        <f>[1]Source!X1600</f>
        <v>38947.360000000001</v>
      </c>
      <c r="S1773">
        <f>[1]Source!Y1599</f>
        <v>436.09</v>
      </c>
      <c r="T1773">
        <f>[1]Source!Y1600</f>
        <v>24573.93</v>
      </c>
      <c r="U1773">
        <f>ROUND((175/100)*ROUND([1]Source!R1599, 2), 2)</f>
        <v>9.56</v>
      </c>
      <c r="V1773">
        <f>ROUND((0/100)*ROUND([1]Source!R1600, 2), 2)</f>
        <v>0</v>
      </c>
      <c r="AC1773">
        <v>0</v>
      </c>
    </row>
    <row r="1774" spans="1:29" ht="39.6" hidden="1" x14ac:dyDescent="0.25">
      <c r="C1774" s="32" t="str">
        <f>"Объем: "&amp;[1]Source!I1599&amp;"=(2,3*"&amp;"2+"&amp;"2,5*"&amp;"2+"&amp;"1,8+"&amp;"1,9*"&amp;"2+"&amp;"2,6*"&amp;"2+"&amp;"2,8+"&amp;"2,5)/"&amp;"100"</f>
        <v>Объем: 0,257=(2,3*2+2,5*2+1,8+1,9*2+2,6*2+2,8+2,5)/100</v>
      </c>
    </row>
    <row r="1775" spans="1:29" ht="14.4" hidden="1" x14ac:dyDescent="0.25">
      <c r="A1775" s="27"/>
      <c r="B1775" s="27"/>
      <c r="C1775" s="27" t="s">
        <v>36</v>
      </c>
      <c r="D1775" s="28"/>
      <c r="E1775" s="29"/>
      <c r="F1775" s="30">
        <f>[1]Source!AO1599</f>
        <v>2120.17</v>
      </c>
      <c r="G1775" s="31" t="s">
        <v>37</v>
      </c>
      <c r="H1775" s="29">
        <f>[1]Source!AV1600</f>
        <v>1.087</v>
      </c>
      <c r="I1775" s="30">
        <f>[1]Source!S1599</f>
        <v>817.36</v>
      </c>
      <c r="J1775" s="29">
        <f>IF([1]Source!BA1600&lt;&gt; 0, [1]Source!BA1600, 1)</f>
        <v>56.35</v>
      </c>
      <c r="K1775" s="30">
        <f>[1]Source!S1600</f>
        <v>46058.239999999998</v>
      </c>
    </row>
    <row r="1776" spans="1:29" ht="14.4" hidden="1" x14ac:dyDescent="0.25">
      <c r="A1776" s="27"/>
      <c r="B1776" s="27"/>
      <c r="C1776" s="27" t="s">
        <v>38</v>
      </c>
      <c r="D1776" s="28"/>
      <c r="E1776" s="29"/>
      <c r="F1776" s="30">
        <f>[1]Source!AM1599</f>
        <v>118.94</v>
      </c>
      <c r="G1776" s="31" t="s">
        <v>39</v>
      </c>
      <c r="H1776" s="29">
        <f>[1]Source!AV1600</f>
        <v>1.087</v>
      </c>
      <c r="I1776" s="30">
        <f>[1]Source!Q1599</f>
        <v>49.84</v>
      </c>
      <c r="J1776" s="29">
        <f>IF([1]Source!BB1600&lt;&gt; 0, [1]Source!BB1600, 1)</f>
        <v>15.06</v>
      </c>
      <c r="K1776" s="30">
        <f>[1]Source!Q1600</f>
        <v>750.59</v>
      </c>
    </row>
    <row r="1777" spans="1:29" ht="14.4" hidden="1" x14ac:dyDescent="0.25">
      <c r="A1777" s="27"/>
      <c r="B1777" s="27"/>
      <c r="C1777" s="27" t="s">
        <v>40</v>
      </c>
      <c r="D1777" s="28"/>
      <c r="E1777" s="29"/>
      <c r="F1777" s="30">
        <f>[1]Source!AN1599</f>
        <v>13.03</v>
      </c>
      <c r="G1777" s="31" t="s">
        <v>39</v>
      </c>
      <c r="H1777" s="29">
        <f>[1]Source!AV1600</f>
        <v>1.087</v>
      </c>
      <c r="I1777" s="33">
        <f>[1]Source!R1599</f>
        <v>5.46</v>
      </c>
      <c r="J1777" s="29">
        <f>IF([1]Source!BS1600&lt;&gt; 0, [1]Source!BS1600, 1)</f>
        <v>56.35</v>
      </c>
      <c r="K1777" s="33">
        <f>[1]Source!R1600</f>
        <v>307.67</v>
      </c>
    </row>
    <row r="1778" spans="1:29" ht="14.4" hidden="1" x14ac:dyDescent="0.25">
      <c r="A1778" s="27"/>
      <c r="B1778" s="27"/>
      <c r="C1778" s="27" t="s">
        <v>41</v>
      </c>
      <c r="D1778" s="28"/>
      <c r="E1778" s="29"/>
      <c r="F1778" s="30">
        <f>[1]Source!AL1599</f>
        <v>2917.75</v>
      </c>
      <c r="G1778" s="31"/>
      <c r="H1778" s="29">
        <f>[1]Source!AW1600</f>
        <v>1</v>
      </c>
      <c r="I1778" s="30">
        <f>[1]Source!P1599</f>
        <v>749.86</v>
      </c>
      <c r="J1778" s="29">
        <f>IF([1]Source!BC1600&lt;&gt; 0, [1]Source!BC1600, 1)</f>
        <v>4.75</v>
      </c>
      <c r="K1778" s="30">
        <f>[1]Source!P1600</f>
        <v>3561.84</v>
      </c>
    </row>
    <row r="1779" spans="1:29" ht="193.2" hidden="1" x14ac:dyDescent="0.25">
      <c r="A1779" s="27" t="s">
        <v>400</v>
      </c>
      <c r="B1779" s="27" t="str">
        <f>[1]Source!F1601</f>
        <v>1.1-1-2469</v>
      </c>
      <c r="C1779" s="27" t="s">
        <v>290</v>
      </c>
      <c r="D1779" s="28" t="str">
        <f>[1]Source!H1601</f>
        <v>м</v>
      </c>
      <c r="E1779" s="29">
        <f>[1]Source!I1601</f>
        <v>65.184939999999997</v>
      </c>
      <c r="F1779" s="30">
        <f>[1]Source!AK1601</f>
        <v>14.98</v>
      </c>
      <c r="G1779" s="43" t="s">
        <v>54</v>
      </c>
      <c r="H1779" s="29">
        <f>[1]Source!AW1602</f>
        <v>1</v>
      </c>
      <c r="I1779" s="30">
        <f>[1]Source!O1601</f>
        <v>976.47</v>
      </c>
      <c r="J1779" s="29">
        <f>IF([1]Source!BC1602&lt;&gt; 0, [1]Source!BC1602, 1)</f>
        <v>1.42</v>
      </c>
      <c r="K1779" s="30">
        <f>[1]Source!O1602</f>
        <v>1386.59</v>
      </c>
      <c r="Q1779">
        <f>[1]Source!X1601</f>
        <v>0</v>
      </c>
      <c r="R1779">
        <f>[1]Source!X1602</f>
        <v>0</v>
      </c>
      <c r="S1779">
        <f>[1]Source!Y1601</f>
        <v>0</v>
      </c>
      <c r="T1779">
        <f>[1]Source!Y1602</f>
        <v>0</v>
      </c>
      <c r="U1779">
        <f>ROUND((175/100)*ROUND([1]Source!R1601, 2), 2)</f>
        <v>0</v>
      </c>
      <c r="V1779">
        <f>ROUND((0/100)*ROUND([1]Source!R1602, 2), 2)</f>
        <v>0</v>
      </c>
      <c r="AC1779">
        <v>3</v>
      </c>
    </row>
    <row r="1780" spans="1:29" ht="27.6" hidden="1" x14ac:dyDescent="0.25">
      <c r="A1780" s="27" t="s">
        <v>401</v>
      </c>
      <c r="B1780" s="27" t="str">
        <f>[1]Source!F1603</f>
        <v>1.7-3-8</v>
      </c>
      <c r="C1780" s="27" t="s">
        <v>402</v>
      </c>
      <c r="D1780" s="28" t="str">
        <f>[1]Source!H1603</f>
        <v>шт.</v>
      </c>
      <c r="E1780" s="29">
        <f>[1]Source!I1603</f>
        <v>2.2253120000000002</v>
      </c>
      <c r="F1780" s="30">
        <f>[1]Source!AK1603</f>
        <v>11.82</v>
      </c>
      <c r="G1780" s="43" t="s">
        <v>54</v>
      </c>
      <c r="H1780" s="29">
        <f>[1]Source!AW1604</f>
        <v>1</v>
      </c>
      <c r="I1780" s="30">
        <f>[1]Source!O1603</f>
        <v>26.3</v>
      </c>
      <c r="J1780" s="29">
        <f>IF([1]Source!BC1604&lt;&gt; 0, [1]Source!BC1604, 1)</f>
        <v>6.25</v>
      </c>
      <c r="K1780" s="30">
        <f>[1]Source!O1604</f>
        <v>164.38</v>
      </c>
      <c r="Q1780">
        <f>[1]Source!X1603</f>
        <v>0</v>
      </c>
      <c r="R1780">
        <f>[1]Source!X1604</f>
        <v>0</v>
      </c>
      <c r="S1780">
        <f>[1]Source!Y1603</f>
        <v>0</v>
      </c>
      <c r="T1780">
        <f>[1]Source!Y1604</f>
        <v>0</v>
      </c>
      <c r="U1780">
        <f>ROUND((175/100)*ROUND([1]Source!R1603, 2), 2)</f>
        <v>0</v>
      </c>
      <c r="V1780">
        <f>ROUND((0/100)*ROUND([1]Source!R1604, 2), 2)</f>
        <v>0</v>
      </c>
      <c r="AC1780">
        <v>3</v>
      </c>
    </row>
    <row r="1781" spans="1:29" ht="41.4" hidden="1" x14ac:dyDescent="0.25">
      <c r="A1781" s="27" t="s">
        <v>403</v>
      </c>
      <c r="B1781" s="27" t="str">
        <f>[1]Source!F1605</f>
        <v>1.1-1-2984</v>
      </c>
      <c r="C1781" s="27" t="s">
        <v>404</v>
      </c>
      <c r="D1781" s="28" t="str">
        <f>[1]Source!H1605</f>
        <v>м</v>
      </c>
      <c r="E1781" s="29">
        <f>[1]Source!I1605</f>
        <v>65.184939999999997</v>
      </c>
      <c r="F1781" s="30">
        <f>[1]Source!AK1605</f>
        <v>6.48</v>
      </c>
      <c r="G1781" s="43" t="s">
        <v>54</v>
      </c>
      <c r="H1781" s="29">
        <f>[1]Source!AW1606</f>
        <v>1</v>
      </c>
      <c r="I1781" s="30">
        <f>[1]Source!O1605</f>
        <v>422.4</v>
      </c>
      <c r="J1781" s="29">
        <f>IF([1]Source!BC1606&lt;&gt; 0, [1]Source!BC1606, 1)</f>
        <v>0.93</v>
      </c>
      <c r="K1781" s="30">
        <f>[1]Source!O1606</f>
        <v>392.83</v>
      </c>
      <c r="Q1781">
        <f>[1]Source!X1605</f>
        <v>0</v>
      </c>
      <c r="R1781">
        <f>[1]Source!X1606</f>
        <v>0</v>
      </c>
      <c r="S1781">
        <f>[1]Source!Y1605</f>
        <v>0</v>
      </c>
      <c r="T1781">
        <f>[1]Source!Y1606</f>
        <v>0</v>
      </c>
      <c r="U1781">
        <f>ROUND((175/100)*ROUND([1]Source!R1605, 2), 2)</f>
        <v>0</v>
      </c>
      <c r="V1781">
        <f>ROUND((0/100)*ROUND([1]Source!R1606, 2), 2)</f>
        <v>0</v>
      </c>
      <c r="AC1781">
        <v>3</v>
      </c>
    </row>
    <row r="1782" spans="1:29" ht="14.4" hidden="1" x14ac:dyDescent="0.25">
      <c r="A1782" s="27"/>
      <c r="B1782" s="27"/>
      <c r="C1782" s="27" t="s">
        <v>42</v>
      </c>
      <c r="D1782" s="28" t="s">
        <v>43</v>
      </c>
      <c r="E1782" s="29">
        <f>[1]Source!BZ1600</f>
        <v>84</v>
      </c>
      <c r="F1782" s="30"/>
      <c r="G1782" s="31"/>
      <c r="H1782" s="29"/>
      <c r="I1782" s="30">
        <f>SUM(Q1773:Q1781)</f>
        <v>691.17</v>
      </c>
      <c r="J1782" s="29">
        <f>[1]Source!AT1600</f>
        <v>84</v>
      </c>
      <c r="K1782" s="30">
        <f>SUM(R1773:R1781)</f>
        <v>38947.360000000001</v>
      </c>
    </row>
    <row r="1783" spans="1:29" ht="14.4" hidden="1" x14ac:dyDescent="0.25">
      <c r="A1783" s="27"/>
      <c r="B1783" s="27"/>
      <c r="C1783" s="27" t="s">
        <v>44</v>
      </c>
      <c r="D1783" s="28" t="s">
        <v>43</v>
      </c>
      <c r="E1783" s="29">
        <f>[1]Source!CA1600</f>
        <v>53</v>
      </c>
      <c r="F1783" s="30"/>
      <c r="G1783" s="31"/>
      <c r="H1783" s="29"/>
      <c r="I1783" s="30">
        <f>SUM(S1773:S1782)</f>
        <v>436.09</v>
      </c>
      <c r="J1783" s="29">
        <f>[1]Source!AU1600</f>
        <v>53</v>
      </c>
      <c r="K1783" s="30">
        <f>SUM(T1773:T1782)</f>
        <v>24573.93</v>
      </c>
    </row>
    <row r="1784" spans="1:29" ht="14.4" hidden="1" x14ac:dyDescent="0.25">
      <c r="A1784" s="34"/>
      <c r="B1784" s="34"/>
      <c r="C1784" s="34" t="s">
        <v>45</v>
      </c>
      <c r="D1784" s="35" t="s">
        <v>46</v>
      </c>
      <c r="E1784" s="36">
        <f>[1]Source!AQ1599</f>
        <v>156.69999999999999</v>
      </c>
      <c r="F1784" s="37"/>
      <c r="G1784" s="38" t="s">
        <v>37</v>
      </c>
      <c r="H1784" s="36">
        <f>[1]Source!AV1600</f>
        <v>1.087</v>
      </c>
      <c r="I1784" s="37">
        <f>[1]Source!U1599</f>
        <v>60.410266313999998</v>
      </c>
      <c r="J1784" s="36"/>
      <c r="K1784" s="37"/>
    </row>
    <row r="1785" spans="1:29" ht="13.8" hidden="1" x14ac:dyDescent="0.25">
      <c r="C1785" s="39" t="s">
        <v>47</v>
      </c>
      <c r="H1785" s="40">
        <f>I1775+I1776+I1778+I1782+I1783+SUM(I1779:I1781)-SUMIF(AC1779:AC1781, 5, I1779:I1781)-SUMIF(AC1779:AC1781, 6, I1779:I1781)</f>
        <v>4169.49</v>
      </c>
      <c r="I1785" s="40"/>
      <c r="J1785" s="40">
        <f>K1775+K1776+K1778+K1782+K1783+SUM(K1779:K1781)-SUMIF(AC1779:AC1781, 5, K1779:K1781)-SUMIF(AC1779:AC1781, 6, K1779:K1781)</f>
        <v>115835.76</v>
      </c>
      <c r="K1785" s="40"/>
    </row>
    <row r="1786" spans="1:29" ht="13.8" hidden="1" x14ac:dyDescent="0.25">
      <c r="C1786" s="39" t="s">
        <v>48</v>
      </c>
      <c r="H1786" s="41">
        <f>SUMIF(AC1779:AC1781, 5, I1779:I1781)+SUMIF(AC1779:AC1781, 6, I1779:I1781)</f>
        <v>0</v>
      </c>
      <c r="I1786" s="41"/>
      <c r="J1786" s="41">
        <f>SUMIF(AC1779:AC1781, 5, K1779:K1781)+SUMIF(AC1779:AC1781, 6, K1779:K1781)</f>
        <v>0</v>
      </c>
      <c r="K1786" s="41"/>
    </row>
    <row r="1787" spans="1:29" ht="13.8" hidden="1" x14ac:dyDescent="0.25">
      <c r="C1787" s="39" t="s">
        <v>49</v>
      </c>
      <c r="H1787" s="41">
        <f>I1775+I1776+I1778+I1782+I1783+SUM(I1779:I1781)</f>
        <v>4169.49</v>
      </c>
      <c r="I1787" s="41"/>
      <c r="J1787" s="41">
        <f>K1775+K1776+K1778+K1782+K1783+SUM(K1779:K1781)</f>
        <v>115835.76</v>
      </c>
      <c r="K1787" s="41"/>
      <c r="O1787" s="42">
        <f>I1775+I1776+I1778+I1782+I1783+SUM(I1779:I1781)</f>
        <v>4169.49</v>
      </c>
      <c r="P1787" s="42">
        <f>K1775+K1776+K1778+K1782+K1783+SUM(K1779:K1781)</f>
        <v>115835.76</v>
      </c>
    </row>
    <row r="1788" spans="1:29" hidden="1" x14ac:dyDescent="0.25"/>
    <row r="1789" spans="1:29" ht="330" x14ac:dyDescent="0.25">
      <c r="A1789" s="46">
        <v>193</v>
      </c>
      <c r="B1789" s="46" t="str">
        <f>[1]Source!F1607</f>
        <v>КА128</v>
      </c>
      <c r="C1789" s="46" t="s">
        <v>405</v>
      </c>
      <c r="D1789" s="47" t="str">
        <f>[1]Source!H1607</f>
        <v>ШТ</v>
      </c>
      <c r="E1789" s="48">
        <f>[1]Source!I1607</f>
        <v>2</v>
      </c>
      <c r="F1789" s="37">
        <f>[1]Source!AL1607</f>
        <v>5888.1399999999994</v>
      </c>
      <c r="G1789" s="38"/>
      <c r="H1789" s="36">
        <f>[1]Source!AW1608</f>
        <v>1</v>
      </c>
      <c r="I1789" s="37">
        <f>[1]Source!P1607</f>
        <v>11776.28</v>
      </c>
      <c r="J1789" s="36">
        <f>IF([1]Source!BC1608&lt;&gt; 0, [1]Source!BC1608, 1)</f>
        <v>9.84</v>
      </c>
      <c r="K1789" s="49">
        <f>[1]Source!P1608</f>
        <v>115878.6</v>
      </c>
      <c r="L1789">
        <v>69300</v>
      </c>
      <c r="M1789" s="50">
        <f>L1789*E1789</f>
        <v>138600</v>
      </c>
      <c r="N1789" s="59" t="s">
        <v>180</v>
      </c>
      <c r="Q1789">
        <f>[1]Source!X1607</f>
        <v>0</v>
      </c>
      <c r="R1789">
        <f>[1]Source!X1608</f>
        <v>0</v>
      </c>
      <c r="S1789">
        <f>[1]Source!Y1607</f>
        <v>0</v>
      </c>
      <c r="T1789">
        <f>[1]Source!Y1608</f>
        <v>0</v>
      </c>
      <c r="U1789">
        <f>ROUND((175/100)*ROUND([1]Source!R1607, 2), 2)</f>
        <v>0</v>
      </c>
      <c r="V1789">
        <f>ROUND((0/100)*ROUND([1]Source!R1608, 2), 2)</f>
        <v>0</v>
      </c>
      <c r="AC1789">
        <v>3</v>
      </c>
    </row>
    <row r="1790" spans="1:29" ht="13.8" hidden="1" x14ac:dyDescent="0.25">
      <c r="C1790" s="39" t="s">
        <v>49</v>
      </c>
      <c r="H1790" s="40">
        <f>I1789+0</f>
        <v>11776.28</v>
      </c>
      <c r="I1790" s="40"/>
      <c r="J1790" s="40">
        <f>K1789+0</f>
        <v>115878.6</v>
      </c>
      <c r="K1790" s="40"/>
      <c r="O1790" s="42">
        <f>I1789+0</f>
        <v>11776.28</v>
      </c>
      <c r="P1790" s="42">
        <f>K1789+0</f>
        <v>115878.6</v>
      </c>
    </row>
    <row r="1791" spans="1:29" hidden="1" x14ac:dyDescent="0.25"/>
    <row r="1792" spans="1:29" ht="302.39999999999998" x14ac:dyDescent="0.25">
      <c r="A1792" s="46">
        <v>194</v>
      </c>
      <c r="B1792" s="46" t="str">
        <f>[1]Source!F1609</f>
        <v>КА 129</v>
      </c>
      <c r="C1792" s="46" t="s">
        <v>406</v>
      </c>
      <c r="D1792" s="47" t="str">
        <f>[1]Source!H1609</f>
        <v>ШТ</v>
      </c>
      <c r="E1792" s="48">
        <f>[1]Source!I1609</f>
        <v>2</v>
      </c>
      <c r="F1792" s="37">
        <f>[1]Source!AL1609</f>
        <v>6448.92</v>
      </c>
      <c r="G1792" s="38"/>
      <c r="H1792" s="36">
        <f>[1]Source!AW1610</f>
        <v>1</v>
      </c>
      <c r="I1792" s="37">
        <f>[1]Source!P1609</f>
        <v>12897.84</v>
      </c>
      <c r="J1792" s="36">
        <f>IF([1]Source!BC1610&lt;&gt; 0, [1]Source!BC1610, 1)</f>
        <v>9.84</v>
      </c>
      <c r="K1792" s="49">
        <f>[1]Source!P1610</f>
        <v>126914.75</v>
      </c>
      <c r="L1792">
        <v>75900</v>
      </c>
      <c r="M1792" s="50">
        <f>L1792*E1792</f>
        <v>151800</v>
      </c>
      <c r="N1792" s="59" t="s">
        <v>180</v>
      </c>
      <c r="Q1792">
        <f>[1]Source!X1609</f>
        <v>0</v>
      </c>
      <c r="R1792">
        <f>[1]Source!X1610</f>
        <v>0</v>
      </c>
      <c r="S1792">
        <f>[1]Source!Y1609</f>
        <v>0</v>
      </c>
      <c r="T1792">
        <f>[1]Source!Y1610</f>
        <v>0</v>
      </c>
      <c r="U1792">
        <f>ROUND((175/100)*ROUND([1]Source!R1609, 2), 2)</f>
        <v>0</v>
      </c>
      <c r="V1792">
        <f>ROUND((0/100)*ROUND([1]Source!R1610, 2), 2)</f>
        <v>0</v>
      </c>
      <c r="AC1792">
        <v>3</v>
      </c>
    </row>
    <row r="1793" spans="1:29" ht="13.8" hidden="1" x14ac:dyDescent="0.25">
      <c r="C1793" s="39" t="s">
        <v>49</v>
      </c>
      <c r="H1793" s="40">
        <f>I1792+0</f>
        <v>12897.84</v>
      </c>
      <c r="I1793" s="40"/>
      <c r="J1793" s="40">
        <f>K1792+0</f>
        <v>126914.75</v>
      </c>
      <c r="K1793" s="40"/>
      <c r="O1793" s="42">
        <f>I1792+0</f>
        <v>12897.84</v>
      </c>
      <c r="P1793" s="42">
        <f>K1792+0</f>
        <v>126914.75</v>
      </c>
    </row>
    <row r="1794" spans="1:29" hidden="1" x14ac:dyDescent="0.25"/>
    <row r="1795" spans="1:29" ht="302.39999999999998" x14ac:dyDescent="0.25">
      <c r="A1795" s="46">
        <v>195</v>
      </c>
      <c r="B1795" s="46" t="str">
        <f>[1]Source!F1611</f>
        <v>КА-131</v>
      </c>
      <c r="C1795" s="46" t="s">
        <v>407</v>
      </c>
      <c r="D1795" s="47" t="str">
        <f>[1]Source!H1611</f>
        <v>ШТ</v>
      </c>
      <c r="E1795" s="48">
        <f>[1]Source!I1611</f>
        <v>1</v>
      </c>
      <c r="F1795" s="37">
        <f>[1]Source!AL1611</f>
        <v>4486.2</v>
      </c>
      <c r="G1795" s="38"/>
      <c r="H1795" s="36">
        <f>[1]Source!AW1612</f>
        <v>1</v>
      </c>
      <c r="I1795" s="37">
        <f>[1]Source!P1611</f>
        <v>4486.2</v>
      </c>
      <c r="J1795" s="36">
        <f>IF([1]Source!BC1612&lt;&gt; 0, [1]Source!BC1612, 1)</f>
        <v>9.84</v>
      </c>
      <c r="K1795" s="49">
        <f>[1]Source!P1612</f>
        <v>44144.21</v>
      </c>
      <c r="L1795">
        <v>52800</v>
      </c>
      <c r="M1795" s="50">
        <f>L1795*E1795</f>
        <v>52800</v>
      </c>
      <c r="N1795" s="59" t="s">
        <v>180</v>
      </c>
      <c r="Q1795">
        <f>[1]Source!X1611</f>
        <v>0</v>
      </c>
      <c r="R1795">
        <f>[1]Source!X1612</f>
        <v>0</v>
      </c>
      <c r="S1795">
        <f>[1]Source!Y1611</f>
        <v>0</v>
      </c>
      <c r="T1795">
        <f>[1]Source!Y1612</f>
        <v>0</v>
      </c>
      <c r="U1795">
        <f>ROUND((175/100)*ROUND([1]Source!R1611, 2), 2)</f>
        <v>0</v>
      </c>
      <c r="V1795">
        <f>ROUND((0/100)*ROUND([1]Source!R1612, 2), 2)</f>
        <v>0</v>
      </c>
      <c r="AC1795">
        <v>3</v>
      </c>
    </row>
    <row r="1796" spans="1:29" ht="13.8" hidden="1" x14ac:dyDescent="0.25">
      <c r="C1796" s="39" t="s">
        <v>49</v>
      </c>
      <c r="H1796" s="40">
        <f>I1795+0</f>
        <v>4486.2</v>
      </c>
      <c r="I1796" s="40"/>
      <c r="J1796" s="40">
        <f>K1795+0</f>
        <v>44144.21</v>
      </c>
      <c r="K1796" s="40"/>
      <c r="O1796" s="42">
        <f>I1795+0</f>
        <v>4486.2</v>
      </c>
      <c r="P1796" s="42">
        <f>K1795+0</f>
        <v>44144.21</v>
      </c>
    </row>
    <row r="1797" spans="1:29" hidden="1" x14ac:dyDescent="0.25"/>
    <row r="1798" spans="1:29" ht="316.2" x14ac:dyDescent="0.25">
      <c r="A1798" s="46">
        <v>196</v>
      </c>
      <c r="B1798" s="46" t="str">
        <f>[1]Source!F1613</f>
        <v>КА-132</v>
      </c>
      <c r="C1798" s="46" t="s">
        <v>408</v>
      </c>
      <c r="D1798" s="47" t="str">
        <f>[1]Source!H1613</f>
        <v>ШТ</v>
      </c>
      <c r="E1798" s="48">
        <f>[1]Source!I1613</f>
        <v>2</v>
      </c>
      <c r="F1798" s="37">
        <f>[1]Source!AL1613</f>
        <v>4766.59</v>
      </c>
      <c r="G1798" s="38"/>
      <c r="H1798" s="36">
        <f>[1]Source!AW1614</f>
        <v>1</v>
      </c>
      <c r="I1798" s="37">
        <f>[1]Source!P1613</f>
        <v>9533.18</v>
      </c>
      <c r="J1798" s="36">
        <f>IF([1]Source!BC1614&lt;&gt; 0, [1]Source!BC1614, 1)</f>
        <v>9.84</v>
      </c>
      <c r="K1798" s="49">
        <f>[1]Source!P1614</f>
        <v>93806.49</v>
      </c>
      <c r="L1798">
        <v>56100</v>
      </c>
      <c r="M1798" s="50">
        <f>L1798*E1798</f>
        <v>112200</v>
      </c>
      <c r="N1798" s="59" t="s">
        <v>180</v>
      </c>
      <c r="Q1798">
        <f>[1]Source!X1613</f>
        <v>0</v>
      </c>
      <c r="R1798">
        <f>[1]Source!X1614</f>
        <v>0</v>
      </c>
      <c r="S1798">
        <f>[1]Source!Y1613</f>
        <v>0</v>
      </c>
      <c r="T1798">
        <f>[1]Source!Y1614</f>
        <v>0</v>
      </c>
      <c r="U1798">
        <f>ROUND((175/100)*ROUND([1]Source!R1613, 2), 2)</f>
        <v>0</v>
      </c>
      <c r="V1798">
        <f>ROUND((0/100)*ROUND([1]Source!R1614, 2), 2)</f>
        <v>0</v>
      </c>
      <c r="AC1798">
        <v>3</v>
      </c>
    </row>
    <row r="1799" spans="1:29" ht="13.8" hidden="1" x14ac:dyDescent="0.25">
      <c r="C1799" s="39" t="s">
        <v>49</v>
      </c>
      <c r="H1799" s="40">
        <f>I1798+0</f>
        <v>9533.18</v>
      </c>
      <c r="I1799" s="40"/>
      <c r="J1799" s="40">
        <f>K1798+0</f>
        <v>93806.49</v>
      </c>
      <c r="K1799" s="40"/>
      <c r="O1799" s="42">
        <f>I1798+0</f>
        <v>9533.18</v>
      </c>
      <c r="P1799" s="42">
        <f>K1798+0</f>
        <v>93806.49</v>
      </c>
    </row>
    <row r="1800" spans="1:29" hidden="1" x14ac:dyDescent="0.25"/>
    <row r="1801" spans="1:29" ht="302.39999999999998" x14ac:dyDescent="0.25">
      <c r="A1801" s="46">
        <v>197</v>
      </c>
      <c r="B1801" s="46" t="str">
        <f>[1]Source!F1615</f>
        <v>КА-134</v>
      </c>
      <c r="C1801" s="46" t="s">
        <v>409</v>
      </c>
      <c r="D1801" s="47" t="str">
        <f>[1]Source!H1615</f>
        <v>ШТ</v>
      </c>
      <c r="E1801" s="48">
        <f>[1]Source!I1615</f>
        <v>2</v>
      </c>
      <c r="F1801" s="37">
        <f>[1]Source!AL1615</f>
        <v>6624.7999999999993</v>
      </c>
      <c r="G1801" s="38"/>
      <c r="H1801" s="36">
        <f>[1]Source!AW1616</f>
        <v>1</v>
      </c>
      <c r="I1801" s="37">
        <f>[1]Source!P1615</f>
        <v>13249.6</v>
      </c>
      <c r="J1801" s="36">
        <f>IF([1]Source!BC1616&lt;&gt; 0, [1]Source!BC1616, 1)</f>
        <v>9.84</v>
      </c>
      <c r="K1801" s="49">
        <f>[1]Source!P1616</f>
        <v>130376.06</v>
      </c>
      <c r="L1801">
        <v>77970</v>
      </c>
      <c r="M1801" s="50">
        <f>L1801*E1801</f>
        <v>155940</v>
      </c>
      <c r="N1801" s="59" t="s">
        <v>180</v>
      </c>
      <c r="Q1801">
        <f>[1]Source!X1615</f>
        <v>0</v>
      </c>
      <c r="R1801">
        <f>[1]Source!X1616</f>
        <v>0</v>
      </c>
      <c r="S1801">
        <f>[1]Source!Y1615</f>
        <v>0</v>
      </c>
      <c r="T1801">
        <f>[1]Source!Y1616</f>
        <v>0</v>
      </c>
      <c r="U1801">
        <f>ROUND((175/100)*ROUND([1]Source!R1615, 2), 2)</f>
        <v>0</v>
      </c>
      <c r="V1801">
        <f>ROUND((0/100)*ROUND([1]Source!R1616, 2), 2)</f>
        <v>0</v>
      </c>
      <c r="AC1801">
        <v>3</v>
      </c>
    </row>
    <row r="1802" spans="1:29" ht="13.8" hidden="1" x14ac:dyDescent="0.25">
      <c r="C1802" s="39" t="s">
        <v>49</v>
      </c>
      <c r="H1802" s="40">
        <f>I1801+0</f>
        <v>13249.6</v>
      </c>
      <c r="I1802" s="40"/>
      <c r="J1802" s="40">
        <f>K1801+0</f>
        <v>130376.06</v>
      </c>
      <c r="K1802" s="40"/>
      <c r="O1802" s="42">
        <f>I1801+0</f>
        <v>13249.6</v>
      </c>
      <c r="P1802" s="42">
        <f>K1801+0</f>
        <v>130376.06</v>
      </c>
    </row>
    <row r="1803" spans="1:29" hidden="1" x14ac:dyDescent="0.25"/>
    <row r="1804" spans="1:29" ht="288.60000000000002" x14ac:dyDescent="0.25">
      <c r="A1804" s="46">
        <v>198</v>
      </c>
      <c r="B1804" s="46" t="str">
        <f>[1]Source!F1617</f>
        <v>КА-135</v>
      </c>
      <c r="C1804" s="46" t="s">
        <v>410</v>
      </c>
      <c r="D1804" s="47" t="str">
        <f>[1]Source!H1617</f>
        <v>ШТ</v>
      </c>
      <c r="E1804" s="48">
        <f>[1]Source!I1617</f>
        <v>1</v>
      </c>
      <c r="F1804" s="37">
        <f>[1]Source!AL1617</f>
        <v>7035.1799999999994</v>
      </c>
      <c r="G1804" s="38"/>
      <c r="H1804" s="36">
        <f>[1]Source!AW1618</f>
        <v>1</v>
      </c>
      <c r="I1804" s="37">
        <f>[1]Source!P1617</f>
        <v>7035.18</v>
      </c>
      <c r="J1804" s="36">
        <f>IF([1]Source!BC1618&lt;&gt; 0, [1]Source!BC1618, 1)</f>
        <v>9.84</v>
      </c>
      <c r="K1804" s="49">
        <f>[1]Source!P1618</f>
        <v>69226.17</v>
      </c>
      <c r="L1804">
        <v>82800</v>
      </c>
      <c r="M1804" s="50">
        <f>L1804*E1804</f>
        <v>82800</v>
      </c>
      <c r="N1804" s="59" t="s">
        <v>180</v>
      </c>
      <c r="Q1804">
        <f>[1]Source!X1617</f>
        <v>0</v>
      </c>
      <c r="R1804">
        <f>[1]Source!X1618</f>
        <v>0</v>
      </c>
      <c r="S1804">
        <f>[1]Source!Y1617</f>
        <v>0</v>
      </c>
      <c r="T1804">
        <f>[1]Source!Y1618</f>
        <v>0</v>
      </c>
      <c r="U1804">
        <f>ROUND((175/100)*ROUND([1]Source!R1617, 2), 2)</f>
        <v>0</v>
      </c>
      <c r="V1804">
        <f>ROUND((0/100)*ROUND([1]Source!R1618, 2), 2)</f>
        <v>0</v>
      </c>
      <c r="AC1804">
        <v>3</v>
      </c>
    </row>
    <row r="1805" spans="1:29" ht="13.8" hidden="1" x14ac:dyDescent="0.25">
      <c r="C1805" s="39" t="s">
        <v>49</v>
      </c>
      <c r="H1805" s="40">
        <f>I1804+0</f>
        <v>7035.18</v>
      </c>
      <c r="I1805" s="40"/>
      <c r="J1805" s="40">
        <f>K1804+0</f>
        <v>69226.17</v>
      </c>
      <c r="K1805" s="40"/>
      <c r="O1805" s="42">
        <f>I1804+0</f>
        <v>7035.18</v>
      </c>
      <c r="P1805" s="42">
        <f>K1804+0</f>
        <v>69226.17</v>
      </c>
    </row>
    <row r="1806" spans="1:29" hidden="1" x14ac:dyDescent="0.25"/>
    <row r="1807" spans="1:29" ht="343.8" x14ac:dyDescent="0.25">
      <c r="A1807" s="46">
        <v>199</v>
      </c>
      <c r="B1807" s="46" t="str">
        <f>[1]Source!F1619</f>
        <v>КА-139</v>
      </c>
      <c r="C1807" s="46" t="s">
        <v>411</v>
      </c>
      <c r="D1807" s="47" t="str">
        <f>[1]Source!H1619</f>
        <v>ШТ</v>
      </c>
      <c r="E1807" s="48">
        <f>[1]Source!I1619</f>
        <v>1</v>
      </c>
      <c r="F1807" s="37">
        <f>[1]Source!AL1619</f>
        <v>6492.25</v>
      </c>
      <c r="G1807" s="38"/>
      <c r="H1807" s="36">
        <f>[1]Source!AW1620</f>
        <v>1</v>
      </c>
      <c r="I1807" s="37">
        <f>[1]Source!P1619</f>
        <v>6492.25</v>
      </c>
      <c r="J1807" s="36">
        <f>IF([1]Source!BC1620&lt;&gt; 0, [1]Source!BC1620, 1)</f>
        <v>9.84</v>
      </c>
      <c r="K1807" s="49">
        <f>[1]Source!P1620</f>
        <v>63883.74</v>
      </c>
      <c r="L1807">
        <v>76410</v>
      </c>
      <c r="M1807" s="50">
        <f>L1807*E1807</f>
        <v>76410</v>
      </c>
      <c r="N1807" s="59" t="s">
        <v>180</v>
      </c>
      <c r="Q1807">
        <f>[1]Source!X1619</f>
        <v>0</v>
      </c>
      <c r="R1807">
        <f>[1]Source!X1620</f>
        <v>0</v>
      </c>
      <c r="S1807">
        <f>[1]Source!Y1619</f>
        <v>0</v>
      </c>
      <c r="T1807">
        <f>[1]Source!Y1620</f>
        <v>0</v>
      </c>
      <c r="U1807">
        <f>ROUND((175/100)*ROUND([1]Source!R1619, 2), 2)</f>
        <v>0</v>
      </c>
      <c r="V1807">
        <f>ROUND((0/100)*ROUND([1]Source!R1620, 2), 2)</f>
        <v>0</v>
      </c>
      <c r="AC1807">
        <v>3</v>
      </c>
    </row>
    <row r="1808" spans="1:29" ht="13.8" hidden="1" x14ac:dyDescent="0.25">
      <c r="C1808" s="39" t="s">
        <v>49</v>
      </c>
      <c r="H1808" s="40">
        <f>I1807+0</f>
        <v>6492.25</v>
      </c>
      <c r="I1808" s="40"/>
      <c r="J1808" s="40">
        <f>K1807+0</f>
        <v>63883.74</v>
      </c>
      <c r="K1808" s="40"/>
      <c r="O1808" s="42">
        <f>I1807+0</f>
        <v>6492.25</v>
      </c>
      <c r="P1808" s="42">
        <f>K1807+0</f>
        <v>63883.74</v>
      </c>
    </row>
    <row r="1809" spans="1:29" hidden="1" x14ac:dyDescent="0.25"/>
    <row r="1810" spans="1:29" ht="55.2" hidden="1" x14ac:dyDescent="0.25">
      <c r="A1810" s="27">
        <v>200</v>
      </c>
      <c r="B1810" s="27" t="str">
        <f>[1]Source!F1621</f>
        <v>3.9-68-2</v>
      </c>
      <c r="C1810" s="27" t="s">
        <v>412</v>
      </c>
      <c r="D1810" s="28" t="str">
        <f>[1]Source!H1621</f>
        <v>100 м2</v>
      </c>
      <c r="E1810" s="29">
        <f>[1]Source!I1621</f>
        <v>0.26900000000000002</v>
      </c>
      <c r="F1810" s="30"/>
      <c r="G1810" s="31"/>
      <c r="H1810" s="29"/>
      <c r="I1810" s="30"/>
      <c r="J1810" s="29"/>
      <c r="K1810" s="30"/>
      <c r="Q1810">
        <f>[1]Source!X1621</f>
        <v>464.55</v>
      </c>
      <c r="R1810">
        <f>[1]Source!X1622</f>
        <v>26177.119999999999</v>
      </c>
      <c r="S1810">
        <f>[1]Source!Y1621</f>
        <v>293.11</v>
      </c>
      <c r="T1810">
        <f>[1]Source!Y1622</f>
        <v>16516.52</v>
      </c>
      <c r="U1810">
        <f>ROUND((175/100)*ROUND([1]Source!R1621, 2), 2)</f>
        <v>9.77</v>
      </c>
      <c r="V1810">
        <f>ROUND((0/100)*ROUND([1]Source!R1622, 2), 2)</f>
        <v>0</v>
      </c>
      <c r="AC1810">
        <v>0</v>
      </c>
    </row>
    <row r="1811" spans="1:29" hidden="1" x14ac:dyDescent="0.25">
      <c r="C1811" s="32" t="str">
        <f>"Объем: "&amp;[1]Source!I1621&amp;"=(3,3+"&amp;"4,9*"&amp;"2+"&amp;"4,4*"&amp;"2+"&amp;"5)/"&amp;"100"</f>
        <v>Объем: 0,269=(3,3+4,9*2+4,4*2+5)/100</v>
      </c>
    </row>
    <row r="1812" spans="1:29" ht="14.4" hidden="1" x14ac:dyDescent="0.25">
      <c r="A1812" s="27"/>
      <c r="B1812" s="27"/>
      <c r="C1812" s="27" t="s">
        <v>36</v>
      </c>
      <c r="D1812" s="28"/>
      <c r="E1812" s="29"/>
      <c r="F1812" s="30">
        <f>[1]Source!AO1621</f>
        <v>1356.7</v>
      </c>
      <c r="G1812" s="31" t="s">
        <v>37</v>
      </c>
      <c r="H1812" s="29">
        <f>[1]Source!AV1622</f>
        <v>1.087</v>
      </c>
      <c r="I1812" s="30">
        <f>[1]Source!S1621</f>
        <v>547.45000000000005</v>
      </c>
      <c r="J1812" s="29">
        <f>IF([1]Source!BA1622&lt;&gt; 0, [1]Source!BA1622, 1)</f>
        <v>56.35</v>
      </c>
      <c r="K1812" s="30">
        <f>[1]Source!S1622</f>
        <v>30848.81</v>
      </c>
    </row>
    <row r="1813" spans="1:29" ht="14.4" hidden="1" x14ac:dyDescent="0.25">
      <c r="A1813" s="27"/>
      <c r="B1813" s="27"/>
      <c r="C1813" s="27" t="s">
        <v>38</v>
      </c>
      <c r="D1813" s="28"/>
      <c r="E1813" s="29"/>
      <c r="F1813" s="30">
        <f>[1]Source!AM1621</f>
        <v>111.65</v>
      </c>
      <c r="G1813" s="31" t="s">
        <v>39</v>
      </c>
      <c r="H1813" s="29">
        <f>[1]Source!AV1622</f>
        <v>1.087</v>
      </c>
      <c r="I1813" s="30">
        <f>[1]Source!Q1621</f>
        <v>48.97</v>
      </c>
      <c r="J1813" s="29">
        <f>IF([1]Source!BB1622&lt;&gt; 0, [1]Source!BB1622, 1)</f>
        <v>15.28</v>
      </c>
      <c r="K1813" s="30">
        <f>[1]Source!Q1622</f>
        <v>748.26</v>
      </c>
    </row>
    <row r="1814" spans="1:29" ht="14.4" hidden="1" x14ac:dyDescent="0.25">
      <c r="A1814" s="27"/>
      <c r="B1814" s="27"/>
      <c r="C1814" s="27" t="s">
        <v>40</v>
      </c>
      <c r="D1814" s="28"/>
      <c r="E1814" s="29"/>
      <c r="F1814" s="30">
        <f>[1]Source!AN1621</f>
        <v>12.73</v>
      </c>
      <c r="G1814" s="31" t="s">
        <v>39</v>
      </c>
      <c r="H1814" s="29">
        <f>[1]Source!AV1622</f>
        <v>1.087</v>
      </c>
      <c r="I1814" s="33">
        <f>[1]Source!R1621</f>
        <v>5.58</v>
      </c>
      <c r="J1814" s="29">
        <f>IF([1]Source!BS1622&lt;&gt; 0, [1]Source!BS1622, 1)</f>
        <v>56.35</v>
      </c>
      <c r="K1814" s="33">
        <f>[1]Source!R1622</f>
        <v>314.43</v>
      </c>
    </row>
    <row r="1815" spans="1:29" ht="14.4" hidden="1" x14ac:dyDescent="0.25">
      <c r="A1815" s="27"/>
      <c r="B1815" s="27"/>
      <c r="C1815" s="27" t="s">
        <v>41</v>
      </c>
      <c r="D1815" s="28"/>
      <c r="E1815" s="29"/>
      <c r="F1815" s="30">
        <f>[1]Source!AL1621</f>
        <v>2085.89</v>
      </c>
      <c r="G1815" s="31"/>
      <c r="H1815" s="29">
        <f>[1]Source!AW1622</f>
        <v>1</v>
      </c>
      <c r="I1815" s="30">
        <f>[1]Source!P1621</f>
        <v>561.1</v>
      </c>
      <c r="J1815" s="29">
        <f>IF([1]Source!BC1622&lt;&gt; 0, [1]Source!BC1622, 1)</f>
        <v>4.74</v>
      </c>
      <c r="K1815" s="30">
        <f>[1]Source!P1622</f>
        <v>2659.61</v>
      </c>
    </row>
    <row r="1816" spans="1:29" ht="193.2" hidden="1" x14ac:dyDescent="0.25">
      <c r="A1816" s="27" t="s">
        <v>413</v>
      </c>
      <c r="B1816" s="27" t="str">
        <f>[1]Source!F1623</f>
        <v>1.1-1-2982</v>
      </c>
      <c r="C1816" s="27" t="s">
        <v>363</v>
      </c>
      <c r="D1816" s="28" t="str">
        <f>[1]Source!H1623</f>
        <v>м</v>
      </c>
      <c r="E1816" s="29">
        <f>[1]Source!I1623</f>
        <v>46.161529999999999</v>
      </c>
      <c r="F1816" s="30">
        <f>[1]Source!AK1623</f>
        <v>13.94</v>
      </c>
      <c r="G1816" s="43" t="s">
        <v>54</v>
      </c>
      <c r="H1816" s="29">
        <f>[1]Source!AW1624</f>
        <v>1</v>
      </c>
      <c r="I1816" s="30">
        <f>[1]Source!O1623</f>
        <v>643.49</v>
      </c>
      <c r="J1816" s="29">
        <f>IF([1]Source!BC1624&lt;&gt; 0, [1]Source!BC1624, 1)</f>
        <v>0.68</v>
      </c>
      <c r="K1816" s="30">
        <f>[1]Source!O1624</f>
        <v>437.57</v>
      </c>
      <c r="Q1816">
        <f>[1]Source!X1623</f>
        <v>0</v>
      </c>
      <c r="R1816">
        <f>[1]Source!X1624</f>
        <v>0</v>
      </c>
      <c r="S1816">
        <f>[1]Source!Y1623</f>
        <v>0</v>
      </c>
      <c r="T1816">
        <f>[1]Source!Y1624</f>
        <v>0</v>
      </c>
      <c r="U1816">
        <f>ROUND((175/100)*ROUND([1]Source!R1623, 2), 2)</f>
        <v>0</v>
      </c>
      <c r="V1816">
        <f>ROUND((0/100)*ROUND([1]Source!R1624, 2), 2)</f>
        <v>0</v>
      </c>
      <c r="AC1816">
        <v>3</v>
      </c>
    </row>
    <row r="1817" spans="1:29" ht="27.6" hidden="1" x14ac:dyDescent="0.25">
      <c r="A1817" s="27" t="s">
        <v>414</v>
      </c>
      <c r="B1817" s="27" t="str">
        <f>[1]Source!F1625</f>
        <v>1.7-3-8</v>
      </c>
      <c r="C1817" s="27" t="s">
        <v>402</v>
      </c>
      <c r="D1817" s="28" t="str">
        <f>[1]Source!H1625</f>
        <v>шт.</v>
      </c>
      <c r="E1817" s="29">
        <f>[1]Source!I1625</f>
        <v>1.5988020000000001</v>
      </c>
      <c r="F1817" s="30">
        <f>[1]Source!AK1625</f>
        <v>11.82</v>
      </c>
      <c r="G1817" s="43" t="s">
        <v>54</v>
      </c>
      <c r="H1817" s="29">
        <f>[1]Source!AW1626</f>
        <v>1</v>
      </c>
      <c r="I1817" s="30">
        <f>[1]Source!O1625</f>
        <v>18.899999999999999</v>
      </c>
      <c r="J1817" s="29">
        <f>IF([1]Source!BC1626&lt;&gt; 0, [1]Source!BC1626, 1)</f>
        <v>6.25</v>
      </c>
      <c r="K1817" s="30">
        <f>[1]Source!O1626</f>
        <v>118.13</v>
      </c>
      <c r="Q1817">
        <f>[1]Source!X1625</f>
        <v>0</v>
      </c>
      <c r="R1817">
        <f>[1]Source!X1626</f>
        <v>0</v>
      </c>
      <c r="S1817">
        <f>[1]Source!Y1625</f>
        <v>0</v>
      </c>
      <c r="T1817">
        <f>[1]Source!Y1626</f>
        <v>0</v>
      </c>
      <c r="U1817">
        <f>ROUND((175/100)*ROUND([1]Source!R1625, 2), 2)</f>
        <v>0</v>
      </c>
      <c r="V1817">
        <f>ROUND((0/100)*ROUND([1]Source!R1626, 2), 2)</f>
        <v>0</v>
      </c>
      <c r="AC1817">
        <v>3</v>
      </c>
    </row>
    <row r="1818" spans="1:29" ht="41.4" hidden="1" x14ac:dyDescent="0.25">
      <c r="A1818" s="27" t="s">
        <v>415</v>
      </c>
      <c r="B1818" s="27" t="str">
        <f>[1]Source!F1627</f>
        <v>1.1-1-2984</v>
      </c>
      <c r="C1818" s="27" t="s">
        <v>404</v>
      </c>
      <c r="D1818" s="28" t="str">
        <f>[1]Source!H1627</f>
        <v>м</v>
      </c>
      <c r="E1818" s="29">
        <f>[1]Source!I1627</f>
        <v>46.161529999999999</v>
      </c>
      <c r="F1818" s="30">
        <f>[1]Source!AK1627</f>
        <v>6.48</v>
      </c>
      <c r="G1818" s="43" t="s">
        <v>54</v>
      </c>
      <c r="H1818" s="29">
        <f>[1]Source!AW1628</f>
        <v>1</v>
      </c>
      <c r="I1818" s="30">
        <f>[1]Source!O1627</f>
        <v>299.13</v>
      </c>
      <c r="J1818" s="29">
        <f>IF([1]Source!BC1628&lt;&gt; 0, [1]Source!BC1628, 1)</f>
        <v>0.93</v>
      </c>
      <c r="K1818" s="30">
        <f>[1]Source!O1628</f>
        <v>278.19</v>
      </c>
      <c r="Q1818">
        <f>[1]Source!X1627</f>
        <v>0</v>
      </c>
      <c r="R1818">
        <f>[1]Source!X1628</f>
        <v>0</v>
      </c>
      <c r="S1818">
        <f>[1]Source!Y1627</f>
        <v>0</v>
      </c>
      <c r="T1818">
        <f>[1]Source!Y1628</f>
        <v>0</v>
      </c>
      <c r="U1818">
        <f>ROUND((175/100)*ROUND([1]Source!R1627, 2), 2)</f>
        <v>0</v>
      </c>
      <c r="V1818">
        <f>ROUND((0/100)*ROUND([1]Source!R1628, 2), 2)</f>
        <v>0</v>
      </c>
      <c r="AC1818">
        <v>3</v>
      </c>
    </row>
    <row r="1819" spans="1:29" ht="14.4" hidden="1" x14ac:dyDescent="0.25">
      <c r="A1819" s="27"/>
      <c r="B1819" s="27"/>
      <c r="C1819" s="27" t="s">
        <v>42</v>
      </c>
      <c r="D1819" s="28" t="s">
        <v>43</v>
      </c>
      <c r="E1819" s="29">
        <f>[1]Source!BZ1622</f>
        <v>84</v>
      </c>
      <c r="F1819" s="30"/>
      <c r="G1819" s="31"/>
      <c r="H1819" s="29"/>
      <c r="I1819" s="30">
        <f>SUM(Q1810:Q1818)</f>
        <v>464.55</v>
      </c>
      <c r="J1819" s="29">
        <f>[1]Source!AT1622</f>
        <v>84</v>
      </c>
      <c r="K1819" s="30">
        <f>SUM(R1810:R1818)</f>
        <v>26177.119999999999</v>
      </c>
    </row>
    <row r="1820" spans="1:29" ht="14.4" hidden="1" x14ac:dyDescent="0.25">
      <c r="A1820" s="27"/>
      <c r="B1820" s="27"/>
      <c r="C1820" s="27" t="s">
        <v>44</v>
      </c>
      <c r="D1820" s="28" t="s">
        <v>43</v>
      </c>
      <c r="E1820" s="29">
        <f>[1]Source!CA1622</f>
        <v>53</v>
      </c>
      <c r="F1820" s="30"/>
      <c r="G1820" s="31"/>
      <c r="H1820" s="29"/>
      <c r="I1820" s="30">
        <f>SUM(S1810:S1819)</f>
        <v>293.11</v>
      </c>
      <c r="J1820" s="29">
        <f>[1]Source!AU1622</f>
        <v>53</v>
      </c>
      <c r="K1820" s="30">
        <f>SUM(T1810:T1819)</f>
        <v>16516.52</v>
      </c>
    </row>
    <row r="1821" spans="1:29" ht="14.4" hidden="1" x14ac:dyDescent="0.25">
      <c r="A1821" s="34"/>
      <c r="B1821" s="34"/>
      <c r="C1821" s="34" t="s">
        <v>45</v>
      </c>
      <c r="D1821" s="35" t="s">
        <v>46</v>
      </c>
      <c r="E1821" s="36">
        <f>[1]Source!AQ1621</f>
        <v>101.27</v>
      </c>
      <c r="F1821" s="37"/>
      <c r="G1821" s="38" t="s">
        <v>37</v>
      </c>
      <c r="H1821" s="36">
        <f>[1]Source!AV1622</f>
        <v>1.087</v>
      </c>
      <c r="I1821" s="37">
        <f>[1]Source!U1621</f>
        <v>40.864079497799992</v>
      </c>
      <c r="J1821" s="36"/>
      <c r="K1821" s="37"/>
    </row>
    <row r="1822" spans="1:29" ht="13.8" hidden="1" x14ac:dyDescent="0.25">
      <c r="C1822" s="39" t="s">
        <v>47</v>
      </c>
      <c r="H1822" s="40">
        <f>I1812+I1813+I1815+I1819+I1820+SUM(I1816:I1818)-SUMIF(AC1816:AC1818, 5, I1816:I1818)-SUMIF(AC1816:AC1818, 6, I1816:I1818)</f>
        <v>2876.7</v>
      </c>
      <c r="I1822" s="40"/>
      <c r="J1822" s="40">
        <f>K1812+K1813+K1815+K1819+K1820+SUM(K1816:K1818)-SUMIF(AC1816:AC1818, 5, K1816:K1818)-SUMIF(AC1816:AC1818, 6, K1816:K1818)</f>
        <v>77784.210000000006</v>
      </c>
      <c r="K1822" s="40"/>
    </row>
    <row r="1823" spans="1:29" ht="13.8" hidden="1" x14ac:dyDescent="0.25">
      <c r="C1823" s="39" t="s">
        <v>48</v>
      </c>
      <c r="H1823" s="41">
        <f>SUMIF(AC1816:AC1818, 5, I1816:I1818)+SUMIF(AC1816:AC1818, 6, I1816:I1818)</f>
        <v>0</v>
      </c>
      <c r="I1823" s="41"/>
      <c r="J1823" s="41">
        <f>SUMIF(AC1816:AC1818, 5, K1816:K1818)+SUMIF(AC1816:AC1818, 6, K1816:K1818)</f>
        <v>0</v>
      </c>
      <c r="K1823" s="41"/>
    </row>
    <row r="1824" spans="1:29" ht="13.8" hidden="1" x14ac:dyDescent="0.25">
      <c r="C1824" s="39" t="s">
        <v>49</v>
      </c>
      <c r="H1824" s="41">
        <f>I1812+I1813+I1815+I1819+I1820+SUM(I1816:I1818)</f>
        <v>2876.7</v>
      </c>
      <c r="I1824" s="41"/>
      <c r="J1824" s="41">
        <f>K1812+K1813+K1815+K1819+K1820+SUM(K1816:K1818)</f>
        <v>77784.210000000006</v>
      </c>
      <c r="K1824" s="41"/>
      <c r="O1824" s="42">
        <f>I1812+I1813+I1815+I1819+I1820+SUM(I1816:I1818)</f>
        <v>2876.7</v>
      </c>
      <c r="P1824" s="42">
        <f>K1812+K1813+K1815+K1819+K1820+SUM(K1816:K1818)</f>
        <v>77784.210000000006</v>
      </c>
    </row>
    <row r="1825" spans="1:29" hidden="1" x14ac:dyDescent="0.25"/>
    <row r="1826" spans="1:29" ht="343.8" x14ac:dyDescent="0.25">
      <c r="A1826" s="46">
        <v>201</v>
      </c>
      <c r="B1826" s="46" t="str">
        <f>[1]Source!F1629</f>
        <v>КА 130</v>
      </c>
      <c r="C1826" s="46" t="s">
        <v>416</v>
      </c>
      <c r="D1826" s="47" t="str">
        <f>[1]Source!H1629</f>
        <v>ШТ</v>
      </c>
      <c r="E1826" s="48">
        <f>[1]Source!I1629</f>
        <v>1</v>
      </c>
      <c r="F1826" s="37">
        <f>[1]Source!AL1629</f>
        <v>8495.75</v>
      </c>
      <c r="G1826" s="38"/>
      <c r="H1826" s="36">
        <f>[1]Source!AW1630</f>
        <v>1</v>
      </c>
      <c r="I1826" s="37">
        <f>[1]Source!P1629</f>
        <v>8495.75</v>
      </c>
      <c r="J1826" s="36">
        <f>IF([1]Source!BC1630&lt;&gt; 0, [1]Source!BC1630, 1)</f>
        <v>9.84</v>
      </c>
      <c r="K1826" s="49">
        <f>[1]Source!P1630</f>
        <v>83598.179999999993</v>
      </c>
      <c r="L1826">
        <v>99990</v>
      </c>
      <c r="M1826" s="50">
        <f>L1826*E1826</f>
        <v>99990</v>
      </c>
      <c r="N1826" s="59" t="s">
        <v>180</v>
      </c>
      <c r="Q1826">
        <f>[1]Source!X1629</f>
        <v>0</v>
      </c>
      <c r="R1826">
        <f>[1]Source!X1630</f>
        <v>0</v>
      </c>
      <c r="S1826">
        <f>[1]Source!Y1629</f>
        <v>0</v>
      </c>
      <c r="T1826">
        <f>[1]Source!Y1630</f>
        <v>0</v>
      </c>
      <c r="U1826">
        <f>ROUND((175/100)*ROUND([1]Source!R1629, 2), 2)</f>
        <v>0</v>
      </c>
      <c r="V1826">
        <f>ROUND((0/100)*ROUND([1]Source!R1630, 2), 2)</f>
        <v>0</v>
      </c>
      <c r="AC1826">
        <v>3</v>
      </c>
    </row>
    <row r="1827" spans="1:29" ht="13.8" hidden="1" x14ac:dyDescent="0.25">
      <c r="C1827" s="39" t="s">
        <v>49</v>
      </c>
      <c r="H1827" s="40">
        <f>I1826+0</f>
        <v>8495.75</v>
      </c>
      <c r="I1827" s="40"/>
      <c r="J1827" s="40">
        <f>K1826+0</f>
        <v>83598.179999999993</v>
      </c>
      <c r="K1827" s="40"/>
      <c r="O1827" s="42">
        <f>I1826+0</f>
        <v>8495.75</v>
      </c>
      <c r="P1827" s="42">
        <f>K1826+0</f>
        <v>83598.179999999993</v>
      </c>
    </row>
    <row r="1828" spans="1:29" hidden="1" x14ac:dyDescent="0.25"/>
    <row r="1829" spans="1:29" ht="331.2" x14ac:dyDescent="0.25">
      <c r="A1829" s="53">
        <v>202</v>
      </c>
      <c r="B1829" s="53" t="str">
        <f>[1]Source!F1631</f>
        <v>КА 136</v>
      </c>
      <c r="C1829" s="53" t="s">
        <v>417</v>
      </c>
      <c r="D1829" s="54"/>
      <c r="E1829" s="55"/>
      <c r="F1829" s="30"/>
      <c r="G1829" s="31"/>
      <c r="H1829" s="29"/>
      <c r="I1829" s="30"/>
      <c r="J1829" s="29"/>
      <c r="K1829" s="56"/>
      <c r="M1829" s="50">
        <f t="shared" ref="M1829:M1830" si="0">L1829*E1829</f>
        <v>0</v>
      </c>
      <c r="N1829" s="59" t="s">
        <v>180</v>
      </c>
    </row>
    <row r="1830" spans="1:29" ht="54" x14ac:dyDescent="0.25">
      <c r="A1830" s="46"/>
      <c r="B1830" s="46"/>
      <c r="C1830" s="46" t="s">
        <v>418</v>
      </c>
      <c r="D1830" s="47" t="str">
        <f>[1]Source!H1631</f>
        <v>ШТ</v>
      </c>
      <c r="E1830" s="48">
        <f>[1]Source!I1631</f>
        <v>2</v>
      </c>
      <c r="F1830" s="49">
        <f>[1]Source!AL1631</f>
        <v>12541.49</v>
      </c>
      <c r="G1830" s="60"/>
      <c r="H1830" s="48">
        <f>[1]Source!AW1632</f>
        <v>1</v>
      </c>
      <c r="I1830" s="49">
        <f>[1]Source!P1631</f>
        <v>25082.98</v>
      </c>
      <c r="J1830" s="48">
        <f>IF([1]Source!BC1632&lt;&gt; 0, [1]Source!BC1632, 1)</f>
        <v>9.84</v>
      </c>
      <c r="K1830" s="49">
        <f>[1]Source!P1632</f>
        <v>246816.52</v>
      </c>
      <c r="L1830">
        <v>147606</v>
      </c>
      <c r="M1830" s="50">
        <f t="shared" si="0"/>
        <v>295212</v>
      </c>
      <c r="N1830" s="59" t="s">
        <v>180</v>
      </c>
      <c r="Q1830">
        <f>[1]Source!X1631</f>
        <v>0</v>
      </c>
      <c r="R1830">
        <f>[1]Source!X1632</f>
        <v>0</v>
      </c>
      <c r="S1830">
        <f>[1]Source!Y1631</f>
        <v>0</v>
      </c>
      <c r="T1830">
        <f>[1]Source!Y1632</f>
        <v>0</v>
      </c>
      <c r="U1830">
        <f>ROUND((175/100)*ROUND([1]Source!R1631, 2), 2)</f>
        <v>0</v>
      </c>
      <c r="V1830">
        <f>ROUND((0/100)*ROUND([1]Source!R1632, 2), 2)</f>
        <v>0</v>
      </c>
      <c r="AC1830">
        <v>3</v>
      </c>
    </row>
    <row r="1831" spans="1:29" ht="13.8" hidden="1" x14ac:dyDescent="0.25">
      <c r="C1831" s="39" t="s">
        <v>49</v>
      </c>
      <c r="H1831" s="40">
        <f>I1830+0</f>
        <v>25082.98</v>
      </c>
      <c r="I1831" s="40"/>
      <c r="J1831" s="40">
        <f>K1830+0</f>
        <v>246816.52</v>
      </c>
      <c r="K1831" s="40"/>
      <c r="O1831" s="42">
        <f>I1830+0</f>
        <v>25082.98</v>
      </c>
      <c r="P1831" s="42">
        <f>K1830+0</f>
        <v>246816.52</v>
      </c>
    </row>
    <row r="1832" spans="1:29" hidden="1" x14ac:dyDescent="0.25"/>
    <row r="1833" spans="1:29" ht="317.39999999999998" x14ac:dyDescent="0.25">
      <c r="A1833" s="53">
        <v>203</v>
      </c>
      <c r="B1833" s="53" t="str">
        <f>[1]Source!F1633</f>
        <v>КА 137</v>
      </c>
      <c r="C1833" s="53" t="s">
        <v>419</v>
      </c>
      <c r="D1833" s="54"/>
      <c r="E1833" s="55"/>
      <c r="F1833" s="30"/>
      <c r="G1833" s="31"/>
      <c r="H1833" s="29"/>
      <c r="I1833" s="30"/>
      <c r="J1833" s="29"/>
      <c r="K1833" s="56"/>
      <c r="M1833" s="50">
        <f t="shared" ref="M1833:M1834" si="1">L1833*E1833</f>
        <v>0</v>
      </c>
      <c r="N1833" s="59" t="s">
        <v>180</v>
      </c>
    </row>
    <row r="1834" spans="1:29" ht="54" x14ac:dyDescent="0.25">
      <c r="A1834" s="46"/>
      <c r="B1834" s="46"/>
      <c r="C1834" s="46" t="s">
        <v>420</v>
      </c>
      <c r="D1834" s="47" t="str">
        <f>[1]Source!H1633</f>
        <v>ШТ</v>
      </c>
      <c r="E1834" s="48">
        <f>[1]Source!I1633</f>
        <v>2</v>
      </c>
      <c r="F1834" s="49">
        <f>[1]Source!AL1633</f>
        <v>11121.71</v>
      </c>
      <c r="G1834" s="60"/>
      <c r="H1834" s="48">
        <f>[1]Source!AW1634</f>
        <v>1</v>
      </c>
      <c r="I1834" s="49">
        <f>[1]Source!P1633</f>
        <v>22243.42</v>
      </c>
      <c r="J1834" s="48">
        <f>IF([1]Source!BC1634&lt;&gt; 0, [1]Source!BC1634, 1)</f>
        <v>9.84</v>
      </c>
      <c r="K1834" s="49">
        <f>[1]Source!P1634</f>
        <v>218875.25</v>
      </c>
      <c r="L1834">
        <v>130896</v>
      </c>
      <c r="M1834" s="50">
        <f t="shared" si="1"/>
        <v>261792</v>
      </c>
      <c r="N1834" s="59" t="s">
        <v>180</v>
      </c>
      <c r="Q1834">
        <f>[1]Source!X1633</f>
        <v>0</v>
      </c>
      <c r="R1834">
        <f>[1]Source!X1634</f>
        <v>0</v>
      </c>
      <c r="S1834">
        <f>[1]Source!Y1633</f>
        <v>0</v>
      </c>
      <c r="T1834">
        <f>[1]Source!Y1634</f>
        <v>0</v>
      </c>
      <c r="U1834">
        <f>ROUND((175/100)*ROUND([1]Source!R1633, 2), 2)</f>
        <v>0</v>
      </c>
      <c r="V1834">
        <f>ROUND((0/100)*ROUND([1]Source!R1634, 2), 2)</f>
        <v>0</v>
      </c>
      <c r="AC1834">
        <v>3</v>
      </c>
    </row>
    <row r="1835" spans="1:29" ht="13.8" hidden="1" x14ac:dyDescent="0.25">
      <c r="C1835" s="39" t="s">
        <v>49</v>
      </c>
      <c r="H1835" s="40">
        <f>I1834+0</f>
        <v>22243.42</v>
      </c>
      <c r="I1835" s="40"/>
      <c r="J1835" s="40">
        <f>K1834+0</f>
        <v>218875.25</v>
      </c>
      <c r="K1835" s="40"/>
      <c r="O1835" s="42">
        <f>I1834+0</f>
        <v>22243.42</v>
      </c>
      <c r="P1835" s="42">
        <f>K1834+0</f>
        <v>218875.25</v>
      </c>
    </row>
    <row r="1836" spans="1:29" hidden="1" x14ac:dyDescent="0.25"/>
    <row r="1837" spans="1:29" ht="331.2" x14ac:dyDescent="0.25">
      <c r="A1837" s="53">
        <v>204</v>
      </c>
      <c r="B1837" s="53" t="str">
        <f>[1]Source!F1635</f>
        <v>КА 138</v>
      </c>
      <c r="C1837" s="53" t="s">
        <v>421</v>
      </c>
      <c r="D1837" s="54"/>
      <c r="E1837" s="55"/>
      <c r="F1837" s="30"/>
      <c r="G1837" s="31"/>
      <c r="H1837" s="29"/>
      <c r="I1837" s="30"/>
      <c r="J1837" s="29"/>
      <c r="K1837" s="56"/>
      <c r="M1837" s="50">
        <f t="shared" ref="M1837:M1838" si="2">L1837*E1837</f>
        <v>0</v>
      </c>
      <c r="N1837" s="59" t="s">
        <v>180</v>
      </c>
    </row>
    <row r="1838" spans="1:29" ht="67.8" x14ac:dyDescent="0.25">
      <c r="A1838" s="46"/>
      <c r="B1838" s="46"/>
      <c r="C1838" s="46" t="s">
        <v>422</v>
      </c>
      <c r="D1838" s="47" t="str">
        <f>[1]Source!H1635</f>
        <v>ШТ</v>
      </c>
      <c r="E1838" s="48">
        <f>[1]Source!I1635</f>
        <v>1</v>
      </c>
      <c r="F1838" s="49">
        <f>[1]Source!AL1635</f>
        <v>12666.390000000001</v>
      </c>
      <c r="G1838" s="60"/>
      <c r="H1838" s="48">
        <f>[1]Source!AW1636</f>
        <v>1</v>
      </c>
      <c r="I1838" s="49">
        <f>[1]Source!P1635</f>
        <v>12666.39</v>
      </c>
      <c r="J1838" s="48">
        <f>IF([1]Source!BC1636&lt;&gt; 0, [1]Source!BC1636, 1)</f>
        <v>9.84</v>
      </c>
      <c r="K1838" s="49">
        <f>[1]Source!P1636</f>
        <v>124637.28</v>
      </c>
      <c r="L1838">
        <v>149076</v>
      </c>
      <c r="M1838" s="50">
        <f t="shared" si="2"/>
        <v>149076</v>
      </c>
      <c r="N1838" s="59" t="s">
        <v>180</v>
      </c>
      <c r="Q1838">
        <f>[1]Source!X1635</f>
        <v>0</v>
      </c>
      <c r="R1838">
        <f>[1]Source!X1636</f>
        <v>0</v>
      </c>
      <c r="S1838">
        <f>[1]Source!Y1635</f>
        <v>0</v>
      </c>
      <c r="T1838">
        <f>[1]Source!Y1636</f>
        <v>0</v>
      </c>
      <c r="U1838">
        <f>ROUND((175/100)*ROUND([1]Source!R1635, 2), 2)</f>
        <v>0</v>
      </c>
      <c r="V1838">
        <f>ROUND((0/100)*ROUND([1]Source!R1636, 2), 2)</f>
        <v>0</v>
      </c>
      <c r="AC1838">
        <v>3</v>
      </c>
    </row>
    <row r="1839" spans="1:29" ht="13.8" hidden="1" x14ac:dyDescent="0.25">
      <c r="C1839" s="39" t="s">
        <v>49</v>
      </c>
      <c r="H1839" s="40">
        <f>I1838+0</f>
        <v>12666.39</v>
      </c>
      <c r="I1839" s="40"/>
      <c r="J1839" s="40">
        <f>K1838+0</f>
        <v>124637.28</v>
      </c>
      <c r="K1839" s="40"/>
      <c r="O1839" s="42">
        <f>I1838+0</f>
        <v>12666.39</v>
      </c>
      <c r="P1839" s="42">
        <f>K1838+0</f>
        <v>124637.28</v>
      </c>
    </row>
    <row r="1840" spans="1:29" hidden="1" x14ac:dyDescent="0.25"/>
    <row r="1841" spans="1:29" ht="43.2" hidden="1" x14ac:dyDescent="0.25">
      <c r="A1841" s="27">
        <v>205</v>
      </c>
      <c r="B1841" s="27" t="str">
        <f>[1]Source!F1637</f>
        <v>3.10-87-1</v>
      </c>
      <c r="C1841" s="27" t="s">
        <v>423</v>
      </c>
      <c r="D1841" s="28" t="str">
        <f>[1]Source!H1637</f>
        <v>10 комплектов</v>
      </c>
      <c r="E1841" s="29">
        <f>[1]Source!I1637</f>
        <v>1.7</v>
      </c>
      <c r="F1841" s="30"/>
      <c r="G1841" s="31"/>
      <c r="H1841" s="29"/>
      <c r="I1841" s="30"/>
      <c r="J1841" s="29"/>
      <c r="K1841" s="30"/>
      <c r="Q1841">
        <f>[1]Source!X1637</f>
        <v>231.66</v>
      </c>
      <c r="R1841">
        <f>[1]Source!X1638</f>
        <v>13053.78</v>
      </c>
      <c r="S1841">
        <f>[1]Source!Y1637</f>
        <v>112.25</v>
      </c>
      <c r="T1841">
        <f>[1]Source!Y1638</f>
        <v>6325.03</v>
      </c>
      <c r="U1841">
        <f>ROUND((175/100)*ROUND([1]Source!R1637, 2), 2)</f>
        <v>0</v>
      </c>
      <c r="V1841">
        <f>ROUND((0/100)*ROUND([1]Source!R1638, 2), 2)</f>
        <v>0</v>
      </c>
      <c r="AC1841">
        <v>0</v>
      </c>
    </row>
    <row r="1842" spans="1:29" hidden="1" x14ac:dyDescent="0.25">
      <c r="C1842" s="32" t="str">
        <f>"Объем: "&amp;[1]Source!I1637&amp;"=17/"&amp;"10"</f>
        <v>Объем: 1,7=17/10</v>
      </c>
    </row>
    <row r="1843" spans="1:29" ht="14.4" hidden="1" x14ac:dyDescent="0.25">
      <c r="A1843" s="27"/>
      <c r="B1843" s="27"/>
      <c r="C1843" s="27" t="s">
        <v>36</v>
      </c>
      <c r="D1843" s="28"/>
      <c r="E1843" s="29"/>
      <c r="F1843" s="30">
        <f>[1]Source!AO1637</f>
        <v>97.23</v>
      </c>
      <c r="G1843" s="31" t="s">
        <v>37</v>
      </c>
      <c r="H1843" s="29">
        <f>[1]Source!AV1638</f>
        <v>1.0469999999999999</v>
      </c>
      <c r="I1843" s="30">
        <f>[1]Source!S1637</f>
        <v>238.82</v>
      </c>
      <c r="J1843" s="29">
        <f>IF([1]Source!BA1638&lt;&gt; 0, [1]Source!BA1638, 1)</f>
        <v>56.35</v>
      </c>
      <c r="K1843" s="30">
        <f>[1]Source!S1638</f>
        <v>13457.51</v>
      </c>
    </row>
    <row r="1844" spans="1:29" ht="14.4" hidden="1" x14ac:dyDescent="0.25">
      <c r="A1844" s="27"/>
      <c r="B1844" s="27"/>
      <c r="C1844" s="27" t="s">
        <v>38</v>
      </c>
      <c r="D1844" s="28"/>
      <c r="E1844" s="29"/>
      <c r="F1844" s="30">
        <f>[1]Source!AM1637</f>
        <v>1.01</v>
      </c>
      <c r="G1844" s="31" t="s">
        <v>39</v>
      </c>
      <c r="H1844" s="29">
        <f>[1]Source!AV1638</f>
        <v>1.0469999999999999</v>
      </c>
      <c r="I1844" s="30">
        <f>[1]Source!Q1637</f>
        <v>2.7</v>
      </c>
      <c r="J1844" s="29">
        <f>IF([1]Source!BB1638&lt;&gt; 0, [1]Source!BB1638, 1)</f>
        <v>9.59</v>
      </c>
      <c r="K1844" s="30">
        <f>[1]Source!Q1638</f>
        <v>25.89</v>
      </c>
    </row>
    <row r="1845" spans="1:29" ht="69" hidden="1" x14ac:dyDescent="0.25">
      <c r="A1845" s="27" t="s">
        <v>424</v>
      </c>
      <c r="B1845" s="27" t="str">
        <f>[1]Source!F1639</f>
        <v>1.8-3-19</v>
      </c>
      <c r="C1845" s="27" t="s">
        <v>425</v>
      </c>
      <c r="D1845" s="28" t="str">
        <f>[1]Source!H1639</f>
        <v>КОМПЛЕКТ</v>
      </c>
      <c r="E1845" s="29">
        <f>[1]Source!I1639</f>
        <v>17</v>
      </c>
      <c r="F1845" s="30">
        <f>[1]Source!AK1639</f>
        <v>1296.7</v>
      </c>
      <c r="G1845" s="43" t="s">
        <v>54</v>
      </c>
      <c r="H1845" s="29">
        <f>[1]Source!AW1640</f>
        <v>1</v>
      </c>
      <c r="I1845" s="30">
        <f>[1]Source!O1639</f>
        <v>22043.9</v>
      </c>
      <c r="J1845" s="29">
        <f>IF([1]Source!BC1640&lt;&gt; 0, [1]Source!BC1640, 1)</f>
        <v>11.27</v>
      </c>
      <c r="K1845" s="30">
        <f>[1]Source!O1640</f>
        <v>248434.75</v>
      </c>
      <c r="Q1845">
        <f>[1]Source!X1639</f>
        <v>0</v>
      </c>
      <c r="R1845">
        <f>[1]Source!X1640</f>
        <v>0</v>
      </c>
      <c r="S1845">
        <f>[1]Source!Y1639</f>
        <v>0</v>
      </c>
      <c r="T1845">
        <f>[1]Source!Y1640</f>
        <v>0</v>
      </c>
      <c r="U1845">
        <f>ROUND((175/100)*ROUND([1]Source!R1639, 2), 2)</f>
        <v>0</v>
      </c>
      <c r="V1845">
        <f>ROUND((0/100)*ROUND([1]Source!R1640, 2), 2)</f>
        <v>0</v>
      </c>
      <c r="AC1845">
        <v>3</v>
      </c>
    </row>
    <row r="1846" spans="1:29" ht="14.4" hidden="1" x14ac:dyDescent="0.25">
      <c r="A1846" s="27"/>
      <c r="B1846" s="27"/>
      <c r="C1846" s="27" t="s">
        <v>42</v>
      </c>
      <c r="D1846" s="28" t="s">
        <v>43</v>
      </c>
      <c r="E1846" s="29">
        <f>[1]Source!BZ1638</f>
        <v>97</v>
      </c>
      <c r="F1846" s="30"/>
      <c r="G1846" s="31"/>
      <c r="H1846" s="29"/>
      <c r="I1846" s="30">
        <f>SUM(Q1841:Q1845)</f>
        <v>231.66</v>
      </c>
      <c r="J1846" s="29">
        <f>[1]Source!AT1638</f>
        <v>97</v>
      </c>
      <c r="K1846" s="30">
        <f>SUM(R1841:R1845)</f>
        <v>13053.78</v>
      </c>
    </row>
    <row r="1847" spans="1:29" ht="14.4" hidden="1" x14ac:dyDescent="0.25">
      <c r="A1847" s="27"/>
      <c r="B1847" s="27"/>
      <c r="C1847" s="27" t="s">
        <v>44</v>
      </c>
      <c r="D1847" s="28" t="s">
        <v>43</v>
      </c>
      <c r="E1847" s="29">
        <f>[1]Source!CA1638</f>
        <v>47</v>
      </c>
      <c r="F1847" s="30"/>
      <c r="G1847" s="31"/>
      <c r="H1847" s="29"/>
      <c r="I1847" s="30">
        <f>SUM(S1841:S1846)</f>
        <v>112.25</v>
      </c>
      <c r="J1847" s="29">
        <f>[1]Source!AU1638</f>
        <v>47</v>
      </c>
      <c r="K1847" s="30">
        <f>SUM(T1841:T1846)</f>
        <v>6325.03</v>
      </c>
    </row>
    <row r="1848" spans="1:29" ht="14.4" hidden="1" x14ac:dyDescent="0.25">
      <c r="A1848" s="34"/>
      <c r="B1848" s="34"/>
      <c r="C1848" s="34" t="s">
        <v>45</v>
      </c>
      <c r="D1848" s="35" t="s">
        <v>46</v>
      </c>
      <c r="E1848" s="36">
        <f>[1]Source!AQ1637</f>
        <v>8.18</v>
      </c>
      <c r="F1848" s="37"/>
      <c r="G1848" s="38" t="s">
        <v>37</v>
      </c>
      <c r="H1848" s="36">
        <f>[1]Source!AV1638</f>
        <v>1.0469999999999999</v>
      </c>
      <c r="I1848" s="37">
        <f>[1]Source!U1637</f>
        <v>20.092223159999993</v>
      </c>
      <c r="J1848" s="36"/>
      <c r="K1848" s="37"/>
    </row>
    <row r="1849" spans="1:29" ht="13.8" hidden="1" x14ac:dyDescent="0.25">
      <c r="C1849" s="39" t="s">
        <v>47</v>
      </c>
      <c r="H1849" s="40">
        <f>I1843+I1844+I1846+I1847+SUM(I1845:I1845)-SUMIF(AC1845:AC1845, 5, I1845:I1845)-SUMIF(AC1845:AC1845, 6, I1845:I1845)</f>
        <v>22629.33</v>
      </c>
      <c r="I1849" s="40"/>
      <c r="J1849" s="40">
        <f>K1843+K1844+K1846+K1847+SUM(K1845:K1845)-SUMIF(AC1845:AC1845, 5, K1845:K1845)-SUMIF(AC1845:AC1845, 6, K1845:K1845)</f>
        <v>281296.96000000002</v>
      </c>
      <c r="K1849" s="40"/>
    </row>
    <row r="1850" spans="1:29" ht="13.8" hidden="1" x14ac:dyDescent="0.25">
      <c r="C1850" s="39" t="s">
        <v>48</v>
      </c>
      <c r="H1850" s="41">
        <f>SUMIF(AC1845:AC1845, 5, I1845:I1845)+SUMIF(AC1845:AC1845, 6, I1845:I1845)</f>
        <v>0</v>
      </c>
      <c r="I1850" s="41"/>
      <c r="J1850" s="41">
        <f>SUMIF(AC1845:AC1845, 5, K1845:K1845)+SUMIF(AC1845:AC1845, 6, K1845:K1845)</f>
        <v>0</v>
      </c>
      <c r="K1850" s="41"/>
    </row>
    <row r="1851" spans="1:29" ht="13.8" hidden="1" x14ac:dyDescent="0.25">
      <c r="C1851" s="39" t="s">
        <v>49</v>
      </c>
      <c r="H1851" s="41">
        <f>I1843+I1844+I1846+I1847+SUM(I1845:I1845)</f>
        <v>22629.33</v>
      </c>
      <c r="I1851" s="41"/>
      <c r="J1851" s="41">
        <f>K1843+K1844+K1846+K1847+SUM(K1845:K1845)</f>
        <v>281296.96000000002</v>
      </c>
      <c r="K1851" s="41"/>
      <c r="O1851" s="42">
        <f>I1843+I1844+I1846+I1847+SUM(I1845:I1845)</f>
        <v>22629.33</v>
      </c>
      <c r="P1851" s="42">
        <f>K1843+K1844+K1846+K1847+SUM(K1845:K1845)</f>
        <v>281296.96000000002</v>
      </c>
    </row>
    <row r="1852" spans="1:29" hidden="1" x14ac:dyDescent="0.25"/>
    <row r="1853" spans="1:29" ht="41.4" hidden="1" x14ac:dyDescent="0.25">
      <c r="A1853" s="27">
        <v>206</v>
      </c>
      <c r="B1853" s="27" t="str">
        <f>[1]Source!F1641</f>
        <v>3.9-90-1</v>
      </c>
      <c r="C1853" s="27" t="s">
        <v>426</v>
      </c>
      <c r="D1853" s="28" t="str">
        <f>[1]Source!H1641</f>
        <v>100 шт.</v>
      </c>
      <c r="E1853" s="29">
        <f>[1]Source!I1641</f>
        <v>0.17</v>
      </c>
      <c r="F1853" s="30"/>
      <c r="G1853" s="31"/>
      <c r="H1853" s="29"/>
      <c r="I1853" s="30"/>
      <c r="J1853" s="29"/>
      <c r="K1853" s="30"/>
      <c r="Q1853">
        <f>[1]Source!X1641</f>
        <v>31.4</v>
      </c>
      <c r="R1853">
        <f>[1]Source!X1642</f>
        <v>1769.34</v>
      </c>
      <c r="S1853">
        <f>[1]Source!Y1641</f>
        <v>19.809999999999999</v>
      </c>
      <c r="T1853">
        <f>[1]Source!Y1642</f>
        <v>1116.3699999999999</v>
      </c>
      <c r="U1853">
        <f>ROUND((175/100)*ROUND([1]Source!R1641, 2), 2)</f>
        <v>1.1000000000000001</v>
      </c>
      <c r="V1853">
        <f>ROUND((0/100)*ROUND([1]Source!R1642, 2), 2)</f>
        <v>0</v>
      </c>
      <c r="AC1853">
        <v>0</v>
      </c>
    </row>
    <row r="1854" spans="1:29" hidden="1" x14ac:dyDescent="0.25">
      <c r="C1854" s="32" t="str">
        <f>"Объем: "&amp;[1]Source!I1641&amp;"=17/"&amp;"100"</f>
        <v>Объем: 0,17=17/100</v>
      </c>
    </row>
    <row r="1855" spans="1:29" ht="14.4" hidden="1" x14ac:dyDescent="0.25">
      <c r="A1855" s="27"/>
      <c r="B1855" s="27"/>
      <c r="C1855" s="27" t="s">
        <v>36</v>
      </c>
      <c r="D1855" s="28"/>
      <c r="E1855" s="29"/>
      <c r="F1855" s="30">
        <f>[1]Source!AO1641</f>
        <v>144.13</v>
      </c>
      <c r="G1855" s="31" t="s">
        <v>37</v>
      </c>
      <c r="H1855" s="29">
        <f>[1]Source!AV1642</f>
        <v>1.087</v>
      </c>
      <c r="I1855" s="30">
        <f>[1]Source!S1641</f>
        <v>36.75</v>
      </c>
      <c r="J1855" s="29">
        <f>IF([1]Source!BA1642&lt;&gt; 0, [1]Source!BA1642, 1)</f>
        <v>56.35</v>
      </c>
      <c r="K1855" s="30">
        <f>[1]Source!S1642</f>
        <v>2070.86</v>
      </c>
    </row>
    <row r="1856" spans="1:29" ht="14.4" hidden="1" x14ac:dyDescent="0.25">
      <c r="A1856" s="27"/>
      <c r="B1856" s="27"/>
      <c r="C1856" s="27" t="s">
        <v>38</v>
      </c>
      <c r="D1856" s="28"/>
      <c r="E1856" s="29"/>
      <c r="F1856" s="30">
        <f>[1]Source!AM1641</f>
        <v>18.690000000000001</v>
      </c>
      <c r="G1856" s="31" t="s">
        <v>39</v>
      </c>
      <c r="H1856" s="29">
        <f>[1]Source!AV1642</f>
        <v>1.087</v>
      </c>
      <c r="I1856" s="30">
        <f>[1]Source!Q1641</f>
        <v>5.18</v>
      </c>
      <c r="J1856" s="29">
        <f>IF([1]Source!BB1642&lt;&gt; 0, [1]Source!BB1642, 1)</f>
        <v>15.58</v>
      </c>
      <c r="K1856" s="30">
        <f>[1]Source!Q1642</f>
        <v>80.7</v>
      </c>
    </row>
    <row r="1857" spans="1:29" ht="14.4" hidden="1" x14ac:dyDescent="0.25">
      <c r="A1857" s="27"/>
      <c r="B1857" s="27"/>
      <c r="C1857" s="27" t="s">
        <v>40</v>
      </c>
      <c r="D1857" s="28"/>
      <c r="E1857" s="29"/>
      <c r="F1857" s="30">
        <f>[1]Source!AN1641</f>
        <v>2.27</v>
      </c>
      <c r="G1857" s="31" t="s">
        <v>39</v>
      </c>
      <c r="H1857" s="29">
        <f>[1]Source!AV1642</f>
        <v>1.087</v>
      </c>
      <c r="I1857" s="33">
        <f>[1]Source!R1641</f>
        <v>0.63</v>
      </c>
      <c r="J1857" s="29">
        <f>IF([1]Source!BS1642&lt;&gt; 0, [1]Source!BS1642, 1)</f>
        <v>56.35</v>
      </c>
      <c r="K1857" s="33">
        <f>[1]Source!R1642</f>
        <v>35.5</v>
      </c>
    </row>
    <row r="1858" spans="1:29" ht="14.4" hidden="1" x14ac:dyDescent="0.25">
      <c r="A1858" s="27"/>
      <c r="B1858" s="27"/>
      <c r="C1858" s="27" t="s">
        <v>41</v>
      </c>
      <c r="D1858" s="28"/>
      <c r="E1858" s="29"/>
      <c r="F1858" s="30">
        <f>[1]Source!AL1641</f>
        <v>132.34</v>
      </c>
      <c r="G1858" s="31"/>
      <c r="H1858" s="29">
        <f>[1]Source!AW1642</f>
        <v>1</v>
      </c>
      <c r="I1858" s="30">
        <f>[1]Source!P1641</f>
        <v>22.5</v>
      </c>
      <c r="J1858" s="29">
        <f>IF([1]Source!BC1642&lt;&gt; 0, [1]Source!BC1642, 1)</f>
        <v>3.46</v>
      </c>
      <c r="K1858" s="30">
        <f>[1]Source!P1642</f>
        <v>77.849999999999994</v>
      </c>
    </row>
    <row r="1859" spans="1:29" ht="27.6" hidden="1" x14ac:dyDescent="0.25">
      <c r="A1859" s="27" t="s">
        <v>427</v>
      </c>
      <c r="B1859" s="27" t="str">
        <f>[1]Source!F1643</f>
        <v>1.8-1-75</v>
      </c>
      <c r="C1859" s="27" t="s">
        <v>428</v>
      </c>
      <c r="D1859" s="28" t="str">
        <f>[1]Source!H1643</f>
        <v>шт.</v>
      </c>
      <c r="E1859" s="29">
        <f>[1]Source!I1643</f>
        <v>17</v>
      </c>
      <c r="F1859" s="30">
        <f>[1]Source!AK1643</f>
        <v>272.63</v>
      </c>
      <c r="G1859" s="43" t="s">
        <v>54</v>
      </c>
      <c r="H1859" s="29">
        <f>[1]Source!AW1644</f>
        <v>1</v>
      </c>
      <c r="I1859" s="30">
        <f>[1]Source!O1643</f>
        <v>4634.71</v>
      </c>
      <c r="J1859" s="29">
        <f>IF([1]Source!BC1644&lt;&gt; 0, [1]Source!BC1644, 1)</f>
        <v>11.5</v>
      </c>
      <c r="K1859" s="30">
        <f>[1]Source!O1644</f>
        <v>53299.17</v>
      </c>
      <c r="Q1859">
        <f>[1]Source!X1643</f>
        <v>0</v>
      </c>
      <c r="R1859">
        <f>[1]Source!X1644</f>
        <v>0</v>
      </c>
      <c r="S1859">
        <f>[1]Source!Y1643</f>
        <v>0</v>
      </c>
      <c r="T1859">
        <f>[1]Source!Y1644</f>
        <v>0</v>
      </c>
      <c r="U1859">
        <f>ROUND((175/100)*ROUND([1]Source!R1643, 2), 2)</f>
        <v>0</v>
      </c>
      <c r="V1859">
        <f>ROUND((0/100)*ROUND([1]Source!R1644, 2), 2)</f>
        <v>0</v>
      </c>
      <c r="AC1859">
        <v>3</v>
      </c>
    </row>
    <row r="1860" spans="1:29" ht="14.4" hidden="1" x14ac:dyDescent="0.25">
      <c r="A1860" s="27"/>
      <c r="B1860" s="27"/>
      <c r="C1860" s="27" t="s">
        <v>42</v>
      </c>
      <c r="D1860" s="28" t="s">
        <v>43</v>
      </c>
      <c r="E1860" s="29">
        <f>[1]Source!BZ1642</f>
        <v>84</v>
      </c>
      <c r="F1860" s="30"/>
      <c r="G1860" s="31"/>
      <c r="H1860" s="29"/>
      <c r="I1860" s="30">
        <f>SUM(Q1853:Q1859)</f>
        <v>31.4</v>
      </c>
      <c r="J1860" s="29">
        <f>[1]Source!AT1642</f>
        <v>84</v>
      </c>
      <c r="K1860" s="30">
        <f>SUM(R1853:R1859)</f>
        <v>1769.34</v>
      </c>
    </row>
    <row r="1861" spans="1:29" ht="14.4" hidden="1" x14ac:dyDescent="0.25">
      <c r="A1861" s="27"/>
      <c r="B1861" s="27"/>
      <c r="C1861" s="27" t="s">
        <v>44</v>
      </c>
      <c r="D1861" s="28" t="s">
        <v>43</v>
      </c>
      <c r="E1861" s="29">
        <f>[1]Source!CA1642</f>
        <v>53</v>
      </c>
      <c r="F1861" s="30"/>
      <c r="G1861" s="31"/>
      <c r="H1861" s="29"/>
      <c r="I1861" s="30">
        <f>SUM(S1853:S1860)</f>
        <v>19.809999999999999</v>
      </c>
      <c r="J1861" s="29">
        <f>[1]Source!AU1642</f>
        <v>53</v>
      </c>
      <c r="K1861" s="30">
        <f>SUM(T1853:T1860)</f>
        <v>1116.3699999999999</v>
      </c>
    </row>
    <row r="1862" spans="1:29" ht="14.4" hidden="1" x14ac:dyDescent="0.25">
      <c r="A1862" s="34"/>
      <c r="B1862" s="34"/>
      <c r="C1862" s="34" t="s">
        <v>45</v>
      </c>
      <c r="D1862" s="35" t="s">
        <v>46</v>
      </c>
      <c r="E1862" s="36">
        <f>[1]Source!AQ1641</f>
        <v>11.57</v>
      </c>
      <c r="F1862" s="37"/>
      <c r="G1862" s="38" t="s">
        <v>37</v>
      </c>
      <c r="H1862" s="36">
        <f>[1]Source!AV1642</f>
        <v>1.087</v>
      </c>
      <c r="I1862" s="37">
        <f>[1]Source!U1641</f>
        <v>2.9504680140000001</v>
      </c>
      <c r="J1862" s="36"/>
      <c r="K1862" s="37"/>
    </row>
    <row r="1863" spans="1:29" ht="13.8" hidden="1" x14ac:dyDescent="0.25">
      <c r="C1863" s="39" t="s">
        <v>47</v>
      </c>
      <c r="H1863" s="40">
        <f>I1855+I1856+I1858+I1860+I1861+SUM(I1859:I1859)-SUMIF(AC1859:AC1859, 5, I1859:I1859)-SUMIF(AC1859:AC1859, 6, I1859:I1859)</f>
        <v>4750.3500000000004</v>
      </c>
      <c r="I1863" s="40"/>
      <c r="J1863" s="40">
        <f>K1855+K1856+K1858+K1860+K1861+SUM(K1859:K1859)-SUMIF(AC1859:AC1859, 5, K1859:K1859)-SUMIF(AC1859:AC1859, 6, K1859:K1859)</f>
        <v>58414.29</v>
      </c>
      <c r="K1863" s="40"/>
    </row>
    <row r="1864" spans="1:29" ht="13.8" hidden="1" x14ac:dyDescent="0.25">
      <c r="C1864" s="39" t="s">
        <v>48</v>
      </c>
      <c r="H1864" s="41">
        <f>SUMIF(AC1859:AC1859, 5, I1859:I1859)+SUMIF(AC1859:AC1859, 6, I1859:I1859)</f>
        <v>0</v>
      </c>
      <c r="I1864" s="41"/>
      <c r="J1864" s="41">
        <f>SUMIF(AC1859:AC1859, 5, K1859:K1859)+SUMIF(AC1859:AC1859, 6, K1859:K1859)</f>
        <v>0</v>
      </c>
      <c r="K1864" s="41"/>
    </row>
    <row r="1865" spans="1:29" ht="13.8" hidden="1" x14ac:dyDescent="0.25">
      <c r="C1865" s="39" t="s">
        <v>49</v>
      </c>
      <c r="H1865" s="41">
        <f>I1855+I1856+I1858+I1860+I1861+SUM(I1859:I1859)</f>
        <v>4750.3500000000004</v>
      </c>
      <c r="I1865" s="41"/>
      <c r="J1865" s="41">
        <f>K1855+K1856+K1858+K1860+K1861+SUM(K1859:K1859)</f>
        <v>58414.29</v>
      </c>
      <c r="K1865" s="41"/>
      <c r="O1865" s="42">
        <f>I1855+I1856+I1858+I1860+I1861+SUM(I1859:I1859)</f>
        <v>4750.3500000000004</v>
      </c>
      <c r="P1865" s="42">
        <f>K1855+K1856+K1858+K1860+K1861+SUM(K1859:K1859)</f>
        <v>58414.29</v>
      </c>
    </row>
    <row r="1866" spans="1:29" hidden="1" x14ac:dyDescent="0.25"/>
    <row r="1867" spans="1:29" hidden="1" x14ac:dyDescent="0.25"/>
    <row r="1868" spans="1:29" ht="13.8" hidden="1" x14ac:dyDescent="0.25">
      <c r="A1868" s="44" t="str">
        <f>CONCATENATE("Итого по подразделу: ",IF([1]Source!G1646&lt;&gt;"Новый подраздел", [1]Source!G1646, ""))</f>
        <v>Итого по подразделу: Монтажные работы. Алюминиевые двери</v>
      </c>
      <c r="B1868" s="44"/>
      <c r="C1868" s="44"/>
      <c r="D1868" s="44"/>
      <c r="E1868" s="44"/>
      <c r="F1868" s="44"/>
      <c r="G1868" s="44"/>
      <c r="H1868" s="41">
        <f>SUM(O1772:O1867)</f>
        <v>168384.93999999997</v>
      </c>
      <c r="I1868" s="45"/>
      <c r="J1868" s="41">
        <f>SUM(P1772:P1867)</f>
        <v>1851488.47</v>
      </c>
      <c r="K1868" s="45"/>
    </row>
    <row r="1869" spans="1:29" hidden="1" x14ac:dyDescent="0.25">
      <c r="A1869" t="s">
        <v>55</v>
      </c>
      <c r="I1869">
        <f>SUM(W1772:W1868)</f>
        <v>0</v>
      </c>
      <c r="J1869">
        <f>SUM(X1772:X1868)</f>
        <v>0</v>
      </c>
    </row>
    <row r="1870" spans="1:29" hidden="1" x14ac:dyDescent="0.25">
      <c r="A1870" t="s">
        <v>56</v>
      </c>
      <c r="I1870">
        <f>SUM(Y1772:Y1869)</f>
        <v>0</v>
      </c>
      <c r="J1870">
        <f>SUM(Z1772:Z1869)</f>
        <v>0</v>
      </c>
    </row>
    <row r="1871" spans="1:29" hidden="1" x14ac:dyDescent="0.25"/>
    <row r="1872" spans="1:29" ht="16.8" hidden="1" x14ac:dyDescent="0.25">
      <c r="A1872" s="11" t="str">
        <f>CONCATENATE("Подраздел: ",IF([1]Source!G1676&lt;&gt;"Новый подраздел", [1]Source!G1676, ""))</f>
        <v>Подраздел: Монтажные работы. Металлические двери.</v>
      </c>
      <c r="B1872" s="11"/>
      <c r="C1872" s="11"/>
      <c r="D1872" s="11"/>
      <c r="E1872" s="11"/>
      <c r="F1872" s="11"/>
      <c r="G1872" s="11"/>
      <c r="H1872" s="11"/>
      <c r="I1872" s="11"/>
      <c r="J1872" s="11"/>
      <c r="K1872" s="11"/>
    </row>
    <row r="1873" spans="1:29" ht="41.4" hidden="1" x14ac:dyDescent="0.25">
      <c r="A1873" s="27">
        <v>207</v>
      </c>
      <c r="B1873" s="27" t="str">
        <f>[1]Source!F1680</f>
        <v>3.9-74-1</v>
      </c>
      <c r="C1873" s="27" t="s">
        <v>429</v>
      </c>
      <c r="D1873" s="28" t="str">
        <f>[1]Source!H1680</f>
        <v>10 шт.</v>
      </c>
      <c r="E1873" s="29">
        <f>[1]Source!I1680</f>
        <v>0.4</v>
      </c>
      <c r="F1873" s="30"/>
      <c r="G1873" s="31"/>
      <c r="H1873" s="29"/>
      <c r="I1873" s="30"/>
      <c r="J1873" s="29"/>
      <c r="K1873" s="30"/>
      <c r="Q1873">
        <f>[1]Source!X1680</f>
        <v>113.17</v>
      </c>
      <c r="R1873">
        <f>[1]Source!X1681</f>
        <v>6377.31</v>
      </c>
      <c r="S1873">
        <f>[1]Source!Y1680</f>
        <v>71.41</v>
      </c>
      <c r="T1873">
        <f>[1]Source!Y1681</f>
        <v>4023.78</v>
      </c>
      <c r="U1873">
        <f>ROUND((175/100)*ROUND([1]Source!R1680, 2), 2)</f>
        <v>19.579999999999998</v>
      </c>
      <c r="V1873">
        <f>ROUND((0/100)*ROUND([1]Source!R1681, 2), 2)</f>
        <v>0</v>
      </c>
      <c r="AC1873">
        <v>0</v>
      </c>
    </row>
    <row r="1874" spans="1:29" hidden="1" x14ac:dyDescent="0.25">
      <c r="C1874" s="32" t="str">
        <f>"Объем: "&amp;[1]Source!I1680&amp;"=4/"&amp;"10"</f>
        <v>Объем: 0,4=4/10</v>
      </c>
    </row>
    <row r="1875" spans="1:29" ht="14.4" hidden="1" x14ac:dyDescent="0.25">
      <c r="A1875" s="27"/>
      <c r="B1875" s="27"/>
      <c r="C1875" s="27" t="s">
        <v>36</v>
      </c>
      <c r="D1875" s="28"/>
      <c r="E1875" s="29"/>
      <c r="F1875" s="30">
        <f>[1]Source!AO1680</f>
        <v>205.89</v>
      </c>
      <c r="G1875" s="31" t="s">
        <v>37</v>
      </c>
      <c r="H1875" s="29">
        <f>[1]Source!AV1681</f>
        <v>1.087</v>
      </c>
      <c r="I1875" s="30">
        <f>[1]Source!S1680</f>
        <v>123.54</v>
      </c>
      <c r="J1875" s="29">
        <f>IF([1]Source!BA1681&lt;&gt; 0, [1]Source!BA1681, 1)</f>
        <v>56.35</v>
      </c>
      <c r="K1875" s="30">
        <f>[1]Source!S1681</f>
        <v>6961.48</v>
      </c>
    </row>
    <row r="1876" spans="1:29" ht="14.4" hidden="1" x14ac:dyDescent="0.25">
      <c r="A1876" s="27"/>
      <c r="B1876" s="27"/>
      <c r="C1876" s="27" t="s">
        <v>38</v>
      </c>
      <c r="D1876" s="28"/>
      <c r="E1876" s="29"/>
      <c r="F1876" s="30">
        <f>[1]Source!AM1680</f>
        <v>113.73</v>
      </c>
      <c r="G1876" s="31" t="s">
        <v>39</v>
      </c>
      <c r="H1876" s="29">
        <f>[1]Source!AV1681</f>
        <v>1.087</v>
      </c>
      <c r="I1876" s="30">
        <f>[1]Source!Q1680</f>
        <v>74.17</v>
      </c>
      <c r="J1876" s="29">
        <f>IF([1]Source!BB1681&lt;&gt; 0, [1]Source!BB1681, 1)</f>
        <v>17.02</v>
      </c>
      <c r="K1876" s="30">
        <f>[1]Source!Q1681</f>
        <v>1262.3699999999999</v>
      </c>
    </row>
    <row r="1877" spans="1:29" ht="14.4" hidden="1" x14ac:dyDescent="0.25">
      <c r="A1877" s="27"/>
      <c r="B1877" s="27"/>
      <c r="C1877" s="27" t="s">
        <v>40</v>
      </c>
      <c r="D1877" s="28"/>
      <c r="E1877" s="29"/>
      <c r="F1877" s="30">
        <f>[1]Source!AN1680</f>
        <v>17.16</v>
      </c>
      <c r="G1877" s="31" t="s">
        <v>39</v>
      </c>
      <c r="H1877" s="29">
        <f>[1]Source!AV1681</f>
        <v>1.087</v>
      </c>
      <c r="I1877" s="33">
        <f>[1]Source!R1680</f>
        <v>11.19</v>
      </c>
      <c r="J1877" s="29">
        <f>IF([1]Source!BS1681&lt;&gt; 0, [1]Source!BS1681, 1)</f>
        <v>56.35</v>
      </c>
      <c r="K1877" s="33">
        <f>[1]Source!R1681</f>
        <v>630.55999999999995</v>
      </c>
    </row>
    <row r="1878" spans="1:29" ht="14.4" hidden="1" x14ac:dyDescent="0.25">
      <c r="A1878" s="27"/>
      <c r="B1878" s="27"/>
      <c r="C1878" s="27" t="s">
        <v>41</v>
      </c>
      <c r="D1878" s="28"/>
      <c r="E1878" s="29"/>
      <c r="F1878" s="30">
        <f>[1]Source!AL1680</f>
        <v>487.88</v>
      </c>
      <c r="G1878" s="31"/>
      <c r="H1878" s="29">
        <f>[1]Source!AW1681</f>
        <v>1</v>
      </c>
      <c r="I1878" s="30">
        <f>[1]Source!P1680</f>
        <v>195.15</v>
      </c>
      <c r="J1878" s="29">
        <f>IF([1]Source!BC1681&lt;&gt; 0, [1]Source!BC1681, 1)</f>
        <v>6.4</v>
      </c>
      <c r="K1878" s="30">
        <f>[1]Source!P1681</f>
        <v>1248.96</v>
      </c>
    </row>
    <row r="1879" spans="1:29" ht="14.4" hidden="1" x14ac:dyDescent="0.25">
      <c r="A1879" s="27"/>
      <c r="B1879" s="27"/>
      <c r="C1879" s="27" t="s">
        <v>42</v>
      </c>
      <c r="D1879" s="28" t="s">
        <v>43</v>
      </c>
      <c r="E1879" s="29">
        <f>[1]Source!BZ1681</f>
        <v>84</v>
      </c>
      <c r="F1879" s="30"/>
      <c r="G1879" s="31"/>
      <c r="H1879" s="29"/>
      <c r="I1879" s="30">
        <f>SUM(Q1873:Q1878)</f>
        <v>113.17</v>
      </c>
      <c r="J1879" s="29">
        <f>[1]Source!AT1681</f>
        <v>84</v>
      </c>
      <c r="K1879" s="30">
        <f>SUM(R1873:R1878)</f>
        <v>6377.31</v>
      </c>
    </row>
    <row r="1880" spans="1:29" ht="14.4" hidden="1" x14ac:dyDescent="0.25">
      <c r="A1880" s="27"/>
      <c r="B1880" s="27"/>
      <c r="C1880" s="27" t="s">
        <v>44</v>
      </c>
      <c r="D1880" s="28" t="s">
        <v>43</v>
      </c>
      <c r="E1880" s="29">
        <f>[1]Source!CA1681</f>
        <v>53</v>
      </c>
      <c r="F1880" s="30"/>
      <c r="G1880" s="31"/>
      <c r="H1880" s="29"/>
      <c r="I1880" s="30">
        <f>SUM(S1873:S1879)</f>
        <v>71.41</v>
      </c>
      <c r="J1880" s="29">
        <f>[1]Source!AU1681</f>
        <v>53</v>
      </c>
      <c r="K1880" s="30">
        <f>SUM(T1873:T1879)</f>
        <v>4023.78</v>
      </c>
    </row>
    <row r="1881" spans="1:29" ht="14.4" hidden="1" x14ac:dyDescent="0.25">
      <c r="A1881" s="34"/>
      <c r="B1881" s="34"/>
      <c r="C1881" s="34" t="s">
        <v>45</v>
      </c>
      <c r="D1881" s="35" t="s">
        <v>46</v>
      </c>
      <c r="E1881" s="36">
        <f>[1]Source!AQ1680</f>
        <v>18.38</v>
      </c>
      <c r="F1881" s="37"/>
      <c r="G1881" s="38" t="s">
        <v>37</v>
      </c>
      <c r="H1881" s="36">
        <f>[1]Source!AV1681</f>
        <v>1.087</v>
      </c>
      <c r="I1881" s="37">
        <f>[1]Source!U1680</f>
        <v>11.028441119999998</v>
      </c>
      <c r="J1881" s="36"/>
      <c r="K1881" s="37"/>
    </row>
    <row r="1882" spans="1:29" ht="13.8" hidden="1" x14ac:dyDescent="0.25">
      <c r="C1882" s="39" t="s">
        <v>47</v>
      </c>
      <c r="H1882" s="40">
        <f>I1875+I1876+I1878+I1879+I1880+0-0-0</f>
        <v>577.44000000000005</v>
      </c>
      <c r="I1882" s="40"/>
      <c r="J1882" s="40">
        <f>K1875+K1876+K1878+K1879+K1880+0-0-0</f>
        <v>19873.899999999998</v>
      </c>
      <c r="K1882" s="40"/>
    </row>
    <row r="1883" spans="1:29" ht="13.8" hidden="1" x14ac:dyDescent="0.25">
      <c r="C1883" s="39" t="s">
        <v>48</v>
      </c>
      <c r="H1883" s="41">
        <f>0+0</f>
        <v>0</v>
      </c>
      <c r="I1883" s="41"/>
      <c r="J1883" s="41">
        <f>0+0</f>
        <v>0</v>
      </c>
      <c r="K1883" s="41"/>
    </row>
    <row r="1884" spans="1:29" ht="13.8" hidden="1" x14ac:dyDescent="0.25">
      <c r="C1884" s="39" t="s">
        <v>49</v>
      </c>
      <c r="H1884" s="41">
        <f>I1875+I1876+I1878+I1879+I1880+0</f>
        <v>577.44000000000005</v>
      </c>
      <c r="I1884" s="41"/>
      <c r="J1884" s="41">
        <f>K1875+K1876+K1878+K1879+K1880+0</f>
        <v>19873.899999999998</v>
      </c>
      <c r="K1884" s="41"/>
      <c r="O1884" s="42">
        <f>I1875+I1876+I1878+I1879+I1880+0</f>
        <v>577.44000000000005</v>
      </c>
      <c r="P1884" s="42">
        <f>K1875+K1876+K1878+K1879+K1880+0</f>
        <v>19873.899999999998</v>
      </c>
    </row>
    <row r="1885" spans="1:29" hidden="1" x14ac:dyDescent="0.25"/>
    <row r="1886" spans="1:29" ht="302.39999999999998" x14ac:dyDescent="0.25">
      <c r="A1886" s="46">
        <v>208</v>
      </c>
      <c r="B1886" s="46" t="str">
        <f>[1]Source!F1682</f>
        <v>КА 133</v>
      </c>
      <c r="C1886" s="46" t="s">
        <v>430</v>
      </c>
      <c r="D1886" s="47" t="str">
        <f>[1]Source!H1682</f>
        <v>ШТ</v>
      </c>
      <c r="E1886" s="48">
        <f>[1]Source!I1682</f>
        <v>2</v>
      </c>
      <c r="F1886" s="37">
        <f>[1]Source!AL1682</f>
        <v>6875.4500000000007</v>
      </c>
      <c r="G1886" s="38"/>
      <c r="H1886" s="36">
        <f>[1]Source!AW1683</f>
        <v>1</v>
      </c>
      <c r="I1886" s="37">
        <f>[1]Source!P1682</f>
        <v>13750.9</v>
      </c>
      <c r="J1886" s="36">
        <f>IF([1]Source!BC1683&lt;&gt; 0, [1]Source!BC1683, 1)</f>
        <v>9.84</v>
      </c>
      <c r="K1886" s="49">
        <f>[1]Source!P1683</f>
        <v>135308.85999999999</v>
      </c>
      <c r="L1886">
        <v>80920</v>
      </c>
      <c r="M1886" s="50">
        <f>L1886*E1886</f>
        <v>161840</v>
      </c>
      <c r="N1886" s="59" t="s">
        <v>180</v>
      </c>
      <c r="Q1886">
        <f>[1]Source!X1682</f>
        <v>0</v>
      </c>
      <c r="R1886">
        <f>[1]Source!X1683</f>
        <v>0</v>
      </c>
      <c r="S1886">
        <f>[1]Source!Y1682</f>
        <v>0</v>
      </c>
      <c r="T1886">
        <f>[1]Source!Y1683</f>
        <v>0</v>
      </c>
      <c r="U1886">
        <f>ROUND((175/100)*ROUND([1]Source!R1682, 2), 2)</f>
        <v>0</v>
      </c>
      <c r="V1886">
        <f>ROUND((0/100)*ROUND([1]Source!R1683, 2), 2)</f>
        <v>0</v>
      </c>
      <c r="AC1886">
        <v>3</v>
      </c>
    </row>
    <row r="1887" spans="1:29" ht="13.8" hidden="1" x14ac:dyDescent="0.25">
      <c r="C1887" s="39" t="s">
        <v>49</v>
      </c>
      <c r="H1887" s="40">
        <f>I1886+0</f>
        <v>13750.9</v>
      </c>
      <c r="I1887" s="40"/>
      <c r="J1887" s="40">
        <f>K1886+0</f>
        <v>135308.85999999999</v>
      </c>
      <c r="K1887" s="40"/>
      <c r="O1887" s="42">
        <f>I1886+0</f>
        <v>13750.9</v>
      </c>
      <c r="P1887" s="42">
        <f>K1886+0</f>
        <v>135308.85999999999</v>
      </c>
    </row>
    <row r="1888" spans="1:29" hidden="1" x14ac:dyDescent="0.25"/>
    <row r="1889" spans="1:29" ht="233.4" x14ac:dyDescent="0.25">
      <c r="A1889" s="46">
        <v>209</v>
      </c>
      <c r="B1889" s="46" t="str">
        <f>[1]Source!F1684</f>
        <v>КА-140</v>
      </c>
      <c r="C1889" s="46" t="s">
        <v>431</v>
      </c>
      <c r="D1889" s="47" t="str">
        <f>[1]Source!H1684</f>
        <v>ШТ</v>
      </c>
      <c r="E1889" s="48">
        <f>[1]Source!I1684</f>
        <v>2</v>
      </c>
      <c r="F1889" s="37">
        <f>[1]Source!AL1684</f>
        <v>3551.58</v>
      </c>
      <c r="G1889" s="38"/>
      <c r="H1889" s="36">
        <f>[1]Source!AW1685</f>
        <v>1</v>
      </c>
      <c r="I1889" s="37">
        <f>[1]Source!P1684</f>
        <v>7103.16</v>
      </c>
      <c r="J1889" s="36">
        <f>IF([1]Source!BC1685&lt;&gt; 0, [1]Source!BC1685, 1)</f>
        <v>9.84</v>
      </c>
      <c r="K1889" s="49">
        <f>[1]Source!P1685</f>
        <v>69895.09</v>
      </c>
      <c r="L1889">
        <v>41800</v>
      </c>
      <c r="M1889" s="50">
        <f>L1889*E1889</f>
        <v>83600</v>
      </c>
      <c r="N1889" s="59" t="s">
        <v>180</v>
      </c>
      <c r="Q1889">
        <f>[1]Source!X1684</f>
        <v>0</v>
      </c>
      <c r="R1889">
        <f>[1]Source!X1685</f>
        <v>0</v>
      </c>
      <c r="S1889">
        <f>[1]Source!Y1684</f>
        <v>0</v>
      </c>
      <c r="T1889">
        <f>[1]Source!Y1685</f>
        <v>0</v>
      </c>
      <c r="U1889">
        <f>ROUND((175/100)*ROUND([1]Source!R1684, 2), 2)</f>
        <v>0</v>
      </c>
      <c r="V1889">
        <f>ROUND((0/100)*ROUND([1]Source!R1685, 2), 2)</f>
        <v>0</v>
      </c>
      <c r="AC1889">
        <v>3</v>
      </c>
    </row>
    <row r="1890" spans="1:29" ht="13.8" hidden="1" x14ac:dyDescent="0.25">
      <c r="C1890" s="39" t="s">
        <v>49</v>
      </c>
      <c r="H1890" s="40">
        <f>I1889+0</f>
        <v>7103.16</v>
      </c>
      <c r="I1890" s="40"/>
      <c r="J1890" s="40">
        <f>K1889+0</f>
        <v>69895.09</v>
      </c>
      <c r="K1890" s="40"/>
      <c r="O1890" s="42">
        <f>I1889+0</f>
        <v>7103.16</v>
      </c>
      <c r="P1890" s="42">
        <f>K1889+0</f>
        <v>69895.09</v>
      </c>
    </row>
    <row r="1891" spans="1:29" hidden="1" x14ac:dyDescent="0.25"/>
    <row r="1892" spans="1:29" ht="43.2" hidden="1" x14ac:dyDescent="0.25">
      <c r="A1892" s="27">
        <v>210</v>
      </c>
      <c r="B1892" s="27" t="str">
        <f>[1]Source!F1686</f>
        <v>3.10-87-1</v>
      </c>
      <c r="C1892" s="27" t="s">
        <v>423</v>
      </c>
      <c r="D1892" s="28" t="str">
        <f>[1]Source!H1686</f>
        <v>10 комплектов</v>
      </c>
      <c r="E1892" s="29">
        <f>[1]Source!I1686</f>
        <v>0.4</v>
      </c>
      <c r="F1892" s="30"/>
      <c r="G1892" s="31"/>
      <c r="H1892" s="29"/>
      <c r="I1892" s="30"/>
      <c r="J1892" s="29"/>
      <c r="K1892" s="30"/>
      <c r="Q1892">
        <f>[1]Source!X1686</f>
        <v>54.5</v>
      </c>
      <c r="R1892">
        <f>[1]Source!X1687</f>
        <v>3071.32</v>
      </c>
      <c r="S1892">
        <f>[1]Source!Y1686</f>
        <v>26.41</v>
      </c>
      <c r="T1892">
        <f>[1]Source!Y1687</f>
        <v>1488.17</v>
      </c>
      <c r="U1892">
        <f>ROUND((175/100)*ROUND([1]Source!R1686, 2), 2)</f>
        <v>0</v>
      </c>
      <c r="V1892">
        <f>ROUND((0/100)*ROUND([1]Source!R1687, 2), 2)</f>
        <v>0</v>
      </c>
      <c r="AC1892">
        <v>0</v>
      </c>
    </row>
    <row r="1893" spans="1:29" hidden="1" x14ac:dyDescent="0.25">
      <c r="C1893" s="32" t="str">
        <f>"Объем: "&amp;[1]Source!I1686&amp;"=4/"&amp;"10"</f>
        <v>Объем: 0,4=4/10</v>
      </c>
    </row>
    <row r="1894" spans="1:29" ht="14.4" hidden="1" x14ac:dyDescent="0.25">
      <c r="A1894" s="27"/>
      <c r="B1894" s="27"/>
      <c r="C1894" s="27" t="s">
        <v>36</v>
      </c>
      <c r="D1894" s="28"/>
      <c r="E1894" s="29"/>
      <c r="F1894" s="30">
        <f>[1]Source!AO1686</f>
        <v>97.23</v>
      </c>
      <c r="G1894" s="31" t="s">
        <v>37</v>
      </c>
      <c r="H1894" s="29">
        <f>[1]Source!AV1687</f>
        <v>1.0469999999999999</v>
      </c>
      <c r="I1894" s="30">
        <f>[1]Source!S1686</f>
        <v>56.19</v>
      </c>
      <c r="J1894" s="29">
        <f>IF([1]Source!BA1687&lt;&gt; 0, [1]Source!BA1687, 1)</f>
        <v>56.35</v>
      </c>
      <c r="K1894" s="30">
        <f>[1]Source!S1687</f>
        <v>3166.31</v>
      </c>
    </row>
    <row r="1895" spans="1:29" ht="14.4" hidden="1" x14ac:dyDescent="0.25">
      <c r="A1895" s="27"/>
      <c r="B1895" s="27"/>
      <c r="C1895" s="27" t="s">
        <v>38</v>
      </c>
      <c r="D1895" s="28"/>
      <c r="E1895" s="29"/>
      <c r="F1895" s="30">
        <f>[1]Source!AM1686</f>
        <v>1.01</v>
      </c>
      <c r="G1895" s="31" t="s">
        <v>39</v>
      </c>
      <c r="H1895" s="29">
        <f>[1]Source!AV1687</f>
        <v>1.0469999999999999</v>
      </c>
      <c r="I1895" s="30">
        <f>[1]Source!Q1686</f>
        <v>0.63</v>
      </c>
      <c r="J1895" s="29">
        <f>IF([1]Source!BB1687&lt;&gt; 0, [1]Source!BB1687, 1)</f>
        <v>9.59</v>
      </c>
      <c r="K1895" s="30">
        <f>[1]Source!Q1687</f>
        <v>6.04</v>
      </c>
    </row>
    <row r="1896" spans="1:29" ht="69" hidden="1" x14ac:dyDescent="0.25">
      <c r="A1896" s="27" t="s">
        <v>432</v>
      </c>
      <c r="B1896" s="27" t="str">
        <f>[1]Source!F1688</f>
        <v>1.8-3-19</v>
      </c>
      <c r="C1896" s="27" t="s">
        <v>425</v>
      </c>
      <c r="D1896" s="28" t="str">
        <f>[1]Source!H1688</f>
        <v>КОМПЛЕКТ</v>
      </c>
      <c r="E1896" s="29">
        <f>[1]Source!I1688</f>
        <v>4</v>
      </c>
      <c r="F1896" s="30">
        <f>[1]Source!AK1688</f>
        <v>1296.7</v>
      </c>
      <c r="G1896" s="43" t="s">
        <v>54</v>
      </c>
      <c r="H1896" s="29">
        <f>[1]Source!AW1689</f>
        <v>1</v>
      </c>
      <c r="I1896" s="30">
        <f>[1]Source!O1688</f>
        <v>5186.8</v>
      </c>
      <c r="J1896" s="29">
        <f>IF([1]Source!BC1689&lt;&gt; 0, [1]Source!BC1689, 1)</f>
        <v>11.27</v>
      </c>
      <c r="K1896" s="30">
        <f>[1]Source!O1689</f>
        <v>58455.24</v>
      </c>
      <c r="Q1896">
        <f>[1]Source!X1688</f>
        <v>0</v>
      </c>
      <c r="R1896">
        <f>[1]Source!X1689</f>
        <v>0</v>
      </c>
      <c r="S1896">
        <f>[1]Source!Y1688</f>
        <v>0</v>
      </c>
      <c r="T1896">
        <f>[1]Source!Y1689</f>
        <v>0</v>
      </c>
      <c r="U1896">
        <f>ROUND((175/100)*ROUND([1]Source!R1688, 2), 2)</f>
        <v>0</v>
      </c>
      <c r="V1896">
        <f>ROUND((0/100)*ROUND([1]Source!R1689, 2), 2)</f>
        <v>0</v>
      </c>
      <c r="AC1896">
        <v>3</v>
      </c>
    </row>
    <row r="1897" spans="1:29" ht="14.4" hidden="1" x14ac:dyDescent="0.25">
      <c r="A1897" s="27"/>
      <c r="B1897" s="27"/>
      <c r="C1897" s="27" t="s">
        <v>42</v>
      </c>
      <c r="D1897" s="28" t="s">
        <v>43</v>
      </c>
      <c r="E1897" s="29">
        <f>[1]Source!BZ1687</f>
        <v>97</v>
      </c>
      <c r="F1897" s="30"/>
      <c r="G1897" s="31"/>
      <c r="H1897" s="29"/>
      <c r="I1897" s="30">
        <f>SUM(Q1892:Q1896)</f>
        <v>54.5</v>
      </c>
      <c r="J1897" s="29">
        <f>[1]Source!AT1687</f>
        <v>97</v>
      </c>
      <c r="K1897" s="30">
        <f>SUM(R1892:R1896)</f>
        <v>3071.32</v>
      </c>
    </row>
    <row r="1898" spans="1:29" ht="14.4" hidden="1" x14ac:dyDescent="0.25">
      <c r="A1898" s="27"/>
      <c r="B1898" s="27"/>
      <c r="C1898" s="27" t="s">
        <v>44</v>
      </c>
      <c r="D1898" s="28" t="s">
        <v>43</v>
      </c>
      <c r="E1898" s="29">
        <f>[1]Source!CA1687</f>
        <v>47</v>
      </c>
      <c r="F1898" s="30"/>
      <c r="G1898" s="31"/>
      <c r="H1898" s="29"/>
      <c r="I1898" s="30">
        <f>SUM(S1892:S1897)</f>
        <v>26.41</v>
      </c>
      <c r="J1898" s="29">
        <f>[1]Source!AU1687</f>
        <v>47</v>
      </c>
      <c r="K1898" s="30">
        <f>SUM(T1892:T1897)</f>
        <v>1488.17</v>
      </c>
    </row>
    <row r="1899" spans="1:29" ht="14.4" hidden="1" x14ac:dyDescent="0.25">
      <c r="A1899" s="34"/>
      <c r="B1899" s="34"/>
      <c r="C1899" s="34" t="s">
        <v>45</v>
      </c>
      <c r="D1899" s="35" t="s">
        <v>46</v>
      </c>
      <c r="E1899" s="36">
        <f>[1]Source!AQ1686</f>
        <v>8.18</v>
      </c>
      <c r="F1899" s="37"/>
      <c r="G1899" s="38" t="s">
        <v>37</v>
      </c>
      <c r="H1899" s="36">
        <f>[1]Source!AV1687</f>
        <v>1.0469999999999999</v>
      </c>
      <c r="I1899" s="37">
        <f>[1]Source!U1686</f>
        <v>4.7275819199999987</v>
      </c>
      <c r="J1899" s="36"/>
      <c r="K1899" s="37"/>
    </row>
    <row r="1900" spans="1:29" ht="13.8" hidden="1" x14ac:dyDescent="0.25">
      <c r="C1900" s="39" t="s">
        <v>47</v>
      </c>
      <c r="H1900" s="40">
        <f>I1894+I1895+I1897+I1898+SUM(I1896:I1896)-SUMIF(AC1896:AC1896, 5, I1896:I1896)-SUMIF(AC1896:AC1896, 6, I1896:I1896)</f>
        <v>5324.53</v>
      </c>
      <c r="I1900" s="40"/>
      <c r="J1900" s="40">
        <f>K1894+K1895+K1897+K1898+SUM(K1896:K1896)-SUMIF(AC1896:AC1896, 5, K1896:K1896)-SUMIF(AC1896:AC1896, 6, K1896:K1896)</f>
        <v>66187.08</v>
      </c>
      <c r="K1900" s="40"/>
    </row>
    <row r="1901" spans="1:29" ht="13.8" hidden="1" x14ac:dyDescent="0.25">
      <c r="C1901" s="39" t="s">
        <v>48</v>
      </c>
      <c r="H1901" s="41">
        <f>SUMIF(AC1896:AC1896, 5, I1896:I1896)+SUMIF(AC1896:AC1896, 6, I1896:I1896)</f>
        <v>0</v>
      </c>
      <c r="I1901" s="41"/>
      <c r="J1901" s="41">
        <f>SUMIF(AC1896:AC1896, 5, K1896:K1896)+SUMIF(AC1896:AC1896, 6, K1896:K1896)</f>
        <v>0</v>
      </c>
      <c r="K1901" s="41"/>
    </row>
    <row r="1902" spans="1:29" ht="13.8" hidden="1" x14ac:dyDescent="0.25">
      <c r="C1902" s="39" t="s">
        <v>49</v>
      </c>
      <c r="H1902" s="41">
        <f>I1894+I1895+I1897+I1898+SUM(I1896:I1896)</f>
        <v>5324.53</v>
      </c>
      <c r="I1902" s="41"/>
      <c r="J1902" s="41">
        <f>K1894+K1895+K1897+K1898+SUM(K1896:K1896)</f>
        <v>66187.08</v>
      </c>
      <c r="K1902" s="41"/>
      <c r="O1902" s="42">
        <f>I1894+I1895+I1897+I1898+SUM(I1896:I1896)</f>
        <v>5324.53</v>
      </c>
      <c r="P1902" s="42">
        <f>K1894+K1895+K1897+K1898+SUM(K1896:K1896)</f>
        <v>66187.08</v>
      </c>
    </row>
    <row r="1903" spans="1:29" hidden="1" x14ac:dyDescent="0.25"/>
    <row r="1904" spans="1:29" ht="41.4" hidden="1" x14ac:dyDescent="0.25">
      <c r="A1904" s="27">
        <v>211</v>
      </c>
      <c r="B1904" s="27" t="str">
        <f>[1]Source!F1690</f>
        <v>3.9-90-1</v>
      </c>
      <c r="C1904" s="27" t="s">
        <v>426</v>
      </c>
      <c r="D1904" s="28" t="str">
        <f>[1]Source!H1690</f>
        <v>100 шт.</v>
      </c>
      <c r="E1904" s="29">
        <f>[1]Source!I1690</f>
        <v>0.04</v>
      </c>
      <c r="F1904" s="30"/>
      <c r="G1904" s="31"/>
      <c r="H1904" s="29"/>
      <c r="I1904" s="30"/>
      <c r="J1904" s="29"/>
      <c r="K1904" s="30"/>
      <c r="Q1904">
        <f>[1]Source!X1690</f>
        <v>7.39</v>
      </c>
      <c r="R1904">
        <f>[1]Source!X1691</f>
        <v>416.54</v>
      </c>
      <c r="S1904">
        <f>[1]Source!Y1690</f>
        <v>4.66</v>
      </c>
      <c r="T1904">
        <f>[1]Source!Y1691</f>
        <v>262.82</v>
      </c>
      <c r="U1904">
        <f>ROUND((175/100)*ROUND([1]Source!R1690, 2), 2)</f>
        <v>0.26</v>
      </c>
      <c r="V1904">
        <f>ROUND((0/100)*ROUND([1]Source!R1691, 2), 2)</f>
        <v>0</v>
      </c>
      <c r="AC1904">
        <v>0</v>
      </c>
    </row>
    <row r="1905" spans="1:29" hidden="1" x14ac:dyDescent="0.25">
      <c r="C1905" s="32" t="str">
        <f>"Объем: "&amp;[1]Source!I1690&amp;"=4/"&amp;"100"</f>
        <v>Объем: 0,04=4/100</v>
      </c>
    </row>
    <row r="1906" spans="1:29" ht="14.4" hidden="1" x14ac:dyDescent="0.25">
      <c r="A1906" s="27"/>
      <c r="B1906" s="27"/>
      <c r="C1906" s="27" t="s">
        <v>36</v>
      </c>
      <c r="D1906" s="28"/>
      <c r="E1906" s="29"/>
      <c r="F1906" s="30">
        <f>[1]Source!AO1690</f>
        <v>144.13</v>
      </c>
      <c r="G1906" s="31" t="s">
        <v>37</v>
      </c>
      <c r="H1906" s="29">
        <f>[1]Source!AV1691</f>
        <v>1.087</v>
      </c>
      <c r="I1906" s="30">
        <f>[1]Source!S1690</f>
        <v>8.65</v>
      </c>
      <c r="J1906" s="29">
        <f>IF([1]Source!BA1691&lt;&gt; 0, [1]Source!BA1691, 1)</f>
        <v>56.35</v>
      </c>
      <c r="K1906" s="30">
        <f>[1]Source!S1691</f>
        <v>487.43</v>
      </c>
    </row>
    <row r="1907" spans="1:29" ht="14.4" hidden="1" x14ac:dyDescent="0.25">
      <c r="A1907" s="27"/>
      <c r="B1907" s="27"/>
      <c r="C1907" s="27" t="s">
        <v>38</v>
      </c>
      <c r="D1907" s="28"/>
      <c r="E1907" s="29"/>
      <c r="F1907" s="30">
        <f>[1]Source!AM1690</f>
        <v>18.690000000000001</v>
      </c>
      <c r="G1907" s="31" t="s">
        <v>39</v>
      </c>
      <c r="H1907" s="29">
        <f>[1]Source!AV1691</f>
        <v>1.087</v>
      </c>
      <c r="I1907" s="30">
        <f>[1]Source!Q1690</f>
        <v>1.22</v>
      </c>
      <c r="J1907" s="29">
        <f>IF([1]Source!BB1691&lt;&gt; 0, [1]Source!BB1691, 1)</f>
        <v>15.58</v>
      </c>
      <c r="K1907" s="30">
        <f>[1]Source!Q1691</f>
        <v>19.010000000000002</v>
      </c>
    </row>
    <row r="1908" spans="1:29" ht="14.4" hidden="1" x14ac:dyDescent="0.25">
      <c r="A1908" s="27"/>
      <c r="B1908" s="27"/>
      <c r="C1908" s="27" t="s">
        <v>40</v>
      </c>
      <c r="D1908" s="28"/>
      <c r="E1908" s="29"/>
      <c r="F1908" s="30">
        <f>[1]Source!AN1690</f>
        <v>2.27</v>
      </c>
      <c r="G1908" s="31" t="s">
        <v>39</v>
      </c>
      <c r="H1908" s="29">
        <f>[1]Source!AV1691</f>
        <v>1.087</v>
      </c>
      <c r="I1908" s="33">
        <f>[1]Source!R1690</f>
        <v>0.15</v>
      </c>
      <c r="J1908" s="29">
        <f>IF([1]Source!BS1691&lt;&gt; 0, [1]Source!BS1691, 1)</f>
        <v>56.35</v>
      </c>
      <c r="K1908" s="33">
        <f>[1]Source!R1691</f>
        <v>8.4499999999999993</v>
      </c>
    </row>
    <row r="1909" spans="1:29" ht="14.4" hidden="1" x14ac:dyDescent="0.25">
      <c r="A1909" s="27"/>
      <c r="B1909" s="27"/>
      <c r="C1909" s="27" t="s">
        <v>41</v>
      </c>
      <c r="D1909" s="28"/>
      <c r="E1909" s="29"/>
      <c r="F1909" s="30">
        <f>[1]Source!AL1690</f>
        <v>132.34</v>
      </c>
      <c r="G1909" s="31"/>
      <c r="H1909" s="29">
        <f>[1]Source!AW1691</f>
        <v>1</v>
      </c>
      <c r="I1909" s="30">
        <f>[1]Source!P1690</f>
        <v>5.29</v>
      </c>
      <c r="J1909" s="29">
        <f>IF([1]Source!BC1691&lt;&gt; 0, [1]Source!BC1691, 1)</f>
        <v>3.46</v>
      </c>
      <c r="K1909" s="30">
        <f>[1]Source!P1691</f>
        <v>18.3</v>
      </c>
    </row>
    <row r="1910" spans="1:29" ht="27.6" hidden="1" x14ac:dyDescent="0.25">
      <c r="A1910" s="27" t="s">
        <v>433</v>
      </c>
      <c r="B1910" s="27" t="str">
        <f>[1]Source!F1692</f>
        <v>1.8-1-75</v>
      </c>
      <c r="C1910" s="27" t="s">
        <v>428</v>
      </c>
      <c r="D1910" s="28" t="str">
        <f>[1]Source!H1692</f>
        <v>шт.</v>
      </c>
      <c r="E1910" s="29">
        <f>[1]Source!I1692</f>
        <v>4</v>
      </c>
      <c r="F1910" s="30">
        <f>[1]Source!AK1692</f>
        <v>272.63</v>
      </c>
      <c r="G1910" s="43" t="s">
        <v>54</v>
      </c>
      <c r="H1910" s="29">
        <f>[1]Source!AW1693</f>
        <v>1</v>
      </c>
      <c r="I1910" s="30">
        <f>[1]Source!O1692</f>
        <v>1090.52</v>
      </c>
      <c r="J1910" s="29">
        <f>IF([1]Source!BC1693&lt;&gt; 0, [1]Source!BC1693, 1)</f>
        <v>11.5</v>
      </c>
      <c r="K1910" s="30">
        <f>[1]Source!O1693</f>
        <v>12540.98</v>
      </c>
      <c r="Q1910">
        <f>[1]Source!X1692</f>
        <v>0</v>
      </c>
      <c r="R1910">
        <f>[1]Source!X1693</f>
        <v>0</v>
      </c>
      <c r="S1910">
        <f>[1]Source!Y1692</f>
        <v>0</v>
      </c>
      <c r="T1910">
        <f>[1]Source!Y1693</f>
        <v>0</v>
      </c>
      <c r="U1910">
        <f>ROUND((175/100)*ROUND([1]Source!R1692, 2), 2)</f>
        <v>0</v>
      </c>
      <c r="V1910">
        <f>ROUND((0/100)*ROUND([1]Source!R1693, 2), 2)</f>
        <v>0</v>
      </c>
      <c r="AC1910">
        <v>3</v>
      </c>
    </row>
    <row r="1911" spans="1:29" ht="14.4" hidden="1" x14ac:dyDescent="0.25">
      <c r="A1911" s="27"/>
      <c r="B1911" s="27"/>
      <c r="C1911" s="27" t="s">
        <v>42</v>
      </c>
      <c r="D1911" s="28" t="s">
        <v>43</v>
      </c>
      <c r="E1911" s="29">
        <f>[1]Source!BZ1691</f>
        <v>84</v>
      </c>
      <c r="F1911" s="30"/>
      <c r="G1911" s="31"/>
      <c r="H1911" s="29"/>
      <c r="I1911" s="30">
        <f>SUM(Q1904:Q1910)</f>
        <v>7.39</v>
      </c>
      <c r="J1911" s="29">
        <f>[1]Source!AT1691</f>
        <v>84</v>
      </c>
      <c r="K1911" s="30">
        <f>SUM(R1904:R1910)</f>
        <v>416.54</v>
      </c>
    </row>
    <row r="1912" spans="1:29" ht="14.4" hidden="1" x14ac:dyDescent="0.25">
      <c r="A1912" s="27"/>
      <c r="B1912" s="27"/>
      <c r="C1912" s="27" t="s">
        <v>44</v>
      </c>
      <c r="D1912" s="28" t="s">
        <v>43</v>
      </c>
      <c r="E1912" s="29">
        <f>[1]Source!CA1691</f>
        <v>53</v>
      </c>
      <c r="F1912" s="30"/>
      <c r="G1912" s="31"/>
      <c r="H1912" s="29"/>
      <c r="I1912" s="30">
        <f>SUM(S1904:S1911)</f>
        <v>4.66</v>
      </c>
      <c r="J1912" s="29">
        <f>[1]Source!AU1691</f>
        <v>53</v>
      </c>
      <c r="K1912" s="30">
        <f>SUM(T1904:T1911)</f>
        <v>262.82</v>
      </c>
    </row>
    <row r="1913" spans="1:29" ht="14.4" hidden="1" x14ac:dyDescent="0.25">
      <c r="A1913" s="34"/>
      <c r="B1913" s="34"/>
      <c r="C1913" s="34" t="s">
        <v>45</v>
      </c>
      <c r="D1913" s="35" t="s">
        <v>46</v>
      </c>
      <c r="E1913" s="36">
        <f>[1]Source!AQ1690</f>
        <v>11.57</v>
      </c>
      <c r="F1913" s="37"/>
      <c r="G1913" s="38" t="s">
        <v>37</v>
      </c>
      <c r="H1913" s="36">
        <f>[1]Source!AV1691</f>
        <v>1.087</v>
      </c>
      <c r="I1913" s="37">
        <f>[1]Source!U1690</f>
        <v>0.69422776799999997</v>
      </c>
      <c r="J1913" s="36"/>
      <c r="K1913" s="37"/>
    </row>
    <row r="1914" spans="1:29" ht="13.8" hidden="1" x14ac:dyDescent="0.25">
      <c r="C1914" s="39" t="s">
        <v>47</v>
      </c>
      <c r="H1914" s="40">
        <f>I1906+I1907+I1909+I1911+I1912+SUM(I1910:I1910)-SUMIF(AC1910:AC1910, 5, I1910:I1910)-SUMIF(AC1910:AC1910, 6, I1910:I1910)</f>
        <v>1117.73</v>
      </c>
      <c r="I1914" s="40"/>
      <c r="J1914" s="40">
        <f>K1906+K1907+K1909+K1911+K1912+SUM(K1910:K1910)-SUMIF(AC1910:AC1910, 5, K1910:K1910)-SUMIF(AC1910:AC1910, 6, K1910:K1910)</f>
        <v>13745.08</v>
      </c>
      <c r="K1914" s="40"/>
    </row>
    <row r="1915" spans="1:29" ht="13.8" hidden="1" x14ac:dyDescent="0.25">
      <c r="C1915" s="39" t="s">
        <v>48</v>
      </c>
      <c r="H1915" s="41">
        <f>SUMIF(AC1910:AC1910, 5, I1910:I1910)+SUMIF(AC1910:AC1910, 6, I1910:I1910)</f>
        <v>0</v>
      </c>
      <c r="I1915" s="41"/>
      <c r="J1915" s="41">
        <f>SUMIF(AC1910:AC1910, 5, K1910:K1910)+SUMIF(AC1910:AC1910, 6, K1910:K1910)</f>
        <v>0</v>
      </c>
      <c r="K1915" s="41"/>
    </row>
    <row r="1916" spans="1:29" ht="13.8" hidden="1" x14ac:dyDescent="0.25">
      <c r="C1916" s="39" t="s">
        <v>49</v>
      </c>
      <c r="H1916" s="41">
        <f>I1906+I1907+I1909+I1911+I1912+SUM(I1910:I1910)</f>
        <v>1117.73</v>
      </c>
      <c r="I1916" s="41"/>
      <c r="J1916" s="41">
        <f>K1906+K1907+K1909+K1911+K1912+SUM(K1910:K1910)</f>
        <v>13745.08</v>
      </c>
      <c r="K1916" s="41"/>
      <c r="O1916" s="42">
        <f>I1906+I1907+I1909+I1911+I1912+SUM(I1910:I1910)</f>
        <v>1117.73</v>
      </c>
      <c r="P1916" s="42">
        <f>K1906+K1907+K1909+K1911+K1912+SUM(K1910:K1910)</f>
        <v>13745.08</v>
      </c>
    </row>
    <row r="1917" spans="1:29" hidden="1" x14ac:dyDescent="0.25"/>
    <row r="1918" spans="1:29" hidden="1" x14ac:dyDescent="0.25"/>
    <row r="1919" spans="1:29" ht="13.8" hidden="1" x14ac:dyDescent="0.25">
      <c r="A1919" s="44" t="str">
        <f>CONCATENATE("Итого по подразделу: ",IF([1]Source!G1695&lt;&gt;"Новый подраздел", [1]Source!G1695, ""))</f>
        <v>Итого по подразделу: Монтажные работы. Металлические двери.</v>
      </c>
      <c r="B1919" s="44"/>
      <c r="C1919" s="44"/>
      <c r="D1919" s="44"/>
      <c r="E1919" s="44"/>
      <c r="F1919" s="44"/>
      <c r="G1919" s="44"/>
      <c r="H1919" s="41">
        <f>SUM(O1872:O1918)</f>
        <v>27873.759999999998</v>
      </c>
      <c r="I1919" s="45"/>
      <c r="J1919" s="41">
        <f>SUM(P1872:P1918)</f>
        <v>305010.01</v>
      </c>
      <c r="K1919" s="45"/>
    </row>
    <row r="1920" spans="1:29" hidden="1" x14ac:dyDescent="0.25">
      <c r="A1920" t="s">
        <v>55</v>
      </c>
      <c r="I1920">
        <f>SUM(W1872:W1919)</f>
        <v>0</v>
      </c>
      <c r="J1920">
        <f>SUM(X1872:X1919)</f>
        <v>0</v>
      </c>
    </row>
    <row r="1921" spans="1:29" hidden="1" x14ac:dyDescent="0.25">
      <c r="A1921" t="s">
        <v>56</v>
      </c>
      <c r="I1921">
        <f>SUM(Y1872:Y1920)</f>
        <v>0</v>
      </c>
      <c r="J1921">
        <f>SUM(Z1872:Z1920)</f>
        <v>0</v>
      </c>
    </row>
    <row r="1922" spans="1:29" hidden="1" x14ac:dyDescent="0.25"/>
    <row r="1923" spans="1:29" ht="13.8" hidden="1" x14ac:dyDescent="0.25">
      <c r="A1923" s="44" t="str">
        <f>CONCATENATE("Итого по разделу: ",IF([1]Source!G1725&lt;&gt;"Новый раздел", [1]Source!G1725, ""))</f>
        <v>Итого по разделу: Наружные двери</v>
      </c>
      <c r="B1923" s="44"/>
      <c r="C1923" s="44"/>
      <c r="D1923" s="44"/>
      <c r="E1923" s="44"/>
      <c r="F1923" s="44"/>
      <c r="G1923" s="44"/>
      <c r="H1923" s="41">
        <f>SUM(O1751:O1922)</f>
        <v>197900.97</v>
      </c>
      <c r="I1923" s="45"/>
      <c r="J1923" s="41">
        <f>SUM(P1751:P1922)</f>
        <v>2210982.98</v>
      </c>
      <c r="K1923" s="45"/>
    </row>
    <row r="1924" spans="1:29" hidden="1" x14ac:dyDescent="0.25">
      <c r="A1924" t="s">
        <v>55</v>
      </c>
      <c r="I1924">
        <f>SUM(W1751:W1923)</f>
        <v>0</v>
      </c>
      <c r="J1924">
        <f>SUM(X1751:X1923)</f>
        <v>0</v>
      </c>
    </row>
    <row r="1925" spans="1:29" hidden="1" x14ac:dyDescent="0.25">
      <c r="A1925" t="s">
        <v>56</v>
      </c>
      <c r="I1925">
        <f>SUM(Y1751:Y1924)</f>
        <v>0</v>
      </c>
      <c r="J1925">
        <f>SUM(Z1751:Z1924)</f>
        <v>0</v>
      </c>
    </row>
    <row r="1926" spans="1:29" hidden="1" x14ac:dyDescent="0.25"/>
    <row r="1927" spans="1:29" ht="16.8" hidden="1" x14ac:dyDescent="0.25">
      <c r="A1927" s="11" t="str">
        <f>CONCATENATE("Раздел: ",IF([1]Source!G1755&lt;&gt;"Новый раздел", [1]Source!G1755, ""))</f>
        <v>Раздел: Перегородки</v>
      </c>
      <c r="B1927" s="11"/>
      <c r="C1927" s="11"/>
      <c r="D1927" s="11"/>
      <c r="E1927" s="11"/>
      <c r="F1927" s="11"/>
      <c r="G1927" s="11"/>
      <c r="H1927" s="11"/>
      <c r="I1927" s="11"/>
      <c r="J1927" s="11"/>
      <c r="K1927" s="11"/>
    </row>
    <row r="1928" spans="1:29" hidden="1" x14ac:dyDescent="0.25"/>
    <row r="1929" spans="1:29" ht="16.8" hidden="1" x14ac:dyDescent="0.25">
      <c r="A1929" s="11" t="str">
        <f>CONCATENATE("Подраздел: ",IF([1]Source!G1759&lt;&gt;"Новый подраздел", [1]Source!G1759, ""))</f>
        <v>Подраздел: Демонтажные работы</v>
      </c>
      <c r="B1929" s="11"/>
      <c r="C1929" s="11"/>
      <c r="D1929" s="11"/>
      <c r="E1929" s="11"/>
      <c r="F1929" s="11"/>
      <c r="G1929" s="11"/>
      <c r="H1929" s="11"/>
      <c r="I1929" s="11"/>
      <c r="J1929" s="11"/>
      <c r="K1929" s="11"/>
    </row>
    <row r="1930" spans="1:29" ht="43.2" hidden="1" x14ac:dyDescent="0.25">
      <c r="A1930" s="27">
        <v>212</v>
      </c>
      <c r="B1930" s="27" t="str">
        <f>[1]Source!F1763</f>
        <v>6.70-2-4</v>
      </c>
      <c r="C1930" s="27" t="s">
        <v>434</v>
      </c>
      <c r="D1930" s="28" t="str">
        <f>[1]Source!H1763</f>
        <v>10 м3 кладки</v>
      </c>
      <c r="E1930" s="29">
        <f>[1]Source!I1763</f>
        <v>52.9375</v>
      </c>
      <c r="F1930" s="30"/>
      <c r="G1930" s="31"/>
      <c r="H1930" s="29"/>
      <c r="I1930" s="30"/>
      <c r="J1930" s="29"/>
      <c r="K1930" s="30"/>
      <c r="Q1930">
        <f>[1]Source!X1763</f>
        <v>178577.6</v>
      </c>
      <c r="R1930">
        <f>[1]Source!X1764</f>
        <v>10062847.92</v>
      </c>
      <c r="S1930">
        <f>[1]Source!Y1763</f>
        <v>100935.17</v>
      </c>
      <c r="T1930">
        <f>[1]Source!Y1764</f>
        <v>5687696.6500000004</v>
      </c>
      <c r="U1930">
        <f>ROUND((175/100)*ROUND([1]Source!R1763, 2), 2)</f>
        <v>69317.100000000006</v>
      </c>
      <c r="V1930">
        <f>ROUND((0/100)*ROUND([1]Source!R1764, 2), 2)</f>
        <v>0</v>
      </c>
      <c r="AC1930">
        <v>0</v>
      </c>
    </row>
    <row r="1931" spans="1:29" hidden="1" x14ac:dyDescent="0.25">
      <c r="C1931" s="32" t="str">
        <f>"Объем: "&amp;[1]Source!I1763&amp;"=(4235*"&amp;"0,125)/"&amp;"10"</f>
        <v>Объем: 52,9375=(4235*0,125)/10</v>
      </c>
    </row>
    <row r="1932" spans="1:29" ht="14.4" hidden="1" x14ac:dyDescent="0.25">
      <c r="A1932" s="27"/>
      <c r="B1932" s="27"/>
      <c r="C1932" s="27" t="s">
        <v>36</v>
      </c>
      <c r="D1932" s="28"/>
      <c r="E1932" s="29"/>
      <c r="F1932" s="30">
        <f>[1]Source!AO1763</f>
        <v>2322.88</v>
      </c>
      <c r="G1932" s="31" t="s">
        <v>58</v>
      </c>
      <c r="H1932" s="29">
        <f>[1]Source!AV1764</f>
        <v>1.0469999999999999</v>
      </c>
      <c r="I1932" s="30">
        <f>[1]Source!S1763</f>
        <v>154496.32000000001</v>
      </c>
      <c r="J1932" s="29">
        <f>IF([1]Source!BA1764&lt;&gt; 0, [1]Source!BA1764, 1)</f>
        <v>56.35</v>
      </c>
      <c r="K1932" s="30">
        <f>[1]Source!S1764</f>
        <v>8705867.6300000008</v>
      </c>
    </row>
    <row r="1933" spans="1:29" ht="14.4" hidden="1" x14ac:dyDescent="0.25">
      <c r="A1933" s="27"/>
      <c r="B1933" s="27"/>
      <c r="C1933" s="27" t="s">
        <v>38</v>
      </c>
      <c r="D1933" s="28"/>
      <c r="E1933" s="29"/>
      <c r="F1933" s="30">
        <f>[1]Source!AM1763</f>
        <v>1989.79</v>
      </c>
      <c r="G1933" s="31" t="s">
        <v>58</v>
      </c>
      <c r="H1933" s="29">
        <f>[1]Source!AV1764</f>
        <v>1.0469999999999999</v>
      </c>
      <c r="I1933" s="30">
        <f>[1]Source!Q1763</f>
        <v>132342.28</v>
      </c>
      <c r="J1933" s="29">
        <f>IF([1]Source!BB1764&lt;&gt; 0, [1]Source!BB1764, 1)</f>
        <v>25.17</v>
      </c>
      <c r="K1933" s="30">
        <f>[1]Source!Q1764</f>
        <v>3331055.19</v>
      </c>
    </row>
    <row r="1934" spans="1:29" ht="14.4" hidden="1" x14ac:dyDescent="0.25">
      <c r="A1934" s="27"/>
      <c r="B1934" s="27"/>
      <c r="C1934" s="27" t="s">
        <v>40</v>
      </c>
      <c r="D1934" s="28"/>
      <c r="E1934" s="29"/>
      <c r="F1934" s="30">
        <f>[1]Source!AN1763</f>
        <v>595.54</v>
      </c>
      <c r="G1934" s="31" t="s">
        <v>58</v>
      </c>
      <c r="H1934" s="29">
        <f>[1]Source!AV1764</f>
        <v>1.0469999999999999</v>
      </c>
      <c r="I1934" s="33">
        <f>[1]Source!R1763</f>
        <v>39609.769999999997</v>
      </c>
      <c r="J1934" s="29">
        <f>IF([1]Source!BS1764&lt;&gt; 0, [1]Source!BS1764, 1)</f>
        <v>56.35</v>
      </c>
      <c r="K1934" s="33">
        <f>[1]Source!R1764</f>
        <v>2232010.54</v>
      </c>
    </row>
    <row r="1935" spans="1:29" ht="14.4" hidden="1" x14ac:dyDescent="0.25">
      <c r="A1935" s="27"/>
      <c r="B1935" s="27"/>
      <c r="C1935" s="27" t="s">
        <v>42</v>
      </c>
      <c r="D1935" s="28" t="s">
        <v>43</v>
      </c>
      <c r="E1935" s="29">
        <f>[1]Source!BZ1764</f>
        <v>92</v>
      </c>
      <c r="F1935" s="30"/>
      <c r="G1935" s="31"/>
      <c r="H1935" s="29"/>
      <c r="I1935" s="30">
        <f>SUM(Q1930:Q1934)</f>
        <v>178577.6</v>
      </c>
      <c r="J1935" s="29">
        <f>[1]Source!AT1764</f>
        <v>92</v>
      </c>
      <c r="K1935" s="30">
        <f>SUM(R1930:R1934)</f>
        <v>10062847.92</v>
      </c>
    </row>
    <row r="1936" spans="1:29" ht="14.4" hidden="1" x14ac:dyDescent="0.25">
      <c r="A1936" s="27"/>
      <c r="B1936" s="27"/>
      <c r="C1936" s="27" t="s">
        <v>44</v>
      </c>
      <c r="D1936" s="28" t="s">
        <v>43</v>
      </c>
      <c r="E1936" s="29">
        <f>[1]Source!CA1764</f>
        <v>52</v>
      </c>
      <c r="F1936" s="30"/>
      <c r="G1936" s="31"/>
      <c r="H1936" s="29"/>
      <c r="I1936" s="30">
        <f>SUM(S1930:S1935)</f>
        <v>100935.17</v>
      </c>
      <c r="J1936" s="29">
        <f>[1]Source!AU1764</f>
        <v>52</v>
      </c>
      <c r="K1936" s="30">
        <f>SUM(T1930:T1935)</f>
        <v>5687696.6500000004</v>
      </c>
    </row>
    <row r="1937" spans="1:29" ht="14.4" hidden="1" x14ac:dyDescent="0.25">
      <c r="A1937" s="34"/>
      <c r="B1937" s="34"/>
      <c r="C1937" s="34" t="s">
        <v>45</v>
      </c>
      <c r="D1937" s="35" t="s">
        <v>46</v>
      </c>
      <c r="E1937" s="36">
        <f>[1]Source!AQ1763</f>
        <v>164.78</v>
      </c>
      <c r="F1937" s="37"/>
      <c r="G1937" s="38" t="s">
        <v>58</v>
      </c>
      <c r="H1937" s="36">
        <f>[1]Source!AV1764</f>
        <v>1.0469999999999999</v>
      </c>
      <c r="I1937" s="37">
        <f>[1]Source!U1763</f>
        <v>10959.629026499999</v>
      </c>
      <c r="J1937" s="36"/>
      <c r="K1937" s="37"/>
    </row>
    <row r="1938" spans="1:29" ht="13.8" hidden="1" x14ac:dyDescent="0.25">
      <c r="C1938" s="39" t="s">
        <v>47</v>
      </c>
      <c r="H1938" s="40">
        <f>I1932+I1933+I1935+I1936+0-0-0</f>
        <v>566351.37</v>
      </c>
      <c r="I1938" s="40"/>
      <c r="J1938" s="40">
        <f>K1932+K1933+K1935+K1936+0-0-0</f>
        <v>27787467.390000001</v>
      </c>
      <c r="K1938" s="40"/>
    </row>
    <row r="1939" spans="1:29" ht="13.8" hidden="1" x14ac:dyDescent="0.25">
      <c r="C1939" s="39" t="s">
        <v>48</v>
      </c>
      <c r="H1939" s="41">
        <f>0+0</f>
        <v>0</v>
      </c>
      <c r="I1939" s="41"/>
      <c r="J1939" s="41">
        <f>0+0</f>
        <v>0</v>
      </c>
      <c r="K1939" s="41"/>
    </row>
    <row r="1940" spans="1:29" ht="13.8" hidden="1" x14ac:dyDescent="0.25">
      <c r="C1940" s="39" t="s">
        <v>49</v>
      </c>
      <c r="H1940" s="41">
        <f>I1932+I1933+I1935+I1936+0</f>
        <v>566351.37</v>
      </c>
      <c r="I1940" s="41"/>
      <c r="J1940" s="41">
        <f>K1932+K1933+K1935+K1936+0</f>
        <v>27787467.390000001</v>
      </c>
      <c r="K1940" s="41"/>
      <c r="O1940" s="42">
        <f>I1932+I1933+I1935+I1936+0</f>
        <v>566351.37</v>
      </c>
      <c r="P1940" s="42">
        <f>K1932+K1933+K1935+K1936+0</f>
        <v>27787467.390000001</v>
      </c>
    </row>
    <row r="1941" spans="1:29" hidden="1" x14ac:dyDescent="0.25"/>
    <row r="1942" spans="1:29" ht="43.2" hidden="1" x14ac:dyDescent="0.25">
      <c r="A1942" s="27">
        <v>213</v>
      </c>
      <c r="B1942" s="27" t="str">
        <f>[1]Source!F1765</f>
        <v>6.70-24-1</v>
      </c>
      <c r="C1942" s="27" t="s">
        <v>435</v>
      </c>
      <c r="D1942" s="28" t="str">
        <f>[1]Source!H1765</f>
        <v>1 м3 кладки</v>
      </c>
      <c r="E1942" s="29">
        <f>[1]Source!I1765</f>
        <v>35.880000000000003</v>
      </c>
      <c r="F1942" s="30"/>
      <c r="G1942" s="31"/>
      <c r="H1942" s="29"/>
      <c r="I1942" s="30"/>
      <c r="J1942" s="29"/>
      <c r="K1942" s="30"/>
      <c r="Q1942">
        <f>[1]Source!X1765</f>
        <v>9017.5300000000007</v>
      </c>
      <c r="R1942">
        <f>[1]Source!X1766</f>
        <v>508137.66</v>
      </c>
      <c r="S1942">
        <f>[1]Source!Y1765</f>
        <v>4802.8100000000004</v>
      </c>
      <c r="T1942">
        <f>[1]Source!Y1766</f>
        <v>270638.53000000003</v>
      </c>
      <c r="U1942">
        <f>ROUND((175/100)*ROUND([1]Source!R1765, 2), 2)</f>
        <v>0</v>
      </c>
      <c r="V1942">
        <f>ROUND((0/100)*ROUND([1]Source!R1766, 2), 2)</f>
        <v>0</v>
      </c>
      <c r="AC1942">
        <v>0</v>
      </c>
    </row>
    <row r="1943" spans="1:29" hidden="1" x14ac:dyDescent="0.25">
      <c r="C1943" s="32" t="str">
        <f>"Объем: "&amp;[1]Source!I1765&amp;"=299*"&amp;"0,12"</f>
        <v>Объем: 35,88=299*0,12</v>
      </c>
    </row>
    <row r="1944" spans="1:29" ht="14.4" hidden="1" x14ac:dyDescent="0.25">
      <c r="A1944" s="27"/>
      <c r="B1944" s="27"/>
      <c r="C1944" s="27" t="s">
        <v>36</v>
      </c>
      <c r="D1944" s="28"/>
      <c r="E1944" s="29"/>
      <c r="F1944" s="30">
        <f>[1]Source!AO1765</f>
        <v>217.43</v>
      </c>
      <c r="G1944" s="31" t="s">
        <v>58</v>
      </c>
      <c r="H1944" s="29">
        <f>[1]Source!AV1766</f>
        <v>1.0469999999999999</v>
      </c>
      <c r="I1944" s="30">
        <f>[1]Source!S1765</f>
        <v>9801.66</v>
      </c>
      <c r="J1944" s="29">
        <f>IF([1]Source!BA1766&lt;&gt; 0, [1]Source!BA1766, 1)</f>
        <v>56.35</v>
      </c>
      <c r="K1944" s="30">
        <f>[1]Source!S1766</f>
        <v>552323.54</v>
      </c>
    </row>
    <row r="1945" spans="1:29" ht="14.4" hidden="1" x14ac:dyDescent="0.25">
      <c r="A1945" s="27"/>
      <c r="B1945" s="27"/>
      <c r="C1945" s="27" t="s">
        <v>42</v>
      </c>
      <c r="D1945" s="28" t="s">
        <v>43</v>
      </c>
      <c r="E1945" s="29">
        <f>[1]Source!BZ1766</f>
        <v>92</v>
      </c>
      <c r="F1945" s="30"/>
      <c r="G1945" s="31"/>
      <c r="H1945" s="29"/>
      <c r="I1945" s="30">
        <f>SUM(Q1942:Q1944)</f>
        <v>9017.5300000000007</v>
      </c>
      <c r="J1945" s="29">
        <f>[1]Source!AT1766</f>
        <v>92</v>
      </c>
      <c r="K1945" s="30">
        <f>SUM(R1942:R1944)</f>
        <v>508137.66</v>
      </c>
    </row>
    <row r="1946" spans="1:29" ht="14.4" hidden="1" x14ac:dyDescent="0.25">
      <c r="A1946" s="27"/>
      <c r="B1946" s="27"/>
      <c r="C1946" s="27" t="s">
        <v>44</v>
      </c>
      <c r="D1946" s="28" t="s">
        <v>43</v>
      </c>
      <c r="E1946" s="29">
        <f>[1]Source!CA1766</f>
        <v>49</v>
      </c>
      <c r="F1946" s="30"/>
      <c r="G1946" s="31"/>
      <c r="H1946" s="29"/>
      <c r="I1946" s="30">
        <f>SUM(S1942:S1945)</f>
        <v>4802.8100000000004</v>
      </c>
      <c r="J1946" s="29">
        <f>[1]Source!AU1766</f>
        <v>49</v>
      </c>
      <c r="K1946" s="30">
        <f>SUM(T1942:T1945)</f>
        <v>270638.53000000003</v>
      </c>
    </row>
    <row r="1947" spans="1:29" ht="14.4" hidden="1" x14ac:dyDescent="0.25">
      <c r="A1947" s="34"/>
      <c r="B1947" s="34"/>
      <c r="C1947" s="34" t="s">
        <v>45</v>
      </c>
      <c r="D1947" s="35" t="s">
        <v>46</v>
      </c>
      <c r="E1947" s="36">
        <f>[1]Source!AQ1765</f>
        <v>15.88</v>
      </c>
      <c r="F1947" s="37"/>
      <c r="G1947" s="38" t="s">
        <v>58</v>
      </c>
      <c r="H1947" s="36">
        <f>[1]Source!AV1766</f>
        <v>1.0469999999999999</v>
      </c>
      <c r="I1947" s="37">
        <f>[1]Source!U1765</f>
        <v>715.86455616000001</v>
      </c>
      <c r="J1947" s="36"/>
      <c r="K1947" s="37"/>
    </row>
    <row r="1948" spans="1:29" ht="13.8" hidden="1" x14ac:dyDescent="0.25">
      <c r="C1948" s="39" t="s">
        <v>47</v>
      </c>
      <c r="H1948" s="40">
        <f>I1944+I1945+I1946+0-0-0</f>
        <v>23622.000000000004</v>
      </c>
      <c r="I1948" s="40"/>
      <c r="J1948" s="40">
        <f>K1944+K1945+K1946+0-0-0</f>
        <v>1331099.73</v>
      </c>
      <c r="K1948" s="40"/>
    </row>
    <row r="1949" spans="1:29" ht="13.8" hidden="1" x14ac:dyDescent="0.25">
      <c r="C1949" s="39" t="s">
        <v>48</v>
      </c>
      <c r="H1949" s="41">
        <f>0+0</f>
        <v>0</v>
      </c>
      <c r="I1949" s="41"/>
      <c r="J1949" s="41">
        <f>0+0</f>
        <v>0</v>
      </c>
      <c r="K1949" s="41"/>
    </row>
    <row r="1950" spans="1:29" ht="13.8" hidden="1" x14ac:dyDescent="0.25">
      <c r="C1950" s="39" t="s">
        <v>49</v>
      </c>
      <c r="H1950" s="41">
        <f>I1944+I1945+I1946+0</f>
        <v>23622.000000000004</v>
      </c>
      <c r="I1950" s="41"/>
      <c r="J1950" s="41">
        <f>K1944+K1945+K1946+0</f>
        <v>1331099.73</v>
      </c>
      <c r="K1950" s="41"/>
      <c r="O1950" s="42">
        <f>I1944+I1945+I1946+0</f>
        <v>23622.000000000004</v>
      </c>
      <c r="P1950" s="42">
        <f>K1944+K1945+K1946+0</f>
        <v>1331099.73</v>
      </c>
    </row>
    <row r="1951" spans="1:29" hidden="1" x14ac:dyDescent="0.25"/>
    <row r="1952" spans="1:29" hidden="1" x14ac:dyDescent="0.25"/>
    <row r="1953" spans="1:29" ht="13.8" hidden="1" x14ac:dyDescent="0.25">
      <c r="A1953" s="44" t="str">
        <f>CONCATENATE("Итого по подразделу: ",IF([1]Source!G1768&lt;&gt;"Новый подраздел", [1]Source!G1768, ""))</f>
        <v>Итого по подразделу: Демонтажные работы</v>
      </c>
      <c r="B1953" s="44"/>
      <c r="C1953" s="44"/>
      <c r="D1953" s="44"/>
      <c r="E1953" s="44"/>
      <c r="F1953" s="44"/>
      <c r="G1953" s="44"/>
      <c r="H1953" s="41">
        <f>SUM(O1929:O1952)</f>
        <v>589973.37</v>
      </c>
      <c r="I1953" s="45"/>
      <c r="J1953" s="41">
        <f>SUM(P1929:P1952)</f>
        <v>29118567.120000001</v>
      </c>
      <c r="K1953" s="45"/>
    </row>
    <row r="1954" spans="1:29" hidden="1" x14ac:dyDescent="0.25">
      <c r="A1954" t="s">
        <v>55</v>
      </c>
      <c r="I1954">
        <f>SUM(W1929:W1953)</f>
        <v>0</v>
      </c>
      <c r="J1954">
        <f>SUM(X1929:X1953)</f>
        <v>0</v>
      </c>
    </row>
    <row r="1955" spans="1:29" hidden="1" x14ac:dyDescent="0.25">
      <c r="A1955" t="s">
        <v>56</v>
      </c>
      <c r="I1955">
        <f>SUM(Y1929:Y1954)</f>
        <v>0</v>
      </c>
      <c r="J1955">
        <f>SUM(Z1929:Z1954)</f>
        <v>0</v>
      </c>
    </row>
    <row r="1956" spans="1:29" hidden="1" x14ac:dyDescent="0.25"/>
    <row r="1957" spans="1:29" ht="16.8" hidden="1" x14ac:dyDescent="0.25">
      <c r="A1957" s="11" t="str">
        <f>CONCATENATE("Подраздел: ",IF([1]Source!G1798&lt;&gt;"Новый подраздел", [1]Source!G1798, ""))</f>
        <v>Подраздел: Кирпичные перегородки</v>
      </c>
      <c r="B1957" s="11"/>
      <c r="C1957" s="11"/>
      <c r="D1957" s="11"/>
      <c r="E1957" s="11"/>
      <c r="F1957" s="11"/>
      <c r="G1957" s="11"/>
      <c r="H1957" s="11"/>
      <c r="I1957" s="11"/>
      <c r="J1957" s="11"/>
      <c r="K1957" s="11"/>
    </row>
    <row r="1958" spans="1:29" ht="129.6" hidden="1" x14ac:dyDescent="0.25">
      <c r="A1958" s="27">
        <v>214</v>
      </c>
      <c r="B1958" s="27" t="str">
        <f>[1]Source!F1802</f>
        <v>3.70-9-3</v>
      </c>
      <c r="C1958" s="27" t="s">
        <v>436</v>
      </c>
      <c r="D1958" s="28" t="str">
        <f>[1]Source!H1802</f>
        <v>100 м2 перегородок (за вычетом проемов)</v>
      </c>
      <c r="E1958" s="29">
        <f>[1]Source!I1802</f>
        <v>2.99</v>
      </c>
      <c r="F1958" s="30"/>
      <c r="G1958" s="31"/>
      <c r="H1958" s="29"/>
      <c r="I1958" s="30"/>
      <c r="J1958" s="29"/>
      <c r="K1958" s="30"/>
      <c r="Q1958">
        <f>[1]Source!X1802</f>
        <v>9343.5</v>
      </c>
      <c r="R1958">
        <f>[1]Source!X1803</f>
        <v>526506.29</v>
      </c>
      <c r="S1958">
        <f>[1]Source!Y1802</f>
        <v>5568.35</v>
      </c>
      <c r="T1958">
        <f>[1]Source!Y1803</f>
        <v>313776.48</v>
      </c>
      <c r="U1958">
        <f>ROUND((175/100)*ROUND([1]Source!R1802, 2), 2)</f>
        <v>10.55</v>
      </c>
      <c r="V1958">
        <f>ROUND((0/100)*ROUND([1]Source!R1803, 2), 2)</f>
        <v>0</v>
      </c>
      <c r="AC1958">
        <v>0</v>
      </c>
    </row>
    <row r="1959" spans="1:29" hidden="1" x14ac:dyDescent="0.25">
      <c r="C1959" s="32" t="str">
        <f>"Объем: "&amp;[1]Source!I1802&amp;"=299/"&amp;"100"</f>
        <v>Объем: 2,99=299/100</v>
      </c>
    </row>
    <row r="1960" spans="1:29" ht="14.4" hidden="1" x14ac:dyDescent="0.25">
      <c r="A1960" s="27"/>
      <c r="B1960" s="27"/>
      <c r="C1960" s="27" t="s">
        <v>36</v>
      </c>
      <c r="D1960" s="28"/>
      <c r="E1960" s="29"/>
      <c r="F1960" s="30">
        <f>[1]Source!AO1802</f>
        <v>2142.31</v>
      </c>
      <c r="G1960" s="31" t="s">
        <v>37</v>
      </c>
      <c r="H1960" s="29">
        <f>[1]Source!AV1803</f>
        <v>1.0669999999999999</v>
      </c>
      <c r="I1960" s="30">
        <f>[1]Source!S1802</f>
        <v>9431.85</v>
      </c>
      <c r="J1960" s="29">
        <f>IF([1]Source!BA1803&lt;&gt; 0, [1]Source!BA1803, 1)</f>
        <v>56.35</v>
      </c>
      <c r="K1960" s="30">
        <f>[1]Source!S1803</f>
        <v>531484.75</v>
      </c>
    </row>
    <row r="1961" spans="1:29" ht="14.4" hidden="1" x14ac:dyDescent="0.25">
      <c r="A1961" s="27"/>
      <c r="B1961" s="27"/>
      <c r="C1961" s="27" t="s">
        <v>38</v>
      </c>
      <c r="D1961" s="28"/>
      <c r="E1961" s="29"/>
      <c r="F1961" s="30">
        <f>[1]Source!AM1802</f>
        <v>8.31</v>
      </c>
      <c r="G1961" s="31" t="s">
        <v>39</v>
      </c>
      <c r="H1961" s="29">
        <f>[1]Source!AV1803</f>
        <v>1.0669999999999999</v>
      </c>
      <c r="I1961" s="30">
        <f>[1]Source!Q1802</f>
        <v>39.770000000000003</v>
      </c>
      <c r="J1961" s="29">
        <f>IF([1]Source!BB1803&lt;&gt; 0, [1]Source!BB1803, 1)</f>
        <v>17.07</v>
      </c>
      <c r="K1961" s="30">
        <f>[1]Source!Q1803</f>
        <v>678.87</v>
      </c>
    </row>
    <row r="1962" spans="1:29" ht="14.4" hidden="1" x14ac:dyDescent="0.25">
      <c r="A1962" s="27"/>
      <c r="B1962" s="27"/>
      <c r="C1962" s="27" t="s">
        <v>40</v>
      </c>
      <c r="D1962" s="28"/>
      <c r="E1962" s="29"/>
      <c r="F1962" s="30">
        <f>[1]Source!AN1802</f>
        <v>1.26</v>
      </c>
      <c r="G1962" s="31" t="s">
        <v>39</v>
      </c>
      <c r="H1962" s="29">
        <f>[1]Source!AV1803</f>
        <v>1.0669999999999999</v>
      </c>
      <c r="I1962" s="33">
        <f>[1]Source!R1802</f>
        <v>6.03</v>
      </c>
      <c r="J1962" s="29">
        <f>IF([1]Source!BS1803&lt;&gt; 0, [1]Source!BS1803, 1)</f>
        <v>56.35</v>
      </c>
      <c r="K1962" s="33">
        <f>[1]Source!R1803</f>
        <v>339.79</v>
      </c>
    </row>
    <row r="1963" spans="1:29" ht="14.4" hidden="1" x14ac:dyDescent="0.25">
      <c r="A1963" s="27"/>
      <c r="B1963" s="27"/>
      <c r="C1963" s="27" t="s">
        <v>41</v>
      </c>
      <c r="D1963" s="28"/>
      <c r="E1963" s="29"/>
      <c r="F1963" s="30">
        <f>[1]Source!AL1802</f>
        <v>57.34</v>
      </c>
      <c r="G1963" s="31"/>
      <c r="H1963" s="29">
        <f>[1]Source!AW1803</f>
        <v>1.0249999999999999</v>
      </c>
      <c r="I1963" s="30">
        <f>[1]Source!P1802</f>
        <v>175.73</v>
      </c>
      <c r="J1963" s="29">
        <f>IF([1]Source!BC1803&lt;&gt; 0, [1]Source!BC1803, 1)</f>
        <v>5.47</v>
      </c>
      <c r="K1963" s="30">
        <f>[1]Source!P1803</f>
        <v>961.24</v>
      </c>
    </row>
    <row r="1964" spans="1:29" ht="69" hidden="1" x14ac:dyDescent="0.25">
      <c r="A1964" s="27" t="s">
        <v>437</v>
      </c>
      <c r="B1964" s="27" t="str">
        <f>[1]Source!F1804</f>
        <v>1.3-4-1</v>
      </c>
      <c r="C1964" s="27" t="s">
        <v>438</v>
      </c>
      <c r="D1964" s="28" t="str">
        <f>[1]Source!H1804</f>
        <v>т</v>
      </c>
      <c r="E1964" s="29">
        <f>[1]Source!I1804</f>
        <v>0.26910000000000001</v>
      </c>
      <c r="F1964" s="30">
        <f>[1]Source!AK1804</f>
        <v>5673.19</v>
      </c>
      <c r="G1964" s="43" t="s">
        <v>54</v>
      </c>
      <c r="H1964" s="29">
        <f>[1]Source!AW1805</f>
        <v>1.0249999999999999</v>
      </c>
      <c r="I1964" s="30">
        <f>[1]Source!O1804</f>
        <v>1564.82</v>
      </c>
      <c r="J1964" s="29">
        <f>IF([1]Source!BC1805&lt;&gt; 0, [1]Source!BC1805, 1)</f>
        <v>16.72</v>
      </c>
      <c r="K1964" s="30">
        <f>[1]Source!O1805</f>
        <v>26163.79</v>
      </c>
      <c r="Q1964">
        <f>[1]Source!X1804</f>
        <v>0</v>
      </c>
      <c r="R1964">
        <f>[1]Source!X1805</f>
        <v>0</v>
      </c>
      <c r="S1964">
        <f>[1]Source!Y1804</f>
        <v>0</v>
      </c>
      <c r="T1964">
        <f>[1]Source!Y1805</f>
        <v>0</v>
      </c>
      <c r="U1964">
        <f>ROUND((175/100)*ROUND([1]Source!R1804, 2), 2)</f>
        <v>0</v>
      </c>
      <c r="V1964">
        <f>ROUND((0/100)*ROUND([1]Source!R1805, 2), 2)</f>
        <v>0</v>
      </c>
      <c r="AC1964">
        <v>3</v>
      </c>
    </row>
    <row r="1965" spans="1:29" ht="41.4" hidden="1" x14ac:dyDescent="0.25">
      <c r="A1965" s="27" t="s">
        <v>439</v>
      </c>
      <c r="B1965" s="27" t="str">
        <f>[1]Source!F1806</f>
        <v>1.1-1-353</v>
      </c>
      <c r="C1965" s="27" t="s">
        <v>440</v>
      </c>
      <c r="D1965" s="28" t="str">
        <f>[1]Source!H1806</f>
        <v>1000 шт.</v>
      </c>
      <c r="E1965" s="29">
        <f>[1]Source!I1806</f>
        <v>14.95</v>
      </c>
      <c r="F1965" s="30">
        <f>[1]Source!AK1806</f>
        <v>1023.47</v>
      </c>
      <c r="G1965" s="43" t="s">
        <v>54</v>
      </c>
      <c r="H1965" s="29">
        <f>[1]Source!AW1807</f>
        <v>1.0249999999999999</v>
      </c>
      <c r="I1965" s="30">
        <f>[1]Source!O1806</f>
        <v>15683.4</v>
      </c>
      <c r="J1965" s="29">
        <f>IF([1]Source!BC1807&lt;&gt; 0, [1]Source!BC1807, 1)</f>
        <v>15.55</v>
      </c>
      <c r="K1965" s="30">
        <f>[1]Source!O1807</f>
        <v>243876.87</v>
      </c>
      <c r="Q1965">
        <f>[1]Source!X1806</f>
        <v>0</v>
      </c>
      <c r="R1965">
        <f>[1]Source!X1807</f>
        <v>0</v>
      </c>
      <c r="S1965">
        <f>[1]Source!Y1806</f>
        <v>0</v>
      </c>
      <c r="T1965">
        <f>[1]Source!Y1807</f>
        <v>0</v>
      </c>
      <c r="U1965">
        <f>ROUND((175/100)*ROUND([1]Source!R1806, 2), 2)</f>
        <v>0</v>
      </c>
      <c r="V1965">
        <f>ROUND((0/100)*ROUND([1]Source!R1807, 2), 2)</f>
        <v>0</v>
      </c>
      <c r="AC1965">
        <v>3</v>
      </c>
    </row>
    <row r="1966" spans="1:29" ht="27.6" hidden="1" x14ac:dyDescent="0.25">
      <c r="A1966" s="27" t="s">
        <v>441</v>
      </c>
      <c r="B1966" s="27" t="str">
        <f>[1]Source!F1808</f>
        <v>1.3-2-13</v>
      </c>
      <c r="C1966" s="27" t="s">
        <v>76</v>
      </c>
      <c r="D1966" s="28" t="str">
        <f>[1]Source!H1808</f>
        <v>м3</v>
      </c>
      <c r="E1966" s="29">
        <f>[1]Source!I1808</f>
        <v>6.8769999999999998</v>
      </c>
      <c r="F1966" s="30">
        <f>[1]Source!AK1808</f>
        <v>470.7</v>
      </c>
      <c r="G1966" s="43" t="s">
        <v>54</v>
      </c>
      <c r="H1966" s="29">
        <f>[1]Source!AW1809</f>
        <v>1.0249999999999999</v>
      </c>
      <c r="I1966" s="30">
        <f>[1]Source!O1808</f>
        <v>3317.93</v>
      </c>
      <c r="J1966" s="29">
        <f>IF([1]Source!BC1809&lt;&gt; 0, [1]Source!BC1809, 1)</f>
        <v>10.84</v>
      </c>
      <c r="K1966" s="30">
        <f>[1]Source!O1809</f>
        <v>35966.36</v>
      </c>
      <c r="Q1966">
        <f>[1]Source!X1808</f>
        <v>0</v>
      </c>
      <c r="R1966">
        <f>[1]Source!X1809</f>
        <v>0</v>
      </c>
      <c r="S1966">
        <f>[1]Source!Y1808</f>
        <v>0</v>
      </c>
      <c r="T1966">
        <f>[1]Source!Y1809</f>
        <v>0</v>
      </c>
      <c r="U1966">
        <f>ROUND((175/100)*ROUND([1]Source!R1808, 2), 2)</f>
        <v>0</v>
      </c>
      <c r="V1966">
        <f>ROUND((0/100)*ROUND([1]Source!R1809, 2), 2)</f>
        <v>0</v>
      </c>
      <c r="AC1966">
        <v>3</v>
      </c>
    </row>
    <row r="1967" spans="1:29" ht="14.4" hidden="1" x14ac:dyDescent="0.25">
      <c r="A1967" s="27"/>
      <c r="B1967" s="27"/>
      <c r="C1967" s="27" t="s">
        <v>42</v>
      </c>
      <c r="D1967" s="28" t="s">
        <v>43</v>
      </c>
      <c r="E1967" s="29">
        <f>[1]Source!BZ1803</f>
        <v>99</v>
      </c>
      <c r="F1967" s="30"/>
      <c r="G1967" s="31"/>
      <c r="H1967" s="29"/>
      <c r="I1967" s="30">
        <f>SUM(Q1958:Q1966)</f>
        <v>9343.5</v>
      </c>
      <c r="J1967" s="29">
        <f>[1]Source!AT1803</f>
        <v>99</v>
      </c>
      <c r="K1967" s="30">
        <f>SUM(R1958:R1966)</f>
        <v>526506.29</v>
      </c>
    </row>
    <row r="1968" spans="1:29" ht="14.4" hidden="1" x14ac:dyDescent="0.25">
      <c r="A1968" s="27"/>
      <c r="B1968" s="27"/>
      <c r="C1968" s="27" t="s">
        <v>44</v>
      </c>
      <c r="D1968" s="28" t="s">
        <v>43</v>
      </c>
      <c r="E1968" s="29">
        <f>[1]Source!CA1803</f>
        <v>59</v>
      </c>
      <c r="F1968" s="30"/>
      <c r="G1968" s="31"/>
      <c r="H1968" s="29"/>
      <c r="I1968" s="30">
        <f>SUM(S1958:S1967)</f>
        <v>5568.35</v>
      </c>
      <c r="J1968" s="29">
        <f>[1]Source!AU1803</f>
        <v>59</v>
      </c>
      <c r="K1968" s="30">
        <f>SUM(T1958:T1967)</f>
        <v>313776.48</v>
      </c>
    </row>
    <row r="1969" spans="1:29" ht="14.4" hidden="1" x14ac:dyDescent="0.25">
      <c r="A1969" s="34"/>
      <c r="B1969" s="34"/>
      <c r="C1969" s="34" t="s">
        <v>45</v>
      </c>
      <c r="D1969" s="35" t="s">
        <v>46</v>
      </c>
      <c r="E1969" s="36">
        <f>[1]Source!AQ1802</f>
        <v>143</v>
      </c>
      <c r="F1969" s="37"/>
      <c r="G1969" s="38" t="s">
        <v>37</v>
      </c>
      <c r="H1969" s="36">
        <f>[1]Source!AV1803</f>
        <v>1.0669999999999999</v>
      </c>
      <c r="I1969" s="37">
        <f>[1]Source!U1802</f>
        <v>629.57972219999999</v>
      </c>
      <c r="J1969" s="36"/>
      <c r="K1969" s="37"/>
    </row>
    <row r="1970" spans="1:29" ht="13.8" hidden="1" x14ac:dyDescent="0.25">
      <c r="C1970" s="39" t="s">
        <v>47</v>
      </c>
      <c r="H1970" s="40">
        <f>I1960+I1961+I1963+I1967+I1968+SUM(I1964:I1966)-SUMIF(AC1964:AC1966, 5, I1964:I1966)-SUMIF(AC1964:AC1966, 6, I1964:I1966)</f>
        <v>45125.35</v>
      </c>
      <c r="I1970" s="40"/>
      <c r="J1970" s="40">
        <f>K1960+K1961+K1963+K1967+K1968+SUM(K1964:K1966)-SUMIF(AC1964:AC1966, 5, K1964:K1966)-SUMIF(AC1964:AC1966, 6, K1964:K1966)</f>
        <v>1679414.65</v>
      </c>
      <c r="K1970" s="40"/>
    </row>
    <row r="1971" spans="1:29" ht="13.8" hidden="1" x14ac:dyDescent="0.25">
      <c r="C1971" s="39" t="s">
        <v>48</v>
      </c>
      <c r="H1971" s="41">
        <f>SUMIF(AC1964:AC1966, 5, I1964:I1966)+SUMIF(AC1964:AC1966, 6, I1964:I1966)</f>
        <v>0</v>
      </c>
      <c r="I1971" s="41"/>
      <c r="J1971" s="41">
        <f>SUMIF(AC1964:AC1966, 5, K1964:K1966)+SUMIF(AC1964:AC1966, 6, K1964:K1966)</f>
        <v>0</v>
      </c>
      <c r="K1971" s="41"/>
    </row>
    <row r="1972" spans="1:29" ht="13.8" hidden="1" x14ac:dyDescent="0.25">
      <c r="C1972" s="39" t="s">
        <v>49</v>
      </c>
      <c r="H1972" s="41">
        <f>I1960+I1961+I1963+I1967+I1968+SUM(I1964:I1966)</f>
        <v>45125.35</v>
      </c>
      <c r="I1972" s="41"/>
      <c r="J1972" s="41">
        <f>K1960+K1961+K1963+K1967+K1968+SUM(K1964:K1966)</f>
        <v>1679414.65</v>
      </c>
      <c r="K1972" s="41"/>
      <c r="O1972" s="42">
        <f>I1960+I1961+I1963+I1967+I1968+SUM(I1964:I1966)</f>
        <v>45125.35</v>
      </c>
      <c r="P1972" s="42">
        <f>K1960+K1961+K1963+K1967+K1968+SUM(K1964:K1966)</f>
        <v>1679414.65</v>
      </c>
    </row>
    <row r="1973" spans="1:29" hidden="1" x14ac:dyDescent="0.25"/>
    <row r="1974" spans="1:29" hidden="1" x14ac:dyDescent="0.25"/>
    <row r="1975" spans="1:29" ht="13.8" hidden="1" x14ac:dyDescent="0.25">
      <c r="A1975" s="44" t="str">
        <f>CONCATENATE("Итого по подразделу: ",IF([1]Source!G1811&lt;&gt;"Новый подраздел", [1]Source!G1811, ""))</f>
        <v>Итого по подразделу: Кирпичные перегородки</v>
      </c>
      <c r="B1975" s="44"/>
      <c r="C1975" s="44"/>
      <c r="D1975" s="44"/>
      <c r="E1975" s="44"/>
      <c r="F1975" s="44"/>
      <c r="G1975" s="44"/>
      <c r="H1975" s="41">
        <f>SUM(O1957:O1974)</f>
        <v>45125.35</v>
      </c>
      <c r="I1975" s="45"/>
      <c r="J1975" s="41">
        <f>SUM(P1957:P1974)</f>
        <v>1679414.65</v>
      </c>
      <c r="K1975" s="45"/>
    </row>
    <row r="1976" spans="1:29" hidden="1" x14ac:dyDescent="0.25">
      <c r="A1976" t="s">
        <v>55</v>
      </c>
      <c r="I1976">
        <f>SUM(W1957:W1975)</f>
        <v>0</v>
      </c>
      <c r="J1976">
        <f>SUM(X1957:X1975)</f>
        <v>0</v>
      </c>
    </row>
    <row r="1977" spans="1:29" hidden="1" x14ac:dyDescent="0.25">
      <c r="A1977" t="s">
        <v>56</v>
      </c>
      <c r="I1977">
        <f>SUM(Y1957:Y1976)</f>
        <v>0</v>
      </c>
      <c r="J1977">
        <f>SUM(Z1957:Z1976)</f>
        <v>0</v>
      </c>
    </row>
    <row r="1978" spans="1:29" hidden="1" x14ac:dyDescent="0.25"/>
    <row r="1979" spans="1:29" ht="16.8" hidden="1" x14ac:dyDescent="0.25">
      <c r="A1979" s="11" t="str">
        <f>CONCATENATE("Подраздел: ",IF([1]Source!G1841&lt;&gt;"Новый подраздел", [1]Source!G1841, ""))</f>
        <v>Подраздел: Перегородки из газобетоных блоков.</v>
      </c>
      <c r="B1979" s="11"/>
      <c r="C1979" s="11"/>
      <c r="D1979" s="11"/>
      <c r="E1979" s="11"/>
      <c r="F1979" s="11"/>
      <c r="G1979" s="11"/>
      <c r="H1979" s="11"/>
      <c r="I1979" s="11"/>
      <c r="J1979" s="11"/>
      <c r="K1979" s="11"/>
    </row>
    <row r="1980" spans="1:29" ht="43.2" hidden="1" x14ac:dyDescent="0.25">
      <c r="A1980" s="27">
        <v>215</v>
      </c>
      <c r="B1980" s="27" t="str">
        <f>[1]Source!F1845</f>
        <v>3.70-16-1</v>
      </c>
      <c r="C1980" s="27" t="s">
        <v>442</v>
      </c>
      <c r="D1980" s="28" t="str">
        <f>[1]Source!H1845</f>
        <v>1 м3 кладки</v>
      </c>
      <c r="E1980" s="29">
        <f>[1]Source!I1845</f>
        <v>529.375</v>
      </c>
      <c r="F1980" s="30"/>
      <c r="G1980" s="31"/>
      <c r="H1980" s="29"/>
      <c r="I1980" s="30"/>
      <c r="J1980" s="29"/>
      <c r="K1980" s="30"/>
      <c r="Q1980">
        <f>[1]Source!X1845</f>
        <v>40811.99</v>
      </c>
      <c r="R1980">
        <f>[1]Source!X1846</f>
        <v>40811.99</v>
      </c>
      <c r="S1980">
        <f>[1]Source!Y1845</f>
        <v>24322.3</v>
      </c>
      <c r="T1980">
        <f>[1]Source!Y1846</f>
        <v>24322.3</v>
      </c>
      <c r="U1980">
        <f>ROUND((175/100)*ROUND([1]Source!R1845, 2), 2)</f>
        <v>0</v>
      </c>
      <c r="V1980">
        <f>ROUND((0/100)*ROUND([1]Source!R1846, 2), 2)</f>
        <v>0</v>
      </c>
      <c r="AC1980">
        <v>0</v>
      </c>
    </row>
    <row r="1981" spans="1:29" hidden="1" x14ac:dyDescent="0.25">
      <c r="C1981" s="32" t="str">
        <f>"Объем: "&amp;[1]Source!I1845&amp;"=4235*"&amp;"0,125"</f>
        <v>Объем: 529,375=4235*0,125</v>
      </c>
    </row>
    <row r="1982" spans="1:29" ht="14.4" hidden="1" x14ac:dyDescent="0.25">
      <c r="A1982" s="27"/>
      <c r="B1982" s="27"/>
      <c r="C1982" s="27" t="s">
        <v>36</v>
      </c>
      <c r="D1982" s="28"/>
      <c r="E1982" s="29"/>
      <c r="F1982" s="30">
        <f>[1]Source!AO1845</f>
        <v>56.43</v>
      </c>
      <c r="G1982" s="31" t="s">
        <v>37</v>
      </c>
      <c r="H1982" s="29">
        <f>[1]Source!AV1846</f>
        <v>1</v>
      </c>
      <c r="I1982" s="30">
        <f>[1]Source!S1845</f>
        <v>41224.230000000003</v>
      </c>
      <c r="J1982" s="29">
        <f>IF([1]Source!BA1846&lt;&gt; 0, [1]Source!BA1846, 1)</f>
        <v>1</v>
      </c>
      <c r="K1982" s="30">
        <f>[1]Source!S1846</f>
        <v>41224.230000000003</v>
      </c>
    </row>
    <row r="1983" spans="1:29" ht="14.4" hidden="1" x14ac:dyDescent="0.25">
      <c r="A1983" s="27"/>
      <c r="B1983" s="27"/>
      <c r="C1983" s="27" t="s">
        <v>41</v>
      </c>
      <c r="D1983" s="28"/>
      <c r="E1983" s="29"/>
      <c r="F1983" s="30">
        <f>[1]Source!AL1845</f>
        <v>3.07</v>
      </c>
      <c r="G1983" s="31"/>
      <c r="H1983" s="29">
        <f>[1]Source!AW1846</f>
        <v>1</v>
      </c>
      <c r="I1983" s="30">
        <f>[1]Source!P1845</f>
        <v>1625.18</v>
      </c>
      <c r="J1983" s="29">
        <f>IF([1]Source!BC1846&lt;&gt; 0, [1]Source!BC1846, 1)</f>
        <v>9.84</v>
      </c>
      <c r="K1983" s="30">
        <f>[1]Source!P1846</f>
        <v>15991.77</v>
      </c>
    </row>
    <row r="1984" spans="1:29" ht="27.6" hidden="1" x14ac:dyDescent="0.25">
      <c r="A1984" s="27" t="s">
        <v>443</v>
      </c>
      <c r="B1984" s="27" t="str">
        <f>[1]Source!F1847</f>
        <v>1.3-2-13</v>
      </c>
      <c r="C1984" s="27" t="s">
        <v>76</v>
      </c>
      <c r="D1984" s="28" t="str">
        <f>[1]Source!H1847</f>
        <v>м3</v>
      </c>
      <c r="E1984" s="29">
        <f>[1]Source!I1847</f>
        <v>58.231250000000003</v>
      </c>
      <c r="F1984" s="30">
        <f>[1]Source!AK1847</f>
        <v>470.7</v>
      </c>
      <c r="G1984" s="43" t="s">
        <v>54</v>
      </c>
      <c r="H1984" s="29">
        <f>[1]Source!AW1848</f>
        <v>1</v>
      </c>
      <c r="I1984" s="30">
        <f>[1]Source!O1847</f>
        <v>27409.45</v>
      </c>
      <c r="J1984" s="29">
        <f>IF([1]Source!BC1848&lt;&gt; 0, [1]Source!BC1848, 1)</f>
        <v>10.84</v>
      </c>
      <c r="K1984" s="30">
        <f>[1]Source!O1848</f>
        <v>297118.44</v>
      </c>
      <c r="Q1984">
        <f>[1]Source!X1847</f>
        <v>0</v>
      </c>
      <c r="R1984">
        <f>[1]Source!X1848</f>
        <v>0</v>
      </c>
      <c r="S1984">
        <f>[1]Source!Y1847</f>
        <v>0</v>
      </c>
      <c r="T1984">
        <f>[1]Source!Y1848</f>
        <v>0</v>
      </c>
      <c r="U1984">
        <f>ROUND((175/100)*ROUND([1]Source!R1847, 2), 2)</f>
        <v>0</v>
      </c>
      <c r="V1984">
        <f>ROUND((0/100)*ROUND([1]Source!R1848, 2), 2)</f>
        <v>0</v>
      </c>
      <c r="AC1984">
        <v>3</v>
      </c>
    </row>
    <row r="1985" spans="1:29" ht="27.6" hidden="1" x14ac:dyDescent="0.25">
      <c r="A1985" s="27" t="s">
        <v>444</v>
      </c>
      <c r="B1985" s="27" t="str">
        <f>[1]Source!F1849</f>
        <v>1.5-1-231</v>
      </c>
      <c r="C1985" s="27" t="s">
        <v>445</v>
      </c>
      <c r="D1985" s="28" t="str">
        <f>[1]Source!H1849</f>
        <v>м3</v>
      </c>
      <c r="E1985" s="29">
        <f>[1]Source!I1849</f>
        <v>487.02499999999998</v>
      </c>
      <c r="F1985" s="30">
        <f>[1]Source!AK1849</f>
        <v>864.12</v>
      </c>
      <c r="G1985" s="43" t="s">
        <v>54</v>
      </c>
      <c r="H1985" s="29">
        <f>[1]Source!AW1850</f>
        <v>1</v>
      </c>
      <c r="I1985" s="30">
        <f>[1]Source!O1849</f>
        <v>420848.04</v>
      </c>
      <c r="J1985" s="29">
        <f>IF([1]Source!BC1850&lt;&gt; 0, [1]Source!BC1850, 1)</f>
        <v>5.9</v>
      </c>
      <c r="K1985" s="30">
        <f>[1]Source!O1850</f>
        <v>2483003.44</v>
      </c>
      <c r="Q1985">
        <f>[1]Source!X1849</f>
        <v>0</v>
      </c>
      <c r="R1985">
        <f>[1]Source!X1850</f>
        <v>0</v>
      </c>
      <c r="S1985">
        <f>[1]Source!Y1849</f>
        <v>0</v>
      </c>
      <c r="T1985">
        <f>[1]Source!Y1850</f>
        <v>0</v>
      </c>
      <c r="U1985">
        <f>ROUND((175/100)*ROUND([1]Source!R1849, 2), 2)</f>
        <v>0</v>
      </c>
      <c r="V1985">
        <f>ROUND((0/100)*ROUND([1]Source!R1850, 2), 2)</f>
        <v>0</v>
      </c>
      <c r="AC1985">
        <v>3</v>
      </c>
    </row>
    <row r="1986" spans="1:29" ht="14.4" hidden="1" x14ac:dyDescent="0.25">
      <c r="A1986" s="27"/>
      <c r="B1986" s="27"/>
      <c r="C1986" s="27" t="s">
        <v>42</v>
      </c>
      <c r="D1986" s="28" t="s">
        <v>43</v>
      </c>
      <c r="E1986" s="29">
        <f>[1]Source!BZ1846</f>
        <v>99</v>
      </c>
      <c r="F1986" s="30"/>
      <c r="G1986" s="31"/>
      <c r="H1986" s="29"/>
      <c r="I1986" s="30">
        <f>SUM(Q1980:Q1985)</f>
        <v>40811.99</v>
      </c>
      <c r="J1986" s="29">
        <f>[1]Source!AT1846</f>
        <v>99</v>
      </c>
      <c r="K1986" s="30">
        <f>SUM(R1980:R1985)</f>
        <v>40811.99</v>
      </c>
    </row>
    <row r="1987" spans="1:29" ht="14.4" hidden="1" x14ac:dyDescent="0.25">
      <c r="A1987" s="27"/>
      <c r="B1987" s="27"/>
      <c r="C1987" s="27" t="s">
        <v>44</v>
      </c>
      <c r="D1987" s="28" t="s">
        <v>43</v>
      </c>
      <c r="E1987" s="29">
        <f>[1]Source!CA1846</f>
        <v>59</v>
      </c>
      <c r="F1987" s="30"/>
      <c r="G1987" s="31"/>
      <c r="H1987" s="29"/>
      <c r="I1987" s="30">
        <f>SUM(S1980:S1986)</f>
        <v>24322.3</v>
      </c>
      <c r="J1987" s="29">
        <f>[1]Source!AU1846</f>
        <v>59</v>
      </c>
      <c r="K1987" s="30">
        <f>SUM(T1980:T1986)</f>
        <v>24322.3</v>
      </c>
    </row>
    <row r="1988" spans="1:29" ht="14.4" hidden="1" x14ac:dyDescent="0.25">
      <c r="A1988" s="34"/>
      <c r="B1988" s="34"/>
      <c r="C1988" s="34" t="s">
        <v>45</v>
      </c>
      <c r="D1988" s="35" t="s">
        <v>46</v>
      </c>
      <c r="E1988" s="36">
        <f>[1]Source!AQ1845</f>
        <v>3.72</v>
      </c>
      <c r="F1988" s="37"/>
      <c r="G1988" s="38" t="s">
        <v>37</v>
      </c>
      <c r="H1988" s="36">
        <f>[1]Source!AV1846</f>
        <v>1</v>
      </c>
      <c r="I1988" s="37">
        <f>[1]Source!U1845</f>
        <v>2717.5994999999998</v>
      </c>
      <c r="J1988" s="36"/>
      <c r="K1988" s="37"/>
    </row>
    <row r="1989" spans="1:29" ht="13.8" hidden="1" x14ac:dyDescent="0.25">
      <c r="C1989" s="39" t="s">
        <v>47</v>
      </c>
      <c r="H1989" s="40">
        <f>I1982+I1983+I1986+I1987+SUM(I1984:I1985)-SUMIF(AC1984:AC1985, 5, I1984:I1985)-SUMIF(AC1984:AC1985, 6, I1984:I1985)</f>
        <v>556241.18999999994</v>
      </c>
      <c r="I1989" s="40"/>
      <c r="J1989" s="40">
        <f>K1982+K1983+K1986+K1987+SUM(K1984:K1985)-SUMIF(AC1984:AC1985, 5, K1984:K1985)-SUMIF(AC1984:AC1985, 6, K1984:K1985)</f>
        <v>2902472.17</v>
      </c>
      <c r="K1989" s="40"/>
    </row>
    <row r="1990" spans="1:29" ht="13.8" hidden="1" x14ac:dyDescent="0.25">
      <c r="C1990" s="39" t="s">
        <v>48</v>
      </c>
      <c r="H1990" s="41">
        <f>SUMIF(AC1984:AC1985, 5, I1984:I1985)+SUMIF(AC1984:AC1985, 6, I1984:I1985)</f>
        <v>0</v>
      </c>
      <c r="I1990" s="41"/>
      <c r="J1990" s="41">
        <f>SUMIF(AC1984:AC1985, 5, K1984:K1985)+SUMIF(AC1984:AC1985, 6, K1984:K1985)</f>
        <v>0</v>
      </c>
      <c r="K1990" s="41"/>
    </row>
    <row r="1991" spans="1:29" ht="13.8" hidden="1" x14ac:dyDescent="0.25">
      <c r="C1991" s="39" t="s">
        <v>49</v>
      </c>
      <c r="H1991" s="41">
        <f>I1982+I1983+I1986+I1987+SUM(I1984:I1985)</f>
        <v>556241.18999999994</v>
      </c>
      <c r="I1991" s="41"/>
      <c r="J1991" s="41">
        <f>K1982+K1983+K1986+K1987+SUM(K1984:K1985)</f>
        <v>2902472.17</v>
      </c>
      <c r="K1991" s="41"/>
      <c r="O1991" s="42">
        <f>I1982+I1983+I1986+I1987+SUM(I1984:I1985)</f>
        <v>556241.18999999994</v>
      </c>
      <c r="P1991" s="42">
        <f>K1982+K1983+K1986+K1987+SUM(K1984:K1985)</f>
        <v>2902472.17</v>
      </c>
    </row>
    <row r="1992" spans="1:29" hidden="1" x14ac:dyDescent="0.25"/>
    <row r="1993" spans="1:29" hidden="1" x14ac:dyDescent="0.25"/>
    <row r="1994" spans="1:29" ht="13.8" hidden="1" x14ac:dyDescent="0.25">
      <c r="A1994" s="44" t="str">
        <f>CONCATENATE("Итого по подразделу: ",IF([1]Source!G1852&lt;&gt;"Новый подраздел", [1]Source!G1852, ""))</f>
        <v>Итого по подразделу: Перегородки из газобетоных блоков.</v>
      </c>
      <c r="B1994" s="44"/>
      <c r="C1994" s="44"/>
      <c r="D1994" s="44"/>
      <c r="E1994" s="44"/>
      <c r="F1994" s="44"/>
      <c r="G1994" s="44"/>
      <c r="H1994" s="41">
        <f>SUM(O1979:O1993)</f>
        <v>556241.18999999994</v>
      </c>
      <c r="I1994" s="45"/>
      <c r="J1994" s="41">
        <f>SUM(P1979:P1993)</f>
        <v>2902472.17</v>
      </c>
      <c r="K1994" s="45"/>
    </row>
    <row r="1995" spans="1:29" hidden="1" x14ac:dyDescent="0.25">
      <c r="A1995" t="s">
        <v>55</v>
      </c>
      <c r="I1995">
        <f>SUM(W1979:W1994)</f>
        <v>0</v>
      </c>
      <c r="J1995">
        <f>SUM(X1979:X1994)</f>
        <v>0</v>
      </c>
    </row>
    <row r="1996" spans="1:29" hidden="1" x14ac:dyDescent="0.25">
      <c r="A1996" t="s">
        <v>56</v>
      </c>
      <c r="I1996">
        <f>SUM(Y1979:Y1995)</f>
        <v>0</v>
      </c>
      <c r="J1996">
        <f>SUM(Z1979:Z1995)</f>
        <v>0</v>
      </c>
    </row>
    <row r="1997" spans="1:29" hidden="1" x14ac:dyDescent="0.25"/>
    <row r="1998" spans="1:29" ht="16.8" hidden="1" x14ac:dyDescent="0.25">
      <c r="A1998" s="11" t="str">
        <f>CONCATENATE("Подраздел: ",IF([1]Source!G1882&lt;&gt;"Новый подраздел", [1]Source!G1882, ""))</f>
        <v>Подраздел: Зашивка коммуникаций ГКЛВ</v>
      </c>
      <c r="B1998" s="11"/>
      <c r="C1998" s="11"/>
      <c r="D1998" s="11"/>
      <c r="E1998" s="11"/>
      <c r="F1998" s="11"/>
      <c r="G1998" s="11"/>
      <c r="H1998" s="11"/>
      <c r="I1998" s="11"/>
      <c r="J1998" s="11"/>
      <c r="K1998" s="11"/>
    </row>
    <row r="1999" spans="1:29" ht="110.4" hidden="1" x14ac:dyDescent="0.25">
      <c r="A1999" s="27">
        <v>216</v>
      </c>
      <c r="B1999" s="27" t="str">
        <f>[1]Source!F1886</f>
        <v>3.70-117-5</v>
      </c>
      <c r="C1999" s="27" t="s">
        <v>446</v>
      </c>
      <c r="D1999" s="28" t="str">
        <f>[1]Source!H1886</f>
        <v>100 м2 перегородки</v>
      </c>
      <c r="E1999" s="29">
        <f>[1]Source!I1886</f>
        <v>6.6</v>
      </c>
      <c r="F1999" s="30"/>
      <c r="G1999" s="31"/>
      <c r="H1999" s="29"/>
      <c r="I1999" s="30"/>
      <c r="J1999" s="29"/>
      <c r="K1999" s="30"/>
      <c r="Q1999">
        <f>[1]Source!X1886</f>
        <v>12232.2</v>
      </c>
      <c r="R1999">
        <f>[1]Source!X1887</f>
        <v>689284.72</v>
      </c>
      <c r="S1999">
        <f>[1]Source!Y1886</f>
        <v>5926.94</v>
      </c>
      <c r="T1999">
        <f>[1]Source!Y1887</f>
        <v>333983.32</v>
      </c>
      <c r="U1999">
        <f>ROUND((175/100)*ROUND([1]Source!R1886, 2), 2)</f>
        <v>66.94</v>
      </c>
      <c r="V1999">
        <f>ROUND((0/100)*ROUND([1]Source!R1887, 2), 2)</f>
        <v>0</v>
      </c>
      <c r="AC1999">
        <v>0</v>
      </c>
    </row>
    <row r="2000" spans="1:29" hidden="1" x14ac:dyDescent="0.25">
      <c r="C2000" s="32" t="str">
        <f>"Объем: "&amp;[1]Source!I1886&amp;"=660/"&amp;"100"</f>
        <v>Объем: 6,6=660/100</v>
      </c>
    </row>
    <row r="2001" spans="1:29" ht="14.4" hidden="1" x14ac:dyDescent="0.25">
      <c r="A2001" s="27"/>
      <c r="B2001" s="27"/>
      <c r="C2001" s="27" t="s">
        <v>36</v>
      </c>
      <c r="D2001" s="28"/>
      <c r="E2001" s="29"/>
      <c r="F2001" s="30">
        <f>[1]Source!AO1886</f>
        <v>1318.39</v>
      </c>
      <c r="G2001" s="31" t="s">
        <v>37</v>
      </c>
      <c r="H2001" s="29">
        <f>[1]Source!AV1887</f>
        <v>1.0469999999999999</v>
      </c>
      <c r="I2001" s="30">
        <f>[1]Source!S1886</f>
        <v>12572.27</v>
      </c>
      <c r="J2001" s="29">
        <f>IF([1]Source!BA1887&lt;&gt; 0, [1]Source!BA1887, 1)</f>
        <v>56.35</v>
      </c>
      <c r="K2001" s="30">
        <f>[1]Source!S1887</f>
        <v>708447.41</v>
      </c>
    </row>
    <row r="2002" spans="1:29" ht="14.4" hidden="1" x14ac:dyDescent="0.25">
      <c r="A2002" s="27"/>
      <c r="B2002" s="27"/>
      <c r="C2002" s="27" t="s">
        <v>38</v>
      </c>
      <c r="D2002" s="28"/>
      <c r="E2002" s="29"/>
      <c r="F2002" s="30">
        <f>[1]Source!AM1886</f>
        <v>33.61</v>
      </c>
      <c r="G2002" s="31" t="s">
        <v>39</v>
      </c>
      <c r="H2002" s="29">
        <f>[1]Source!AV1887</f>
        <v>1.0469999999999999</v>
      </c>
      <c r="I2002" s="30">
        <f>[1]Source!Q1886</f>
        <v>348.38</v>
      </c>
      <c r="J2002" s="29">
        <f>IF([1]Source!BB1887&lt;&gt; 0, [1]Source!BB1887, 1)</f>
        <v>15.54</v>
      </c>
      <c r="K2002" s="30">
        <f>[1]Source!Q1887</f>
        <v>5413.83</v>
      </c>
    </row>
    <row r="2003" spans="1:29" ht="14.4" hidden="1" x14ac:dyDescent="0.25">
      <c r="A2003" s="27"/>
      <c r="B2003" s="27"/>
      <c r="C2003" s="27" t="s">
        <v>40</v>
      </c>
      <c r="D2003" s="28"/>
      <c r="E2003" s="29"/>
      <c r="F2003" s="30">
        <f>[1]Source!AN1886</f>
        <v>3.69</v>
      </c>
      <c r="G2003" s="31" t="s">
        <v>39</v>
      </c>
      <c r="H2003" s="29">
        <f>[1]Source!AV1887</f>
        <v>1.0469999999999999</v>
      </c>
      <c r="I2003" s="33">
        <f>[1]Source!R1886</f>
        <v>38.25</v>
      </c>
      <c r="J2003" s="29">
        <f>IF([1]Source!BS1887&lt;&gt; 0, [1]Source!BS1887, 1)</f>
        <v>56.35</v>
      </c>
      <c r="K2003" s="33">
        <f>[1]Source!R1887</f>
        <v>2155.39</v>
      </c>
    </row>
    <row r="2004" spans="1:29" ht="14.4" hidden="1" x14ac:dyDescent="0.25">
      <c r="A2004" s="27"/>
      <c r="B2004" s="27"/>
      <c r="C2004" s="27" t="s">
        <v>41</v>
      </c>
      <c r="D2004" s="28"/>
      <c r="E2004" s="29"/>
      <c r="F2004" s="30">
        <f>[1]Source!AL1886</f>
        <v>2041.54</v>
      </c>
      <c r="G2004" s="31"/>
      <c r="H2004" s="29">
        <f>[1]Source!AW1887</f>
        <v>1</v>
      </c>
      <c r="I2004" s="30">
        <f>[1]Source!P1886</f>
        <v>13474.16</v>
      </c>
      <c r="J2004" s="29">
        <f>IF([1]Source!BC1887&lt;&gt; 0, [1]Source!BC1887, 1)</f>
        <v>7.63</v>
      </c>
      <c r="K2004" s="30">
        <f>[1]Source!P1887</f>
        <v>102807.84</v>
      </c>
    </row>
    <row r="2005" spans="1:29" ht="110.4" hidden="1" x14ac:dyDescent="0.25">
      <c r="A2005" s="27" t="s">
        <v>447</v>
      </c>
      <c r="B2005" s="27" t="str">
        <f>[1]Source!F1888</f>
        <v>1.1-1-3719</v>
      </c>
      <c r="C2005" s="27" t="s">
        <v>448</v>
      </c>
      <c r="D2005" s="28" t="str">
        <f>[1]Source!H1888</f>
        <v>м</v>
      </c>
      <c r="E2005" s="29">
        <f>[1]Source!I1888</f>
        <v>796.75199999999995</v>
      </c>
      <c r="F2005" s="30">
        <f>[1]Source!AK1888</f>
        <v>0.71</v>
      </c>
      <c r="G2005" s="43" t="s">
        <v>54</v>
      </c>
      <c r="H2005" s="29">
        <f>[1]Source!AW1889</f>
        <v>1</v>
      </c>
      <c r="I2005" s="30">
        <f>[1]Source!O1888</f>
        <v>565.69000000000005</v>
      </c>
      <c r="J2005" s="29">
        <f>IF([1]Source!BC1889&lt;&gt; 0, [1]Source!BC1889, 1)</f>
        <v>10.11</v>
      </c>
      <c r="K2005" s="30">
        <f>[1]Source!O1889</f>
        <v>5719.13</v>
      </c>
      <c r="Q2005">
        <f>[1]Source!X1888</f>
        <v>0</v>
      </c>
      <c r="R2005">
        <f>[1]Source!X1889</f>
        <v>0</v>
      </c>
      <c r="S2005">
        <f>[1]Source!Y1888</f>
        <v>0</v>
      </c>
      <c r="T2005">
        <f>[1]Source!Y1889</f>
        <v>0</v>
      </c>
      <c r="U2005">
        <f>ROUND((175/100)*ROUND([1]Source!R1888, 2), 2)</f>
        <v>0</v>
      </c>
      <c r="V2005">
        <f>ROUND((0/100)*ROUND([1]Source!R1889, 2), 2)</f>
        <v>0</v>
      </c>
      <c r="AC2005">
        <v>3</v>
      </c>
    </row>
    <row r="2006" spans="1:29" ht="110.4" hidden="1" x14ac:dyDescent="0.25">
      <c r="A2006" s="27" t="s">
        <v>449</v>
      </c>
      <c r="B2006" s="27" t="str">
        <f>[1]Source!F1890</f>
        <v>1.7-4-28</v>
      </c>
      <c r="C2006" s="27" t="s">
        <v>450</v>
      </c>
      <c r="D2006" s="28" t="str">
        <f>[1]Source!H1890</f>
        <v>м</v>
      </c>
      <c r="E2006" s="29">
        <f>[1]Source!I1890</f>
        <v>627.92399999999998</v>
      </c>
      <c r="F2006" s="30">
        <f>[1]Source!AK1890</f>
        <v>24.43</v>
      </c>
      <c r="G2006" s="43" t="s">
        <v>54</v>
      </c>
      <c r="H2006" s="29">
        <f>[1]Source!AW1891</f>
        <v>1</v>
      </c>
      <c r="I2006" s="30">
        <f>[1]Source!O1890</f>
        <v>15340.18</v>
      </c>
      <c r="J2006" s="29">
        <f>IF([1]Source!BC1891&lt;&gt; 0, [1]Source!BC1891, 1)</f>
        <v>3.5</v>
      </c>
      <c r="K2006" s="30">
        <f>[1]Source!O1891</f>
        <v>53690.63</v>
      </c>
      <c r="Q2006">
        <f>[1]Source!X1890</f>
        <v>0</v>
      </c>
      <c r="R2006">
        <f>[1]Source!X1891</f>
        <v>0</v>
      </c>
      <c r="S2006">
        <f>[1]Source!Y1890</f>
        <v>0</v>
      </c>
      <c r="T2006">
        <f>[1]Source!Y1891</f>
        <v>0</v>
      </c>
      <c r="U2006">
        <f>ROUND((175/100)*ROUND([1]Source!R1890, 2), 2)</f>
        <v>0</v>
      </c>
      <c r="V2006">
        <f>ROUND((0/100)*ROUND([1]Source!R1891, 2), 2)</f>
        <v>0</v>
      </c>
      <c r="AC2006">
        <v>3</v>
      </c>
    </row>
    <row r="2007" spans="1:29" ht="82.8" hidden="1" x14ac:dyDescent="0.25">
      <c r="A2007" s="27" t="s">
        <v>451</v>
      </c>
      <c r="B2007" s="27" t="str">
        <f>[1]Source!F1892</f>
        <v>1.7-4-32</v>
      </c>
      <c r="C2007" s="27" t="s">
        <v>452</v>
      </c>
      <c r="D2007" s="28" t="str">
        <f>[1]Source!H1892</f>
        <v>м</v>
      </c>
      <c r="E2007" s="29">
        <f>[1]Source!I1892</f>
        <v>1394.712</v>
      </c>
      <c r="F2007" s="30">
        <f>[1]Source!AK1892</f>
        <v>23.21</v>
      </c>
      <c r="G2007" s="43" t="s">
        <v>54</v>
      </c>
      <c r="H2007" s="29">
        <f>[1]Source!AW1893</f>
        <v>1</v>
      </c>
      <c r="I2007" s="30">
        <f>[1]Source!O1892</f>
        <v>32371.27</v>
      </c>
      <c r="J2007" s="29">
        <f>IF([1]Source!BC1893&lt;&gt; 0, [1]Source!BC1893, 1)</f>
        <v>4.1399999999999997</v>
      </c>
      <c r="K2007" s="30">
        <f>[1]Source!O1893</f>
        <v>134017.06</v>
      </c>
      <c r="Q2007">
        <f>[1]Source!X1892</f>
        <v>0</v>
      </c>
      <c r="R2007">
        <f>[1]Source!X1893</f>
        <v>0</v>
      </c>
      <c r="S2007">
        <f>[1]Source!Y1892</f>
        <v>0</v>
      </c>
      <c r="T2007">
        <f>[1]Source!Y1893</f>
        <v>0</v>
      </c>
      <c r="U2007">
        <f>ROUND((175/100)*ROUND([1]Source!R1892, 2), 2)</f>
        <v>0</v>
      </c>
      <c r="V2007">
        <f>ROUND((0/100)*ROUND([1]Source!R1893, 2), 2)</f>
        <v>0</v>
      </c>
      <c r="AC2007">
        <v>3</v>
      </c>
    </row>
    <row r="2008" spans="1:29" ht="41.4" hidden="1" x14ac:dyDescent="0.25">
      <c r="A2008" s="27" t="s">
        <v>453</v>
      </c>
      <c r="B2008" s="27" t="str">
        <f>[1]Source!F1894</f>
        <v>1.1-1-4067</v>
      </c>
      <c r="C2008" s="27" t="s">
        <v>454</v>
      </c>
      <c r="D2008" s="28" t="str">
        <f>[1]Source!H1894</f>
        <v>м2</v>
      </c>
      <c r="E2008" s="29">
        <f>[1]Source!I1894</f>
        <v>1372.8</v>
      </c>
      <c r="F2008" s="30">
        <f>[1]Source!AK1894</f>
        <v>31.39</v>
      </c>
      <c r="G2008" s="43" t="s">
        <v>54</v>
      </c>
      <c r="H2008" s="29">
        <f>[1]Source!AW1895</f>
        <v>1</v>
      </c>
      <c r="I2008" s="30">
        <f>[1]Source!O1894</f>
        <v>43092.19</v>
      </c>
      <c r="J2008" s="29">
        <f>IF([1]Source!BC1895&lt;&gt; 0, [1]Source!BC1895, 1)</f>
        <v>5.07</v>
      </c>
      <c r="K2008" s="30">
        <f>[1]Source!O1895</f>
        <v>218477.4</v>
      </c>
      <c r="Q2008">
        <f>[1]Source!X1894</f>
        <v>0</v>
      </c>
      <c r="R2008">
        <f>[1]Source!X1895</f>
        <v>0</v>
      </c>
      <c r="S2008">
        <f>[1]Source!Y1894</f>
        <v>0</v>
      </c>
      <c r="T2008">
        <f>[1]Source!Y1895</f>
        <v>0</v>
      </c>
      <c r="U2008">
        <f>ROUND((175/100)*ROUND([1]Source!R1894, 2), 2)</f>
        <v>0</v>
      </c>
      <c r="V2008">
        <f>ROUND((0/100)*ROUND([1]Source!R1895, 2), 2)</f>
        <v>0</v>
      </c>
      <c r="AC2008">
        <v>3</v>
      </c>
    </row>
    <row r="2009" spans="1:29" ht="14.4" hidden="1" x14ac:dyDescent="0.25">
      <c r="A2009" s="27"/>
      <c r="B2009" s="27"/>
      <c r="C2009" s="27" t="s">
        <v>42</v>
      </c>
      <c r="D2009" s="28" t="s">
        <v>43</v>
      </c>
      <c r="E2009" s="29">
        <f>[1]Source!BZ1887</f>
        <v>97</v>
      </c>
      <c r="F2009" s="30"/>
      <c r="G2009" s="31"/>
      <c r="H2009" s="29"/>
      <c r="I2009" s="30">
        <f>SUM(Q1999:Q2008)</f>
        <v>12232.2</v>
      </c>
      <c r="J2009" s="29">
        <f>[1]Source!AT1887</f>
        <v>97</v>
      </c>
      <c r="K2009" s="30">
        <f>SUM(R1999:R2008)</f>
        <v>689284.72</v>
      </c>
    </row>
    <row r="2010" spans="1:29" ht="14.4" hidden="1" x14ac:dyDescent="0.25">
      <c r="A2010" s="27"/>
      <c r="B2010" s="27"/>
      <c r="C2010" s="27" t="s">
        <v>44</v>
      </c>
      <c r="D2010" s="28" t="s">
        <v>43</v>
      </c>
      <c r="E2010" s="29">
        <f>[1]Source!CA1887</f>
        <v>47</v>
      </c>
      <c r="F2010" s="30"/>
      <c r="G2010" s="31"/>
      <c r="H2010" s="29"/>
      <c r="I2010" s="30">
        <f>SUM(S1999:S2009)</f>
        <v>5926.94</v>
      </c>
      <c r="J2010" s="29">
        <f>[1]Source!AU1887</f>
        <v>47</v>
      </c>
      <c r="K2010" s="30">
        <f>SUM(T1999:T2009)</f>
        <v>333983.32</v>
      </c>
    </row>
    <row r="2011" spans="1:29" ht="14.4" hidden="1" x14ac:dyDescent="0.25">
      <c r="A2011" s="34"/>
      <c r="B2011" s="34"/>
      <c r="C2011" s="34" t="s">
        <v>45</v>
      </c>
      <c r="D2011" s="35" t="s">
        <v>46</v>
      </c>
      <c r="E2011" s="36">
        <f>[1]Source!AQ1886</f>
        <v>78.53</v>
      </c>
      <c r="F2011" s="37"/>
      <c r="G2011" s="38" t="s">
        <v>37</v>
      </c>
      <c r="H2011" s="36">
        <f>[1]Source!AV1887</f>
        <v>1.0469999999999999</v>
      </c>
      <c r="I2011" s="37">
        <f>[1]Source!U1886</f>
        <v>748.86804827999981</v>
      </c>
      <c r="J2011" s="36"/>
      <c r="K2011" s="37"/>
    </row>
    <row r="2012" spans="1:29" ht="13.8" hidden="1" x14ac:dyDescent="0.25">
      <c r="C2012" s="39" t="s">
        <v>47</v>
      </c>
      <c r="H2012" s="40">
        <f>I2001+I2002+I2004+I2009+I2010+SUM(I2005:I2008)-SUMIF(AC2005:AC2008, 5, I2005:I2008)-SUMIF(AC2005:AC2008, 6, I2005:I2008)</f>
        <v>135923.28</v>
      </c>
      <c r="I2012" s="40"/>
      <c r="J2012" s="40">
        <f>K2001+K2002+K2004+K2009+K2010+SUM(K2005:K2008)-SUMIF(AC2005:AC2008, 5, K2005:K2008)-SUMIF(AC2005:AC2008, 6, K2005:K2008)</f>
        <v>2251841.34</v>
      </c>
      <c r="K2012" s="40"/>
    </row>
    <row r="2013" spans="1:29" ht="13.8" hidden="1" x14ac:dyDescent="0.25">
      <c r="C2013" s="39" t="s">
        <v>48</v>
      </c>
      <c r="H2013" s="41">
        <f>SUMIF(AC2005:AC2008, 5, I2005:I2008)+SUMIF(AC2005:AC2008, 6, I2005:I2008)</f>
        <v>0</v>
      </c>
      <c r="I2013" s="41"/>
      <c r="J2013" s="41">
        <f>SUMIF(AC2005:AC2008, 5, K2005:K2008)+SUMIF(AC2005:AC2008, 6, K2005:K2008)</f>
        <v>0</v>
      </c>
      <c r="K2013" s="41"/>
    </row>
    <row r="2014" spans="1:29" ht="13.8" hidden="1" x14ac:dyDescent="0.25">
      <c r="C2014" s="39" t="s">
        <v>49</v>
      </c>
      <c r="H2014" s="41">
        <f>I2001+I2002+I2004+I2009+I2010+SUM(I2005:I2008)</f>
        <v>135923.28</v>
      </c>
      <c r="I2014" s="41"/>
      <c r="J2014" s="41">
        <f>K2001+K2002+K2004+K2009+K2010+SUM(K2005:K2008)</f>
        <v>2251841.34</v>
      </c>
      <c r="K2014" s="41"/>
      <c r="O2014" s="42">
        <f>I2001+I2002+I2004+I2009+I2010+SUM(I2005:I2008)</f>
        <v>135923.28</v>
      </c>
      <c r="P2014" s="42">
        <f>K2001+K2002+K2004+K2009+K2010+SUM(K2005:K2008)</f>
        <v>2251841.34</v>
      </c>
    </row>
    <row r="2015" spans="1:29" hidden="1" x14ac:dyDescent="0.25"/>
    <row r="2016" spans="1:29" hidden="1" x14ac:dyDescent="0.25"/>
    <row r="2017" spans="1:29" ht="13.8" hidden="1" x14ac:dyDescent="0.25">
      <c r="A2017" s="44" t="str">
        <f>CONCATENATE("Итого по подразделу: ",IF([1]Source!G1897&lt;&gt;"Новый подраздел", [1]Source!G1897, ""))</f>
        <v>Итого по подразделу: Зашивка коммуникаций ГКЛВ</v>
      </c>
      <c r="B2017" s="44"/>
      <c r="C2017" s="44"/>
      <c r="D2017" s="44"/>
      <c r="E2017" s="44"/>
      <c r="F2017" s="44"/>
      <c r="G2017" s="44"/>
      <c r="H2017" s="41">
        <f>SUM(O1998:O2016)</f>
        <v>135923.28</v>
      </c>
      <c r="I2017" s="45"/>
      <c r="J2017" s="41">
        <f>SUM(P1998:P2016)</f>
        <v>2251841.34</v>
      </c>
      <c r="K2017" s="45"/>
    </row>
    <row r="2018" spans="1:29" hidden="1" x14ac:dyDescent="0.25">
      <c r="A2018" t="s">
        <v>55</v>
      </c>
      <c r="I2018">
        <f>SUM(W1998:W2017)</f>
        <v>0</v>
      </c>
      <c r="J2018">
        <f>SUM(X1998:X2017)</f>
        <v>0</v>
      </c>
    </row>
    <row r="2019" spans="1:29" hidden="1" x14ac:dyDescent="0.25">
      <c r="A2019" t="s">
        <v>56</v>
      </c>
      <c r="I2019">
        <f>SUM(Y1998:Y2018)</f>
        <v>0</v>
      </c>
      <c r="J2019">
        <f>SUM(Z1998:Z2018)</f>
        <v>0</v>
      </c>
    </row>
    <row r="2020" spans="1:29" hidden="1" x14ac:dyDescent="0.25"/>
    <row r="2021" spans="1:29" ht="16.8" hidden="1" x14ac:dyDescent="0.25">
      <c r="A2021" s="11" t="str">
        <f>CONCATENATE("Подраздел: ",IF([1]Source!G1927&lt;&gt;"Новый подраздел", [1]Source!G1927, ""))</f>
        <v>Подраздел: Теплоизоляция</v>
      </c>
      <c r="B2021" s="11"/>
      <c r="C2021" s="11"/>
      <c r="D2021" s="11"/>
      <c r="E2021" s="11"/>
      <c r="F2021" s="11"/>
      <c r="G2021" s="11"/>
      <c r="H2021" s="11"/>
      <c r="I2021" s="11"/>
      <c r="J2021" s="11"/>
      <c r="K2021" s="11"/>
    </row>
    <row r="2022" spans="1:29" ht="55.2" hidden="1" x14ac:dyDescent="0.25">
      <c r="A2022" s="27">
        <v>217</v>
      </c>
      <c r="B2022" s="27" t="str">
        <f>[1]Source!F1931</f>
        <v>3.26-60-1</v>
      </c>
      <c r="C2022" s="27" t="s">
        <v>455</v>
      </c>
      <c r="D2022" s="28" t="str">
        <f>[1]Source!H1931</f>
        <v>100 м2</v>
      </c>
      <c r="E2022" s="29">
        <f>[1]Source!I1931</f>
        <v>3.81</v>
      </c>
      <c r="F2022" s="30"/>
      <c r="G2022" s="31"/>
      <c r="H2022" s="29"/>
      <c r="I2022" s="30"/>
      <c r="J2022" s="29"/>
      <c r="K2022" s="30"/>
      <c r="Q2022">
        <f>[1]Source!X1931</f>
        <v>1033.49</v>
      </c>
      <c r="R2022">
        <f>[1]Source!X1932</f>
        <v>58237.18</v>
      </c>
      <c r="S2022">
        <f>[1]Source!Y1931</f>
        <v>558.32000000000005</v>
      </c>
      <c r="T2022">
        <f>[1]Source!Y1932</f>
        <v>31461.47</v>
      </c>
      <c r="U2022">
        <f>ROUND((175/100)*ROUND([1]Source!R1931, 2), 2)</f>
        <v>30.36</v>
      </c>
      <c r="V2022">
        <f>ROUND((0/100)*ROUND([1]Source!R1932, 2), 2)</f>
        <v>0</v>
      </c>
      <c r="AC2022">
        <v>0</v>
      </c>
    </row>
    <row r="2023" spans="1:29" hidden="1" x14ac:dyDescent="0.25">
      <c r="C2023" s="32" t="str">
        <f>"Объем: "&amp;[1]Source!I1931&amp;"=(360+"&amp;"21)/"&amp;"100"</f>
        <v>Объем: 3,81=(360+21)/100</v>
      </c>
    </row>
    <row r="2024" spans="1:29" ht="14.4" hidden="1" x14ac:dyDescent="0.25">
      <c r="A2024" s="27"/>
      <c r="B2024" s="27"/>
      <c r="C2024" s="27" t="s">
        <v>36</v>
      </c>
      <c r="D2024" s="28"/>
      <c r="E2024" s="29"/>
      <c r="F2024" s="30">
        <f>[1]Source!AO1931</f>
        <v>212.64</v>
      </c>
      <c r="G2024" s="31" t="s">
        <v>37</v>
      </c>
      <c r="H2024" s="29">
        <f>[1]Source!AV1932</f>
        <v>1.0469999999999999</v>
      </c>
      <c r="I2024" s="30">
        <f>[1]Source!S1931</f>
        <v>1170.57</v>
      </c>
      <c r="J2024" s="29">
        <f>IF([1]Source!BA1932&lt;&gt; 0, [1]Source!BA1932, 1)</f>
        <v>56.35</v>
      </c>
      <c r="K2024" s="30">
        <f>[1]Source!S1932</f>
        <v>65961.62</v>
      </c>
    </row>
    <row r="2025" spans="1:29" ht="14.4" hidden="1" x14ac:dyDescent="0.25">
      <c r="A2025" s="27"/>
      <c r="B2025" s="27"/>
      <c r="C2025" s="27" t="s">
        <v>38</v>
      </c>
      <c r="D2025" s="28"/>
      <c r="E2025" s="29"/>
      <c r="F2025" s="30">
        <f>[1]Source!AM1931</f>
        <v>53.72</v>
      </c>
      <c r="G2025" s="31" t="s">
        <v>39</v>
      </c>
      <c r="H2025" s="29">
        <f>[1]Source!AV1932</f>
        <v>1.0469999999999999</v>
      </c>
      <c r="I2025" s="30">
        <f>[1]Source!Q1931</f>
        <v>321.44</v>
      </c>
      <c r="J2025" s="29">
        <f>IF([1]Source!BB1932&lt;&gt; 0, [1]Source!BB1932, 1)</f>
        <v>12.16</v>
      </c>
      <c r="K2025" s="30">
        <f>[1]Source!Q1932</f>
        <v>3908.71</v>
      </c>
    </row>
    <row r="2026" spans="1:29" ht="14.4" hidden="1" x14ac:dyDescent="0.25">
      <c r="A2026" s="27"/>
      <c r="B2026" s="27"/>
      <c r="C2026" s="27" t="s">
        <v>40</v>
      </c>
      <c r="D2026" s="28"/>
      <c r="E2026" s="29"/>
      <c r="F2026" s="30">
        <f>[1]Source!AN1931</f>
        <v>2.9</v>
      </c>
      <c r="G2026" s="31" t="s">
        <v>39</v>
      </c>
      <c r="H2026" s="29">
        <f>[1]Source!AV1932</f>
        <v>1.0469999999999999</v>
      </c>
      <c r="I2026" s="33">
        <f>[1]Source!R1931</f>
        <v>17.350000000000001</v>
      </c>
      <c r="J2026" s="29">
        <f>IF([1]Source!BS1932&lt;&gt; 0, [1]Source!BS1932, 1)</f>
        <v>56.35</v>
      </c>
      <c r="K2026" s="33">
        <f>[1]Source!R1932</f>
        <v>977.67</v>
      </c>
    </row>
    <row r="2027" spans="1:29" ht="69" hidden="1" x14ac:dyDescent="0.25">
      <c r="A2027" s="27" t="s">
        <v>456</v>
      </c>
      <c r="B2027" s="27" t="str">
        <f>[1]Source!F1933</f>
        <v>1.1-1-8219</v>
      </c>
      <c r="C2027" s="27" t="s">
        <v>457</v>
      </c>
      <c r="D2027" s="28" t="str">
        <f>[1]Source!H1933</f>
        <v>100 шт.</v>
      </c>
      <c r="E2027" s="29">
        <f>[1]Source!I1933</f>
        <v>11.7348</v>
      </c>
      <c r="F2027" s="30">
        <f>[1]Source!AK1933</f>
        <v>137.91</v>
      </c>
      <c r="G2027" s="43" t="s">
        <v>54</v>
      </c>
      <c r="H2027" s="29">
        <f>[1]Source!AW1934</f>
        <v>1.0189999999999999</v>
      </c>
      <c r="I2027" s="30">
        <f>[1]Source!O1933</f>
        <v>1649.09</v>
      </c>
      <c r="J2027" s="29">
        <f>IF([1]Source!BC1934&lt;&gt; 0, [1]Source!BC1934, 1)</f>
        <v>5.96</v>
      </c>
      <c r="K2027" s="30">
        <f>[1]Source!O1934</f>
        <v>9828.58</v>
      </c>
      <c r="Q2027">
        <f>[1]Source!X1933</f>
        <v>0</v>
      </c>
      <c r="R2027">
        <f>[1]Source!X1934</f>
        <v>0</v>
      </c>
      <c r="S2027">
        <f>[1]Source!Y1933</f>
        <v>0</v>
      </c>
      <c r="T2027">
        <f>[1]Source!Y1934</f>
        <v>0</v>
      </c>
      <c r="U2027">
        <f>ROUND((175/100)*ROUND([1]Source!R1933, 2), 2)</f>
        <v>0</v>
      </c>
      <c r="V2027">
        <f>ROUND((0/100)*ROUND([1]Source!R1934, 2), 2)</f>
        <v>0</v>
      </c>
      <c r="AC2027">
        <v>3</v>
      </c>
    </row>
    <row r="2028" spans="1:29" ht="27.6" hidden="1" x14ac:dyDescent="0.25">
      <c r="A2028" s="27" t="s">
        <v>458</v>
      </c>
      <c r="B2028" s="27" t="str">
        <f>[1]Source!F1935</f>
        <v>1.7-3-24</v>
      </c>
      <c r="C2028" s="27" t="s">
        <v>459</v>
      </c>
      <c r="D2028" s="28" t="str">
        <f>[1]Source!H1935</f>
        <v>шт.</v>
      </c>
      <c r="E2028" s="29">
        <f>[1]Source!I1935</f>
        <v>10.210800000000001</v>
      </c>
      <c r="F2028" s="30">
        <f>[1]Source!AK1935</f>
        <v>105.06</v>
      </c>
      <c r="G2028" s="43" t="s">
        <v>54</v>
      </c>
      <c r="H2028" s="29">
        <f>[1]Source!AW1936</f>
        <v>1.0189999999999999</v>
      </c>
      <c r="I2028" s="30">
        <f>[1]Source!O1935</f>
        <v>1093.1300000000001</v>
      </c>
      <c r="J2028" s="29">
        <f>IF([1]Source!BC1936&lt;&gt; 0, [1]Source!BC1936, 1)</f>
        <v>1.96</v>
      </c>
      <c r="K2028" s="30">
        <f>[1]Source!O1936</f>
        <v>2142.5300000000002</v>
      </c>
      <c r="Q2028">
        <f>[1]Source!X1935</f>
        <v>0</v>
      </c>
      <c r="R2028">
        <f>[1]Source!X1936</f>
        <v>0</v>
      </c>
      <c r="S2028">
        <f>[1]Source!Y1935</f>
        <v>0</v>
      </c>
      <c r="T2028">
        <f>[1]Source!Y1936</f>
        <v>0</v>
      </c>
      <c r="U2028">
        <f>ROUND((175/100)*ROUND([1]Source!R1935, 2), 2)</f>
        <v>0</v>
      </c>
      <c r="V2028">
        <f>ROUND((0/100)*ROUND([1]Source!R1936, 2), 2)</f>
        <v>0</v>
      </c>
      <c r="AC2028">
        <v>3</v>
      </c>
    </row>
    <row r="2029" spans="1:29" ht="41.4" hidden="1" x14ac:dyDescent="0.25">
      <c r="A2029" s="27" t="s">
        <v>460</v>
      </c>
      <c r="B2029" s="27" t="str">
        <f>[1]Source!F1937</f>
        <v>1.1-1-890</v>
      </c>
      <c r="C2029" s="27" t="s">
        <v>461</v>
      </c>
      <c r="D2029" s="28" t="str">
        <f>[1]Source!H1937</f>
        <v>м3</v>
      </c>
      <c r="E2029" s="29">
        <f>[1]Source!I1937</f>
        <v>39.243000000000002</v>
      </c>
      <c r="F2029" s="30">
        <f>[1]Source!AK1937</f>
        <v>804.63</v>
      </c>
      <c r="G2029" s="43" t="s">
        <v>54</v>
      </c>
      <c r="H2029" s="29">
        <f>[1]Source!AW1938</f>
        <v>1.0189999999999999</v>
      </c>
      <c r="I2029" s="30">
        <f>[1]Source!O1937</f>
        <v>32176.04</v>
      </c>
      <c r="J2029" s="29">
        <f>IF([1]Source!BC1938&lt;&gt; 0, [1]Source!BC1938, 1)</f>
        <v>7.9</v>
      </c>
      <c r="K2029" s="30">
        <f>[1]Source!O1938</f>
        <v>254190.72</v>
      </c>
      <c r="Q2029">
        <f>[1]Source!X1937</f>
        <v>0</v>
      </c>
      <c r="R2029">
        <f>[1]Source!X1938</f>
        <v>0</v>
      </c>
      <c r="S2029">
        <f>[1]Source!Y1937</f>
        <v>0</v>
      </c>
      <c r="T2029">
        <f>[1]Source!Y1938</f>
        <v>0</v>
      </c>
      <c r="U2029">
        <f>ROUND((175/100)*ROUND([1]Source!R1937, 2), 2)</f>
        <v>0</v>
      </c>
      <c r="V2029">
        <f>ROUND((0/100)*ROUND([1]Source!R1938, 2), 2)</f>
        <v>0</v>
      </c>
      <c r="AC2029">
        <v>3</v>
      </c>
    </row>
    <row r="2030" spans="1:29" ht="14.4" hidden="1" x14ac:dyDescent="0.25">
      <c r="A2030" s="27"/>
      <c r="B2030" s="27"/>
      <c r="C2030" s="27" t="s">
        <v>42</v>
      </c>
      <c r="D2030" s="28" t="s">
        <v>43</v>
      </c>
      <c r="E2030" s="29">
        <f>[1]Source!BZ1932</f>
        <v>87</v>
      </c>
      <c r="F2030" s="30"/>
      <c r="G2030" s="31"/>
      <c r="H2030" s="29"/>
      <c r="I2030" s="30">
        <f>SUM(Q2022:Q2029)</f>
        <v>1033.49</v>
      </c>
      <c r="J2030" s="29">
        <f>[1]Source!AT1932</f>
        <v>87</v>
      </c>
      <c r="K2030" s="30">
        <f>SUM(R2022:R2029)</f>
        <v>58237.18</v>
      </c>
    </row>
    <row r="2031" spans="1:29" ht="14.4" hidden="1" x14ac:dyDescent="0.25">
      <c r="A2031" s="27"/>
      <c r="B2031" s="27"/>
      <c r="C2031" s="27" t="s">
        <v>44</v>
      </c>
      <c r="D2031" s="28" t="s">
        <v>43</v>
      </c>
      <c r="E2031" s="29">
        <f>[1]Source!CA1932</f>
        <v>47</v>
      </c>
      <c r="F2031" s="30"/>
      <c r="G2031" s="31"/>
      <c r="H2031" s="29"/>
      <c r="I2031" s="30">
        <f>SUM(S2022:S2030)</f>
        <v>558.32000000000005</v>
      </c>
      <c r="J2031" s="29">
        <f>[1]Source!AU1932</f>
        <v>47</v>
      </c>
      <c r="K2031" s="30">
        <f>SUM(T2022:T2030)</f>
        <v>31461.47</v>
      </c>
    </row>
    <row r="2032" spans="1:29" ht="14.4" hidden="1" x14ac:dyDescent="0.25">
      <c r="A2032" s="34"/>
      <c r="B2032" s="34"/>
      <c r="C2032" s="34" t="s">
        <v>45</v>
      </c>
      <c r="D2032" s="35" t="s">
        <v>46</v>
      </c>
      <c r="E2032" s="36">
        <f>[1]Source!AQ1931</f>
        <v>16.61</v>
      </c>
      <c r="F2032" s="37"/>
      <c r="G2032" s="38" t="s">
        <v>37</v>
      </c>
      <c r="H2032" s="36">
        <f>[1]Source!AV1932</f>
        <v>1.0469999999999999</v>
      </c>
      <c r="I2032" s="37">
        <f>[1]Source!U1931</f>
        <v>91.436664725999975</v>
      </c>
      <c r="J2032" s="36"/>
      <c r="K2032" s="37"/>
    </row>
    <row r="2033" spans="1:29" ht="13.8" hidden="1" x14ac:dyDescent="0.25">
      <c r="C2033" s="39" t="s">
        <v>47</v>
      </c>
      <c r="H2033" s="40">
        <f>I2024+I2025+I2030+I2031+SUM(I2027:I2029)-SUMIF(AC2027:AC2029, 5, I2027:I2029)-SUMIF(AC2027:AC2029, 6, I2027:I2029)</f>
        <v>38002.080000000002</v>
      </c>
      <c r="I2033" s="40"/>
      <c r="J2033" s="40">
        <f>K2024+K2025+K2030+K2031+SUM(K2027:K2029)-SUMIF(AC2027:AC2029, 5, K2027:K2029)-SUMIF(AC2027:AC2029, 6, K2027:K2029)</f>
        <v>425730.81000000006</v>
      </c>
      <c r="K2033" s="40"/>
    </row>
    <row r="2034" spans="1:29" ht="13.8" hidden="1" x14ac:dyDescent="0.25">
      <c r="C2034" s="39" t="s">
        <v>48</v>
      </c>
      <c r="H2034" s="41">
        <f>SUMIF(AC2027:AC2029, 5, I2027:I2029)+SUMIF(AC2027:AC2029, 6, I2027:I2029)</f>
        <v>0</v>
      </c>
      <c r="I2034" s="41"/>
      <c r="J2034" s="41">
        <f>SUMIF(AC2027:AC2029, 5, K2027:K2029)+SUMIF(AC2027:AC2029, 6, K2027:K2029)</f>
        <v>0</v>
      </c>
      <c r="K2034" s="41"/>
    </row>
    <row r="2035" spans="1:29" ht="13.8" hidden="1" x14ac:dyDescent="0.25">
      <c r="C2035" s="39" t="s">
        <v>49</v>
      </c>
      <c r="H2035" s="41">
        <f>I2024+I2025+I2030+I2031+SUM(I2027:I2029)</f>
        <v>38002.080000000002</v>
      </c>
      <c r="I2035" s="41"/>
      <c r="J2035" s="41">
        <f>K2024+K2025+K2030+K2031+SUM(K2027:K2029)</f>
        <v>425730.81000000006</v>
      </c>
      <c r="K2035" s="41"/>
      <c r="O2035" s="42">
        <f>I2024+I2025+I2030+I2031+SUM(I2027:I2029)</f>
        <v>38002.080000000002</v>
      </c>
      <c r="P2035" s="42">
        <f>K2024+K2025+K2030+K2031+SUM(K2027:K2029)</f>
        <v>425730.81000000006</v>
      </c>
    </row>
    <row r="2036" spans="1:29" hidden="1" x14ac:dyDescent="0.25"/>
    <row r="2037" spans="1:29" ht="69" hidden="1" x14ac:dyDescent="0.25">
      <c r="A2037" s="27">
        <v>218</v>
      </c>
      <c r="B2037" s="27" t="str">
        <f>[1]Source!F1939</f>
        <v>3.70-411-1</v>
      </c>
      <c r="C2037" s="27" t="s">
        <v>462</v>
      </c>
      <c r="D2037" s="28" t="str">
        <f>[1]Source!H1939</f>
        <v>100 м2</v>
      </c>
      <c r="E2037" s="29">
        <f>[1]Source!I1939</f>
        <v>3.97</v>
      </c>
      <c r="F2037" s="30"/>
      <c r="G2037" s="31"/>
      <c r="H2037" s="29"/>
      <c r="I2037" s="30"/>
      <c r="J2037" s="29"/>
      <c r="K2037" s="30"/>
      <c r="Q2037">
        <f>[1]Source!X1939</f>
        <v>12197.58</v>
      </c>
      <c r="R2037">
        <f>[1]Source!X1940</f>
        <v>687333.78</v>
      </c>
      <c r="S2037">
        <f>[1]Source!Y1939</f>
        <v>6589.5</v>
      </c>
      <c r="T2037">
        <f>[1]Source!Y1940</f>
        <v>371318.25</v>
      </c>
      <c r="U2037">
        <f>ROUND((175/100)*ROUND([1]Source!R1939, 2), 2)</f>
        <v>81.5</v>
      </c>
      <c r="V2037">
        <f>ROUND((0/100)*ROUND([1]Source!R1940, 2), 2)</f>
        <v>0</v>
      </c>
      <c r="AC2037">
        <v>0</v>
      </c>
    </row>
    <row r="2038" spans="1:29" hidden="1" x14ac:dyDescent="0.25">
      <c r="C2038" s="32" t="str">
        <f>"Объем: "&amp;[1]Source!I1939&amp;"=(379+"&amp;"18)/"&amp;"100"</f>
        <v>Объем: 3,97=(379+18)/100</v>
      </c>
    </row>
    <row r="2039" spans="1:29" ht="14.4" hidden="1" x14ac:dyDescent="0.25">
      <c r="A2039" s="27"/>
      <c r="B2039" s="27"/>
      <c r="C2039" s="27" t="s">
        <v>36</v>
      </c>
      <c r="D2039" s="28"/>
      <c r="E2039" s="29"/>
      <c r="F2039" s="30">
        <f>[1]Source!AO1939</f>
        <v>2436.09</v>
      </c>
      <c r="G2039" s="31" t="s">
        <v>37</v>
      </c>
      <c r="H2039" s="29">
        <f>[1]Source!AV1940</f>
        <v>1.0469999999999999</v>
      </c>
      <c r="I2039" s="30">
        <f>[1]Source!S1939</f>
        <v>13973.64</v>
      </c>
      <c r="J2039" s="29">
        <f>IF([1]Source!BA1940&lt;&gt; 0, [1]Source!BA1940, 1)</f>
        <v>56.35</v>
      </c>
      <c r="K2039" s="30">
        <f>[1]Source!S1940</f>
        <v>787414.61</v>
      </c>
    </row>
    <row r="2040" spans="1:29" ht="14.4" hidden="1" x14ac:dyDescent="0.25">
      <c r="A2040" s="27"/>
      <c r="B2040" s="27"/>
      <c r="C2040" s="27" t="s">
        <v>38</v>
      </c>
      <c r="D2040" s="28"/>
      <c r="E2040" s="29"/>
      <c r="F2040" s="30">
        <f>[1]Source!AM1939</f>
        <v>92.13</v>
      </c>
      <c r="G2040" s="31" t="s">
        <v>39</v>
      </c>
      <c r="H2040" s="29">
        <f>[1]Source!AV1940</f>
        <v>1.0469999999999999</v>
      </c>
      <c r="I2040" s="30">
        <f>[1]Source!Q1939</f>
        <v>574.41999999999996</v>
      </c>
      <c r="J2040" s="29">
        <f>IF([1]Source!BB1940&lt;&gt; 0, [1]Source!BB1940, 1)</f>
        <v>13.68</v>
      </c>
      <c r="K2040" s="30">
        <f>[1]Source!Q1940</f>
        <v>7858.07</v>
      </c>
    </row>
    <row r="2041" spans="1:29" ht="14.4" hidden="1" x14ac:dyDescent="0.25">
      <c r="A2041" s="27"/>
      <c r="B2041" s="27"/>
      <c r="C2041" s="27" t="s">
        <v>40</v>
      </c>
      <c r="D2041" s="28"/>
      <c r="E2041" s="29"/>
      <c r="F2041" s="30">
        <f>[1]Source!AN1939</f>
        <v>7.47</v>
      </c>
      <c r="G2041" s="31" t="s">
        <v>39</v>
      </c>
      <c r="H2041" s="29">
        <f>[1]Source!AV1940</f>
        <v>1.0469999999999999</v>
      </c>
      <c r="I2041" s="33">
        <f>[1]Source!R1939</f>
        <v>46.57</v>
      </c>
      <c r="J2041" s="29">
        <f>IF([1]Source!BS1940&lt;&gt; 0, [1]Source!BS1940, 1)</f>
        <v>56.35</v>
      </c>
      <c r="K2041" s="33">
        <f>[1]Source!R1940</f>
        <v>2624.22</v>
      </c>
    </row>
    <row r="2042" spans="1:29" ht="14.4" hidden="1" x14ac:dyDescent="0.25">
      <c r="A2042" s="27"/>
      <c r="B2042" s="27"/>
      <c r="C2042" s="27" t="s">
        <v>41</v>
      </c>
      <c r="D2042" s="28"/>
      <c r="E2042" s="29"/>
      <c r="F2042" s="30">
        <f>[1]Source!AL1939</f>
        <v>7898.2</v>
      </c>
      <c r="G2042" s="31"/>
      <c r="H2042" s="29">
        <f>[1]Source!AW1940</f>
        <v>1.0189999999999999</v>
      </c>
      <c r="I2042" s="30">
        <f>[1]Source!P1939</f>
        <v>31951.62</v>
      </c>
      <c r="J2042" s="29">
        <f>IF([1]Source!BC1940&lt;&gt; 0, [1]Source!BC1940, 1)</f>
        <v>4.5</v>
      </c>
      <c r="K2042" s="30">
        <f>[1]Source!P1940</f>
        <v>143782.29</v>
      </c>
    </row>
    <row r="2043" spans="1:29" ht="41.4" hidden="1" x14ac:dyDescent="0.25">
      <c r="A2043" s="27" t="s">
        <v>463</v>
      </c>
      <c r="B2043" s="27" t="str">
        <f>[1]Source!F1941</f>
        <v>1.1-1-890</v>
      </c>
      <c r="C2043" s="27" t="s">
        <v>461</v>
      </c>
      <c r="D2043" s="28" t="str">
        <f>[1]Source!H1941</f>
        <v>м3</v>
      </c>
      <c r="E2043" s="29">
        <f>[1]Source!I1941</f>
        <v>40.890999999999998</v>
      </c>
      <c r="F2043" s="30">
        <f>[1]Source!AK1941</f>
        <v>804.63</v>
      </c>
      <c r="G2043" s="43" t="s">
        <v>54</v>
      </c>
      <c r="H2043" s="29">
        <f>[1]Source!AW1942</f>
        <v>1.0189999999999999</v>
      </c>
      <c r="I2043" s="30">
        <f>[1]Source!O1941</f>
        <v>33527.269999999997</v>
      </c>
      <c r="J2043" s="29">
        <f>IF([1]Source!BC1942&lt;&gt; 0, [1]Source!BC1942, 1)</f>
        <v>7.9</v>
      </c>
      <c r="K2043" s="30">
        <f>[1]Source!O1942</f>
        <v>264865.43</v>
      </c>
      <c r="Q2043">
        <f>[1]Source!X1941</f>
        <v>0</v>
      </c>
      <c r="R2043">
        <f>[1]Source!X1942</f>
        <v>0</v>
      </c>
      <c r="S2043">
        <f>[1]Source!Y1941</f>
        <v>0</v>
      </c>
      <c r="T2043">
        <f>[1]Source!Y1942</f>
        <v>0</v>
      </c>
      <c r="U2043">
        <f>ROUND((175/100)*ROUND([1]Source!R1941, 2), 2)</f>
        <v>0</v>
      </c>
      <c r="V2043">
        <f>ROUND((0/100)*ROUND([1]Source!R1942, 2), 2)</f>
        <v>0</v>
      </c>
      <c r="AC2043">
        <v>3</v>
      </c>
    </row>
    <row r="2044" spans="1:29" ht="14.4" hidden="1" x14ac:dyDescent="0.25">
      <c r="A2044" s="27"/>
      <c r="B2044" s="27"/>
      <c r="C2044" s="27" t="s">
        <v>42</v>
      </c>
      <c r="D2044" s="28" t="s">
        <v>43</v>
      </c>
      <c r="E2044" s="29">
        <f>[1]Source!BZ1940</f>
        <v>87</v>
      </c>
      <c r="F2044" s="30"/>
      <c r="G2044" s="31"/>
      <c r="H2044" s="29"/>
      <c r="I2044" s="30">
        <f>SUM(Q2037:Q2043)</f>
        <v>12197.58</v>
      </c>
      <c r="J2044" s="29">
        <f>[1]Source!AT1940</f>
        <v>87</v>
      </c>
      <c r="K2044" s="30">
        <f>SUM(R2037:R2043)</f>
        <v>687333.78</v>
      </c>
    </row>
    <row r="2045" spans="1:29" ht="14.4" hidden="1" x14ac:dyDescent="0.25">
      <c r="A2045" s="27"/>
      <c r="B2045" s="27"/>
      <c r="C2045" s="27" t="s">
        <v>44</v>
      </c>
      <c r="D2045" s="28" t="s">
        <v>43</v>
      </c>
      <c r="E2045" s="29">
        <f>[1]Source!CA1940</f>
        <v>47</v>
      </c>
      <c r="F2045" s="30"/>
      <c r="G2045" s="31"/>
      <c r="H2045" s="29"/>
      <c r="I2045" s="30">
        <f>SUM(S2037:S2044)</f>
        <v>6589.5</v>
      </c>
      <c r="J2045" s="29">
        <f>[1]Source!AU1940</f>
        <v>47</v>
      </c>
      <c r="K2045" s="30">
        <f>SUM(T2037:T2044)</f>
        <v>371318.25</v>
      </c>
    </row>
    <row r="2046" spans="1:29" ht="14.4" hidden="1" x14ac:dyDescent="0.25">
      <c r="A2046" s="34"/>
      <c r="B2046" s="34"/>
      <c r="C2046" s="34" t="s">
        <v>45</v>
      </c>
      <c r="D2046" s="35" t="s">
        <v>46</v>
      </c>
      <c r="E2046" s="36">
        <f>[1]Source!AQ1939</f>
        <v>150.30000000000001</v>
      </c>
      <c r="F2046" s="37"/>
      <c r="G2046" s="38" t="s">
        <v>37</v>
      </c>
      <c r="H2046" s="36">
        <f>[1]Source!AV1940</f>
        <v>1.0469999999999999</v>
      </c>
      <c r="I2046" s="37">
        <f>[1]Source!U1939</f>
        <v>862.13495825999985</v>
      </c>
      <c r="J2046" s="36"/>
      <c r="K2046" s="37"/>
    </row>
    <row r="2047" spans="1:29" ht="13.8" hidden="1" x14ac:dyDescent="0.25">
      <c r="C2047" s="39" t="s">
        <v>47</v>
      </c>
      <c r="H2047" s="40">
        <f>I2039+I2040+I2042+I2044+I2045+SUM(I2043:I2043)-SUMIF(AC2043:AC2043, 5, I2043:I2043)-SUMIF(AC2043:AC2043, 6, I2043:I2043)</f>
        <v>98814.03</v>
      </c>
      <c r="I2047" s="40"/>
      <c r="J2047" s="40">
        <f>K2039+K2040+K2042+K2044+K2045+SUM(K2043:K2043)-SUMIF(AC2043:AC2043, 5, K2043:K2043)-SUMIF(AC2043:AC2043, 6, K2043:K2043)</f>
        <v>2262572.4300000002</v>
      </c>
      <c r="K2047" s="40"/>
    </row>
    <row r="2048" spans="1:29" ht="13.8" hidden="1" x14ac:dyDescent="0.25">
      <c r="C2048" s="39" t="s">
        <v>48</v>
      </c>
      <c r="H2048" s="41">
        <f>SUMIF(AC2043:AC2043, 5, I2043:I2043)+SUMIF(AC2043:AC2043, 6, I2043:I2043)</f>
        <v>0</v>
      </c>
      <c r="I2048" s="41"/>
      <c r="J2048" s="41">
        <f>SUMIF(AC2043:AC2043, 5, K2043:K2043)+SUMIF(AC2043:AC2043, 6, K2043:K2043)</f>
        <v>0</v>
      </c>
      <c r="K2048" s="41"/>
    </row>
    <row r="2049" spans="1:29" ht="13.8" hidden="1" x14ac:dyDescent="0.25">
      <c r="C2049" s="39" t="s">
        <v>49</v>
      </c>
      <c r="H2049" s="41">
        <f>I2039+I2040+I2042+I2044+I2045+SUM(I2043:I2043)</f>
        <v>98814.03</v>
      </c>
      <c r="I2049" s="41"/>
      <c r="J2049" s="41">
        <f>K2039+K2040+K2042+K2044+K2045+SUM(K2043:K2043)</f>
        <v>2262572.4300000002</v>
      </c>
      <c r="K2049" s="41"/>
      <c r="O2049" s="42">
        <f>I2039+I2040+I2042+I2044+I2045+SUM(I2043:I2043)</f>
        <v>98814.03</v>
      </c>
      <c r="P2049" s="42">
        <f>K2039+K2040+K2042+K2044+K2045+SUM(K2043:K2043)</f>
        <v>2262572.4300000002</v>
      </c>
    </row>
    <row r="2050" spans="1:29" hidden="1" x14ac:dyDescent="0.25"/>
    <row r="2051" spans="1:29" ht="27.6" hidden="1" x14ac:dyDescent="0.25">
      <c r="A2051" s="27">
        <v>219</v>
      </c>
      <c r="B2051" s="27" t="str">
        <f>[1]Source!F1943</f>
        <v>3.70-63-1</v>
      </c>
      <c r="C2051" s="27" t="s">
        <v>464</v>
      </c>
      <c r="D2051" s="28" t="str">
        <f>[1]Source!H1943</f>
        <v>100 м</v>
      </c>
      <c r="E2051" s="29">
        <f>[1]Source!I1943</f>
        <v>0.15</v>
      </c>
      <c r="F2051" s="30"/>
      <c r="G2051" s="31"/>
      <c r="H2051" s="29"/>
      <c r="I2051" s="30"/>
      <c r="J2051" s="29"/>
      <c r="K2051" s="30"/>
      <c r="Q2051">
        <f>[1]Source!X1943</f>
        <v>39.69</v>
      </c>
      <c r="R2051">
        <f>[1]Source!X1944</f>
        <v>2236.5300000000002</v>
      </c>
      <c r="S2051">
        <f>[1]Source!Y1943</f>
        <v>25.04</v>
      </c>
      <c r="T2051">
        <f>[1]Source!Y1944</f>
        <v>1411.15</v>
      </c>
      <c r="U2051">
        <f>ROUND((175/100)*ROUND([1]Source!R1943, 2), 2)</f>
        <v>0.39</v>
      </c>
      <c r="V2051">
        <f>ROUND((0/100)*ROUND([1]Source!R1944, 2), 2)</f>
        <v>0</v>
      </c>
      <c r="AC2051">
        <v>0</v>
      </c>
    </row>
    <row r="2052" spans="1:29" hidden="1" x14ac:dyDescent="0.25">
      <c r="C2052" s="32" t="str">
        <f>"Объем: "&amp;[1]Source!I1943&amp;"=15/"&amp;"100"</f>
        <v>Объем: 0,15=15/100</v>
      </c>
    </row>
    <row r="2053" spans="1:29" ht="14.4" hidden="1" x14ac:dyDescent="0.25">
      <c r="A2053" s="27"/>
      <c r="B2053" s="27"/>
      <c r="C2053" s="27" t="s">
        <v>36</v>
      </c>
      <c r="D2053" s="28"/>
      <c r="E2053" s="29"/>
      <c r="F2053" s="30">
        <f>[1]Source!AO1943</f>
        <v>209.03</v>
      </c>
      <c r="G2053" s="31" t="s">
        <v>37</v>
      </c>
      <c r="H2053" s="29">
        <f>[1]Source!AV1944</f>
        <v>1.087</v>
      </c>
      <c r="I2053" s="30">
        <f>[1]Source!S1943</f>
        <v>47.03</v>
      </c>
      <c r="J2053" s="29">
        <f>IF([1]Source!BA1944&lt;&gt; 0, [1]Source!BA1944, 1)</f>
        <v>56.35</v>
      </c>
      <c r="K2053" s="30">
        <f>[1]Source!S1944</f>
        <v>2650.14</v>
      </c>
    </row>
    <row r="2054" spans="1:29" ht="14.4" hidden="1" x14ac:dyDescent="0.25">
      <c r="A2054" s="27"/>
      <c r="B2054" s="27"/>
      <c r="C2054" s="27" t="s">
        <v>38</v>
      </c>
      <c r="D2054" s="28"/>
      <c r="E2054" s="29"/>
      <c r="F2054" s="30">
        <f>[1]Source!AM1943</f>
        <v>7.85</v>
      </c>
      <c r="G2054" s="31" t="s">
        <v>39</v>
      </c>
      <c r="H2054" s="29">
        <f>[1]Source!AV1944</f>
        <v>1.087</v>
      </c>
      <c r="I2054" s="30">
        <f>[1]Source!Q1943</f>
        <v>1.92</v>
      </c>
      <c r="J2054" s="29">
        <f>IF([1]Source!BB1944&lt;&gt; 0, [1]Source!BB1944, 1)</f>
        <v>15.11</v>
      </c>
      <c r="K2054" s="30">
        <f>[1]Source!Q1944</f>
        <v>29.01</v>
      </c>
    </row>
    <row r="2055" spans="1:29" ht="14.4" hidden="1" x14ac:dyDescent="0.25">
      <c r="A2055" s="27"/>
      <c r="B2055" s="27"/>
      <c r="C2055" s="27" t="s">
        <v>40</v>
      </c>
      <c r="D2055" s="28"/>
      <c r="E2055" s="29"/>
      <c r="F2055" s="30">
        <f>[1]Source!AN1943</f>
        <v>0.88</v>
      </c>
      <c r="G2055" s="31" t="s">
        <v>39</v>
      </c>
      <c r="H2055" s="29">
        <f>[1]Source!AV1944</f>
        <v>1.087</v>
      </c>
      <c r="I2055" s="33">
        <f>[1]Source!R1943</f>
        <v>0.22</v>
      </c>
      <c r="J2055" s="29">
        <f>IF([1]Source!BS1944&lt;&gt; 0, [1]Source!BS1944, 1)</f>
        <v>56.35</v>
      </c>
      <c r="K2055" s="33">
        <f>[1]Source!R1944</f>
        <v>12.4</v>
      </c>
    </row>
    <row r="2056" spans="1:29" ht="14.4" hidden="1" x14ac:dyDescent="0.25">
      <c r="A2056" s="27"/>
      <c r="B2056" s="27"/>
      <c r="C2056" s="27" t="s">
        <v>41</v>
      </c>
      <c r="D2056" s="28"/>
      <c r="E2056" s="29"/>
      <c r="F2056" s="30">
        <f>[1]Source!AL1943</f>
        <v>70.89</v>
      </c>
      <c r="G2056" s="31"/>
      <c r="H2056" s="29">
        <f>[1]Source!AW1944</f>
        <v>1</v>
      </c>
      <c r="I2056" s="30">
        <f>[1]Source!P1943</f>
        <v>10.63</v>
      </c>
      <c r="J2056" s="29">
        <f>IF([1]Source!BC1944&lt;&gt; 0, [1]Source!BC1944, 1)</f>
        <v>4.88</v>
      </c>
      <c r="K2056" s="30">
        <f>[1]Source!P1944</f>
        <v>51.87</v>
      </c>
    </row>
    <row r="2057" spans="1:29" ht="14.4" hidden="1" x14ac:dyDescent="0.25">
      <c r="A2057" s="27"/>
      <c r="B2057" s="27"/>
      <c r="C2057" s="27" t="s">
        <v>42</v>
      </c>
      <c r="D2057" s="28" t="s">
        <v>43</v>
      </c>
      <c r="E2057" s="29">
        <f>[1]Source!BZ1944</f>
        <v>84</v>
      </c>
      <c r="F2057" s="30"/>
      <c r="G2057" s="31"/>
      <c r="H2057" s="29"/>
      <c r="I2057" s="30">
        <f>SUM(Q2051:Q2056)</f>
        <v>39.69</v>
      </c>
      <c r="J2057" s="29">
        <f>[1]Source!AT1944</f>
        <v>84</v>
      </c>
      <c r="K2057" s="30">
        <f>SUM(R2051:R2056)</f>
        <v>2236.5300000000002</v>
      </c>
    </row>
    <row r="2058" spans="1:29" ht="14.4" hidden="1" x14ac:dyDescent="0.25">
      <c r="A2058" s="27"/>
      <c r="B2058" s="27"/>
      <c r="C2058" s="27" t="s">
        <v>44</v>
      </c>
      <c r="D2058" s="28" t="s">
        <v>43</v>
      </c>
      <c r="E2058" s="29">
        <f>[1]Source!CA1944</f>
        <v>53</v>
      </c>
      <c r="F2058" s="30"/>
      <c r="G2058" s="31"/>
      <c r="H2058" s="29"/>
      <c r="I2058" s="30">
        <f>SUM(S2051:S2057)</f>
        <v>25.04</v>
      </c>
      <c r="J2058" s="29">
        <f>[1]Source!AU1944</f>
        <v>53</v>
      </c>
      <c r="K2058" s="30">
        <f>SUM(T2051:T2057)</f>
        <v>1411.15</v>
      </c>
    </row>
    <row r="2059" spans="1:29" ht="14.4" hidden="1" x14ac:dyDescent="0.25">
      <c r="A2059" s="34"/>
      <c r="B2059" s="34"/>
      <c r="C2059" s="34" t="s">
        <v>45</v>
      </c>
      <c r="D2059" s="35" t="s">
        <v>46</v>
      </c>
      <c r="E2059" s="36">
        <f>[1]Source!AQ1943</f>
        <v>12.62</v>
      </c>
      <c r="F2059" s="37"/>
      <c r="G2059" s="38" t="s">
        <v>37</v>
      </c>
      <c r="H2059" s="36">
        <f>[1]Source!AV1944</f>
        <v>1.087</v>
      </c>
      <c r="I2059" s="37">
        <f>[1]Source!U1943</f>
        <v>2.8396135799999995</v>
      </c>
      <c r="J2059" s="36"/>
      <c r="K2059" s="37"/>
    </row>
    <row r="2060" spans="1:29" ht="13.8" hidden="1" x14ac:dyDescent="0.25">
      <c r="C2060" s="39" t="s">
        <v>47</v>
      </c>
      <c r="H2060" s="40">
        <f>I2053+I2054+I2056+I2057+I2058+0-0-0</f>
        <v>124.31</v>
      </c>
      <c r="I2060" s="40"/>
      <c r="J2060" s="40">
        <f>K2053+K2054+K2056+K2057+K2058+0-0-0</f>
        <v>6378.7000000000007</v>
      </c>
      <c r="K2060" s="40"/>
    </row>
    <row r="2061" spans="1:29" ht="13.8" hidden="1" x14ac:dyDescent="0.25">
      <c r="C2061" s="39" t="s">
        <v>48</v>
      </c>
      <c r="H2061" s="41">
        <f>0+0</f>
        <v>0</v>
      </c>
      <c r="I2061" s="41"/>
      <c r="J2061" s="41">
        <f>0+0</f>
        <v>0</v>
      </c>
      <c r="K2061" s="41"/>
    </row>
    <row r="2062" spans="1:29" ht="13.8" hidden="1" x14ac:dyDescent="0.25">
      <c r="C2062" s="39" t="s">
        <v>49</v>
      </c>
      <c r="H2062" s="41">
        <f>I2053+I2054+I2056+I2057+I2058+0</f>
        <v>124.31</v>
      </c>
      <c r="I2062" s="41"/>
      <c r="J2062" s="41">
        <f>K2053+K2054+K2056+K2057+K2058+0</f>
        <v>6378.7000000000007</v>
      </c>
      <c r="K2062" s="41"/>
      <c r="O2062" s="42">
        <f>I2053+I2054+I2056+I2057+I2058+0</f>
        <v>124.31</v>
      </c>
      <c r="P2062" s="42">
        <f>K2053+K2054+K2056+K2057+K2058+0</f>
        <v>6378.7000000000007</v>
      </c>
    </row>
    <row r="2063" spans="1:29" hidden="1" x14ac:dyDescent="0.25"/>
    <row r="2064" spans="1:29" ht="109.8" x14ac:dyDescent="0.25">
      <c r="A2064" s="46">
        <v>220</v>
      </c>
      <c r="B2064" s="46" t="str">
        <f>[1]Source!F1945</f>
        <v>КА 141</v>
      </c>
      <c r="C2064" s="46" t="s">
        <v>465</v>
      </c>
      <c r="D2064" s="47" t="str">
        <f>[1]Source!H1945</f>
        <v>м</v>
      </c>
      <c r="E2064" s="48">
        <f>[1]Source!I1945</f>
        <v>15.3</v>
      </c>
      <c r="F2064" s="37">
        <f>[1]Source!AL1945</f>
        <v>66.09</v>
      </c>
      <c r="G2064" s="38"/>
      <c r="H2064" s="36">
        <f>[1]Source!AW1946</f>
        <v>1</v>
      </c>
      <c r="I2064" s="37">
        <f>[1]Source!P1945</f>
        <v>1011.18</v>
      </c>
      <c r="J2064" s="36">
        <f>IF([1]Source!BC1946&lt;&gt; 0, [1]Source!BC1946, 1)</f>
        <v>9.84</v>
      </c>
      <c r="K2064" s="49">
        <f>[1]Source!P1946</f>
        <v>9950.01</v>
      </c>
      <c r="L2064">
        <v>777.78</v>
      </c>
      <c r="M2064" s="50">
        <f>L2064*E2064</f>
        <v>11900.034</v>
      </c>
      <c r="N2064" s="59" t="s">
        <v>180</v>
      </c>
      <c r="Q2064">
        <f>[1]Source!X1945</f>
        <v>0</v>
      </c>
      <c r="R2064">
        <f>[1]Source!X1946</f>
        <v>0</v>
      </c>
      <c r="S2064">
        <f>[1]Source!Y1945</f>
        <v>0</v>
      </c>
      <c r="T2064">
        <f>[1]Source!Y1946</f>
        <v>0</v>
      </c>
      <c r="U2064">
        <f>ROUND((175/100)*ROUND([1]Source!R1945, 2), 2)</f>
        <v>0</v>
      </c>
      <c r="V2064">
        <f>ROUND((0/100)*ROUND([1]Source!R1946, 2), 2)</f>
        <v>0</v>
      </c>
      <c r="AC2064">
        <v>3</v>
      </c>
    </row>
    <row r="2065" spans="1:29" ht="13.8" hidden="1" x14ac:dyDescent="0.25">
      <c r="C2065" s="39" t="s">
        <v>49</v>
      </c>
      <c r="H2065" s="40">
        <f>I2064+0</f>
        <v>1011.18</v>
      </c>
      <c r="I2065" s="40"/>
      <c r="J2065" s="40">
        <f>K2064+0</f>
        <v>9950.01</v>
      </c>
      <c r="K2065" s="40"/>
      <c r="O2065" s="42">
        <f>I2064+0</f>
        <v>1011.18</v>
      </c>
      <c r="P2065" s="42">
        <f>K2064+0</f>
        <v>9950.01</v>
      </c>
    </row>
    <row r="2066" spans="1:29" hidden="1" x14ac:dyDescent="0.25"/>
    <row r="2067" spans="1:29" hidden="1" x14ac:dyDescent="0.25"/>
    <row r="2068" spans="1:29" ht="13.8" hidden="1" x14ac:dyDescent="0.25">
      <c r="A2068" s="44" t="str">
        <f>CONCATENATE("Итого по подразделу: ",IF([1]Source!G1948&lt;&gt;"Новый подраздел", [1]Source!G1948, ""))</f>
        <v>Итого по подразделу: Теплоизоляция</v>
      </c>
      <c r="B2068" s="44"/>
      <c r="C2068" s="44"/>
      <c r="D2068" s="44"/>
      <c r="E2068" s="44"/>
      <c r="F2068" s="44"/>
      <c r="G2068" s="44"/>
      <c r="H2068" s="41">
        <f>SUM(O2021:O2067)</f>
        <v>137951.59999999998</v>
      </c>
      <c r="I2068" s="45"/>
      <c r="J2068" s="41">
        <f>SUM(P2021:P2067)</f>
        <v>2704631.95</v>
      </c>
      <c r="K2068" s="45"/>
    </row>
    <row r="2069" spans="1:29" hidden="1" x14ac:dyDescent="0.25">
      <c r="A2069" t="s">
        <v>55</v>
      </c>
      <c r="I2069">
        <f>SUM(W2021:W2068)</f>
        <v>0</v>
      </c>
      <c r="J2069">
        <f>SUM(X2021:X2068)</f>
        <v>0</v>
      </c>
    </row>
    <row r="2070" spans="1:29" hidden="1" x14ac:dyDescent="0.25">
      <c r="A2070" t="s">
        <v>56</v>
      </c>
      <c r="I2070">
        <f>SUM(Y2021:Y2069)</f>
        <v>0</v>
      </c>
      <c r="J2070">
        <f>SUM(Z2021:Z2069)</f>
        <v>0</v>
      </c>
    </row>
    <row r="2071" spans="1:29" hidden="1" x14ac:dyDescent="0.25"/>
    <row r="2072" spans="1:29" ht="16.8" hidden="1" x14ac:dyDescent="0.25">
      <c r="A2072" s="11" t="str">
        <f>CONCATENATE("Подраздел: ",IF([1]Source!G1978&lt;&gt;"Новый подраздел", [1]Source!G1978, ""))</f>
        <v>Подраздел: Замена обшивки конструкции подиума</v>
      </c>
      <c r="B2072" s="11"/>
      <c r="C2072" s="11"/>
      <c r="D2072" s="11"/>
      <c r="E2072" s="11"/>
      <c r="F2072" s="11"/>
      <c r="G2072" s="11"/>
      <c r="H2072" s="11"/>
      <c r="I2072" s="11"/>
      <c r="J2072" s="11"/>
      <c r="K2072" s="11"/>
    </row>
    <row r="2073" spans="1:29" ht="57.6" hidden="1" x14ac:dyDescent="0.25">
      <c r="A2073" s="27">
        <v>221</v>
      </c>
      <c r="B2073" s="27" t="str">
        <f>[1]Source!F1982</f>
        <v>3.70-254-1</v>
      </c>
      <c r="C2073" s="27" t="s">
        <v>466</v>
      </c>
      <c r="D2073" s="28" t="str">
        <f>[1]Source!H1982</f>
        <v>100 м2 облицовки</v>
      </c>
      <c r="E2073" s="29">
        <f>[1]Source!I1982</f>
        <v>1.21</v>
      </c>
      <c r="F2073" s="30"/>
      <c r="G2073" s="31"/>
      <c r="H2073" s="29"/>
      <c r="I2073" s="30"/>
      <c r="J2073" s="29"/>
      <c r="K2073" s="30"/>
      <c r="Q2073">
        <f>[1]Source!X1982</f>
        <v>4860.93</v>
      </c>
      <c r="R2073">
        <f>[1]Source!X1983</f>
        <v>273913.24</v>
      </c>
      <c r="S2073">
        <f>[1]Source!Y1982</f>
        <v>2268.4299999999998</v>
      </c>
      <c r="T2073">
        <f>[1]Source!Y1983</f>
        <v>127826.18</v>
      </c>
      <c r="U2073">
        <f>ROUND((175/100)*ROUND([1]Source!R1982, 2), 2)</f>
        <v>19.36</v>
      </c>
      <c r="V2073">
        <f>ROUND((0/100)*ROUND([1]Source!R1983, 2), 2)</f>
        <v>0</v>
      </c>
      <c r="AC2073">
        <v>0</v>
      </c>
    </row>
    <row r="2074" spans="1:29" hidden="1" x14ac:dyDescent="0.25">
      <c r="C2074" s="32" t="str">
        <f>"Объем: "&amp;[1]Source!I1982&amp;"=121/"&amp;"100"</f>
        <v>Объем: 1,21=121/100</v>
      </c>
    </row>
    <row r="2075" spans="1:29" ht="14.4" hidden="1" x14ac:dyDescent="0.25">
      <c r="A2075" s="27"/>
      <c r="B2075" s="27"/>
      <c r="C2075" s="27" t="s">
        <v>36</v>
      </c>
      <c r="D2075" s="28"/>
      <c r="E2075" s="29"/>
      <c r="F2075" s="30">
        <f>[1]Source!AO1982</f>
        <v>4526.95</v>
      </c>
      <c r="G2075" s="31" t="s">
        <v>60</v>
      </c>
      <c r="H2075" s="29">
        <f>[1]Source!AV1983</f>
        <v>1.0249999999999999</v>
      </c>
      <c r="I2075" s="30">
        <f>[1]Source!S1982</f>
        <v>5389.97</v>
      </c>
      <c r="J2075" s="29">
        <f>IF([1]Source!BA1983&lt;&gt; 0, [1]Source!BA1983, 1)</f>
        <v>56.35</v>
      </c>
      <c r="K2075" s="30">
        <f>[1]Source!S1983</f>
        <v>303724.81</v>
      </c>
    </row>
    <row r="2076" spans="1:29" ht="14.4" hidden="1" x14ac:dyDescent="0.25">
      <c r="A2076" s="27"/>
      <c r="B2076" s="27"/>
      <c r="C2076" s="27" t="s">
        <v>38</v>
      </c>
      <c r="D2076" s="28"/>
      <c r="E2076" s="29"/>
      <c r="F2076" s="30">
        <f>[1]Source!AM1982</f>
        <v>84.83</v>
      </c>
      <c r="G2076" s="31" t="s">
        <v>60</v>
      </c>
      <c r="H2076" s="29">
        <f>[1]Source!AV1983</f>
        <v>1.0249999999999999</v>
      </c>
      <c r="I2076" s="30">
        <f>[1]Source!Q1982</f>
        <v>101</v>
      </c>
      <c r="J2076" s="29">
        <f>IF([1]Source!BB1983&lt;&gt; 0, [1]Source!BB1983, 1)</f>
        <v>15.11</v>
      </c>
      <c r="K2076" s="30">
        <f>[1]Source!Q1983</f>
        <v>1526.11</v>
      </c>
    </row>
    <row r="2077" spans="1:29" ht="14.4" hidden="1" x14ac:dyDescent="0.25">
      <c r="A2077" s="27"/>
      <c r="B2077" s="27"/>
      <c r="C2077" s="27" t="s">
        <v>40</v>
      </c>
      <c r="D2077" s="28"/>
      <c r="E2077" s="29"/>
      <c r="F2077" s="30">
        <f>[1]Source!AN1982</f>
        <v>9.2899999999999991</v>
      </c>
      <c r="G2077" s="31" t="s">
        <v>60</v>
      </c>
      <c r="H2077" s="29">
        <f>[1]Source!AV1983</f>
        <v>1.0249999999999999</v>
      </c>
      <c r="I2077" s="33">
        <f>[1]Source!R1982</f>
        <v>11.06</v>
      </c>
      <c r="J2077" s="29">
        <f>IF([1]Source!BS1983&lt;&gt; 0, [1]Source!BS1983, 1)</f>
        <v>56.35</v>
      </c>
      <c r="K2077" s="33">
        <f>[1]Source!R1983</f>
        <v>623.23</v>
      </c>
    </row>
    <row r="2078" spans="1:29" ht="14.4" hidden="1" x14ac:dyDescent="0.25">
      <c r="A2078" s="27"/>
      <c r="B2078" s="27"/>
      <c r="C2078" s="27" t="s">
        <v>42</v>
      </c>
      <c r="D2078" s="28" t="s">
        <v>43</v>
      </c>
      <c r="E2078" s="29">
        <f>[1]Source!BZ1983</f>
        <v>90</v>
      </c>
      <c r="F2078" s="30"/>
      <c r="G2078" s="31"/>
      <c r="H2078" s="29"/>
      <c r="I2078" s="30">
        <f>SUM(Q2073:Q2077)</f>
        <v>4860.93</v>
      </c>
      <c r="J2078" s="29">
        <f>[1]Source!AT1983</f>
        <v>90</v>
      </c>
      <c r="K2078" s="30">
        <f>SUM(R2073:R2077)</f>
        <v>273913.24</v>
      </c>
    </row>
    <row r="2079" spans="1:29" ht="14.4" hidden="1" x14ac:dyDescent="0.25">
      <c r="A2079" s="27"/>
      <c r="B2079" s="27"/>
      <c r="C2079" s="27" t="s">
        <v>44</v>
      </c>
      <c r="D2079" s="28" t="s">
        <v>43</v>
      </c>
      <c r="E2079" s="29">
        <f>[1]Source!CA1983</f>
        <v>42</v>
      </c>
      <c r="F2079" s="30"/>
      <c r="G2079" s="31"/>
      <c r="H2079" s="29"/>
      <c r="I2079" s="30">
        <f>SUM(S2073:S2078)</f>
        <v>2268.4299999999998</v>
      </c>
      <c r="J2079" s="29">
        <f>[1]Source!AU1983</f>
        <v>42</v>
      </c>
      <c r="K2079" s="30">
        <f>SUM(T2073:T2078)</f>
        <v>127826.18</v>
      </c>
    </row>
    <row r="2080" spans="1:29" ht="14.4" hidden="1" x14ac:dyDescent="0.25">
      <c r="A2080" s="34"/>
      <c r="B2080" s="34"/>
      <c r="C2080" s="34" t="s">
        <v>45</v>
      </c>
      <c r="D2080" s="35" t="s">
        <v>46</v>
      </c>
      <c r="E2080" s="36">
        <f>[1]Source!AQ1982</f>
        <v>242</v>
      </c>
      <c r="F2080" s="37"/>
      <c r="G2080" s="38" t="s">
        <v>60</v>
      </c>
      <c r="H2080" s="36">
        <f>[1]Source!AV1983</f>
        <v>1.0249999999999999</v>
      </c>
      <c r="I2080" s="37">
        <f>[1]Source!U1982</f>
        <v>288.13487999999995</v>
      </c>
      <c r="J2080" s="36"/>
      <c r="K2080" s="37"/>
    </row>
    <row r="2081" spans="1:29" ht="13.8" hidden="1" x14ac:dyDescent="0.25">
      <c r="C2081" s="39" t="s">
        <v>47</v>
      </c>
      <c r="H2081" s="40">
        <f>I2075+I2076+I2078+I2079+0-0-0</f>
        <v>12620.330000000002</v>
      </c>
      <c r="I2081" s="40"/>
      <c r="J2081" s="40">
        <f>K2075+K2076+K2078+K2079+0-0-0</f>
        <v>706990.33999999985</v>
      </c>
      <c r="K2081" s="40"/>
    </row>
    <row r="2082" spans="1:29" ht="13.8" hidden="1" x14ac:dyDescent="0.25">
      <c r="C2082" s="39" t="s">
        <v>48</v>
      </c>
      <c r="H2082" s="41">
        <f>0+0</f>
        <v>0</v>
      </c>
      <c r="I2082" s="41"/>
      <c r="J2082" s="41">
        <f>0+0</f>
        <v>0</v>
      </c>
      <c r="K2082" s="41"/>
    </row>
    <row r="2083" spans="1:29" ht="13.8" hidden="1" x14ac:dyDescent="0.25">
      <c r="C2083" s="39" t="s">
        <v>49</v>
      </c>
      <c r="H2083" s="41">
        <f>I2075+I2076+I2078+I2079+0</f>
        <v>12620.330000000002</v>
      </c>
      <c r="I2083" s="41"/>
      <c r="J2083" s="41">
        <f>K2075+K2076+K2078+K2079+0</f>
        <v>706990.33999999985</v>
      </c>
      <c r="K2083" s="41"/>
      <c r="O2083" s="42">
        <f>I2075+I2076+I2078+I2079+0</f>
        <v>12620.330000000002</v>
      </c>
      <c r="P2083" s="42">
        <f>K2075+K2076+K2078+K2079+0</f>
        <v>706990.33999999985</v>
      </c>
    </row>
    <row r="2084" spans="1:29" hidden="1" x14ac:dyDescent="0.25"/>
    <row r="2085" spans="1:29" ht="57.6" hidden="1" x14ac:dyDescent="0.25">
      <c r="A2085" s="27">
        <v>222</v>
      </c>
      <c r="B2085" s="27" t="str">
        <f>[1]Source!F1984</f>
        <v>3.70-254-1</v>
      </c>
      <c r="C2085" s="27" t="s">
        <v>467</v>
      </c>
      <c r="D2085" s="28" t="str">
        <f>[1]Source!H1984</f>
        <v>100 м2 облицовки</v>
      </c>
      <c r="E2085" s="29">
        <f>[1]Source!I1984</f>
        <v>2.42</v>
      </c>
      <c r="F2085" s="30"/>
      <c r="G2085" s="31"/>
      <c r="H2085" s="29"/>
      <c r="I2085" s="30"/>
      <c r="J2085" s="29"/>
      <c r="K2085" s="30"/>
      <c r="Q2085">
        <f>[1]Source!X1984</f>
        <v>13977.66</v>
      </c>
      <c r="R2085">
        <f>[1]Source!X1985</f>
        <v>787640.98</v>
      </c>
      <c r="S2085">
        <f>[1]Source!Y1984</f>
        <v>6522.91</v>
      </c>
      <c r="T2085">
        <f>[1]Source!Y1985</f>
        <v>367565.79</v>
      </c>
      <c r="U2085">
        <f>ROUND((175/100)*ROUND([1]Source!R1984, 2), 2)</f>
        <v>60.5</v>
      </c>
      <c r="V2085">
        <f>ROUND((0/100)*ROUND([1]Source!R1985, 2), 2)</f>
        <v>0</v>
      </c>
      <c r="AC2085">
        <v>0</v>
      </c>
    </row>
    <row r="2086" spans="1:29" hidden="1" x14ac:dyDescent="0.25">
      <c r="C2086" s="32" t="str">
        <f>"Объем: "&amp;[1]Source!I1984&amp;"=121*"&amp;"2/"&amp;"100"</f>
        <v>Объем: 2,42=121*2/100</v>
      </c>
    </row>
    <row r="2087" spans="1:29" ht="14.4" hidden="1" x14ac:dyDescent="0.25">
      <c r="A2087" s="27"/>
      <c r="B2087" s="27"/>
      <c r="C2087" s="27" t="s">
        <v>36</v>
      </c>
      <c r="D2087" s="28"/>
      <c r="E2087" s="29"/>
      <c r="F2087" s="30">
        <f>[1]Source!AO1984</f>
        <v>4526.95</v>
      </c>
      <c r="G2087" s="31" t="s">
        <v>37</v>
      </c>
      <c r="H2087" s="29">
        <f>[1]Source!AV1985</f>
        <v>1.0249999999999999</v>
      </c>
      <c r="I2087" s="30">
        <f>[1]Source!S1984</f>
        <v>15496.16</v>
      </c>
      <c r="J2087" s="29">
        <f>IF([1]Source!BA1985&lt;&gt; 0, [1]Source!BA1985, 1)</f>
        <v>56.35</v>
      </c>
      <c r="K2087" s="30">
        <f>[1]Source!S1985</f>
        <v>873208.62</v>
      </c>
    </row>
    <row r="2088" spans="1:29" ht="14.4" hidden="1" x14ac:dyDescent="0.25">
      <c r="A2088" s="27"/>
      <c r="B2088" s="27"/>
      <c r="C2088" s="27" t="s">
        <v>38</v>
      </c>
      <c r="D2088" s="28"/>
      <c r="E2088" s="29"/>
      <c r="F2088" s="30">
        <f>[1]Source!AM1984</f>
        <v>84.83</v>
      </c>
      <c r="G2088" s="31" t="s">
        <v>39</v>
      </c>
      <c r="H2088" s="29">
        <f>[1]Source!AV1985</f>
        <v>1.0249999999999999</v>
      </c>
      <c r="I2088" s="30">
        <f>[1]Source!Q1984</f>
        <v>315.63</v>
      </c>
      <c r="J2088" s="29">
        <f>IF([1]Source!BB1985&lt;&gt; 0, [1]Source!BB1985, 1)</f>
        <v>15.11</v>
      </c>
      <c r="K2088" s="30">
        <f>[1]Source!Q1985</f>
        <v>4769.17</v>
      </c>
    </row>
    <row r="2089" spans="1:29" ht="14.4" hidden="1" x14ac:dyDescent="0.25">
      <c r="A2089" s="27"/>
      <c r="B2089" s="27"/>
      <c r="C2089" s="27" t="s">
        <v>40</v>
      </c>
      <c r="D2089" s="28"/>
      <c r="E2089" s="29"/>
      <c r="F2089" s="30">
        <f>[1]Source!AN1984</f>
        <v>9.2899999999999991</v>
      </c>
      <c r="G2089" s="31" t="s">
        <v>39</v>
      </c>
      <c r="H2089" s="29">
        <f>[1]Source!AV1985</f>
        <v>1.0249999999999999</v>
      </c>
      <c r="I2089" s="33">
        <f>[1]Source!R1984</f>
        <v>34.57</v>
      </c>
      <c r="J2089" s="29">
        <f>IF([1]Source!BS1985&lt;&gt; 0, [1]Source!BS1985, 1)</f>
        <v>56.35</v>
      </c>
      <c r="K2089" s="33">
        <f>[1]Source!R1985</f>
        <v>1948.02</v>
      </c>
    </row>
    <row r="2090" spans="1:29" ht="14.4" hidden="1" x14ac:dyDescent="0.25">
      <c r="A2090" s="27"/>
      <c r="B2090" s="27"/>
      <c r="C2090" s="27" t="s">
        <v>41</v>
      </c>
      <c r="D2090" s="28"/>
      <c r="E2090" s="29"/>
      <c r="F2090" s="30">
        <f>[1]Source!AL1984</f>
        <v>4781.79</v>
      </c>
      <c r="G2090" s="31"/>
      <c r="H2090" s="29">
        <f>[1]Source!AW1985</f>
        <v>1</v>
      </c>
      <c r="I2090" s="30">
        <f>[1]Source!P1984</f>
        <v>11571.93</v>
      </c>
      <c r="J2090" s="29">
        <f>IF([1]Source!BC1985&lt;&gt; 0, [1]Source!BC1985, 1)</f>
        <v>7.52</v>
      </c>
      <c r="K2090" s="30">
        <f>[1]Source!P1985</f>
        <v>87020.91</v>
      </c>
    </row>
    <row r="2091" spans="1:29" ht="14.4" hidden="1" x14ac:dyDescent="0.25">
      <c r="A2091" s="27"/>
      <c r="B2091" s="27"/>
      <c r="C2091" s="27" t="s">
        <v>42</v>
      </c>
      <c r="D2091" s="28" t="s">
        <v>43</v>
      </c>
      <c r="E2091" s="29">
        <f>[1]Source!BZ1985</f>
        <v>90</v>
      </c>
      <c r="F2091" s="30"/>
      <c r="G2091" s="31"/>
      <c r="H2091" s="29"/>
      <c r="I2091" s="30">
        <f>SUM(Q2085:Q2090)</f>
        <v>13977.66</v>
      </c>
      <c r="J2091" s="29">
        <f>[1]Source!AT1985</f>
        <v>90</v>
      </c>
      <c r="K2091" s="30">
        <f>SUM(R2085:R2090)</f>
        <v>787640.98</v>
      </c>
    </row>
    <row r="2092" spans="1:29" ht="14.4" hidden="1" x14ac:dyDescent="0.25">
      <c r="A2092" s="27"/>
      <c r="B2092" s="27"/>
      <c r="C2092" s="27" t="s">
        <v>44</v>
      </c>
      <c r="D2092" s="28" t="s">
        <v>43</v>
      </c>
      <c r="E2092" s="29">
        <f>[1]Source!CA1985</f>
        <v>42</v>
      </c>
      <c r="F2092" s="30"/>
      <c r="G2092" s="31"/>
      <c r="H2092" s="29"/>
      <c r="I2092" s="30">
        <f>SUM(S2085:S2091)</f>
        <v>6522.91</v>
      </c>
      <c r="J2092" s="29">
        <f>[1]Source!AU1985</f>
        <v>42</v>
      </c>
      <c r="K2092" s="30">
        <f>SUM(T2085:T2091)</f>
        <v>367565.79</v>
      </c>
    </row>
    <row r="2093" spans="1:29" ht="14.4" hidden="1" x14ac:dyDescent="0.25">
      <c r="A2093" s="34"/>
      <c r="B2093" s="34"/>
      <c r="C2093" s="34" t="s">
        <v>45</v>
      </c>
      <c r="D2093" s="35" t="s">
        <v>46</v>
      </c>
      <c r="E2093" s="36">
        <f>[1]Source!AQ1984</f>
        <v>242</v>
      </c>
      <c r="F2093" s="37"/>
      <c r="G2093" s="38" t="s">
        <v>37</v>
      </c>
      <c r="H2093" s="36">
        <f>[1]Source!AV1985</f>
        <v>1.0249999999999999</v>
      </c>
      <c r="I2093" s="37">
        <f>[1]Source!U1984</f>
        <v>828.38777999999979</v>
      </c>
      <c r="J2093" s="36"/>
      <c r="K2093" s="37"/>
    </row>
    <row r="2094" spans="1:29" ht="13.8" hidden="1" x14ac:dyDescent="0.25">
      <c r="C2094" s="39" t="s">
        <v>47</v>
      </c>
      <c r="H2094" s="40">
        <f>I2087+I2088+I2090+I2091+I2092+0-0-0</f>
        <v>47884.290000000008</v>
      </c>
      <c r="I2094" s="40"/>
      <c r="J2094" s="40">
        <f>K2087+K2088+K2090+K2091+K2092+0-0-0</f>
        <v>2120205.4700000002</v>
      </c>
      <c r="K2094" s="40"/>
    </row>
    <row r="2095" spans="1:29" ht="13.8" hidden="1" x14ac:dyDescent="0.25">
      <c r="C2095" s="39" t="s">
        <v>48</v>
      </c>
      <c r="H2095" s="41">
        <f>0+0</f>
        <v>0</v>
      </c>
      <c r="I2095" s="41"/>
      <c r="J2095" s="41">
        <f>0+0</f>
        <v>0</v>
      </c>
      <c r="K2095" s="41"/>
    </row>
    <row r="2096" spans="1:29" ht="13.8" hidden="1" x14ac:dyDescent="0.25">
      <c r="C2096" s="39" t="s">
        <v>49</v>
      </c>
      <c r="H2096" s="41">
        <f>I2087+I2088+I2090+I2091+I2092+0</f>
        <v>47884.290000000008</v>
      </c>
      <c r="I2096" s="41"/>
      <c r="J2096" s="41">
        <f>K2087+K2088+K2090+K2091+K2092+0</f>
        <v>2120205.4700000002</v>
      </c>
      <c r="K2096" s="41"/>
      <c r="O2096" s="42">
        <f>I2087+I2088+I2090+I2091+I2092+0</f>
        <v>47884.290000000008</v>
      </c>
      <c r="P2096" s="42">
        <f>K2087+K2088+K2090+K2091+K2092+0</f>
        <v>2120205.4700000002</v>
      </c>
    </row>
    <row r="2097" spans="1:29" hidden="1" x14ac:dyDescent="0.25"/>
    <row r="2098" spans="1:29" ht="82.8" hidden="1" x14ac:dyDescent="0.25">
      <c r="A2098" s="34">
        <v>223</v>
      </c>
      <c r="B2098" s="34" t="str">
        <f>[1]Source!F1986</f>
        <v>1.1-1-2397</v>
      </c>
      <c r="C2098" s="34" t="s">
        <v>468</v>
      </c>
      <c r="D2098" s="35" t="str">
        <f>[1]Source!H1986</f>
        <v>м3</v>
      </c>
      <c r="E2098" s="36">
        <f>[1]Source!I1986</f>
        <v>5.8079999999999998</v>
      </c>
      <c r="F2098" s="37">
        <f>[1]Source!AL1986</f>
        <v>2947.47</v>
      </c>
      <c r="G2098" s="38"/>
      <c r="H2098" s="36">
        <f>[1]Source!AW1987</f>
        <v>1</v>
      </c>
      <c r="I2098" s="37">
        <f>[1]Source!P1986</f>
        <v>17118.91</v>
      </c>
      <c r="J2098" s="36">
        <f>IF([1]Source!BC1987&lt;&gt; 0, [1]Source!BC1987, 1)</f>
        <v>19.66</v>
      </c>
      <c r="K2098" s="37">
        <f>[1]Source!P1987</f>
        <v>336557.77</v>
      </c>
      <c r="Q2098">
        <f>[1]Source!X1986</f>
        <v>0</v>
      </c>
      <c r="R2098">
        <f>[1]Source!X1987</f>
        <v>0</v>
      </c>
      <c r="S2098">
        <f>[1]Source!Y1986</f>
        <v>0</v>
      </c>
      <c r="T2098">
        <f>[1]Source!Y1987</f>
        <v>0</v>
      </c>
      <c r="U2098">
        <f>ROUND((175/100)*ROUND([1]Source!R1986, 2), 2)</f>
        <v>0</v>
      </c>
      <c r="V2098">
        <f>ROUND((0/100)*ROUND([1]Source!R1987, 2), 2)</f>
        <v>0</v>
      </c>
      <c r="AC2098">
        <v>3</v>
      </c>
    </row>
    <row r="2099" spans="1:29" ht="13.8" hidden="1" x14ac:dyDescent="0.25">
      <c r="C2099" s="39" t="s">
        <v>49</v>
      </c>
      <c r="H2099" s="40">
        <f>I2098+0</f>
        <v>17118.91</v>
      </c>
      <c r="I2099" s="40"/>
      <c r="J2099" s="40">
        <f>K2098+0</f>
        <v>336557.77</v>
      </c>
      <c r="K2099" s="40"/>
      <c r="O2099" s="42">
        <f>I2098+0</f>
        <v>17118.91</v>
      </c>
      <c r="P2099" s="42">
        <f>K2098+0</f>
        <v>336557.77</v>
      </c>
    </row>
    <row r="2100" spans="1:29" hidden="1" x14ac:dyDescent="0.25"/>
    <row r="2101" spans="1:29" hidden="1" x14ac:dyDescent="0.25"/>
    <row r="2102" spans="1:29" ht="13.8" hidden="1" x14ac:dyDescent="0.25">
      <c r="A2102" s="44" t="str">
        <f>CONCATENATE("Итого по подразделу: ",IF([1]Source!G1989&lt;&gt;"Новый подраздел", [1]Source!G1989, ""))</f>
        <v>Итого по подразделу: Замена обшивки конструкции подиума</v>
      </c>
      <c r="B2102" s="44"/>
      <c r="C2102" s="44"/>
      <c r="D2102" s="44"/>
      <c r="E2102" s="44"/>
      <c r="F2102" s="44"/>
      <c r="G2102" s="44"/>
      <c r="H2102" s="41">
        <f>SUM(O2072:O2101)</f>
        <v>77623.530000000013</v>
      </c>
      <c r="I2102" s="45"/>
      <c r="J2102" s="41">
        <f>SUM(P2072:P2101)</f>
        <v>3163753.58</v>
      </c>
      <c r="K2102" s="45"/>
    </row>
    <row r="2103" spans="1:29" hidden="1" x14ac:dyDescent="0.25">
      <c r="A2103" t="s">
        <v>55</v>
      </c>
      <c r="I2103">
        <f>SUM(W2072:W2102)</f>
        <v>0</v>
      </c>
      <c r="J2103">
        <f>SUM(X2072:X2102)</f>
        <v>0</v>
      </c>
    </row>
    <row r="2104" spans="1:29" hidden="1" x14ac:dyDescent="0.25">
      <c r="A2104" t="s">
        <v>56</v>
      </c>
      <c r="I2104">
        <f>SUM(Y2072:Y2103)</f>
        <v>0</v>
      </c>
      <c r="J2104">
        <f>SUM(Z2072:Z2103)</f>
        <v>0</v>
      </c>
    </row>
    <row r="2105" spans="1:29" hidden="1" x14ac:dyDescent="0.25"/>
    <row r="2106" spans="1:29" ht="13.8" hidden="1" x14ac:dyDescent="0.25">
      <c r="A2106" s="44" t="str">
        <f>CONCATENATE("Итого по разделу: ",IF([1]Source!G2019&lt;&gt;"Новый раздел", [1]Source!G2019, ""))</f>
        <v>Итого по разделу: Перегородки</v>
      </c>
      <c r="B2106" s="44"/>
      <c r="C2106" s="44"/>
      <c r="D2106" s="44"/>
      <c r="E2106" s="44"/>
      <c r="F2106" s="44"/>
      <c r="G2106" s="44"/>
      <c r="H2106" s="41">
        <f>SUM(O1927:O2105)</f>
        <v>1542838.32</v>
      </c>
      <c r="I2106" s="45"/>
      <c r="J2106" s="41">
        <f>SUM(P1927:P2105)</f>
        <v>41820680.81000001</v>
      </c>
      <c r="K2106" s="45"/>
    </row>
    <row r="2107" spans="1:29" hidden="1" x14ac:dyDescent="0.25">
      <c r="A2107" t="s">
        <v>55</v>
      </c>
      <c r="I2107">
        <f>SUM(W1927:W2106)</f>
        <v>0</v>
      </c>
      <c r="J2107">
        <f>SUM(X1927:X2106)</f>
        <v>0</v>
      </c>
    </row>
    <row r="2108" spans="1:29" hidden="1" x14ac:dyDescent="0.25">
      <c r="A2108" t="s">
        <v>56</v>
      </c>
      <c r="I2108">
        <f>SUM(Y1927:Y2107)</f>
        <v>0</v>
      </c>
      <c r="J2108">
        <f>SUM(Z1927:Z2107)</f>
        <v>0</v>
      </c>
    </row>
    <row r="2109" spans="1:29" hidden="1" x14ac:dyDescent="0.25"/>
    <row r="2110" spans="1:29" ht="16.8" hidden="1" x14ac:dyDescent="0.25">
      <c r="A2110" s="11" t="str">
        <f>CONCATENATE("Раздел: ",IF([1]Source!G2049&lt;&gt;"Новый раздел", [1]Source!G2049, ""))</f>
        <v>Раздел: Внутренние двери</v>
      </c>
      <c r="B2110" s="11"/>
      <c r="C2110" s="11"/>
      <c r="D2110" s="11"/>
      <c r="E2110" s="11"/>
      <c r="F2110" s="11"/>
      <c r="G2110" s="11"/>
      <c r="H2110" s="11"/>
      <c r="I2110" s="11"/>
      <c r="J2110" s="11"/>
      <c r="K2110" s="11"/>
    </row>
    <row r="2111" spans="1:29" hidden="1" x14ac:dyDescent="0.25"/>
    <row r="2112" spans="1:29" ht="16.8" hidden="1" x14ac:dyDescent="0.25">
      <c r="A2112" s="11" t="str">
        <f>CONCATENATE("Подраздел: ",IF([1]Source!G2053&lt;&gt;"Новый подраздел", [1]Source!G2053, ""))</f>
        <v>Подраздел: Демонтажные работы</v>
      </c>
      <c r="B2112" s="11"/>
      <c r="C2112" s="11"/>
      <c r="D2112" s="11"/>
      <c r="E2112" s="11"/>
      <c r="F2112" s="11"/>
      <c r="G2112" s="11"/>
      <c r="H2112" s="11"/>
      <c r="I2112" s="11"/>
      <c r="J2112" s="11"/>
      <c r="K2112" s="11"/>
    </row>
    <row r="2113" spans="1:29" ht="28.8" hidden="1" x14ac:dyDescent="0.25">
      <c r="A2113" s="27">
        <v>224</v>
      </c>
      <c r="B2113" s="27" t="str">
        <f>[1]Source!F2057</f>
        <v>6.56-38-3</v>
      </c>
      <c r="C2113" s="27" t="s">
        <v>469</v>
      </c>
      <c r="D2113" s="28" t="str">
        <f>[1]Source!H2057</f>
        <v>100 м2</v>
      </c>
      <c r="E2113" s="29">
        <f>[1]Source!I2057</f>
        <v>2.13</v>
      </c>
      <c r="F2113" s="30"/>
      <c r="G2113" s="31"/>
      <c r="H2113" s="29"/>
      <c r="I2113" s="30"/>
      <c r="J2113" s="29"/>
      <c r="K2113" s="30"/>
      <c r="Q2113">
        <f>[1]Source!X2057</f>
        <v>2327.09</v>
      </c>
      <c r="R2113">
        <f>[1]Source!X2058</f>
        <v>131131.24</v>
      </c>
      <c r="S2113">
        <f>[1]Source!Y2057</f>
        <v>1215.26</v>
      </c>
      <c r="T2113">
        <f>[1]Source!Y2058</f>
        <v>68479.649999999994</v>
      </c>
      <c r="U2113">
        <f>ROUND((175/100)*ROUND([1]Source!R2057, 2), 2)</f>
        <v>0</v>
      </c>
      <c r="V2113">
        <f>ROUND((0/100)*ROUND([1]Source!R2058, 2), 2)</f>
        <v>0</v>
      </c>
      <c r="AC2113">
        <v>0</v>
      </c>
    </row>
    <row r="2114" spans="1:29" hidden="1" x14ac:dyDescent="0.25">
      <c r="C2114" s="32" t="str">
        <f>"Объем: "&amp;[1]Source!I2057&amp;"=213/"&amp;"100"</f>
        <v>Объем: 2,13=213/100</v>
      </c>
    </row>
    <row r="2115" spans="1:29" ht="14.4" hidden="1" x14ac:dyDescent="0.25">
      <c r="A2115" s="27"/>
      <c r="B2115" s="27"/>
      <c r="C2115" s="27" t="s">
        <v>36</v>
      </c>
      <c r="D2115" s="28"/>
      <c r="E2115" s="29"/>
      <c r="F2115" s="30">
        <f>[1]Source!AO2057</f>
        <v>966.19</v>
      </c>
      <c r="G2115" s="31" t="s">
        <v>58</v>
      </c>
      <c r="H2115" s="29">
        <f>[1]Source!AV2058</f>
        <v>1.0469999999999999</v>
      </c>
      <c r="I2115" s="30">
        <f>[1]Source!S2057</f>
        <v>2585.65</v>
      </c>
      <c r="J2115" s="29">
        <f>IF([1]Source!BA2058&lt;&gt; 0, [1]Source!BA2058, 1)</f>
        <v>56.35</v>
      </c>
      <c r="K2115" s="30">
        <f>[1]Source!S2058</f>
        <v>145701.38</v>
      </c>
    </row>
    <row r="2116" spans="1:29" ht="14.4" hidden="1" x14ac:dyDescent="0.25">
      <c r="A2116" s="27"/>
      <c r="B2116" s="27"/>
      <c r="C2116" s="27" t="s">
        <v>42</v>
      </c>
      <c r="D2116" s="28" t="s">
        <v>43</v>
      </c>
      <c r="E2116" s="29">
        <f>[1]Source!BZ2058</f>
        <v>90</v>
      </c>
      <c r="F2116" s="30"/>
      <c r="G2116" s="31"/>
      <c r="H2116" s="29"/>
      <c r="I2116" s="30">
        <f>SUM(Q2113:Q2115)</f>
        <v>2327.09</v>
      </c>
      <c r="J2116" s="29">
        <f>[1]Source!AT2058</f>
        <v>90</v>
      </c>
      <c r="K2116" s="30">
        <f>SUM(R2113:R2115)</f>
        <v>131131.24</v>
      </c>
    </row>
    <row r="2117" spans="1:29" ht="14.4" hidden="1" x14ac:dyDescent="0.25">
      <c r="A2117" s="27"/>
      <c r="B2117" s="27"/>
      <c r="C2117" s="27" t="s">
        <v>44</v>
      </c>
      <c r="D2117" s="28" t="s">
        <v>43</v>
      </c>
      <c r="E2117" s="29">
        <f>[1]Source!CA2058</f>
        <v>47</v>
      </c>
      <c r="F2117" s="30"/>
      <c r="G2117" s="31"/>
      <c r="H2117" s="29"/>
      <c r="I2117" s="30">
        <f>SUM(S2113:S2116)</f>
        <v>1215.26</v>
      </c>
      <c r="J2117" s="29">
        <f>[1]Source!AU2058</f>
        <v>47</v>
      </c>
      <c r="K2117" s="30">
        <f>SUM(T2113:T2116)</f>
        <v>68479.649999999994</v>
      </c>
    </row>
    <row r="2118" spans="1:29" ht="14.4" hidden="1" x14ac:dyDescent="0.25">
      <c r="A2118" s="34"/>
      <c r="B2118" s="34"/>
      <c r="C2118" s="34" t="s">
        <v>45</v>
      </c>
      <c r="D2118" s="35" t="s">
        <v>46</v>
      </c>
      <c r="E2118" s="36">
        <f>[1]Source!AQ2057</f>
        <v>91.15</v>
      </c>
      <c r="F2118" s="37"/>
      <c r="G2118" s="38" t="s">
        <v>58</v>
      </c>
      <c r="H2118" s="36">
        <f>[1]Source!AV2058</f>
        <v>1.0469999999999999</v>
      </c>
      <c r="I2118" s="37">
        <f>[1]Source!U2057</f>
        <v>243.92943179999997</v>
      </c>
      <c r="J2118" s="36"/>
      <c r="K2118" s="37"/>
    </row>
    <row r="2119" spans="1:29" ht="13.8" hidden="1" x14ac:dyDescent="0.25">
      <c r="C2119" s="39" t="s">
        <v>47</v>
      </c>
      <c r="H2119" s="40">
        <f>I2115+I2116+I2117+0-0-0</f>
        <v>6128</v>
      </c>
      <c r="I2119" s="40"/>
      <c r="J2119" s="40">
        <f>K2115+K2116+K2117+0-0-0</f>
        <v>345312.27</v>
      </c>
      <c r="K2119" s="40"/>
    </row>
    <row r="2120" spans="1:29" ht="13.8" hidden="1" x14ac:dyDescent="0.25">
      <c r="C2120" s="39" t="s">
        <v>48</v>
      </c>
      <c r="H2120" s="41">
        <f>0+0</f>
        <v>0</v>
      </c>
      <c r="I2120" s="41"/>
      <c r="J2120" s="41">
        <f>0+0</f>
        <v>0</v>
      </c>
      <c r="K2120" s="41"/>
    </row>
    <row r="2121" spans="1:29" ht="13.8" hidden="1" x14ac:dyDescent="0.25">
      <c r="C2121" s="39" t="s">
        <v>49</v>
      </c>
      <c r="H2121" s="41">
        <f>I2115+I2116+I2117+0</f>
        <v>6128</v>
      </c>
      <c r="I2121" s="41"/>
      <c r="J2121" s="41">
        <f>K2115+K2116+K2117+0</f>
        <v>345312.27</v>
      </c>
      <c r="K2121" s="41"/>
      <c r="O2121" s="42">
        <f>I2115+I2116+I2117+0</f>
        <v>6128</v>
      </c>
      <c r="P2121" s="42">
        <f>K2115+K2116+K2117+0</f>
        <v>345312.27</v>
      </c>
    </row>
    <row r="2122" spans="1:29" hidden="1" x14ac:dyDescent="0.25"/>
    <row r="2123" spans="1:29" ht="41.4" hidden="1" x14ac:dyDescent="0.25">
      <c r="A2123" s="27">
        <v>225</v>
      </c>
      <c r="B2123" s="27" t="str">
        <f>[1]Source!F2059</f>
        <v>3.70-44-1</v>
      </c>
      <c r="C2123" s="27" t="s">
        <v>470</v>
      </c>
      <c r="D2123" s="28" t="str">
        <f>[1]Source!H2059</f>
        <v>10 шт.</v>
      </c>
      <c r="E2123" s="29">
        <f>[1]Source!I2059</f>
        <v>10.199999999999999</v>
      </c>
      <c r="F2123" s="30"/>
      <c r="G2123" s="31"/>
      <c r="H2123" s="29"/>
      <c r="I2123" s="30"/>
      <c r="J2123" s="29"/>
      <c r="K2123" s="30"/>
      <c r="Q2123">
        <f>[1]Source!X2059</f>
        <v>1965.1</v>
      </c>
      <c r="R2123">
        <f>[1]Source!X2060</f>
        <v>110733.16</v>
      </c>
      <c r="S2123">
        <f>[1]Source!Y2059</f>
        <v>1239.8800000000001</v>
      </c>
      <c r="T2123">
        <f>[1]Source!Y2060</f>
        <v>69867.350000000006</v>
      </c>
      <c r="U2123">
        <f>ROUND((175/100)*ROUND([1]Source!R2059, 2), 2)</f>
        <v>239.73</v>
      </c>
      <c r="V2123">
        <f>ROUND((0/100)*ROUND([1]Source!R2060, 2), 2)</f>
        <v>0</v>
      </c>
      <c r="AC2123">
        <v>0</v>
      </c>
    </row>
    <row r="2124" spans="1:29" hidden="1" x14ac:dyDescent="0.25">
      <c r="C2124" s="32" t="str">
        <f>"Объем: "&amp;[1]Source!I2059&amp;"=(41+"&amp;"61)/"&amp;"10"</f>
        <v>Объем: 10,2=(41+61)/10</v>
      </c>
    </row>
    <row r="2125" spans="1:29" ht="14.4" hidden="1" x14ac:dyDescent="0.25">
      <c r="A2125" s="27"/>
      <c r="B2125" s="27"/>
      <c r="C2125" s="27" t="s">
        <v>36</v>
      </c>
      <c r="D2125" s="28"/>
      <c r="E2125" s="29"/>
      <c r="F2125" s="30">
        <f>[1]Source!AO2059</f>
        <v>275.89</v>
      </c>
      <c r="G2125" s="31" t="s">
        <v>102</v>
      </c>
      <c r="H2125" s="29">
        <f>[1]Source!AV2060</f>
        <v>1.087</v>
      </c>
      <c r="I2125" s="30">
        <f>[1]Source!S2059</f>
        <v>2202.41</v>
      </c>
      <c r="J2125" s="29">
        <f>IF([1]Source!BA2060&lt;&gt; 0, [1]Source!BA2060, 1)</f>
        <v>56.35</v>
      </c>
      <c r="K2125" s="30">
        <f>[1]Source!S2060</f>
        <v>124105.8</v>
      </c>
    </row>
    <row r="2126" spans="1:29" ht="14.4" hidden="1" x14ac:dyDescent="0.25">
      <c r="A2126" s="27"/>
      <c r="B2126" s="27"/>
      <c r="C2126" s="27" t="s">
        <v>38</v>
      </c>
      <c r="D2126" s="28"/>
      <c r="E2126" s="29"/>
      <c r="F2126" s="30">
        <f>[1]Source!AM2059</f>
        <v>113.73</v>
      </c>
      <c r="G2126" s="31" t="s">
        <v>102</v>
      </c>
      <c r="H2126" s="29">
        <f>[1]Source!AV2060</f>
        <v>1.087</v>
      </c>
      <c r="I2126" s="30">
        <f>[1]Source!Q2059</f>
        <v>907.9</v>
      </c>
      <c r="J2126" s="29">
        <f>IF([1]Source!BB2060&lt;&gt; 0, [1]Source!BB2060, 1)</f>
        <v>17.02</v>
      </c>
      <c r="K2126" s="30">
        <f>[1]Source!Q2060</f>
        <v>15452.46</v>
      </c>
    </row>
    <row r="2127" spans="1:29" ht="14.4" hidden="1" x14ac:dyDescent="0.25">
      <c r="A2127" s="27"/>
      <c r="B2127" s="27"/>
      <c r="C2127" s="27" t="s">
        <v>40</v>
      </c>
      <c r="D2127" s="28"/>
      <c r="E2127" s="29"/>
      <c r="F2127" s="30">
        <f>[1]Source!AN2059</f>
        <v>17.16</v>
      </c>
      <c r="G2127" s="31" t="s">
        <v>102</v>
      </c>
      <c r="H2127" s="29">
        <f>[1]Source!AV2060</f>
        <v>1.087</v>
      </c>
      <c r="I2127" s="33">
        <f>[1]Source!R2059</f>
        <v>136.99</v>
      </c>
      <c r="J2127" s="29">
        <f>IF([1]Source!BS2060&lt;&gt; 0, [1]Source!BS2060, 1)</f>
        <v>56.35</v>
      </c>
      <c r="K2127" s="33">
        <f>[1]Source!R2060</f>
        <v>7719.39</v>
      </c>
    </row>
    <row r="2128" spans="1:29" ht="14.4" hidden="1" x14ac:dyDescent="0.25">
      <c r="A2128" s="27"/>
      <c r="B2128" s="27"/>
      <c r="C2128" s="27" t="s">
        <v>41</v>
      </c>
      <c r="D2128" s="28"/>
      <c r="E2128" s="29"/>
      <c r="F2128" s="30">
        <f>[1]Source!AL2059</f>
        <v>487.88</v>
      </c>
      <c r="G2128" s="31" t="s">
        <v>64</v>
      </c>
      <c r="H2128" s="29">
        <f>[1]Source!AW2060</f>
        <v>1</v>
      </c>
      <c r="I2128" s="30">
        <f>[1]Source!P2059</f>
        <v>2985.83</v>
      </c>
      <c r="J2128" s="29">
        <f>IF([1]Source!BC2060&lt;&gt; 0, [1]Source!BC2060, 1)</f>
        <v>6.4</v>
      </c>
      <c r="K2128" s="30">
        <f>[1]Source!P2060</f>
        <v>19109.310000000001</v>
      </c>
    </row>
    <row r="2129" spans="1:29" ht="14.4" hidden="1" x14ac:dyDescent="0.25">
      <c r="A2129" s="27"/>
      <c r="B2129" s="27"/>
      <c r="C2129" s="27" t="s">
        <v>42</v>
      </c>
      <c r="D2129" s="28" t="s">
        <v>43</v>
      </c>
      <c r="E2129" s="29">
        <f>[1]Source!BZ2060</f>
        <v>84</v>
      </c>
      <c r="F2129" s="30"/>
      <c r="G2129" s="31"/>
      <c r="H2129" s="29"/>
      <c r="I2129" s="30">
        <f>SUM(Q2123:Q2128)</f>
        <v>1965.1</v>
      </c>
      <c r="J2129" s="29">
        <f>[1]Source!AT2060</f>
        <v>84</v>
      </c>
      <c r="K2129" s="30">
        <f>SUM(R2123:R2128)</f>
        <v>110733.16</v>
      </c>
    </row>
    <row r="2130" spans="1:29" ht="14.4" hidden="1" x14ac:dyDescent="0.25">
      <c r="A2130" s="27"/>
      <c r="B2130" s="27"/>
      <c r="C2130" s="27" t="s">
        <v>44</v>
      </c>
      <c r="D2130" s="28" t="s">
        <v>43</v>
      </c>
      <c r="E2130" s="29">
        <f>[1]Source!CA2060</f>
        <v>53</v>
      </c>
      <c r="F2130" s="30"/>
      <c r="G2130" s="31"/>
      <c r="H2130" s="29"/>
      <c r="I2130" s="30">
        <f>SUM(S2123:S2129)</f>
        <v>1239.8800000000001</v>
      </c>
      <c r="J2130" s="29">
        <f>[1]Source!AU2060</f>
        <v>53</v>
      </c>
      <c r="K2130" s="30">
        <f>SUM(T2123:T2129)</f>
        <v>69867.350000000006</v>
      </c>
    </row>
    <row r="2131" spans="1:29" ht="14.4" hidden="1" x14ac:dyDescent="0.25">
      <c r="A2131" s="34"/>
      <c r="B2131" s="34"/>
      <c r="C2131" s="34" t="s">
        <v>45</v>
      </c>
      <c r="D2131" s="35" t="s">
        <v>46</v>
      </c>
      <c r="E2131" s="36">
        <f>[1]Source!AQ2059</f>
        <v>18.38</v>
      </c>
      <c r="F2131" s="37"/>
      <c r="G2131" s="38" t="s">
        <v>102</v>
      </c>
      <c r="H2131" s="36">
        <f>[1]Source!AV2060</f>
        <v>1.087</v>
      </c>
      <c r="I2131" s="37">
        <f>[1]Source!U2059</f>
        <v>146.72621663999993</v>
      </c>
      <c r="J2131" s="36"/>
      <c r="K2131" s="37"/>
    </row>
    <row r="2132" spans="1:29" ht="13.8" hidden="1" x14ac:dyDescent="0.25">
      <c r="C2132" s="39" t="s">
        <v>47</v>
      </c>
      <c r="H2132" s="40">
        <f>I2125+I2126+I2128+I2129+I2130+0-0-0</f>
        <v>9301.119999999999</v>
      </c>
      <c r="I2132" s="40"/>
      <c r="J2132" s="40">
        <f>K2125+K2126+K2128+K2129+K2130+0-0-0</f>
        <v>339268.07999999996</v>
      </c>
      <c r="K2132" s="40"/>
    </row>
    <row r="2133" spans="1:29" ht="13.8" hidden="1" x14ac:dyDescent="0.25">
      <c r="C2133" s="39" t="s">
        <v>48</v>
      </c>
      <c r="H2133" s="41">
        <f>0+0</f>
        <v>0</v>
      </c>
      <c r="I2133" s="41"/>
      <c r="J2133" s="41">
        <f>0+0</f>
        <v>0</v>
      </c>
      <c r="K2133" s="41"/>
    </row>
    <row r="2134" spans="1:29" ht="13.8" hidden="1" x14ac:dyDescent="0.25">
      <c r="C2134" s="39" t="s">
        <v>49</v>
      </c>
      <c r="H2134" s="41">
        <f>I2125+I2126+I2128+I2129+I2130+0</f>
        <v>9301.119999999999</v>
      </c>
      <c r="I2134" s="41"/>
      <c r="J2134" s="41">
        <f>K2125+K2126+K2128+K2129+K2130+0</f>
        <v>339268.07999999996</v>
      </c>
      <c r="K2134" s="41"/>
      <c r="O2134" s="42">
        <f>I2125+I2126+I2128+I2129+I2130+0</f>
        <v>9301.119999999999</v>
      </c>
      <c r="P2134" s="42">
        <f>K2125+K2126+K2128+K2129+K2130+0</f>
        <v>339268.07999999996</v>
      </c>
    </row>
    <row r="2135" spans="1:29" hidden="1" x14ac:dyDescent="0.25"/>
    <row r="2136" spans="1:29" hidden="1" x14ac:dyDescent="0.25"/>
    <row r="2137" spans="1:29" ht="13.8" hidden="1" x14ac:dyDescent="0.25">
      <c r="A2137" s="44" t="str">
        <f>CONCATENATE("Итого по подразделу: ",IF([1]Source!G2062&lt;&gt;"Новый подраздел", [1]Source!G2062, ""))</f>
        <v>Итого по подразделу: Демонтажные работы</v>
      </c>
      <c r="B2137" s="44"/>
      <c r="C2137" s="44"/>
      <c r="D2137" s="44"/>
      <c r="E2137" s="44"/>
      <c r="F2137" s="44"/>
      <c r="G2137" s="44"/>
      <c r="H2137" s="41">
        <f>SUM(O2112:O2136)</f>
        <v>15429.119999999999</v>
      </c>
      <c r="I2137" s="45"/>
      <c r="J2137" s="41">
        <f>SUM(P2112:P2136)</f>
        <v>684580.35</v>
      </c>
      <c r="K2137" s="45"/>
    </row>
    <row r="2138" spans="1:29" hidden="1" x14ac:dyDescent="0.25">
      <c r="A2138" t="s">
        <v>55</v>
      </c>
      <c r="I2138">
        <f>SUM(W2112:W2137)</f>
        <v>0</v>
      </c>
      <c r="J2138">
        <f>SUM(X2112:X2137)</f>
        <v>0</v>
      </c>
    </row>
    <row r="2139" spans="1:29" hidden="1" x14ac:dyDescent="0.25">
      <c r="A2139" t="s">
        <v>56</v>
      </c>
      <c r="I2139">
        <f>SUM(Y2112:Y2138)</f>
        <v>0</v>
      </c>
      <c r="J2139">
        <f>SUM(Z2112:Z2138)</f>
        <v>0</v>
      </c>
    </row>
    <row r="2140" spans="1:29" hidden="1" x14ac:dyDescent="0.25"/>
    <row r="2141" spans="1:29" ht="16.8" hidden="1" x14ac:dyDescent="0.25">
      <c r="A2141" s="11" t="str">
        <f>CONCATENATE("Подраздел: ",IF([1]Source!G2092&lt;&gt;"Новый подраздел", [1]Source!G2092, ""))</f>
        <v>Подраздел: Алюминиевые двери.</v>
      </c>
      <c r="B2141" s="11"/>
      <c r="C2141" s="11"/>
      <c r="D2141" s="11"/>
      <c r="E2141" s="11"/>
      <c r="F2141" s="11"/>
      <c r="G2141" s="11"/>
      <c r="H2141" s="11"/>
      <c r="I2141" s="11"/>
      <c r="J2141" s="11"/>
      <c r="K2141" s="11"/>
    </row>
    <row r="2142" spans="1:29" ht="41.4" hidden="1" x14ac:dyDescent="0.25">
      <c r="A2142" s="27">
        <v>226</v>
      </c>
      <c r="B2142" s="27" t="str">
        <f>[1]Source!F2096</f>
        <v>3.70-52-1</v>
      </c>
      <c r="C2142" s="27" t="s">
        <v>471</v>
      </c>
      <c r="D2142" s="28" t="str">
        <f>[1]Source!H2096</f>
        <v>100 м2</v>
      </c>
      <c r="E2142" s="29">
        <f>[1]Source!I2096</f>
        <v>1.29206</v>
      </c>
      <c r="F2142" s="30"/>
      <c r="G2142" s="31"/>
      <c r="H2142" s="29"/>
      <c r="I2142" s="30"/>
      <c r="J2142" s="29"/>
      <c r="K2142" s="30"/>
      <c r="Q2142">
        <f>[1]Source!X2096</f>
        <v>4648.43</v>
      </c>
      <c r="R2142">
        <f>[1]Source!X2097</f>
        <v>261938.79</v>
      </c>
      <c r="S2142">
        <f>[1]Source!Y2096</f>
        <v>2932.94</v>
      </c>
      <c r="T2142">
        <f>[1]Source!Y2097</f>
        <v>165270.9</v>
      </c>
      <c r="U2142">
        <f>ROUND((175/100)*ROUND([1]Source!R2096, 2), 2)</f>
        <v>48.04</v>
      </c>
      <c r="V2142">
        <f>ROUND((0/100)*ROUND([1]Source!R2097, 2), 2)</f>
        <v>0</v>
      </c>
      <c r="AC2142">
        <v>0</v>
      </c>
    </row>
    <row r="2143" spans="1:29" ht="52.8" hidden="1" x14ac:dyDescent="0.25">
      <c r="C2143" s="32" t="str">
        <f>"Объем: "&amp;[1]Source!I2096&amp;"=((1,03*"&amp;"2,2)*"&amp;"(5+"&amp;"1+"&amp;"2+"&amp;"3+"&amp;"1+"&amp;"1+"&amp;"2+"&amp;"1+"&amp;"1+"&amp;"1+"&amp;"2+"&amp;"2+"&amp;"2+"&amp;"9+"&amp;"2+"&amp;"12+"&amp;"3+"&amp;"1)+"&amp;"((0,93*"&amp;"2,2)*"&amp;"(1+"&amp;"3))+"&amp;"(1,13*"&amp;"2,2)+"&amp;"(1,35*"&amp;"2,2))/"&amp;"100"</f>
        <v>Объем: 1,29206=((1,03*2,2)*(5+1+2+3+1+1+2+1+1+1+2+2+2+9+2+12+3+1)+((0,93*2,2)*(1+3))+(1,13*2,2)+(1,35*2,2))/100</v>
      </c>
    </row>
    <row r="2144" spans="1:29" ht="14.4" hidden="1" x14ac:dyDescent="0.25">
      <c r="A2144" s="27"/>
      <c r="B2144" s="27"/>
      <c r="C2144" s="27" t="s">
        <v>36</v>
      </c>
      <c r="D2144" s="28"/>
      <c r="E2144" s="29"/>
      <c r="F2144" s="30">
        <f>[1]Source!AO2096</f>
        <v>2841.03</v>
      </c>
      <c r="G2144" s="31" t="s">
        <v>37</v>
      </c>
      <c r="H2144" s="29">
        <f>[1]Source!AV2097</f>
        <v>1.087</v>
      </c>
      <c r="I2144" s="30">
        <f>[1]Source!S2096</f>
        <v>5506.39</v>
      </c>
      <c r="J2144" s="29">
        <f>IF([1]Source!BA2097&lt;&gt; 0, [1]Source!BA2097, 1)</f>
        <v>56.35</v>
      </c>
      <c r="K2144" s="30">
        <f>[1]Source!S2097</f>
        <v>310285.08</v>
      </c>
    </row>
    <row r="2145" spans="1:29" ht="14.4" hidden="1" x14ac:dyDescent="0.25">
      <c r="A2145" s="27"/>
      <c r="B2145" s="27"/>
      <c r="C2145" s="27" t="s">
        <v>38</v>
      </c>
      <c r="D2145" s="28"/>
      <c r="E2145" s="29"/>
      <c r="F2145" s="30">
        <f>[1]Source!AM2096</f>
        <v>118.94</v>
      </c>
      <c r="G2145" s="31" t="s">
        <v>39</v>
      </c>
      <c r="H2145" s="29">
        <f>[1]Source!AV2097</f>
        <v>1.087</v>
      </c>
      <c r="I2145" s="30">
        <f>[1]Source!Q2096</f>
        <v>250.57</v>
      </c>
      <c r="J2145" s="29">
        <f>IF([1]Source!BB2097&lt;&gt; 0, [1]Source!BB2097, 1)</f>
        <v>15.06</v>
      </c>
      <c r="K2145" s="30">
        <f>[1]Source!Q2097</f>
        <v>3773.58</v>
      </c>
    </row>
    <row r="2146" spans="1:29" ht="14.4" hidden="1" x14ac:dyDescent="0.25">
      <c r="A2146" s="27"/>
      <c r="B2146" s="27"/>
      <c r="C2146" s="27" t="s">
        <v>40</v>
      </c>
      <c r="D2146" s="28"/>
      <c r="E2146" s="29"/>
      <c r="F2146" s="30">
        <f>[1]Source!AN2096</f>
        <v>13.03</v>
      </c>
      <c r="G2146" s="31" t="s">
        <v>39</v>
      </c>
      <c r="H2146" s="29">
        <f>[1]Source!AV2097</f>
        <v>1.087</v>
      </c>
      <c r="I2146" s="33">
        <f>[1]Source!R2096</f>
        <v>27.45</v>
      </c>
      <c r="J2146" s="29">
        <f>IF([1]Source!BS2097&lt;&gt; 0, [1]Source!BS2097, 1)</f>
        <v>56.35</v>
      </c>
      <c r="K2146" s="33">
        <f>[1]Source!R2097</f>
        <v>1546.81</v>
      </c>
    </row>
    <row r="2147" spans="1:29" ht="14.4" hidden="1" x14ac:dyDescent="0.25">
      <c r="A2147" s="27"/>
      <c r="B2147" s="27"/>
      <c r="C2147" s="27" t="s">
        <v>41</v>
      </c>
      <c r="D2147" s="28"/>
      <c r="E2147" s="29"/>
      <c r="F2147" s="30">
        <f>[1]Source!AL2096</f>
        <v>2917.75</v>
      </c>
      <c r="G2147" s="31"/>
      <c r="H2147" s="29">
        <f>[1]Source!AW2097</f>
        <v>1</v>
      </c>
      <c r="I2147" s="30">
        <f>[1]Source!P2096</f>
        <v>3769.91</v>
      </c>
      <c r="J2147" s="29">
        <f>IF([1]Source!BC2097&lt;&gt; 0, [1]Source!BC2097, 1)</f>
        <v>4.75</v>
      </c>
      <c r="K2147" s="30">
        <f>[1]Source!P2097</f>
        <v>17907.07</v>
      </c>
    </row>
    <row r="2148" spans="1:29" ht="193.2" hidden="1" x14ac:dyDescent="0.25">
      <c r="A2148" s="27" t="s">
        <v>472</v>
      </c>
      <c r="B2148" s="27" t="str">
        <f>[1]Source!F2098</f>
        <v>1.1-1-2982</v>
      </c>
      <c r="C2148" s="27" t="s">
        <v>363</v>
      </c>
      <c r="D2148" s="28" t="str">
        <f>[1]Source!H2098</f>
        <v>м</v>
      </c>
      <c r="E2148" s="29">
        <f>[1]Source!I2098</f>
        <v>327.71538500000003</v>
      </c>
      <c r="F2148" s="30">
        <f>[1]Source!AK2098</f>
        <v>13.94</v>
      </c>
      <c r="G2148" s="43" t="s">
        <v>54</v>
      </c>
      <c r="H2148" s="29">
        <f>[1]Source!AW2099</f>
        <v>1</v>
      </c>
      <c r="I2148" s="30">
        <f>[1]Source!O2098</f>
        <v>4568.3500000000004</v>
      </c>
      <c r="J2148" s="29">
        <f>IF([1]Source!BC2099&lt;&gt; 0, [1]Source!BC2099, 1)</f>
        <v>0.68</v>
      </c>
      <c r="K2148" s="30">
        <f>[1]Source!O2099</f>
        <v>3106.48</v>
      </c>
      <c r="Q2148">
        <f>[1]Source!X2098</f>
        <v>0</v>
      </c>
      <c r="R2148">
        <f>[1]Source!X2099</f>
        <v>0</v>
      </c>
      <c r="S2148">
        <f>[1]Source!Y2098</f>
        <v>0</v>
      </c>
      <c r="T2148">
        <f>[1]Source!Y2099</f>
        <v>0</v>
      </c>
      <c r="U2148">
        <f>ROUND((175/100)*ROUND([1]Source!R2098, 2), 2)</f>
        <v>0</v>
      </c>
      <c r="V2148">
        <f>ROUND((0/100)*ROUND([1]Source!R2099, 2), 2)</f>
        <v>0</v>
      </c>
      <c r="AC2148">
        <v>3</v>
      </c>
    </row>
    <row r="2149" spans="1:29" ht="27.6" hidden="1" x14ac:dyDescent="0.25">
      <c r="A2149" s="27" t="s">
        <v>473</v>
      </c>
      <c r="B2149" s="27" t="str">
        <f>[1]Source!F2100</f>
        <v>1.7-3-8</v>
      </c>
      <c r="C2149" s="27" t="s">
        <v>402</v>
      </c>
      <c r="D2149" s="28" t="str">
        <f>[1]Source!H2100</f>
        <v>шт.</v>
      </c>
      <c r="E2149" s="29">
        <f>[1]Source!I2100</f>
        <v>11.187689000000001</v>
      </c>
      <c r="F2149" s="30">
        <f>[1]Source!AK2100</f>
        <v>11.82</v>
      </c>
      <c r="G2149" s="43" t="s">
        <v>54</v>
      </c>
      <c r="H2149" s="29">
        <f>[1]Source!AW2101</f>
        <v>1</v>
      </c>
      <c r="I2149" s="30">
        <f>[1]Source!O2100</f>
        <v>132.24</v>
      </c>
      <c r="J2149" s="29">
        <f>IF([1]Source!BC2101&lt;&gt; 0, [1]Source!BC2101, 1)</f>
        <v>6.25</v>
      </c>
      <c r="K2149" s="30">
        <f>[1]Source!O2101</f>
        <v>826.5</v>
      </c>
      <c r="Q2149">
        <f>[1]Source!X2100</f>
        <v>0</v>
      </c>
      <c r="R2149">
        <f>[1]Source!X2101</f>
        <v>0</v>
      </c>
      <c r="S2149">
        <f>[1]Source!Y2100</f>
        <v>0</v>
      </c>
      <c r="T2149">
        <f>[1]Source!Y2101</f>
        <v>0</v>
      </c>
      <c r="U2149">
        <f>ROUND((175/100)*ROUND([1]Source!R2100, 2), 2)</f>
        <v>0</v>
      </c>
      <c r="V2149">
        <f>ROUND((0/100)*ROUND([1]Source!R2101, 2), 2)</f>
        <v>0</v>
      </c>
      <c r="AC2149">
        <v>3</v>
      </c>
    </row>
    <row r="2150" spans="1:29" ht="41.4" hidden="1" x14ac:dyDescent="0.25">
      <c r="A2150" s="27" t="s">
        <v>474</v>
      </c>
      <c r="B2150" s="27" t="str">
        <f>[1]Source!F2102</f>
        <v>1.1-1-2984</v>
      </c>
      <c r="C2150" s="27" t="s">
        <v>404</v>
      </c>
      <c r="D2150" s="28" t="str">
        <f>[1]Source!H2102</f>
        <v>м</v>
      </c>
      <c r="E2150" s="29">
        <f>[1]Source!I2102</f>
        <v>327.71538500000003</v>
      </c>
      <c r="F2150" s="30">
        <f>[1]Source!AK2102</f>
        <v>6.48</v>
      </c>
      <c r="G2150" s="43" t="s">
        <v>54</v>
      </c>
      <c r="H2150" s="29">
        <f>[1]Source!AW2103</f>
        <v>1</v>
      </c>
      <c r="I2150" s="30">
        <f>[1]Source!O2102</f>
        <v>2123.6</v>
      </c>
      <c r="J2150" s="29">
        <f>IF([1]Source!BC2103&lt;&gt; 0, [1]Source!BC2103, 1)</f>
        <v>0.93</v>
      </c>
      <c r="K2150" s="30">
        <f>[1]Source!O2103</f>
        <v>1974.95</v>
      </c>
      <c r="Q2150">
        <f>[1]Source!X2102</f>
        <v>0</v>
      </c>
      <c r="R2150">
        <f>[1]Source!X2103</f>
        <v>0</v>
      </c>
      <c r="S2150">
        <f>[1]Source!Y2102</f>
        <v>0</v>
      </c>
      <c r="T2150">
        <f>[1]Source!Y2103</f>
        <v>0</v>
      </c>
      <c r="U2150">
        <f>ROUND((175/100)*ROUND([1]Source!R2102, 2), 2)</f>
        <v>0</v>
      </c>
      <c r="V2150">
        <f>ROUND((0/100)*ROUND([1]Source!R2103, 2), 2)</f>
        <v>0</v>
      </c>
      <c r="AC2150">
        <v>3</v>
      </c>
    </row>
    <row r="2151" spans="1:29" ht="14.4" hidden="1" x14ac:dyDescent="0.25">
      <c r="A2151" s="27"/>
      <c r="B2151" s="27"/>
      <c r="C2151" s="27" t="s">
        <v>42</v>
      </c>
      <c r="D2151" s="28" t="s">
        <v>43</v>
      </c>
      <c r="E2151" s="29">
        <f>[1]Source!BZ2097</f>
        <v>84</v>
      </c>
      <c r="F2151" s="30"/>
      <c r="G2151" s="31"/>
      <c r="H2151" s="29"/>
      <c r="I2151" s="30">
        <f>SUM(Q2142:Q2150)</f>
        <v>4648.43</v>
      </c>
      <c r="J2151" s="29">
        <f>[1]Source!AT2097</f>
        <v>84</v>
      </c>
      <c r="K2151" s="30">
        <f>SUM(R2142:R2150)</f>
        <v>261938.79</v>
      </c>
    </row>
    <row r="2152" spans="1:29" ht="14.4" hidden="1" x14ac:dyDescent="0.25">
      <c r="A2152" s="27"/>
      <c r="B2152" s="27"/>
      <c r="C2152" s="27" t="s">
        <v>44</v>
      </c>
      <c r="D2152" s="28" t="s">
        <v>43</v>
      </c>
      <c r="E2152" s="29">
        <f>[1]Source!CA2097</f>
        <v>53</v>
      </c>
      <c r="F2152" s="30"/>
      <c r="G2152" s="31"/>
      <c r="H2152" s="29"/>
      <c r="I2152" s="30">
        <f>SUM(S2142:S2151)</f>
        <v>2932.94</v>
      </c>
      <c r="J2152" s="29">
        <f>[1]Source!AU2097</f>
        <v>53</v>
      </c>
      <c r="K2152" s="30">
        <f>SUM(T2142:T2151)</f>
        <v>165270.9</v>
      </c>
    </row>
    <row r="2153" spans="1:29" ht="14.4" hidden="1" x14ac:dyDescent="0.25">
      <c r="A2153" s="34"/>
      <c r="B2153" s="34"/>
      <c r="C2153" s="34" t="s">
        <v>45</v>
      </c>
      <c r="D2153" s="35" t="s">
        <v>46</v>
      </c>
      <c r="E2153" s="36">
        <f>[1]Source!AQ2096</f>
        <v>156.69999999999999</v>
      </c>
      <c r="F2153" s="37"/>
      <c r="G2153" s="38" t="s">
        <v>37</v>
      </c>
      <c r="H2153" s="36">
        <f>[1]Source!AV2097</f>
        <v>1.087</v>
      </c>
      <c r="I2153" s="37">
        <f>[1]Source!U2096</f>
        <v>303.71085094811997</v>
      </c>
      <c r="J2153" s="36"/>
      <c r="K2153" s="37"/>
    </row>
    <row r="2154" spans="1:29" ht="13.8" hidden="1" x14ac:dyDescent="0.25">
      <c r="C2154" s="39" t="s">
        <v>47</v>
      </c>
      <c r="H2154" s="40">
        <f>I2144+I2145+I2147+I2151+I2152+SUM(I2148:I2150)-SUMIF(AC2148:AC2150, 5, I2148:I2150)-SUMIF(AC2148:AC2150, 6, I2148:I2150)</f>
        <v>23932.43</v>
      </c>
      <c r="I2154" s="40"/>
      <c r="J2154" s="40">
        <f>K2144+K2145+K2147+K2151+K2152+SUM(K2148:K2150)-SUMIF(AC2148:AC2150, 5, K2148:K2150)-SUMIF(AC2148:AC2150, 6, K2148:K2150)</f>
        <v>765083.35000000009</v>
      </c>
      <c r="K2154" s="40"/>
    </row>
    <row r="2155" spans="1:29" ht="13.8" hidden="1" x14ac:dyDescent="0.25">
      <c r="C2155" s="39" t="s">
        <v>48</v>
      </c>
      <c r="H2155" s="41">
        <f>SUMIF(AC2148:AC2150, 5, I2148:I2150)+SUMIF(AC2148:AC2150, 6, I2148:I2150)</f>
        <v>0</v>
      </c>
      <c r="I2155" s="41"/>
      <c r="J2155" s="41">
        <f>SUMIF(AC2148:AC2150, 5, K2148:K2150)+SUMIF(AC2148:AC2150, 6, K2148:K2150)</f>
        <v>0</v>
      </c>
      <c r="K2155" s="41"/>
    </row>
    <row r="2156" spans="1:29" ht="13.8" hidden="1" x14ac:dyDescent="0.25">
      <c r="C2156" s="39" t="s">
        <v>49</v>
      </c>
      <c r="H2156" s="41">
        <f>I2144+I2145+I2147+I2151+I2152+SUM(I2148:I2150)</f>
        <v>23932.43</v>
      </c>
      <c r="I2156" s="41"/>
      <c r="J2156" s="41">
        <f>K2144+K2145+K2147+K2151+K2152+SUM(K2148:K2150)</f>
        <v>765083.35000000009</v>
      </c>
      <c r="K2156" s="41"/>
      <c r="O2156" s="42">
        <f>I2144+I2145+I2147+I2151+I2152+SUM(I2148:I2150)</f>
        <v>23932.43</v>
      </c>
      <c r="P2156" s="42">
        <f>K2144+K2145+K2147+K2151+K2152+SUM(K2148:K2150)</f>
        <v>765083.35000000009</v>
      </c>
    </row>
    <row r="2157" spans="1:29" hidden="1" x14ac:dyDescent="0.25"/>
    <row r="2158" spans="1:29" ht="331.2" x14ac:dyDescent="0.25">
      <c r="A2158" s="53">
        <v>227</v>
      </c>
      <c r="B2158" s="53" t="str">
        <f>[1]Source!F2104</f>
        <v>КА 148</v>
      </c>
      <c r="C2158" s="53" t="s">
        <v>475</v>
      </c>
      <c r="D2158" s="54"/>
      <c r="E2158" s="55"/>
      <c r="F2158" s="30"/>
      <c r="G2158" s="31"/>
      <c r="H2158" s="29"/>
      <c r="I2158" s="30"/>
      <c r="J2158" s="29"/>
      <c r="K2158" s="56"/>
      <c r="M2158" s="50">
        <f t="shared" ref="M2158:M2159" si="3">L2158*E2158</f>
        <v>0</v>
      </c>
      <c r="N2158" s="59" t="s">
        <v>180</v>
      </c>
    </row>
    <row r="2159" spans="1:29" ht="67.8" x14ac:dyDescent="0.25">
      <c r="A2159" s="46"/>
      <c r="B2159" s="46"/>
      <c r="C2159" s="46" t="s">
        <v>476</v>
      </c>
      <c r="D2159" s="47" t="str">
        <f>[1]Source!H2104</f>
        <v>ШТ</v>
      </c>
      <c r="E2159" s="48">
        <f>[1]Source!I2104</f>
        <v>6</v>
      </c>
      <c r="F2159" s="49">
        <f>[1]Source!AL2104</f>
        <v>5775.98</v>
      </c>
      <c r="G2159" s="60"/>
      <c r="H2159" s="48">
        <f>[1]Source!AW2105</f>
        <v>1</v>
      </c>
      <c r="I2159" s="49">
        <f>[1]Source!P2104</f>
        <v>34655.879999999997</v>
      </c>
      <c r="J2159" s="48">
        <f>IF([1]Source!BC2105&lt;&gt; 0, [1]Source!BC2105, 1)</f>
        <v>9.84</v>
      </c>
      <c r="K2159" s="49">
        <f>[1]Source!P2105</f>
        <v>341013.86</v>
      </c>
      <c r="L2159">
        <v>67980</v>
      </c>
      <c r="M2159" s="50">
        <f t="shared" si="3"/>
        <v>407880</v>
      </c>
      <c r="N2159" s="59" t="s">
        <v>180</v>
      </c>
      <c r="Q2159">
        <f>[1]Source!X2104</f>
        <v>0</v>
      </c>
      <c r="R2159">
        <f>[1]Source!X2105</f>
        <v>0</v>
      </c>
      <c r="S2159">
        <f>[1]Source!Y2104</f>
        <v>0</v>
      </c>
      <c r="T2159">
        <f>[1]Source!Y2105</f>
        <v>0</v>
      </c>
      <c r="U2159">
        <f>ROUND((175/100)*ROUND([1]Source!R2104, 2), 2)</f>
        <v>0</v>
      </c>
      <c r="V2159">
        <f>ROUND((0/100)*ROUND([1]Source!R2105, 2), 2)</f>
        <v>0</v>
      </c>
      <c r="AC2159">
        <v>3</v>
      </c>
    </row>
    <row r="2160" spans="1:29" ht="13.8" hidden="1" x14ac:dyDescent="0.25">
      <c r="C2160" s="39" t="s">
        <v>49</v>
      </c>
      <c r="H2160" s="40">
        <f>I2159+0</f>
        <v>34655.879999999997</v>
      </c>
      <c r="I2160" s="40"/>
      <c r="J2160" s="40">
        <f>K2159+0</f>
        <v>341013.86</v>
      </c>
      <c r="K2160" s="40"/>
      <c r="O2160" s="42">
        <f>I2159+0</f>
        <v>34655.879999999997</v>
      </c>
      <c r="P2160" s="42">
        <f>K2159+0</f>
        <v>341013.86</v>
      </c>
    </row>
    <row r="2161" spans="1:29" hidden="1" x14ac:dyDescent="0.25"/>
    <row r="2162" spans="1:29" ht="358.8" x14ac:dyDescent="0.25">
      <c r="A2162" s="53">
        <v>228</v>
      </c>
      <c r="B2162" s="53" t="str">
        <f>[1]Source!F2106</f>
        <v>КА 149</v>
      </c>
      <c r="C2162" s="53" t="s">
        <v>477</v>
      </c>
      <c r="D2162" s="54"/>
      <c r="E2162" s="55"/>
      <c r="F2162" s="30"/>
      <c r="G2162" s="31"/>
      <c r="H2162" s="29"/>
      <c r="I2162" s="30"/>
      <c r="J2162" s="29"/>
      <c r="K2162" s="56"/>
      <c r="M2162" s="50">
        <f t="shared" ref="M2162:M2163" si="4">L2162*E2162</f>
        <v>0</v>
      </c>
      <c r="N2162" s="59" t="s">
        <v>180</v>
      </c>
    </row>
    <row r="2163" spans="1:29" ht="109.2" x14ac:dyDescent="0.25">
      <c r="A2163" s="46"/>
      <c r="B2163" s="46"/>
      <c r="C2163" s="46" t="s">
        <v>478</v>
      </c>
      <c r="D2163" s="47" t="str">
        <f>[1]Source!H2106</f>
        <v>ШТ</v>
      </c>
      <c r="E2163" s="48">
        <f>[1]Source!I2106</f>
        <v>30</v>
      </c>
      <c r="F2163" s="49">
        <f>[1]Source!AL2106</f>
        <v>5775.98</v>
      </c>
      <c r="G2163" s="60"/>
      <c r="H2163" s="48">
        <f>[1]Source!AW2107</f>
        <v>1</v>
      </c>
      <c r="I2163" s="49">
        <f>[1]Source!P2106</f>
        <v>173279.4</v>
      </c>
      <c r="J2163" s="48">
        <f>IF([1]Source!BC2107&lt;&gt; 0, [1]Source!BC2107, 1)</f>
        <v>9.84</v>
      </c>
      <c r="K2163" s="49">
        <f>[1]Source!P2107</f>
        <v>1705069.3</v>
      </c>
      <c r="L2163">
        <v>67980</v>
      </c>
      <c r="M2163" s="50">
        <f t="shared" si="4"/>
        <v>2039400</v>
      </c>
      <c r="N2163" s="59" t="s">
        <v>180</v>
      </c>
      <c r="Q2163">
        <f>[1]Source!X2106</f>
        <v>0</v>
      </c>
      <c r="R2163">
        <f>[1]Source!X2107</f>
        <v>0</v>
      </c>
      <c r="S2163">
        <f>[1]Source!Y2106</f>
        <v>0</v>
      </c>
      <c r="T2163">
        <f>[1]Source!Y2107</f>
        <v>0</v>
      </c>
      <c r="U2163">
        <f>ROUND((175/100)*ROUND([1]Source!R2106, 2), 2)</f>
        <v>0</v>
      </c>
      <c r="V2163">
        <f>ROUND((0/100)*ROUND([1]Source!R2107, 2), 2)</f>
        <v>0</v>
      </c>
      <c r="AC2163">
        <v>3</v>
      </c>
    </row>
    <row r="2164" spans="1:29" ht="13.8" hidden="1" x14ac:dyDescent="0.25">
      <c r="C2164" s="39" t="s">
        <v>49</v>
      </c>
      <c r="H2164" s="40">
        <f>I2163+0</f>
        <v>173279.4</v>
      </c>
      <c r="I2164" s="40"/>
      <c r="J2164" s="40">
        <f>K2163+0</f>
        <v>1705069.3</v>
      </c>
      <c r="K2164" s="40"/>
      <c r="O2164" s="42">
        <f>I2163+0</f>
        <v>173279.4</v>
      </c>
      <c r="P2164" s="42">
        <f>K2163+0</f>
        <v>1705069.3</v>
      </c>
    </row>
    <row r="2165" spans="1:29" hidden="1" x14ac:dyDescent="0.25"/>
    <row r="2166" spans="1:29" ht="345" x14ac:dyDescent="0.25">
      <c r="A2166" s="53">
        <v>229</v>
      </c>
      <c r="B2166" s="53" t="str">
        <f>[1]Source!F2108</f>
        <v>КА 150</v>
      </c>
      <c r="C2166" s="53" t="s">
        <v>479</v>
      </c>
      <c r="D2166" s="54"/>
      <c r="E2166" s="55"/>
      <c r="F2166" s="30"/>
      <c r="G2166" s="31"/>
      <c r="H2166" s="29"/>
      <c r="I2166" s="30"/>
      <c r="J2166" s="29"/>
      <c r="K2166" s="56"/>
      <c r="M2166" s="50">
        <f t="shared" ref="M2166:M2167" si="5">L2166*E2166</f>
        <v>0</v>
      </c>
      <c r="N2166" s="59" t="s">
        <v>180</v>
      </c>
    </row>
    <row r="2167" spans="1:29" ht="67.8" x14ac:dyDescent="0.25">
      <c r="A2167" s="46"/>
      <c r="B2167" s="46"/>
      <c r="C2167" s="46" t="s">
        <v>480</v>
      </c>
      <c r="D2167" s="47" t="str">
        <f>[1]Source!H2108</f>
        <v>ШТ</v>
      </c>
      <c r="E2167" s="48">
        <f>[1]Source!I2108</f>
        <v>9</v>
      </c>
      <c r="F2167" s="49">
        <f>[1]Source!AL2108</f>
        <v>5775.98</v>
      </c>
      <c r="G2167" s="60"/>
      <c r="H2167" s="48">
        <f>[1]Source!AW2109</f>
        <v>1</v>
      </c>
      <c r="I2167" s="49">
        <f>[1]Source!P2108</f>
        <v>51983.82</v>
      </c>
      <c r="J2167" s="48">
        <f>IF([1]Source!BC2109&lt;&gt; 0, [1]Source!BC2109, 1)</f>
        <v>9.84</v>
      </c>
      <c r="K2167" s="49">
        <f>[1]Source!P2109</f>
        <v>511520.79</v>
      </c>
      <c r="L2167">
        <v>67980</v>
      </c>
      <c r="M2167" s="50">
        <f t="shared" si="5"/>
        <v>611820</v>
      </c>
      <c r="N2167" s="59" t="s">
        <v>180</v>
      </c>
      <c r="Q2167">
        <f>[1]Source!X2108</f>
        <v>0</v>
      </c>
      <c r="R2167">
        <f>[1]Source!X2109</f>
        <v>0</v>
      </c>
      <c r="S2167">
        <f>[1]Source!Y2108</f>
        <v>0</v>
      </c>
      <c r="T2167">
        <f>[1]Source!Y2109</f>
        <v>0</v>
      </c>
      <c r="U2167">
        <f>ROUND((175/100)*ROUND([1]Source!R2108, 2), 2)</f>
        <v>0</v>
      </c>
      <c r="V2167">
        <f>ROUND((0/100)*ROUND([1]Source!R2109, 2), 2)</f>
        <v>0</v>
      </c>
      <c r="AC2167">
        <v>3</v>
      </c>
    </row>
    <row r="2168" spans="1:29" ht="13.8" hidden="1" x14ac:dyDescent="0.25">
      <c r="C2168" s="39" t="s">
        <v>49</v>
      </c>
      <c r="H2168" s="40">
        <f>I2167+0</f>
        <v>51983.82</v>
      </c>
      <c r="I2168" s="40"/>
      <c r="J2168" s="40">
        <f>K2167+0</f>
        <v>511520.79</v>
      </c>
      <c r="K2168" s="40"/>
      <c r="O2168" s="42">
        <f>I2167+0</f>
        <v>51983.82</v>
      </c>
      <c r="P2168" s="42">
        <f>K2167+0</f>
        <v>511520.79</v>
      </c>
    </row>
    <row r="2169" spans="1:29" hidden="1" x14ac:dyDescent="0.25"/>
    <row r="2170" spans="1:29" ht="345" x14ac:dyDescent="0.25">
      <c r="A2170" s="53">
        <v>230</v>
      </c>
      <c r="B2170" s="53" t="str">
        <f>[1]Source!F2110</f>
        <v>КА 151</v>
      </c>
      <c r="C2170" s="53" t="s">
        <v>481</v>
      </c>
      <c r="D2170" s="54"/>
      <c r="E2170" s="55"/>
      <c r="F2170" s="30"/>
      <c r="G2170" s="31"/>
      <c r="H2170" s="29"/>
      <c r="I2170" s="30"/>
      <c r="J2170" s="29"/>
      <c r="K2170" s="56"/>
      <c r="M2170" s="50">
        <f t="shared" ref="M2170:M2171" si="6">L2170*E2170</f>
        <v>0</v>
      </c>
      <c r="N2170" s="59" t="s">
        <v>180</v>
      </c>
    </row>
    <row r="2171" spans="1:29" ht="67.8" x14ac:dyDescent="0.25">
      <c r="A2171" s="46"/>
      <c r="B2171" s="46"/>
      <c r="C2171" s="46" t="s">
        <v>482</v>
      </c>
      <c r="D2171" s="47" t="str">
        <f>[1]Source!H2110</f>
        <v>ШТ</v>
      </c>
      <c r="E2171" s="48">
        <f>[1]Source!I2110</f>
        <v>1</v>
      </c>
      <c r="F2171" s="49">
        <f>[1]Source!AL2110</f>
        <v>6897.55</v>
      </c>
      <c r="G2171" s="60"/>
      <c r="H2171" s="48">
        <f>[1]Source!AW2111</f>
        <v>1</v>
      </c>
      <c r="I2171" s="49">
        <f>[1]Source!P2110</f>
        <v>6897.55</v>
      </c>
      <c r="J2171" s="48">
        <f>IF([1]Source!BC2111&lt;&gt; 0, [1]Source!BC2111, 1)</f>
        <v>9.84</v>
      </c>
      <c r="K2171" s="49">
        <f>[1]Source!P2111</f>
        <v>67871.89</v>
      </c>
      <c r="L2171">
        <v>81180</v>
      </c>
      <c r="M2171" s="50">
        <f t="shared" si="6"/>
        <v>81180</v>
      </c>
      <c r="N2171" s="59" t="s">
        <v>180</v>
      </c>
      <c r="Q2171">
        <f>[1]Source!X2110</f>
        <v>0</v>
      </c>
      <c r="R2171">
        <f>[1]Source!X2111</f>
        <v>0</v>
      </c>
      <c r="S2171">
        <f>[1]Source!Y2110</f>
        <v>0</v>
      </c>
      <c r="T2171">
        <f>[1]Source!Y2111</f>
        <v>0</v>
      </c>
      <c r="U2171">
        <f>ROUND((175/100)*ROUND([1]Source!R2110, 2), 2)</f>
        <v>0</v>
      </c>
      <c r="V2171">
        <f>ROUND((0/100)*ROUND([1]Source!R2111, 2), 2)</f>
        <v>0</v>
      </c>
      <c r="AC2171">
        <v>3</v>
      </c>
    </row>
    <row r="2172" spans="1:29" ht="13.8" hidden="1" x14ac:dyDescent="0.25">
      <c r="C2172" s="39" t="s">
        <v>49</v>
      </c>
      <c r="H2172" s="40">
        <f>I2171+0</f>
        <v>6897.55</v>
      </c>
      <c r="I2172" s="40"/>
      <c r="J2172" s="40">
        <f>K2171+0</f>
        <v>67871.89</v>
      </c>
      <c r="K2172" s="40"/>
      <c r="O2172" s="42">
        <f>I2171+0</f>
        <v>6897.55</v>
      </c>
      <c r="P2172" s="42">
        <f>K2171+0</f>
        <v>67871.89</v>
      </c>
    </row>
    <row r="2173" spans="1:29" hidden="1" x14ac:dyDescent="0.25"/>
    <row r="2174" spans="1:29" ht="345" x14ac:dyDescent="0.25">
      <c r="A2174" s="53">
        <v>231</v>
      </c>
      <c r="B2174" s="53" t="str">
        <f>[1]Source!F2112</f>
        <v>КА 152</v>
      </c>
      <c r="C2174" s="53" t="s">
        <v>483</v>
      </c>
      <c r="D2174" s="54"/>
      <c r="E2174" s="55"/>
      <c r="F2174" s="30"/>
      <c r="G2174" s="31"/>
      <c r="H2174" s="29"/>
      <c r="I2174" s="30"/>
      <c r="J2174" s="29"/>
      <c r="K2174" s="56"/>
      <c r="M2174" s="50">
        <f t="shared" ref="M2174:M2175" si="7">L2174*E2174</f>
        <v>0</v>
      </c>
      <c r="N2174" s="59" t="s">
        <v>180</v>
      </c>
    </row>
    <row r="2175" spans="1:29" ht="64.2" customHeight="1" x14ac:dyDescent="0.25">
      <c r="A2175" s="46"/>
      <c r="B2175" s="46"/>
      <c r="C2175" s="46" t="s">
        <v>484</v>
      </c>
      <c r="D2175" s="47" t="str">
        <f>[1]Source!H2112</f>
        <v>ШТ</v>
      </c>
      <c r="E2175" s="48">
        <f>[1]Source!I2112</f>
        <v>7</v>
      </c>
      <c r="F2175" s="49">
        <f>[1]Source!AL2112</f>
        <v>5775.98</v>
      </c>
      <c r="G2175" s="60"/>
      <c r="H2175" s="48">
        <f>[1]Source!AW2113</f>
        <v>1</v>
      </c>
      <c r="I2175" s="49">
        <f>[1]Source!P2112</f>
        <v>40431.86</v>
      </c>
      <c r="J2175" s="48">
        <f>IF([1]Source!BC2113&lt;&gt; 0, [1]Source!BC2113, 1)</f>
        <v>9.84</v>
      </c>
      <c r="K2175" s="49">
        <f>[1]Source!P2113</f>
        <v>397849.5</v>
      </c>
      <c r="L2175">
        <v>67980</v>
      </c>
      <c r="M2175" s="50">
        <f t="shared" si="7"/>
        <v>475860</v>
      </c>
      <c r="N2175" s="59" t="s">
        <v>180</v>
      </c>
      <c r="Q2175">
        <f>[1]Source!X2112</f>
        <v>0</v>
      </c>
      <c r="R2175">
        <f>[1]Source!X2113</f>
        <v>0</v>
      </c>
      <c r="S2175">
        <f>[1]Source!Y2112</f>
        <v>0</v>
      </c>
      <c r="T2175">
        <f>[1]Source!Y2113</f>
        <v>0</v>
      </c>
      <c r="U2175">
        <f>ROUND((175/100)*ROUND([1]Source!R2112, 2), 2)</f>
        <v>0</v>
      </c>
      <c r="V2175">
        <f>ROUND((0/100)*ROUND([1]Source!R2113, 2), 2)</f>
        <v>0</v>
      </c>
      <c r="AC2175">
        <v>3</v>
      </c>
    </row>
    <row r="2176" spans="1:29" ht="13.8" hidden="1" x14ac:dyDescent="0.25">
      <c r="C2176" s="39" t="s">
        <v>49</v>
      </c>
      <c r="H2176" s="40">
        <f>I2175+0</f>
        <v>40431.86</v>
      </c>
      <c r="I2176" s="40"/>
      <c r="J2176" s="40">
        <f>K2175+0</f>
        <v>397849.5</v>
      </c>
      <c r="K2176" s="40"/>
      <c r="O2176" s="42">
        <f>I2175+0</f>
        <v>40431.86</v>
      </c>
      <c r="P2176" s="42">
        <f>K2175+0</f>
        <v>397849.5</v>
      </c>
    </row>
    <row r="2177" spans="1:29" hidden="1" x14ac:dyDescent="0.25"/>
    <row r="2178" spans="1:29" ht="345" x14ac:dyDescent="0.25">
      <c r="A2178" s="53">
        <v>232</v>
      </c>
      <c r="B2178" s="53" t="str">
        <f>[1]Source!F2114</f>
        <v>КА 153</v>
      </c>
      <c r="C2178" s="53" t="s">
        <v>485</v>
      </c>
      <c r="D2178" s="54"/>
      <c r="E2178" s="55"/>
      <c r="F2178" s="30"/>
      <c r="G2178" s="31"/>
      <c r="H2178" s="29"/>
      <c r="I2178" s="30"/>
      <c r="J2178" s="29"/>
      <c r="K2178" s="56"/>
      <c r="M2178" s="50">
        <f t="shared" ref="M2178:M2179" si="8">L2178*E2178</f>
        <v>0</v>
      </c>
      <c r="N2178" s="59" t="s">
        <v>180</v>
      </c>
    </row>
    <row r="2179" spans="1:29" ht="51.6" customHeight="1" x14ac:dyDescent="0.25">
      <c r="A2179" s="46"/>
      <c r="B2179" s="46"/>
      <c r="C2179" s="46" t="s">
        <v>486</v>
      </c>
      <c r="D2179" s="47" t="str">
        <f>[1]Source!H2114</f>
        <v>ШТ</v>
      </c>
      <c r="E2179" s="48">
        <f>[1]Source!I2114</f>
        <v>5</v>
      </c>
      <c r="F2179" s="49">
        <f>[1]Source!AL2114</f>
        <v>5775.98</v>
      </c>
      <c r="G2179" s="60"/>
      <c r="H2179" s="48">
        <f>[1]Source!AW2115</f>
        <v>1</v>
      </c>
      <c r="I2179" s="49">
        <f>[1]Source!P2114</f>
        <v>28879.9</v>
      </c>
      <c r="J2179" s="48">
        <f>IF([1]Source!BC2115&lt;&gt; 0, [1]Source!BC2115, 1)</f>
        <v>9.84</v>
      </c>
      <c r="K2179" s="49">
        <f>[1]Source!P2115</f>
        <v>284178.21999999997</v>
      </c>
      <c r="L2179">
        <v>67980</v>
      </c>
      <c r="M2179" s="50">
        <f t="shared" si="8"/>
        <v>339900</v>
      </c>
      <c r="N2179" s="59" t="s">
        <v>180</v>
      </c>
      <c r="Q2179">
        <f>[1]Source!X2114</f>
        <v>0</v>
      </c>
      <c r="R2179">
        <f>[1]Source!X2115</f>
        <v>0</v>
      </c>
      <c r="S2179">
        <f>[1]Source!Y2114</f>
        <v>0</v>
      </c>
      <c r="T2179">
        <f>[1]Source!Y2115</f>
        <v>0</v>
      </c>
      <c r="U2179">
        <f>ROUND((175/100)*ROUND([1]Source!R2114, 2), 2)</f>
        <v>0</v>
      </c>
      <c r="V2179">
        <f>ROUND((0/100)*ROUND([1]Source!R2115, 2), 2)</f>
        <v>0</v>
      </c>
      <c r="AC2179">
        <v>3</v>
      </c>
    </row>
    <row r="2180" spans="1:29" ht="13.8" hidden="1" x14ac:dyDescent="0.25">
      <c r="C2180" s="39" t="s">
        <v>49</v>
      </c>
      <c r="H2180" s="40">
        <f>I2179+0</f>
        <v>28879.9</v>
      </c>
      <c r="I2180" s="40"/>
      <c r="J2180" s="40">
        <f>K2179+0</f>
        <v>284178.21999999997</v>
      </c>
      <c r="K2180" s="40"/>
      <c r="O2180" s="42">
        <f>I2179+0</f>
        <v>28879.9</v>
      </c>
      <c r="P2180" s="42">
        <f>K2179+0</f>
        <v>284178.21999999997</v>
      </c>
    </row>
    <row r="2181" spans="1:29" hidden="1" x14ac:dyDescent="0.25"/>
    <row r="2182" spans="1:29" ht="345" x14ac:dyDescent="0.25">
      <c r="A2182" s="53">
        <v>233</v>
      </c>
      <c r="B2182" s="53" t="str">
        <f>[1]Source!F2116</f>
        <v>КА 154</v>
      </c>
      <c r="C2182" s="53" t="s">
        <v>487</v>
      </c>
      <c r="D2182" s="54"/>
      <c r="E2182" s="55"/>
      <c r="F2182" s="30"/>
      <c r="G2182" s="31"/>
      <c r="H2182" s="29"/>
      <c r="I2182" s="30"/>
      <c r="J2182" s="29"/>
      <c r="K2182" s="56"/>
      <c r="M2182" s="50">
        <f t="shared" ref="M2182:M2183" si="9">L2182*E2182</f>
        <v>0</v>
      </c>
      <c r="N2182" s="59" t="s">
        <v>180</v>
      </c>
    </row>
    <row r="2183" spans="1:29" ht="95.4" x14ac:dyDescent="0.25">
      <c r="A2183" s="46"/>
      <c r="B2183" s="46"/>
      <c r="C2183" s="46" t="s">
        <v>488</v>
      </c>
      <c r="D2183" s="47" t="str">
        <f>[1]Source!H2116</f>
        <v>ШТ</v>
      </c>
      <c r="E2183" s="48">
        <f>[1]Source!I2116</f>
        <v>3</v>
      </c>
      <c r="F2183" s="49">
        <f>[1]Source!AL2116</f>
        <v>5775.98</v>
      </c>
      <c r="G2183" s="60"/>
      <c r="H2183" s="48">
        <f>[1]Source!AW2117</f>
        <v>1</v>
      </c>
      <c r="I2183" s="49">
        <f>[1]Source!P2116</f>
        <v>17327.939999999999</v>
      </c>
      <c r="J2183" s="48">
        <f>IF([1]Source!BC2117&lt;&gt; 0, [1]Source!BC2117, 1)</f>
        <v>9.84</v>
      </c>
      <c r="K2183" s="49">
        <f>[1]Source!P2117</f>
        <v>170506.93</v>
      </c>
      <c r="L2183">
        <v>67980</v>
      </c>
      <c r="M2183" s="50">
        <f t="shared" si="9"/>
        <v>203940</v>
      </c>
      <c r="N2183" s="59" t="s">
        <v>180</v>
      </c>
      <c r="Q2183">
        <f>[1]Source!X2116</f>
        <v>0</v>
      </c>
      <c r="R2183">
        <f>[1]Source!X2117</f>
        <v>0</v>
      </c>
      <c r="S2183">
        <f>[1]Source!Y2116</f>
        <v>0</v>
      </c>
      <c r="T2183">
        <f>[1]Source!Y2117</f>
        <v>0</v>
      </c>
      <c r="U2183">
        <f>ROUND((175/100)*ROUND([1]Source!R2116, 2), 2)</f>
        <v>0</v>
      </c>
      <c r="V2183">
        <f>ROUND((0/100)*ROUND([1]Source!R2117, 2), 2)</f>
        <v>0</v>
      </c>
      <c r="AC2183">
        <v>3</v>
      </c>
    </row>
    <row r="2184" spans="1:29" ht="1.2" hidden="1" customHeight="1" x14ac:dyDescent="0.25">
      <c r="C2184" s="39" t="s">
        <v>49</v>
      </c>
      <c r="H2184" s="40">
        <f>I2183+0</f>
        <v>17327.939999999999</v>
      </c>
      <c r="I2184" s="40"/>
      <c r="J2184" s="40">
        <f>K2183+0</f>
        <v>170506.93</v>
      </c>
      <c r="K2184" s="40"/>
      <c r="O2184" s="42">
        <f>I2183+0</f>
        <v>17327.939999999999</v>
      </c>
      <c r="P2184" s="42">
        <f>K2183+0</f>
        <v>170506.93</v>
      </c>
    </row>
    <row r="2185" spans="1:29" hidden="1" x14ac:dyDescent="0.25"/>
    <row r="2186" spans="1:29" ht="345" x14ac:dyDescent="0.25">
      <c r="A2186" s="53">
        <v>234</v>
      </c>
      <c r="B2186" s="53" t="str">
        <f>[1]Source!F2118</f>
        <v>КА 155</v>
      </c>
      <c r="C2186" s="53" t="s">
        <v>489</v>
      </c>
      <c r="D2186" s="54"/>
      <c r="E2186" s="55"/>
      <c r="F2186" s="30"/>
      <c r="G2186" s="31"/>
      <c r="H2186" s="29"/>
      <c r="I2186" s="30"/>
      <c r="J2186" s="29"/>
      <c r="K2186" s="56"/>
      <c r="M2186" s="50">
        <f t="shared" ref="M2186:M2187" si="10">L2186*E2186</f>
        <v>0</v>
      </c>
      <c r="N2186" s="59" t="s">
        <v>180</v>
      </c>
    </row>
    <row r="2187" spans="1:29" ht="54" x14ac:dyDescent="0.25">
      <c r="A2187" s="46"/>
      <c r="B2187" s="46"/>
      <c r="C2187" s="46" t="s">
        <v>490</v>
      </c>
      <c r="D2187" s="47" t="str">
        <f>[1]Source!H2118</f>
        <v>ШТ</v>
      </c>
      <c r="E2187" s="48">
        <f>[1]Source!I2118</f>
        <v>1</v>
      </c>
      <c r="F2187" s="49">
        <f>[1]Source!AL2118</f>
        <v>5775.98</v>
      </c>
      <c r="G2187" s="60"/>
      <c r="H2187" s="48">
        <f>[1]Source!AW2119</f>
        <v>1</v>
      </c>
      <c r="I2187" s="49">
        <f>[1]Source!P2118</f>
        <v>5775.98</v>
      </c>
      <c r="J2187" s="48">
        <f>IF([1]Source!BC2119&lt;&gt; 0, [1]Source!BC2119, 1)</f>
        <v>9.84</v>
      </c>
      <c r="K2187" s="49">
        <f>[1]Source!P2119</f>
        <v>56835.64</v>
      </c>
      <c r="L2187">
        <v>67980</v>
      </c>
      <c r="M2187" s="50">
        <f t="shared" si="10"/>
        <v>67980</v>
      </c>
      <c r="N2187" s="59" t="s">
        <v>180</v>
      </c>
      <c r="Q2187">
        <f>[1]Source!X2118</f>
        <v>0</v>
      </c>
      <c r="R2187">
        <f>[1]Source!X2119</f>
        <v>0</v>
      </c>
      <c r="S2187">
        <f>[1]Source!Y2118</f>
        <v>0</v>
      </c>
      <c r="T2187">
        <f>[1]Source!Y2119</f>
        <v>0</v>
      </c>
      <c r="U2187">
        <f>ROUND((175/100)*ROUND([1]Source!R2118, 2), 2)</f>
        <v>0</v>
      </c>
      <c r="V2187">
        <f>ROUND((0/100)*ROUND([1]Source!R2119, 2), 2)</f>
        <v>0</v>
      </c>
      <c r="AC2187">
        <v>3</v>
      </c>
    </row>
    <row r="2188" spans="1:29" ht="13.8" hidden="1" x14ac:dyDescent="0.25">
      <c r="C2188" s="39" t="s">
        <v>49</v>
      </c>
      <c r="H2188" s="40">
        <f>I2187+0</f>
        <v>5775.98</v>
      </c>
      <c r="I2188" s="40"/>
      <c r="J2188" s="40">
        <f>K2187+0</f>
        <v>56835.64</v>
      </c>
      <c r="K2188" s="40"/>
      <c r="O2188" s="42">
        <f>I2187+0</f>
        <v>5775.98</v>
      </c>
      <c r="P2188" s="42">
        <f>K2187+0</f>
        <v>56835.64</v>
      </c>
    </row>
    <row r="2189" spans="1:29" hidden="1" x14ac:dyDescent="0.25"/>
    <row r="2190" spans="1:29" ht="345" x14ac:dyDescent="0.25">
      <c r="A2190" s="53">
        <v>235</v>
      </c>
      <c r="B2190" s="53" t="str">
        <f>[1]Source!F2120</f>
        <v>КА 156</v>
      </c>
      <c r="C2190" s="53" t="s">
        <v>491</v>
      </c>
      <c r="D2190" s="54"/>
      <c r="E2190" s="55"/>
      <c r="F2190" s="30"/>
      <c r="G2190" s="31"/>
      <c r="H2190" s="29"/>
      <c r="I2190" s="30"/>
      <c r="J2190" s="29"/>
      <c r="K2190" s="56"/>
      <c r="M2190" s="50">
        <f t="shared" ref="M2190:M2191" si="11">L2190*E2190</f>
        <v>0</v>
      </c>
      <c r="N2190" s="59" t="s">
        <v>180</v>
      </c>
    </row>
    <row r="2191" spans="1:29" ht="67.8" x14ac:dyDescent="0.25">
      <c r="A2191" s="46"/>
      <c r="B2191" s="46"/>
      <c r="C2191" s="46" t="s">
        <v>492</v>
      </c>
      <c r="D2191" s="47" t="str">
        <f>[1]Source!H2120</f>
        <v>ШТ</v>
      </c>
      <c r="E2191" s="48">
        <f>[1]Source!I2120</f>
        <v>1</v>
      </c>
      <c r="F2191" s="49">
        <f>[1]Source!AL2120</f>
        <v>6897.55</v>
      </c>
      <c r="G2191" s="60"/>
      <c r="H2191" s="48">
        <f>[1]Source!AW2121</f>
        <v>1</v>
      </c>
      <c r="I2191" s="49">
        <f>[1]Source!P2120</f>
        <v>6897.55</v>
      </c>
      <c r="J2191" s="48">
        <f>IF([1]Source!BC2121&lt;&gt; 0, [1]Source!BC2121, 1)</f>
        <v>9.84</v>
      </c>
      <c r="K2191" s="49">
        <f>[1]Source!P2121</f>
        <v>67871.89</v>
      </c>
      <c r="L2191">
        <v>81180</v>
      </c>
      <c r="M2191" s="50">
        <f t="shared" si="11"/>
        <v>81180</v>
      </c>
      <c r="N2191" s="59" t="s">
        <v>180</v>
      </c>
      <c r="Q2191">
        <f>[1]Source!X2120</f>
        <v>0</v>
      </c>
      <c r="R2191">
        <f>[1]Source!X2121</f>
        <v>0</v>
      </c>
      <c r="S2191">
        <f>[1]Source!Y2120</f>
        <v>0</v>
      </c>
      <c r="T2191">
        <f>[1]Source!Y2121</f>
        <v>0</v>
      </c>
      <c r="U2191">
        <f>ROUND((175/100)*ROUND([1]Source!R2120, 2), 2)</f>
        <v>0</v>
      </c>
      <c r="V2191">
        <f>ROUND((0/100)*ROUND([1]Source!R2121, 2), 2)</f>
        <v>0</v>
      </c>
      <c r="AC2191">
        <v>3</v>
      </c>
    </row>
    <row r="2192" spans="1:29" ht="13.8" hidden="1" x14ac:dyDescent="0.25">
      <c r="C2192" s="39" t="s">
        <v>49</v>
      </c>
      <c r="H2192" s="40">
        <f>I2191+0</f>
        <v>6897.55</v>
      </c>
      <c r="I2192" s="40"/>
      <c r="J2192" s="40">
        <f>K2191+0</f>
        <v>67871.89</v>
      </c>
      <c r="K2192" s="40"/>
      <c r="O2192" s="42">
        <f>I2191+0</f>
        <v>6897.55</v>
      </c>
      <c r="P2192" s="42">
        <f>K2191+0</f>
        <v>67871.89</v>
      </c>
    </row>
    <row r="2193" spans="1:29" hidden="1" x14ac:dyDescent="0.25"/>
    <row r="2194" spans="1:29" ht="345" x14ac:dyDescent="0.25">
      <c r="A2194" s="53">
        <v>236</v>
      </c>
      <c r="B2194" s="53" t="str">
        <f>[1]Source!F2122</f>
        <v>КА 157</v>
      </c>
      <c r="C2194" s="53" t="s">
        <v>493</v>
      </c>
      <c r="D2194" s="54"/>
      <c r="E2194" s="55"/>
      <c r="F2194" s="30"/>
      <c r="G2194" s="31"/>
      <c r="H2194" s="29"/>
      <c r="I2194" s="30"/>
      <c r="J2194" s="29"/>
      <c r="K2194" s="56"/>
      <c r="M2194" s="50">
        <f t="shared" ref="M2194:M2195" si="12">L2194*E2194</f>
        <v>0</v>
      </c>
      <c r="N2194" s="59" t="s">
        <v>180</v>
      </c>
    </row>
    <row r="2195" spans="1:29" ht="54" x14ac:dyDescent="0.25">
      <c r="A2195" s="46"/>
      <c r="B2195" s="46"/>
      <c r="C2195" s="46" t="s">
        <v>494</v>
      </c>
      <c r="D2195" s="47" t="str">
        <f>[1]Source!H2122</f>
        <v>ШТ</v>
      </c>
      <c r="E2195" s="48">
        <f>[1]Source!I2122</f>
        <v>1</v>
      </c>
      <c r="F2195" s="49">
        <f>[1]Source!AL2122</f>
        <v>5775.98</v>
      </c>
      <c r="G2195" s="60"/>
      <c r="H2195" s="48">
        <f>[1]Source!AW2123</f>
        <v>1</v>
      </c>
      <c r="I2195" s="49">
        <f>[1]Source!P2122</f>
        <v>5775.98</v>
      </c>
      <c r="J2195" s="48">
        <f>IF([1]Source!BC2123&lt;&gt; 0, [1]Source!BC2123, 1)</f>
        <v>9.84</v>
      </c>
      <c r="K2195" s="49">
        <f>[1]Source!P2123</f>
        <v>56835.64</v>
      </c>
      <c r="L2195">
        <v>67980</v>
      </c>
      <c r="M2195" s="50">
        <f t="shared" si="12"/>
        <v>67980</v>
      </c>
      <c r="N2195" s="59" t="s">
        <v>180</v>
      </c>
      <c r="Q2195">
        <f>[1]Source!X2122</f>
        <v>0</v>
      </c>
      <c r="R2195">
        <f>[1]Source!X2123</f>
        <v>0</v>
      </c>
      <c r="S2195">
        <f>[1]Source!Y2122</f>
        <v>0</v>
      </c>
      <c r="T2195">
        <f>[1]Source!Y2123</f>
        <v>0</v>
      </c>
      <c r="U2195">
        <f>ROUND((175/100)*ROUND([1]Source!R2122, 2), 2)</f>
        <v>0</v>
      </c>
      <c r="V2195">
        <f>ROUND((0/100)*ROUND([1]Source!R2123, 2), 2)</f>
        <v>0</v>
      </c>
      <c r="AC2195">
        <v>3</v>
      </c>
    </row>
    <row r="2196" spans="1:29" ht="13.8" hidden="1" x14ac:dyDescent="0.25">
      <c r="C2196" s="39" t="s">
        <v>49</v>
      </c>
      <c r="H2196" s="40">
        <f>I2195+0</f>
        <v>5775.98</v>
      </c>
      <c r="I2196" s="40"/>
      <c r="J2196" s="40">
        <f>K2195+0</f>
        <v>56835.64</v>
      </c>
      <c r="K2196" s="40"/>
      <c r="O2196" s="42">
        <f>I2195+0</f>
        <v>5775.98</v>
      </c>
      <c r="P2196" s="42">
        <f>K2195+0</f>
        <v>56835.64</v>
      </c>
    </row>
    <row r="2197" spans="1:29" hidden="1" x14ac:dyDescent="0.25"/>
    <row r="2198" spans="1:29" ht="345" x14ac:dyDescent="0.25">
      <c r="A2198" s="53">
        <v>237</v>
      </c>
      <c r="B2198" s="53" t="str">
        <f>[1]Source!F2124</f>
        <v>КА 158</v>
      </c>
      <c r="C2198" s="53" t="s">
        <v>495</v>
      </c>
      <c r="D2198" s="54"/>
      <c r="E2198" s="55"/>
      <c r="F2198" s="30"/>
      <c r="G2198" s="31"/>
      <c r="H2198" s="29"/>
      <c r="I2198" s="30"/>
      <c r="J2198" s="29"/>
      <c r="K2198" s="56"/>
      <c r="M2198" s="50">
        <f t="shared" ref="M2198:M2199" si="13">L2198*E2198</f>
        <v>0</v>
      </c>
      <c r="N2198" s="59" t="s">
        <v>180</v>
      </c>
    </row>
    <row r="2199" spans="1:29" ht="54" x14ac:dyDescent="0.25">
      <c r="A2199" s="46"/>
      <c r="B2199" s="46"/>
      <c r="C2199" s="46" t="s">
        <v>496</v>
      </c>
      <c r="D2199" s="47" t="str">
        <f>[1]Source!H2124</f>
        <v>ШТ</v>
      </c>
      <c r="E2199" s="48">
        <f>[1]Source!I2124</f>
        <v>1</v>
      </c>
      <c r="F2199" s="49">
        <f>[1]Source!AL2124</f>
        <v>6897.55</v>
      </c>
      <c r="G2199" s="60"/>
      <c r="H2199" s="48">
        <f>[1]Source!AW2125</f>
        <v>1</v>
      </c>
      <c r="I2199" s="49">
        <f>[1]Source!P2124</f>
        <v>6897.55</v>
      </c>
      <c r="J2199" s="48">
        <f>IF([1]Source!BC2125&lt;&gt; 0, [1]Source!BC2125, 1)</f>
        <v>9.84</v>
      </c>
      <c r="K2199" s="49">
        <f>[1]Source!P2125</f>
        <v>67871.89</v>
      </c>
      <c r="L2199">
        <v>81180</v>
      </c>
      <c r="M2199" s="50">
        <f t="shared" si="13"/>
        <v>81180</v>
      </c>
      <c r="N2199" s="59" t="s">
        <v>180</v>
      </c>
      <c r="Q2199">
        <f>[1]Source!X2124</f>
        <v>0</v>
      </c>
      <c r="R2199">
        <f>[1]Source!X2125</f>
        <v>0</v>
      </c>
      <c r="S2199">
        <f>[1]Source!Y2124</f>
        <v>0</v>
      </c>
      <c r="T2199">
        <f>[1]Source!Y2125</f>
        <v>0</v>
      </c>
      <c r="U2199">
        <f>ROUND((175/100)*ROUND([1]Source!R2124, 2), 2)</f>
        <v>0</v>
      </c>
      <c r="V2199">
        <f>ROUND((0/100)*ROUND([1]Source!R2125, 2), 2)</f>
        <v>0</v>
      </c>
      <c r="AC2199">
        <v>3</v>
      </c>
    </row>
    <row r="2200" spans="1:29" ht="13.8" hidden="1" x14ac:dyDescent="0.25">
      <c r="C2200" s="39" t="s">
        <v>49</v>
      </c>
      <c r="H2200" s="40">
        <f>I2199+0</f>
        <v>6897.55</v>
      </c>
      <c r="I2200" s="40"/>
      <c r="J2200" s="40">
        <f>K2199+0</f>
        <v>67871.89</v>
      </c>
      <c r="K2200" s="40"/>
      <c r="O2200" s="42">
        <f>I2199+0</f>
        <v>6897.55</v>
      </c>
      <c r="P2200" s="42">
        <f>K2199+0</f>
        <v>67871.89</v>
      </c>
    </row>
    <row r="2201" spans="1:29" hidden="1" x14ac:dyDescent="0.25"/>
    <row r="2202" spans="1:29" ht="357.6" x14ac:dyDescent="0.25">
      <c r="A2202" s="46">
        <v>238</v>
      </c>
      <c r="B2202" s="46" t="str">
        <f>[1]Source!F2126</f>
        <v>КА 178</v>
      </c>
      <c r="C2202" s="46" t="s">
        <v>497</v>
      </c>
      <c r="D2202" s="47" t="str">
        <f>[1]Source!H2126</f>
        <v>ШТ</v>
      </c>
      <c r="E2202" s="48">
        <f>[1]Source!I2126</f>
        <v>1</v>
      </c>
      <c r="F2202" s="37">
        <f>[1]Source!AL2126</f>
        <v>6897.55</v>
      </c>
      <c r="G2202" s="38"/>
      <c r="H2202" s="36">
        <f>[1]Source!AW2127</f>
        <v>1</v>
      </c>
      <c r="I2202" s="37">
        <f>[1]Source!P2126</f>
        <v>6897.55</v>
      </c>
      <c r="J2202" s="36">
        <f>IF([1]Source!BC2127&lt;&gt; 0, [1]Source!BC2127, 1)</f>
        <v>9.84</v>
      </c>
      <c r="K2202" s="49">
        <f>[1]Source!P2127</f>
        <v>67871.89</v>
      </c>
      <c r="L2202">
        <v>81180</v>
      </c>
      <c r="M2202" s="50">
        <f>L2202*E2202</f>
        <v>81180</v>
      </c>
      <c r="N2202" s="59" t="s">
        <v>180</v>
      </c>
      <c r="Q2202">
        <f>[1]Source!X2126</f>
        <v>0</v>
      </c>
      <c r="R2202">
        <f>[1]Source!X2127</f>
        <v>0</v>
      </c>
      <c r="S2202">
        <f>[1]Source!Y2126</f>
        <v>0</v>
      </c>
      <c r="T2202">
        <f>[1]Source!Y2127</f>
        <v>0</v>
      </c>
      <c r="U2202">
        <f>ROUND((175/100)*ROUND([1]Source!R2126, 2), 2)</f>
        <v>0</v>
      </c>
      <c r="V2202">
        <f>ROUND((0/100)*ROUND([1]Source!R2127, 2), 2)</f>
        <v>0</v>
      </c>
      <c r="AC2202">
        <v>3</v>
      </c>
    </row>
    <row r="2203" spans="1:29" ht="13.8" hidden="1" x14ac:dyDescent="0.25">
      <c r="C2203" s="39" t="s">
        <v>49</v>
      </c>
      <c r="H2203" s="40">
        <f>I2202+0</f>
        <v>6897.55</v>
      </c>
      <c r="I2203" s="40"/>
      <c r="J2203" s="40">
        <f>K2202+0</f>
        <v>67871.89</v>
      </c>
      <c r="K2203" s="40"/>
      <c r="O2203" s="42">
        <f>I2202+0</f>
        <v>6897.55</v>
      </c>
      <c r="P2203" s="42">
        <f>K2202+0</f>
        <v>67871.89</v>
      </c>
    </row>
    <row r="2204" spans="1:29" hidden="1" x14ac:dyDescent="0.25"/>
    <row r="2205" spans="1:29" ht="41.4" hidden="1" x14ac:dyDescent="0.25">
      <c r="A2205" s="27">
        <v>239</v>
      </c>
      <c r="B2205" s="27" t="str">
        <f>[1]Source!F2128</f>
        <v>3.70-52-2</v>
      </c>
      <c r="C2205" s="27" t="s">
        <v>498</v>
      </c>
      <c r="D2205" s="28" t="str">
        <f>[1]Source!H2128</f>
        <v>100 м2</v>
      </c>
      <c r="E2205" s="29">
        <f>[1]Source!I2128</f>
        <v>1.2177</v>
      </c>
      <c r="F2205" s="30"/>
      <c r="G2205" s="31"/>
      <c r="H2205" s="29"/>
      <c r="I2205" s="30"/>
      <c r="J2205" s="29"/>
      <c r="K2205" s="30"/>
      <c r="Q2205">
        <f>[1]Source!X2128</f>
        <v>2810.67</v>
      </c>
      <c r="R2205">
        <f>[1]Source!X2129</f>
        <v>158380.98000000001</v>
      </c>
      <c r="S2205">
        <f>[1]Source!Y2128</f>
        <v>1773.4</v>
      </c>
      <c r="T2205">
        <f>[1]Source!Y2129</f>
        <v>99930.86</v>
      </c>
      <c r="U2205">
        <f>ROUND((175/100)*ROUND([1]Source!R2128, 2), 2)</f>
        <v>44.22</v>
      </c>
      <c r="V2205">
        <f>ROUND((0/100)*ROUND([1]Source!R2129, 2), 2)</f>
        <v>0</v>
      </c>
      <c r="AC2205">
        <v>0</v>
      </c>
    </row>
    <row r="2206" spans="1:29" ht="52.8" hidden="1" x14ac:dyDescent="0.25">
      <c r="C2206" s="32" t="str">
        <f>"Объем: "&amp;[1]Source!I2128&amp;"=(((1,43*"&amp;"2,2)*"&amp;"(1+"&amp;"1))+"&amp;"((1,53*"&amp;"2,2)*"&amp;"(3+"&amp;"5+"&amp;"1+"&amp;"1+"&amp;"1+"&amp;"1+"&amp;"1+"&amp;"1+"&amp;"3+"&amp;"1+"&amp;"1+"&amp;"3+"&amp;"5+"&amp;"1+"&amp;"2+"&amp;"3))+"&amp;"(2*"&amp;"2,2))/"&amp;"100"</f>
        <v>Объем: 1,2177=(((1,43*2,2)*(1+1))+((1,53*2,2)*(3+5+1+1+1+1+1+1+3+1+1+3+5+1+2+3))+(2*2,2))/100</v>
      </c>
    </row>
    <row r="2207" spans="1:29" ht="14.4" hidden="1" x14ac:dyDescent="0.25">
      <c r="A2207" s="27"/>
      <c r="B2207" s="27"/>
      <c r="C2207" s="27" t="s">
        <v>36</v>
      </c>
      <c r="D2207" s="28"/>
      <c r="E2207" s="29"/>
      <c r="F2207" s="30">
        <f>[1]Source!AO2128</f>
        <v>1817.98</v>
      </c>
      <c r="G2207" s="31" t="s">
        <v>37</v>
      </c>
      <c r="H2207" s="29">
        <f>[1]Source!AV2129</f>
        <v>1.087</v>
      </c>
      <c r="I2207" s="30">
        <f>[1]Source!S2128</f>
        <v>3320.76</v>
      </c>
      <c r="J2207" s="29">
        <f>IF([1]Source!BA2129&lt;&gt; 0, [1]Source!BA2129, 1)</f>
        <v>56.35</v>
      </c>
      <c r="K2207" s="30">
        <f>[1]Source!S2129</f>
        <v>187124.83</v>
      </c>
    </row>
    <row r="2208" spans="1:29" ht="14.4" hidden="1" x14ac:dyDescent="0.25">
      <c r="A2208" s="27"/>
      <c r="B2208" s="27"/>
      <c r="C2208" s="27" t="s">
        <v>38</v>
      </c>
      <c r="D2208" s="28"/>
      <c r="E2208" s="29"/>
      <c r="F2208" s="30">
        <f>[1]Source!AM2128</f>
        <v>111.65</v>
      </c>
      <c r="G2208" s="31" t="s">
        <v>39</v>
      </c>
      <c r="H2208" s="29">
        <f>[1]Source!AV2129</f>
        <v>1.087</v>
      </c>
      <c r="I2208" s="30">
        <f>[1]Source!Q2128</f>
        <v>221.68</v>
      </c>
      <c r="J2208" s="29">
        <f>IF([1]Source!BB2129&lt;&gt; 0, [1]Source!BB2129, 1)</f>
        <v>15.28</v>
      </c>
      <c r="K2208" s="30">
        <f>[1]Source!Q2129</f>
        <v>3387.27</v>
      </c>
    </row>
    <row r="2209" spans="1:29" ht="14.4" hidden="1" x14ac:dyDescent="0.25">
      <c r="A2209" s="27"/>
      <c r="B2209" s="27"/>
      <c r="C2209" s="27" t="s">
        <v>40</v>
      </c>
      <c r="D2209" s="28"/>
      <c r="E2209" s="29"/>
      <c r="F2209" s="30">
        <f>[1]Source!AN2128</f>
        <v>12.73</v>
      </c>
      <c r="G2209" s="31" t="s">
        <v>39</v>
      </c>
      <c r="H2209" s="29">
        <f>[1]Source!AV2129</f>
        <v>1.087</v>
      </c>
      <c r="I2209" s="33">
        <f>[1]Source!R2128</f>
        <v>25.27</v>
      </c>
      <c r="J2209" s="29">
        <f>IF([1]Source!BS2129&lt;&gt; 0, [1]Source!BS2129, 1)</f>
        <v>56.35</v>
      </c>
      <c r="K2209" s="33">
        <f>[1]Source!R2129</f>
        <v>1423.96</v>
      </c>
    </row>
    <row r="2210" spans="1:29" ht="14.4" hidden="1" x14ac:dyDescent="0.25">
      <c r="A2210" s="27"/>
      <c r="B2210" s="27"/>
      <c r="C2210" s="27" t="s">
        <v>41</v>
      </c>
      <c r="D2210" s="28"/>
      <c r="E2210" s="29"/>
      <c r="F2210" s="30">
        <f>[1]Source!AL2128</f>
        <v>2085.89</v>
      </c>
      <c r="G2210" s="31"/>
      <c r="H2210" s="29">
        <f>[1]Source!AW2129</f>
        <v>1</v>
      </c>
      <c r="I2210" s="30">
        <f>[1]Source!P2128</f>
        <v>2539.9899999999998</v>
      </c>
      <c r="J2210" s="29">
        <f>IF([1]Source!BC2129&lt;&gt; 0, [1]Source!BC2129, 1)</f>
        <v>4.74</v>
      </c>
      <c r="K2210" s="30">
        <f>[1]Source!P2129</f>
        <v>12039.55</v>
      </c>
    </row>
    <row r="2211" spans="1:29" ht="193.2" hidden="1" x14ac:dyDescent="0.25">
      <c r="A2211" s="27" t="s">
        <v>499</v>
      </c>
      <c r="B2211" s="27" t="str">
        <f>[1]Source!F2130</f>
        <v>1.1-1-2982</v>
      </c>
      <c r="C2211" s="27" t="s">
        <v>363</v>
      </c>
      <c r="D2211" s="28" t="str">
        <f>[1]Source!H2130</f>
        <v>м</v>
      </c>
      <c r="E2211" s="29">
        <f>[1]Source!I2130</f>
        <v>208.96243399999997</v>
      </c>
      <c r="F2211" s="30">
        <f>[1]Source!AK2130</f>
        <v>13.94</v>
      </c>
      <c r="G2211" s="43" t="s">
        <v>54</v>
      </c>
      <c r="H2211" s="29">
        <f>[1]Source!AW2131</f>
        <v>1</v>
      </c>
      <c r="I2211" s="30">
        <f>[1]Source!O2130</f>
        <v>2912.94</v>
      </c>
      <c r="J2211" s="29">
        <f>IF([1]Source!BC2131&lt;&gt; 0, [1]Source!BC2131, 1)</f>
        <v>0.68</v>
      </c>
      <c r="K2211" s="30">
        <f>[1]Source!O2131</f>
        <v>1980.8</v>
      </c>
      <c r="Q2211">
        <f>[1]Source!X2130</f>
        <v>0</v>
      </c>
      <c r="R2211">
        <f>[1]Source!X2131</f>
        <v>0</v>
      </c>
      <c r="S2211">
        <f>[1]Source!Y2130</f>
        <v>0</v>
      </c>
      <c r="T2211">
        <f>[1]Source!Y2131</f>
        <v>0</v>
      </c>
      <c r="U2211">
        <f>ROUND((175/100)*ROUND([1]Source!R2130, 2), 2)</f>
        <v>0</v>
      </c>
      <c r="V2211">
        <f>ROUND((0/100)*ROUND([1]Source!R2131, 2), 2)</f>
        <v>0</v>
      </c>
      <c r="AC2211">
        <v>3</v>
      </c>
    </row>
    <row r="2212" spans="1:29" ht="27.6" hidden="1" x14ac:dyDescent="0.25">
      <c r="A2212" s="27" t="s">
        <v>500</v>
      </c>
      <c r="B2212" s="27" t="str">
        <f>[1]Source!F2132</f>
        <v>1.7-3-8</v>
      </c>
      <c r="C2212" s="27" t="s">
        <v>402</v>
      </c>
      <c r="D2212" s="28" t="str">
        <f>[1]Source!H2132</f>
        <v>шт.</v>
      </c>
      <c r="E2212" s="29">
        <f>[1]Source!I2132</f>
        <v>7.2373999999999983</v>
      </c>
      <c r="F2212" s="30">
        <f>[1]Source!AK2132</f>
        <v>11.82</v>
      </c>
      <c r="G2212" s="43" t="s">
        <v>54</v>
      </c>
      <c r="H2212" s="29">
        <f>[1]Source!AW2133</f>
        <v>1</v>
      </c>
      <c r="I2212" s="30">
        <f>[1]Source!O2132</f>
        <v>85.55</v>
      </c>
      <c r="J2212" s="29">
        <f>IF([1]Source!BC2133&lt;&gt; 0, [1]Source!BC2133, 1)</f>
        <v>6.25</v>
      </c>
      <c r="K2212" s="30">
        <f>[1]Source!O2133</f>
        <v>534.69000000000005</v>
      </c>
      <c r="Q2212">
        <f>[1]Source!X2132</f>
        <v>0</v>
      </c>
      <c r="R2212">
        <f>[1]Source!X2133</f>
        <v>0</v>
      </c>
      <c r="S2212">
        <f>[1]Source!Y2132</f>
        <v>0</v>
      </c>
      <c r="T2212">
        <f>[1]Source!Y2133</f>
        <v>0</v>
      </c>
      <c r="U2212">
        <f>ROUND((175/100)*ROUND([1]Source!R2132, 2), 2)</f>
        <v>0</v>
      </c>
      <c r="V2212">
        <f>ROUND((0/100)*ROUND([1]Source!R2133, 2), 2)</f>
        <v>0</v>
      </c>
      <c r="AC2212">
        <v>3</v>
      </c>
    </row>
    <row r="2213" spans="1:29" ht="41.4" hidden="1" x14ac:dyDescent="0.25">
      <c r="A2213" s="27" t="s">
        <v>501</v>
      </c>
      <c r="B2213" s="27" t="str">
        <f>[1]Source!F2134</f>
        <v>1.1-1-2984</v>
      </c>
      <c r="C2213" s="27" t="s">
        <v>404</v>
      </c>
      <c r="D2213" s="28" t="str">
        <f>[1]Source!H2134</f>
        <v>м</v>
      </c>
      <c r="E2213" s="29">
        <f>[1]Source!I2134</f>
        <v>208.96243399999997</v>
      </c>
      <c r="F2213" s="30">
        <f>[1]Source!AK2134</f>
        <v>6.48</v>
      </c>
      <c r="G2213" s="43" t="s">
        <v>54</v>
      </c>
      <c r="H2213" s="29">
        <f>[1]Source!AW2135</f>
        <v>1</v>
      </c>
      <c r="I2213" s="30">
        <f>[1]Source!O2134</f>
        <v>1354.08</v>
      </c>
      <c r="J2213" s="29">
        <f>IF([1]Source!BC2135&lt;&gt; 0, [1]Source!BC2135, 1)</f>
        <v>0.93</v>
      </c>
      <c r="K2213" s="30">
        <f>[1]Source!O2135</f>
        <v>1259.29</v>
      </c>
      <c r="Q2213">
        <f>[1]Source!X2134</f>
        <v>0</v>
      </c>
      <c r="R2213">
        <f>[1]Source!X2135</f>
        <v>0</v>
      </c>
      <c r="S2213">
        <f>[1]Source!Y2134</f>
        <v>0</v>
      </c>
      <c r="T2213">
        <f>[1]Source!Y2135</f>
        <v>0</v>
      </c>
      <c r="U2213">
        <f>ROUND((175/100)*ROUND([1]Source!R2134, 2), 2)</f>
        <v>0</v>
      </c>
      <c r="V2213">
        <f>ROUND((0/100)*ROUND([1]Source!R2135, 2), 2)</f>
        <v>0</v>
      </c>
      <c r="AC2213">
        <v>3</v>
      </c>
    </row>
    <row r="2214" spans="1:29" ht="14.4" hidden="1" x14ac:dyDescent="0.25">
      <c r="A2214" s="27"/>
      <c r="B2214" s="27"/>
      <c r="C2214" s="27" t="s">
        <v>42</v>
      </c>
      <c r="D2214" s="28" t="s">
        <v>43</v>
      </c>
      <c r="E2214" s="29">
        <f>[1]Source!BZ2129</f>
        <v>84</v>
      </c>
      <c r="F2214" s="30"/>
      <c r="G2214" s="31"/>
      <c r="H2214" s="29"/>
      <c r="I2214" s="30">
        <f>SUM(Q2205:Q2213)</f>
        <v>2810.67</v>
      </c>
      <c r="J2214" s="29">
        <f>[1]Source!AT2129</f>
        <v>84</v>
      </c>
      <c r="K2214" s="30">
        <f>SUM(R2205:R2213)</f>
        <v>158380.98000000001</v>
      </c>
    </row>
    <row r="2215" spans="1:29" ht="14.4" hidden="1" x14ac:dyDescent="0.25">
      <c r="A2215" s="27"/>
      <c r="B2215" s="27"/>
      <c r="C2215" s="27" t="s">
        <v>44</v>
      </c>
      <c r="D2215" s="28" t="s">
        <v>43</v>
      </c>
      <c r="E2215" s="29">
        <f>[1]Source!CA2129</f>
        <v>53</v>
      </c>
      <c r="F2215" s="30"/>
      <c r="G2215" s="31"/>
      <c r="H2215" s="29"/>
      <c r="I2215" s="30">
        <f>SUM(S2205:S2214)</f>
        <v>1773.4</v>
      </c>
      <c r="J2215" s="29">
        <f>[1]Source!AU2129</f>
        <v>53</v>
      </c>
      <c r="K2215" s="30">
        <f>SUM(T2205:T2214)</f>
        <v>99930.86</v>
      </c>
    </row>
    <row r="2216" spans="1:29" ht="14.4" hidden="1" x14ac:dyDescent="0.25">
      <c r="A2216" s="34"/>
      <c r="B2216" s="34"/>
      <c r="C2216" s="34" t="s">
        <v>45</v>
      </c>
      <c r="D2216" s="35" t="s">
        <v>46</v>
      </c>
      <c r="E2216" s="36">
        <f>[1]Source!AQ2128</f>
        <v>101.27</v>
      </c>
      <c r="F2216" s="37"/>
      <c r="G2216" s="38" t="s">
        <v>37</v>
      </c>
      <c r="H2216" s="36">
        <f>[1]Source!AV2129</f>
        <v>1.087</v>
      </c>
      <c r="I2216" s="37">
        <f>[1]Source!U2128</f>
        <v>184.98211748873996</v>
      </c>
      <c r="J2216" s="36"/>
      <c r="K2216" s="37"/>
    </row>
    <row r="2217" spans="1:29" ht="13.8" hidden="1" x14ac:dyDescent="0.25">
      <c r="C2217" s="39" t="s">
        <v>47</v>
      </c>
      <c r="H2217" s="40">
        <f>I2207+I2208+I2210+I2214+I2215+SUM(I2211:I2213)-SUMIF(AC2211:AC2213, 5, I2211:I2213)-SUMIF(AC2211:AC2213, 6, I2211:I2213)</f>
        <v>15019.07</v>
      </c>
      <c r="I2217" s="40"/>
      <c r="J2217" s="40">
        <f>K2207+K2208+K2210+K2214+K2215+SUM(K2211:K2213)-SUMIF(AC2211:AC2213, 5, K2211:K2213)-SUMIF(AC2211:AC2213, 6, K2211:K2213)</f>
        <v>464638.27</v>
      </c>
      <c r="K2217" s="40"/>
    </row>
    <row r="2218" spans="1:29" ht="13.8" hidden="1" x14ac:dyDescent="0.25">
      <c r="C2218" s="39" t="s">
        <v>48</v>
      </c>
      <c r="H2218" s="41">
        <f>SUMIF(AC2211:AC2213, 5, I2211:I2213)+SUMIF(AC2211:AC2213, 6, I2211:I2213)</f>
        <v>0</v>
      </c>
      <c r="I2218" s="41"/>
      <c r="J2218" s="41">
        <f>SUMIF(AC2211:AC2213, 5, K2211:K2213)+SUMIF(AC2211:AC2213, 6, K2211:K2213)</f>
        <v>0</v>
      </c>
      <c r="K2218" s="41"/>
    </row>
    <row r="2219" spans="1:29" ht="13.8" hidden="1" x14ac:dyDescent="0.25">
      <c r="C2219" s="39" t="s">
        <v>49</v>
      </c>
      <c r="H2219" s="41">
        <f>I2207+I2208+I2210+I2214+I2215+SUM(I2211:I2213)</f>
        <v>15019.07</v>
      </c>
      <c r="I2219" s="41"/>
      <c r="J2219" s="41">
        <f>K2207+K2208+K2210+K2214+K2215+SUM(K2211:K2213)</f>
        <v>464638.27</v>
      </c>
      <c r="K2219" s="41"/>
      <c r="O2219" s="42">
        <f>I2207+I2208+I2210+I2214+I2215+SUM(I2211:I2213)</f>
        <v>15019.07</v>
      </c>
      <c r="P2219" s="42">
        <f>K2207+K2208+K2210+K2214+K2215+SUM(K2211:K2213)</f>
        <v>464638.27</v>
      </c>
    </row>
    <row r="2220" spans="1:29" hidden="1" x14ac:dyDescent="0.25"/>
    <row r="2221" spans="1:29" ht="345" x14ac:dyDescent="0.25">
      <c r="A2221" s="53">
        <v>240</v>
      </c>
      <c r="B2221" s="53" t="str">
        <f>[1]Source!F2136</f>
        <v>КА-159</v>
      </c>
      <c r="C2221" s="53" t="s">
        <v>502</v>
      </c>
      <c r="D2221" s="54"/>
      <c r="E2221" s="55"/>
      <c r="F2221" s="30"/>
      <c r="G2221" s="31"/>
      <c r="H2221" s="29"/>
      <c r="I2221" s="30"/>
      <c r="J2221" s="29"/>
      <c r="K2221" s="56"/>
      <c r="M2221" s="50">
        <f t="shared" ref="M2221:M2222" si="14">L2221*E2221</f>
        <v>0</v>
      </c>
      <c r="N2221" s="59" t="s">
        <v>180</v>
      </c>
    </row>
    <row r="2222" spans="1:29" ht="67.8" x14ac:dyDescent="0.25">
      <c r="A2222" s="46"/>
      <c r="B2222" s="46"/>
      <c r="C2222" s="46" t="s">
        <v>503</v>
      </c>
      <c r="D2222" s="47" t="str">
        <f>[1]Source!H2136</f>
        <v>ШТ</v>
      </c>
      <c r="E2222" s="48">
        <f>[1]Source!I2136</f>
        <v>1</v>
      </c>
      <c r="F2222" s="49">
        <f>[1]Source!AL2136</f>
        <v>8579.869999999999</v>
      </c>
      <c r="G2222" s="60"/>
      <c r="H2222" s="48">
        <f>[1]Source!AW2137</f>
        <v>1</v>
      </c>
      <c r="I2222" s="49">
        <f>[1]Source!P2136</f>
        <v>8579.8700000000008</v>
      </c>
      <c r="J2222" s="48">
        <f>IF([1]Source!BC2137&lt;&gt; 0, [1]Source!BC2137, 1)</f>
        <v>9.84</v>
      </c>
      <c r="K2222" s="49">
        <f>[1]Source!P2137</f>
        <v>84425.919999999998</v>
      </c>
      <c r="L2222">
        <v>100980</v>
      </c>
      <c r="M2222" s="50">
        <f t="shared" si="14"/>
        <v>100980</v>
      </c>
      <c r="N2222" s="59" t="s">
        <v>180</v>
      </c>
      <c r="Q2222">
        <f>[1]Source!X2136</f>
        <v>0</v>
      </c>
      <c r="R2222">
        <f>[1]Source!X2137</f>
        <v>0</v>
      </c>
      <c r="S2222">
        <f>[1]Source!Y2136</f>
        <v>0</v>
      </c>
      <c r="T2222">
        <f>[1]Source!Y2137</f>
        <v>0</v>
      </c>
      <c r="U2222">
        <f>ROUND((175/100)*ROUND([1]Source!R2136, 2), 2)</f>
        <v>0</v>
      </c>
      <c r="V2222">
        <f>ROUND((0/100)*ROUND([1]Source!R2137, 2), 2)</f>
        <v>0</v>
      </c>
      <c r="AC2222">
        <v>3</v>
      </c>
    </row>
    <row r="2223" spans="1:29" ht="13.8" hidden="1" x14ac:dyDescent="0.25">
      <c r="C2223" s="39" t="s">
        <v>49</v>
      </c>
      <c r="H2223" s="40">
        <f>I2222+0</f>
        <v>8579.8700000000008</v>
      </c>
      <c r="I2223" s="40"/>
      <c r="J2223" s="40">
        <f>K2222+0</f>
        <v>84425.919999999998</v>
      </c>
      <c r="K2223" s="40"/>
      <c r="O2223" s="42">
        <f>I2222+0</f>
        <v>8579.8700000000008</v>
      </c>
      <c r="P2223" s="42">
        <f>K2222+0</f>
        <v>84425.919999999998</v>
      </c>
    </row>
    <row r="2224" spans="1:29" hidden="1" x14ac:dyDescent="0.25"/>
    <row r="2225" spans="1:29" ht="345" x14ac:dyDescent="0.25">
      <c r="A2225" s="53">
        <v>241</v>
      </c>
      <c r="B2225" s="53" t="str">
        <f>[1]Source!F2138</f>
        <v>КА-160</v>
      </c>
      <c r="C2225" s="53" t="s">
        <v>504</v>
      </c>
      <c r="D2225" s="54"/>
      <c r="E2225" s="55"/>
      <c r="F2225" s="30"/>
      <c r="G2225" s="31"/>
      <c r="H2225" s="29"/>
      <c r="I2225" s="30"/>
      <c r="J2225" s="29"/>
      <c r="K2225" s="56"/>
      <c r="M2225" s="50">
        <f t="shared" ref="M2225:M2226" si="15">L2225*E2225</f>
        <v>0</v>
      </c>
      <c r="N2225" s="59" t="s">
        <v>180</v>
      </c>
    </row>
    <row r="2226" spans="1:29" ht="81.599999999999994" x14ac:dyDescent="0.25">
      <c r="A2226" s="46"/>
      <c r="B2226" s="46"/>
      <c r="C2226" s="46" t="s">
        <v>505</v>
      </c>
      <c r="D2226" s="47" t="str">
        <f>[1]Source!H2138</f>
        <v>ШТ</v>
      </c>
      <c r="E2226" s="48">
        <f>[1]Source!I2138</f>
        <v>2</v>
      </c>
      <c r="F2226" s="49">
        <f>[1]Source!AL2138</f>
        <v>9645.34</v>
      </c>
      <c r="G2226" s="60"/>
      <c r="H2226" s="48">
        <f>[1]Source!AW2139</f>
        <v>1</v>
      </c>
      <c r="I2226" s="49">
        <f>[1]Source!P2138</f>
        <v>19290.68</v>
      </c>
      <c r="J2226" s="48">
        <f>IF([1]Source!BC2139&lt;&gt; 0, [1]Source!BC2139, 1)</f>
        <v>9.84</v>
      </c>
      <c r="K2226" s="49">
        <f>[1]Source!P2139</f>
        <v>189820.29</v>
      </c>
      <c r="L2226">
        <v>113520</v>
      </c>
      <c r="M2226" s="50">
        <f t="shared" si="15"/>
        <v>227040</v>
      </c>
      <c r="N2226" s="59" t="s">
        <v>180</v>
      </c>
      <c r="Q2226">
        <f>[1]Source!X2138</f>
        <v>0</v>
      </c>
      <c r="R2226">
        <f>[1]Source!X2139</f>
        <v>0</v>
      </c>
      <c r="S2226">
        <f>[1]Source!Y2138</f>
        <v>0</v>
      </c>
      <c r="T2226">
        <f>[1]Source!Y2139</f>
        <v>0</v>
      </c>
      <c r="U2226">
        <f>ROUND((175/100)*ROUND([1]Source!R2138, 2), 2)</f>
        <v>0</v>
      </c>
      <c r="V2226">
        <f>ROUND((0/100)*ROUND([1]Source!R2139, 2), 2)</f>
        <v>0</v>
      </c>
      <c r="AC2226">
        <v>3</v>
      </c>
    </row>
    <row r="2227" spans="1:29" ht="13.8" hidden="1" x14ac:dyDescent="0.25">
      <c r="C2227" s="39" t="s">
        <v>49</v>
      </c>
      <c r="H2227" s="40">
        <f>I2226+0</f>
        <v>19290.68</v>
      </c>
      <c r="I2227" s="40"/>
      <c r="J2227" s="40">
        <f>K2226+0</f>
        <v>189820.29</v>
      </c>
      <c r="K2227" s="40"/>
      <c r="O2227" s="42">
        <f>I2226+0</f>
        <v>19290.68</v>
      </c>
      <c r="P2227" s="42">
        <f>K2226+0</f>
        <v>189820.29</v>
      </c>
    </row>
    <row r="2228" spans="1:29" hidden="1" x14ac:dyDescent="0.25"/>
    <row r="2229" spans="1:29" ht="345" x14ac:dyDescent="0.25">
      <c r="A2229" s="53">
        <v>242</v>
      </c>
      <c r="B2229" s="53" t="str">
        <f>[1]Source!F2140</f>
        <v>КА 161</v>
      </c>
      <c r="C2229" s="53" t="s">
        <v>506</v>
      </c>
      <c r="D2229" s="54"/>
      <c r="E2229" s="55"/>
      <c r="F2229" s="30"/>
      <c r="G2229" s="31"/>
      <c r="H2229" s="29"/>
      <c r="I2229" s="30"/>
      <c r="J2229" s="29"/>
      <c r="K2229" s="56"/>
      <c r="M2229" s="50">
        <f t="shared" ref="M2229:M2230" si="16">L2229*E2229</f>
        <v>0</v>
      </c>
      <c r="N2229" s="59" t="s">
        <v>180</v>
      </c>
    </row>
    <row r="2230" spans="1:29" ht="67.8" x14ac:dyDescent="0.25">
      <c r="A2230" s="46"/>
      <c r="B2230" s="46"/>
      <c r="C2230" s="46" t="s">
        <v>507</v>
      </c>
      <c r="D2230" s="47" t="str">
        <f>[1]Source!H2140</f>
        <v>ШТ</v>
      </c>
      <c r="E2230" s="48">
        <f>[1]Source!I2140</f>
        <v>2</v>
      </c>
      <c r="F2230" s="49">
        <f>[1]Source!AL2140</f>
        <v>9645.34</v>
      </c>
      <c r="G2230" s="60"/>
      <c r="H2230" s="48">
        <f>[1]Source!AW2141</f>
        <v>1</v>
      </c>
      <c r="I2230" s="49">
        <f>[1]Source!P2140</f>
        <v>19290.68</v>
      </c>
      <c r="J2230" s="48">
        <f>IF([1]Source!BC2141&lt;&gt; 0, [1]Source!BC2141, 1)</f>
        <v>9.84</v>
      </c>
      <c r="K2230" s="49">
        <f>[1]Source!P2141</f>
        <v>189820.29</v>
      </c>
      <c r="L2230">
        <v>113520</v>
      </c>
      <c r="M2230" s="50">
        <f t="shared" si="16"/>
        <v>227040</v>
      </c>
      <c r="N2230" s="59" t="s">
        <v>180</v>
      </c>
      <c r="Q2230">
        <f>[1]Source!X2140</f>
        <v>0</v>
      </c>
      <c r="R2230">
        <f>[1]Source!X2141</f>
        <v>0</v>
      </c>
      <c r="S2230">
        <f>[1]Source!Y2140</f>
        <v>0</v>
      </c>
      <c r="T2230">
        <f>[1]Source!Y2141</f>
        <v>0</v>
      </c>
      <c r="U2230">
        <f>ROUND((175/100)*ROUND([1]Source!R2140, 2), 2)</f>
        <v>0</v>
      </c>
      <c r="V2230">
        <f>ROUND((0/100)*ROUND([1]Source!R2141, 2), 2)</f>
        <v>0</v>
      </c>
      <c r="AC2230">
        <v>3</v>
      </c>
    </row>
    <row r="2231" spans="1:29" ht="13.8" hidden="1" x14ac:dyDescent="0.25">
      <c r="C2231" s="39" t="s">
        <v>49</v>
      </c>
      <c r="H2231" s="40">
        <f>I2230+0</f>
        <v>19290.68</v>
      </c>
      <c r="I2231" s="40"/>
      <c r="J2231" s="40">
        <f>K2230+0</f>
        <v>189820.29</v>
      </c>
      <c r="K2231" s="40"/>
      <c r="O2231" s="42">
        <f>I2230+0</f>
        <v>19290.68</v>
      </c>
      <c r="P2231" s="42">
        <f>K2230+0</f>
        <v>189820.29</v>
      </c>
    </row>
    <row r="2232" spans="1:29" hidden="1" x14ac:dyDescent="0.25"/>
    <row r="2233" spans="1:29" ht="345" x14ac:dyDescent="0.25">
      <c r="A2233" s="53">
        <v>243</v>
      </c>
      <c r="B2233" s="53" t="str">
        <f>[1]Source!F2142</f>
        <v>КА- 162</v>
      </c>
      <c r="C2233" s="53" t="s">
        <v>508</v>
      </c>
      <c r="D2233" s="54"/>
      <c r="E2233" s="55"/>
      <c r="F2233" s="56"/>
      <c r="G2233" s="61"/>
      <c r="H2233" s="55"/>
      <c r="I2233" s="56"/>
      <c r="J2233" s="55"/>
      <c r="K2233" s="56"/>
      <c r="M2233" s="50">
        <f t="shared" ref="M2233:M2234" si="17">L2233*E2233</f>
        <v>0</v>
      </c>
      <c r="N2233" s="59" t="s">
        <v>180</v>
      </c>
    </row>
    <row r="2234" spans="1:29" ht="67.8" x14ac:dyDescent="0.25">
      <c r="A2234" s="46"/>
      <c r="B2234" s="46"/>
      <c r="C2234" s="46" t="s">
        <v>509</v>
      </c>
      <c r="D2234" s="47" t="str">
        <f>[1]Source!H2142</f>
        <v>ШТ</v>
      </c>
      <c r="E2234" s="48">
        <f>[1]Source!I2142</f>
        <v>1</v>
      </c>
      <c r="F2234" s="49">
        <f>[1]Source!AL2142</f>
        <v>9645.34</v>
      </c>
      <c r="G2234" s="60"/>
      <c r="H2234" s="48">
        <f>[1]Source!AW2143</f>
        <v>1</v>
      </c>
      <c r="I2234" s="49">
        <f>[1]Source!P2142</f>
        <v>9645.34</v>
      </c>
      <c r="J2234" s="48">
        <f>IF([1]Source!BC2143&lt;&gt; 0, [1]Source!BC2143, 1)</f>
        <v>9.84</v>
      </c>
      <c r="K2234" s="49">
        <f>[1]Source!P2143</f>
        <v>94910.15</v>
      </c>
      <c r="L2234">
        <v>113520</v>
      </c>
      <c r="M2234" s="50">
        <f t="shared" si="17"/>
        <v>113520</v>
      </c>
      <c r="N2234" s="59" t="s">
        <v>180</v>
      </c>
      <c r="Q2234">
        <f>[1]Source!X2142</f>
        <v>0</v>
      </c>
      <c r="R2234">
        <f>[1]Source!X2143</f>
        <v>0</v>
      </c>
      <c r="S2234">
        <f>[1]Source!Y2142</f>
        <v>0</v>
      </c>
      <c r="T2234">
        <f>[1]Source!Y2143</f>
        <v>0</v>
      </c>
      <c r="U2234">
        <f>ROUND((175/100)*ROUND([1]Source!R2142, 2), 2)</f>
        <v>0</v>
      </c>
      <c r="V2234">
        <f>ROUND((0/100)*ROUND([1]Source!R2143, 2), 2)</f>
        <v>0</v>
      </c>
      <c r="AC2234">
        <v>3</v>
      </c>
    </row>
    <row r="2235" spans="1:29" ht="13.8" hidden="1" x14ac:dyDescent="0.25">
      <c r="C2235" s="39" t="s">
        <v>49</v>
      </c>
      <c r="H2235" s="40">
        <f>I2234+0</f>
        <v>9645.34</v>
      </c>
      <c r="I2235" s="40"/>
      <c r="J2235" s="40">
        <f>K2234+0</f>
        <v>94910.15</v>
      </c>
      <c r="K2235" s="40"/>
      <c r="O2235" s="42">
        <f>I2234+0</f>
        <v>9645.34</v>
      </c>
      <c r="P2235" s="42">
        <f>K2234+0</f>
        <v>94910.15</v>
      </c>
    </row>
    <row r="2236" spans="1:29" hidden="1" x14ac:dyDescent="0.25"/>
    <row r="2237" spans="1:29" ht="345" x14ac:dyDescent="0.25">
      <c r="A2237" s="53">
        <v>244</v>
      </c>
      <c r="B2237" s="53" t="str">
        <f>[1]Source!F2144</f>
        <v>КА 163</v>
      </c>
      <c r="C2237" s="53" t="s">
        <v>510</v>
      </c>
      <c r="D2237" s="54"/>
      <c r="E2237" s="55"/>
      <c r="F2237" s="30"/>
      <c r="G2237" s="31"/>
      <c r="H2237" s="29"/>
      <c r="I2237" s="30"/>
      <c r="J2237" s="29"/>
      <c r="K2237" s="56"/>
      <c r="M2237" s="50">
        <f t="shared" ref="M2237:M2238" si="18">L2237*E2237</f>
        <v>0</v>
      </c>
      <c r="N2237" s="59" t="s">
        <v>180</v>
      </c>
    </row>
    <row r="2238" spans="1:29" ht="67.8" x14ac:dyDescent="0.25">
      <c r="A2238" s="46"/>
      <c r="B2238" s="46"/>
      <c r="C2238" s="46" t="s">
        <v>511</v>
      </c>
      <c r="D2238" s="47" t="str">
        <f>[1]Source!H2144</f>
        <v>ШТ</v>
      </c>
      <c r="E2238" s="48">
        <f>[1]Source!I2144</f>
        <v>10</v>
      </c>
      <c r="F2238" s="49">
        <f>[1]Source!AL2144</f>
        <v>9645.34</v>
      </c>
      <c r="G2238" s="60"/>
      <c r="H2238" s="48">
        <f>[1]Source!AW2145</f>
        <v>1</v>
      </c>
      <c r="I2238" s="49">
        <f>[1]Source!P2144</f>
        <v>96453.4</v>
      </c>
      <c r="J2238" s="48">
        <f>IF([1]Source!BC2145&lt;&gt; 0, [1]Source!BC2145, 1)</f>
        <v>9.84</v>
      </c>
      <c r="K2238" s="49">
        <f>[1]Source!P2145</f>
        <v>949101.46</v>
      </c>
      <c r="L2238">
        <v>113520</v>
      </c>
      <c r="M2238" s="50">
        <f t="shared" si="18"/>
        <v>1135200</v>
      </c>
      <c r="N2238" s="59" t="s">
        <v>180</v>
      </c>
      <c r="Q2238">
        <f>[1]Source!X2144</f>
        <v>0</v>
      </c>
      <c r="R2238">
        <f>[1]Source!X2145</f>
        <v>0</v>
      </c>
      <c r="S2238">
        <f>[1]Source!Y2144</f>
        <v>0</v>
      </c>
      <c r="T2238">
        <f>[1]Source!Y2145</f>
        <v>0</v>
      </c>
      <c r="U2238">
        <f>ROUND((175/100)*ROUND([1]Source!R2144, 2), 2)</f>
        <v>0</v>
      </c>
      <c r="V2238">
        <f>ROUND((0/100)*ROUND([1]Source!R2145, 2), 2)</f>
        <v>0</v>
      </c>
      <c r="AC2238">
        <v>3</v>
      </c>
    </row>
    <row r="2239" spans="1:29" ht="13.8" hidden="1" x14ac:dyDescent="0.25">
      <c r="C2239" s="39" t="s">
        <v>49</v>
      </c>
      <c r="H2239" s="40">
        <f>I2238+0</f>
        <v>96453.4</v>
      </c>
      <c r="I2239" s="40"/>
      <c r="J2239" s="40">
        <f>K2238+0</f>
        <v>949101.46</v>
      </c>
      <c r="K2239" s="40"/>
      <c r="O2239" s="42">
        <f>I2238+0</f>
        <v>96453.4</v>
      </c>
      <c r="P2239" s="42">
        <f>K2238+0</f>
        <v>949101.46</v>
      </c>
    </row>
    <row r="2240" spans="1:29" hidden="1" x14ac:dyDescent="0.25"/>
    <row r="2241" spans="1:29" ht="345" x14ac:dyDescent="0.25">
      <c r="A2241" s="53">
        <v>245</v>
      </c>
      <c r="B2241" s="53" t="str">
        <f>[1]Source!F2146</f>
        <v>КА 164</v>
      </c>
      <c r="C2241" s="53" t="s">
        <v>512</v>
      </c>
      <c r="D2241" s="54"/>
      <c r="E2241" s="55"/>
      <c r="F2241" s="30"/>
      <c r="G2241" s="31"/>
      <c r="H2241" s="29"/>
      <c r="I2241" s="30"/>
      <c r="J2241" s="29"/>
      <c r="K2241" s="56"/>
      <c r="M2241" s="50">
        <f>L2241*E2241</f>
        <v>0</v>
      </c>
      <c r="N2241" s="59" t="s">
        <v>180</v>
      </c>
    </row>
    <row r="2242" spans="1:29" ht="67.8" hidden="1" x14ac:dyDescent="0.25">
      <c r="A2242" s="34"/>
      <c r="B2242" s="34"/>
      <c r="C2242" s="34" t="s">
        <v>513</v>
      </c>
      <c r="D2242" s="35" t="str">
        <f>[1]Source!H2146</f>
        <v>ШТ</v>
      </c>
      <c r="E2242" s="36">
        <f>[1]Source!I2146</f>
        <v>2</v>
      </c>
      <c r="F2242" s="37">
        <f>[1]Source!AL2146</f>
        <v>9645.34</v>
      </c>
      <c r="G2242" s="38"/>
      <c r="H2242" s="36">
        <f>[1]Source!AW2147</f>
        <v>1</v>
      </c>
      <c r="I2242" s="37">
        <f>[1]Source!P2146</f>
        <v>19290.68</v>
      </c>
      <c r="J2242" s="36">
        <f>IF([1]Source!BC2147&lt;&gt; 0, [1]Source!BC2147, 1)</f>
        <v>9.84</v>
      </c>
      <c r="K2242" s="37">
        <f>[1]Source!P2147</f>
        <v>189820.29</v>
      </c>
      <c r="Q2242">
        <f>[1]Source!X2146</f>
        <v>0</v>
      </c>
      <c r="R2242">
        <f>[1]Source!X2147</f>
        <v>0</v>
      </c>
      <c r="S2242">
        <f>[1]Source!Y2146</f>
        <v>0</v>
      </c>
      <c r="T2242">
        <f>[1]Source!Y2147</f>
        <v>0</v>
      </c>
      <c r="U2242">
        <f>ROUND((175/100)*ROUND([1]Source!R2146, 2), 2)</f>
        <v>0</v>
      </c>
      <c r="V2242">
        <f>ROUND((0/100)*ROUND([1]Source!R2147, 2), 2)</f>
        <v>0</v>
      </c>
      <c r="AC2242">
        <v>3</v>
      </c>
    </row>
    <row r="2243" spans="1:29" ht="13.8" hidden="1" x14ac:dyDescent="0.25">
      <c r="C2243" s="39" t="s">
        <v>49</v>
      </c>
      <c r="H2243" s="40">
        <f>I2242+0</f>
        <v>19290.68</v>
      </c>
      <c r="I2243" s="40"/>
      <c r="J2243" s="40">
        <f>K2242+0</f>
        <v>189820.29</v>
      </c>
      <c r="K2243" s="40"/>
      <c r="O2243" s="42">
        <f>I2242+0</f>
        <v>19290.68</v>
      </c>
      <c r="P2243" s="42">
        <f>K2242+0</f>
        <v>189820.29</v>
      </c>
    </row>
    <row r="2244" spans="1:29" hidden="1" x14ac:dyDescent="0.25"/>
    <row r="2245" spans="1:29" ht="331.2" x14ac:dyDescent="0.25">
      <c r="A2245" s="53">
        <v>246</v>
      </c>
      <c r="B2245" s="53" t="str">
        <f>[1]Source!F2148</f>
        <v>КА 165</v>
      </c>
      <c r="C2245" s="53" t="s">
        <v>514</v>
      </c>
      <c r="D2245" s="54"/>
      <c r="E2245" s="55"/>
      <c r="F2245" s="30"/>
      <c r="G2245" s="31"/>
      <c r="H2245" s="29"/>
      <c r="I2245" s="30"/>
      <c r="J2245" s="29"/>
      <c r="K2245" s="56"/>
      <c r="M2245" s="50">
        <f t="shared" ref="M2245:M2246" si="19">L2245*E2245</f>
        <v>0</v>
      </c>
      <c r="N2245" s="59" t="s">
        <v>180</v>
      </c>
    </row>
    <row r="2246" spans="1:29" ht="67.8" x14ac:dyDescent="0.25">
      <c r="A2246" s="46"/>
      <c r="B2246" s="46"/>
      <c r="C2246" s="46" t="s">
        <v>515</v>
      </c>
      <c r="D2246" s="47" t="str">
        <f>[1]Source!H2148</f>
        <v>ШТ</v>
      </c>
      <c r="E2246" s="48">
        <f>[1]Source!I2148</f>
        <v>2</v>
      </c>
      <c r="F2246" s="49">
        <f>[1]Source!AL2148</f>
        <v>9645.34</v>
      </c>
      <c r="G2246" s="60"/>
      <c r="H2246" s="48">
        <f>[1]Source!AW2149</f>
        <v>1</v>
      </c>
      <c r="I2246" s="49">
        <f>[1]Source!P2148</f>
        <v>19290.68</v>
      </c>
      <c r="J2246" s="48">
        <f>IF([1]Source!BC2149&lt;&gt; 0, [1]Source!BC2149, 1)</f>
        <v>9.84</v>
      </c>
      <c r="K2246" s="49">
        <f>[1]Source!P2149</f>
        <v>189820.29</v>
      </c>
      <c r="L2246">
        <v>113520</v>
      </c>
      <c r="M2246" s="50">
        <f t="shared" si="19"/>
        <v>227040</v>
      </c>
      <c r="N2246" s="59" t="s">
        <v>180</v>
      </c>
      <c r="Q2246">
        <f>[1]Source!X2148</f>
        <v>0</v>
      </c>
      <c r="R2246">
        <f>[1]Source!X2149</f>
        <v>0</v>
      </c>
      <c r="S2246">
        <f>[1]Source!Y2148</f>
        <v>0</v>
      </c>
      <c r="T2246">
        <f>[1]Source!Y2149</f>
        <v>0</v>
      </c>
      <c r="U2246">
        <f>ROUND((175/100)*ROUND([1]Source!R2148, 2), 2)</f>
        <v>0</v>
      </c>
      <c r="V2246">
        <f>ROUND((0/100)*ROUND([1]Source!R2149, 2), 2)</f>
        <v>0</v>
      </c>
      <c r="AC2246">
        <v>3</v>
      </c>
    </row>
    <row r="2247" spans="1:29" ht="13.8" hidden="1" x14ac:dyDescent="0.25">
      <c r="C2247" s="39" t="s">
        <v>49</v>
      </c>
      <c r="H2247" s="40">
        <f>I2246+0</f>
        <v>19290.68</v>
      </c>
      <c r="I2247" s="40"/>
      <c r="J2247" s="40">
        <f>K2246+0</f>
        <v>189820.29</v>
      </c>
      <c r="K2247" s="40"/>
      <c r="O2247" s="42">
        <f>I2246+0</f>
        <v>19290.68</v>
      </c>
      <c r="P2247" s="42">
        <f>K2246+0</f>
        <v>189820.29</v>
      </c>
    </row>
    <row r="2248" spans="1:29" hidden="1" x14ac:dyDescent="0.25"/>
    <row r="2249" spans="1:29" ht="345" x14ac:dyDescent="0.25">
      <c r="A2249" s="53">
        <v>247</v>
      </c>
      <c r="B2249" s="53" t="str">
        <f>[1]Source!F2150</f>
        <v>КА 166</v>
      </c>
      <c r="C2249" s="53" t="s">
        <v>516</v>
      </c>
      <c r="D2249" s="54"/>
      <c r="E2249" s="55"/>
      <c r="F2249" s="30"/>
      <c r="G2249" s="31"/>
      <c r="H2249" s="29"/>
      <c r="I2249" s="30"/>
      <c r="J2249" s="29"/>
      <c r="K2249" s="56"/>
      <c r="M2249" s="50">
        <f t="shared" ref="M2249:M2250" si="20">L2249*E2249</f>
        <v>0</v>
      </c>
      <c r="N2249" s="59" t="s">
        <v>180</v>
      </c>
    </row>
    <row r="2250" spans="1:29" ht="67.8" x14ac:dyDescent="0.25">
      <c r="A2250" s="46"/>
      <c r="B2250" s="46"/>
      <c r="C2250" s="46" t="s">
        <v>517</v>
      </c>
      <c r="D2250" s="47" t="str">
        <f>[1]Source!H2150</f>
        <v>ШТ</v>
      </c>
      <c r="E2250" s="48">
        <f>[1]Source!I2150</f>
        <v>1</v>
      </c>
      <c r="F2250" s="49">
        <f>[1]Source!AL2150</f>
        <v>8411.630000000001</v>
      </c>
      <c r="G2250" s="60"/>
      <c r="H2250" s="48">
        <f>[1]Source!AW2151</f>
        <v>1</v>
      </c>
      <c r="I2250" s="49">
        <f>[1]Source!P2150</f>
        <v>8411.6299999999992</v>
      </c>
      <c r="J2250" s="48">
        <f>IF([1]Source!BC2151&lt;&gt; 0, [1]Source!BC2151, 1)</f>
        <v>9.84</v>
      </c>
      <c r="K2250" s="49">
        <f>[1]Source!P2151</f>
        <v>82770.44</v>
      </c>
      <c r="L2250">
        <v>99000</v>
      </c>
      <c r="M2250" s="50">
        <f t="shared" si="20"/>
        <v>99000</v>
      </c>
      <c r="N2250" s="59" t="s">
        <v>180</v>
      </c>
      <c r="Q2250">
        <f>[1]Source!X2150</f>
        <v>0</v>
      </c>
      <c r="R2250">
        <f>[1]Source!X2151</f>
        <v>0</v>
      </c>
      <c r="S2250">
        <f>[1]Source!Y2150</f>
        <v>0</v>
      </c>
      <c r="T2250">
        <f>[1]Source!Y2151</f>
        <v>0</v>
      </c>
      <c r="U2250">
        <f>ROUND((175/100)*ROUND([1]Source!R2150, 2), 2)</f>
        <v>0</v>
      </c>
      <c r="V2250">
        <f>ROUND((0/100)*ROUND([1]Source!R2151, 2), 2)</f>
        <v>0</v>
      </c>
      <c r="AC2250">
        <v>3</v>
      </c>
    </row>
    <row r="2251" spans="1:29" ht="13.8" hidden="1" x14ac:dyDescent="0.25">
      <c r="C2251" s="39" t="s">
        <v>49</v>
      </c>
      <c r="H2251" s="40">
        <f>I2250+0</f>
        <v>8411.6299999999992</v>
      </c>
      <c r="I2251" s="40"/>
      <c r="J2251" s="40">
        <f>K2250+0</f>
        <v>82770.44</v>
      </c>
      <c r="K2251" s="40"/>
      <c r="O2251" s="42">
        <f>I2250+0</f>
        <v>8411.6299999999992</v>
      </c>
      <c r="P2251" s="42">
        <f>K2250+0</f>
        <v>82770.44</v>
      </c>
    </row>
    <row r="2252" spans="1:29" hidden="1" x14ac:dyDescent="0.25"/>
    <row r="2253" spans="1:29" ht="345" x14ac:dyDescent="0.25">
      <c r="A2253" s="53">
        <v>248</v>
      </c>
      <c r="B2253" s="53" t="str">
        <f>[1]Source!F2152</f>
        <v>КА 167</v>
      </c>
      <c r="C2253" s="53" t="s">
        <v>518</v>
      </c>
      <c r="D2253" s="54"/>
      <c r="E2253" s="55"/>
      <c r="F2253" s="30"/>
      <c r="G2253" s="31"/>
      <c r="H2253" s="29"/>
      <c r="I2253" s="30"/>
      <c r="J2253" s="29"/>
      <c r="K2253" s="56"/>
      <c r="M2253" s="50">
        <f t="shared" ref="M2253:M2254" si="21">L2253*E2253</f>
        <v>0</v>
      </c>
      <c r="N2253" s="59" t="s">
        <v>180</v>
      </c>
    </row>
    <row r="2254" spans="1:29" ht="67.8" x14ac:dyDescent="0.25">
      <c r="A2254" s="46"/>
      <c r="B2254" s="46"/>
      <c r="C2254" s="46" t="s">
        <v>519</v>
      </c>
      <c r="D2254" s="47" t="str">
        <f>[1]Source!H2152</f>
        <v>ШТ</v>
      </c>
      <c r="E2254" s="48">
        <f>[1]Source!I2152</f>
        <v>1</v>
      </c>
      <c r="F2254" s="49">
        <f>[1]Source!AL2152</f>
        <v>8579.869999999999</v>
      </c>
      <c r="G2254" s="60"/>
      <c r="H2254" s="48">
        <f>[1]Source!AW2153</f>
        <v>1</v>
      </c>
      <c r="I2254" s="49">
        <f>[1]Source!P2152</f>
        <v>8579.8700000000008</v>
      </c>
      <c r="J2254" s="48">
        <f>IF([1]Source!BC2153&lt;&gt; 0, [1]Source!BC2153, 1)</f>
        <v>9.84</v>
      </c>
      <c r="K2254" s="49">
        <f>[1]Source!P2153</f>
        <v>84425.919999999998</v>
      </c>
      <c r="L2254">
        <v>100980</v>
      </c>
      <c r="M2254" s="50">
        <f t="shared" si="21"/>
        <v>100980</v>
      </c>
      <c r="N2254" s="59" t="s">
        <v>180</v>
      </c>
      <c r="Q2254">
        <f>[1]Source!X2152</f>
        <v>0</v>
      </c>
      <c r="R2254">
        <f>[1]Source!X2153</f>
        <v>0</v>
      </c>
      <c r="S2254">
        <f>[1]Source!Y2152</f>
        <v>0</v>
      </c>
      <c r="T2254">
        <f>[1]Source!Y2153</f>
        <v>0</v>
      </c>
      <c r="U2254">
        <f>ROUND((175/100)*ROUND([1]Source!R2152, 2), 2)</f>
        <v>0</v>
      </c>
      <c r="V2254">
        <f>ROUND((0/100)*ROUND([1]Source!R2153, 2), 2)</f>
        <v>0</v>
      </c>
      <c r="AC2254">
        <v>3</v>
      </c>
    </row>
    <row r="2255" spans="1:29" ht="13.8" hidden="1" x14ac:dyDescent="0.25">
      <c r="C2255" s="39" t="s">
        <v>49</v>
      </c>
      <c r="H2255" s="40">
        <f>I2254+0</f>
        <v>8579.8700000000008</v>
      </c>
      <c r="I2255" s="40"/>
      <c r="J2255" s="40">
        <f>K2254+0</f>
        <v>84425.919999999998</v>
      </c>
      <c r="K2255" s="40"/>
      <c r="O2255" s="42">
        <f>I2254+0</f>
        <v>8579.8700000000008</v>
      </c>
      <c r="P2255" s="42">
        <f>K2254+0</f>
        <v>84425.919999999998</v>
      </c>
    </row>
    <row r="2256" spans="1:29" hidden="1" x14ac:dyDescent="0.25"/>
    <row r="2257" spans="1:29" ht="345" x14ac:dyDescent="0.25">
      <c r="A2257" s="53">
        <v>249</v>
      </c>
      <c r="B2257" s="53" t="str">
        <f>[1]Source!F2154</f>
        <v>КА 168</v>
      </c>
      <c r="C2257" s="53" t="s">
        <v>520</v>
      </c>
      <c r="D2257" s="54"/>
      <c r="E2257" s="55"/>
      <c r="F2257" s="30"/>
      <c r="G2257" s="31"/>
      <c r="H2257" s="29"/>
      <c r="I2257" s="30"/>
      <c r="J2257" s="29"/>
      <c r="K2257" s="56"/>
      <c r="M2257" s="50">
        <f t="shared" ref="M2257:M2258" si="22">L2257*E2257</f>
        <v>0</v>
      </c>
      <c r="N2257" s="59" t="s">
        <v>180</v>
      </c>
    </row>
    <row r="2258" spans="1:29" ht="54" x14ac:dyDescent="0.25">
      <c r="A2258" s="46"/>
      <c r="B2258" s="46"/>
      <c r="C2258" s="46" t="s">
        <v>521</v>
      </c>
      <c r="D2258" s="47" t="str">
        <f>[1]Source!H2154</f>
        <v>ШТ</v>
      </c>
      <c r="E2258" s="48">
        <f>[1]Source!I2154</f>
        <v>2</v>
      </c>
      <c r="F2258" s="49">
        <f>[1]Source!AL2154</f>
        <v>8411.630000000001</v>
      </c>
      <c r="G2258" s="60"/>
      <c r="H2258" s="48">
        <f>[1]Source!AW2155</f>
        <v>1</v>
      </c>
      <c r="I2258" s="49">
        <f>[1]Source!P2154</f>
        <v>16823.259999999998</v>
      </c>
      <c r="J2258" s="48">
        <f>IF([1]Source!BC2155&lt;&gt; 0, [1]Source!BC2155, 1)</f>
        <v>9.84</v>
      </c>
      <c r="K2258" s="49">
        <f>[1]Source!P2155</f>
        <v>165540.88</v>
      </c>
      <c r="L2258">
        <v>99000</v>
      </c>
      <c r="M2258" s="50">
        <f t="shared" si="22"/>
        <v>198000</v>
      </c>
      <c r="N2258" s="59" t="s">
        <v>180</v>
      </c>
      <c r="Q2258">
        <f>[1]Source!X2154</f>
        <v>0</v>
      </c>
      <c r="R2258">
        <f>[1]Source!X2155</f>
        <v>0</v>
      </c>
      <c r="S2258">
        <f>[1]Source!Y2154</f>
        <v>0</v>
      </c>
      <c r="T2258">
        <f>[1]Source!Y2155</f>
        <v>0</v>
      </c>
      <c r="U2258">
        <f>ROUND((175/100)*ROUND([1]Source!R2154, 2), 2)</f>
        <v>0</v>
      </c>
      <c r="V2258">
        <f>ROUND((0/100)*ROUND([1]Source!R2155, 2), 2)</f>
        <v>0</v>
      </c>
      <c r="AC2258">
        <v>3</v>
      </c>
    </row>
    <row r="2259" spans="1:29" ht="13.8" hidden="1" x14ac:dyDescent="0.25">
      <c r="C2259" s="39" t="s">
        <v>49</v>
      </c>
      <c r="H2259" s="40">
        <f>I2258+0</f>
        <v>16823.259999999998</v>
      </c>
      <c r="I2259" s="40"/>
      <c r="J2259" s="40">
        <f>K2258+0</f>
        <v>165540.88</v>
      </c>
      <c r="K2259" s="40"/>
      <c r="O2259" s="42">
        <f>I2258+0</f>
        <v>16823.259999999998</v>
      </c>
      <c r="P2259" s="42">
        <f>K2258+0</f>
        <v>165540.88</v>
      </c>
    </row>
    <row r="2260" spans="1:29" hidden="1" x14ac:dyDescent="0.25"/>
    <row r="2261" spans="1:29" ht="345" x14ac:dyDescent="0.25">
      <c r="A2261" s="53">
        <v>250</v>
      </c>
      <c r="B2261" s="53" t="str">
        <f>[1]Source!F2156</f>
        <v>КА 169</v>
      </c>
      <c r="C2261" s="53" t="s">
        <v>522</v>
      </c>
      <c r="D2261" s="54"/>
      <c r="E2261" s="55"/>
      <c r="F2261" s="30"/>
      <c r="G2261" s="31"/>
      <c r="H2261" s="29"/>
      <c r="I2261" s="30"/>
      <c r="J2261" s="29"/>
      <c r="K2261" s="56"/>
      <c r="M2261" s="50">
        <f t="shared" ref="M2261:M2262" si="23">L2261*E2261</f>
        <v>0</v>
      </c>
      <c r="N2261" s="59" t="s">
        <v>180</v>
      </c>
    </row>
    <row r="2262" spans="1:29" ht="54" x14ac:dyDescent="0.25">
      <c r="A2262" s="46"/>
      <c r="B2262" s="46"/>
      <c r="C2262" s="46" t="s">
        <v>523</v>
      </c>
      <c r="D2262" s="47" t="str">
        <f>[1]Source!H2156</f>
        <v>ШТ</v>
      </c>
      <c r="E2262" s="48">
        <f>[1]Source!I2156</f>
        <v>12</v>
      </c>
      <c r="F2262" s="49">
        <f>[1]Source!AL2156</f>
        <v>8579.869999999999</v>
      </c>
      <c r="G2262" s="60"/>
      <c r="H2262" s="48">
        <f>[1]Source!AW2157</f>
        <v>1</v>
      </c>
      <c r="I2262" s="49">
        <f>[1]Source!P2156</f>
        <v>102958.44</v>
      </c>
      <c r="J2262" s="48">
        <f>IF([1]Source!BC2157&lt;&gt; 0, [1]Source!BC2157, 1)</f>
        <v>9.84</v>
      </c>
      <c r="K2262" s="49">
        <f>[1]Source!P2157</f>
        <v>1013111.05</v>
      </c>
      <c r="L2262">
        <v>100980</v>
      </c>
      <c r="M2262" s="50">
        <f t="shared" si="23"/>
        <v>1211760</v>
      </c>
      <c r="N2262" s="59" t="s">
        <v>180</v>
      </c>
      <c r="Q2262">
        <f>[1]Source!X2156</f>
        <v>0</v>
      </c>
      <c r="R2262">
        <f>[1]Source!X2157</f>
        <v>0</v>
      </c>
      <c r="S2262">
        <f>[1]Source!Y2156</f>
        <v>0</v>
      </c>
      <c r="T2262">
        <f>[1]Source!Y2157</f>
        <v>0</v>
      </c>
      <c r="U2262">
        <f>ROUND((175/100)*ROUND([1]Source!R2156, 2), 2)</f>
        <v>0</v>
      </c>
      <c r="V2262">
        <f>ROUND((0/100)*ROUND([1]Source!R2157, 2), 2)</f>
        <v>0</v>
      </c>
      <c r="AC2262">
        <v>3</v>
      </c>
    </row>
    <row r="2263" spans="1:29" ht="13.8" hidden="1" x14ac:dyDescent="0.25">
      <c r="C2263" s="39" t="s">
        <v>49</v>
      </c>
      <c r="H2263" s="40">
        <f>I2262+0</f>
        <v>102958.44</v>
      </c>
      <c r="I2263" s="40"/>
      <c r="J2263" s="40">
        <f>K2262+0</f>
        <v>1013111.05</v>
      </c>
      <c r="K2263" s="40"/>
      <c r="O2263" s="42">
        <f>I2262+0</f>
        <v>102958.44</v>
      </c>
      <c r="P2263" s="42">
        <f>K2262+0</f>
        <v>1013111.05</v>
      </c>
    </row>
    <row r="2264" spans="1:29" hidden="1" x14ac:dyDescent="0.25"/>
    <row r="2265" spans="1:29" ht="345" x14ac:dyDescent="0.25">
      <c r="A2265" s="53">
        <v>251</v>
      </c>
      <c r="B2265" s="53" t="str">
        <f>[1]Source!F2158</f>
        <v>КА 170</v>
      </c>
      <c r="C2265" s="53" t="s">
        <v>524</v>
      </c>
      <c r="D2265" s="54"/>
      <c r="E2265" s="55"/>
      <c r="F2265" s="30"/>
      <c r="G2265" s="31"/>
      <c r="H2265" s="29"/>
      <c r="I2265" s="30"/>
      <c r="J2265" s="29"/>
      <c r="K2265" s="56"/>
      <c r="M2265" s="50">
        <f t="shared" ref="M2265:M2266" si="24">L2265*E2265</f>
        <v>0</v>
      </c>
      <c r="N2265" s="59" t="s">
        <v>180</v>
      </c>
    </row>
    <row r="2266" spans="1:29" ht="95.4" x14ac:dyDescent="0.25">
      <c r="A2266" s="46"/>
      <c r="B2266" s="46"/>
      <c r="C2266" s="46" t="s">
        <v>525</v>
      </c>
      <c r="D2266" s="47" t="str">
        <f>[1]Source!H2158</f>
        <v>ШТ</v>
      </c>
      <c r="E2266" s="48">
        <f>[1]Source!I2158</f>
        <v>2</v>
      </c>
      <c r="F2266" s="49">
        <f>[1]Source!AL2158</f>
        <v>8579.869999999999</v>
      </c>
      <c r="G2266" s="60"/>
      <c r="H2266" s="48">
        <f>[1]Source!AW2159</f>
        <v>1</v>
      </c>
      <c r="I2266" s="49">
        <f>[1]Source!P2158</f>
        <v>17159.740000000002</v>
      </c>
      <c r="J2266" s="48">
        <f>IF([1]Source!BC2159&lt;&gt; 0, [1]Source!BC2159, 1)</f>
        <v>9.84</v>
      </c>
      <c r="K2266" s="49">
        <f>[1]Source!P2159</f>
        <v>168851.84</v>
      </c>
      <c r="L2266">
        <v>100980</v>
      </c>
      <c r="M2266" s="50">
        <f t="shared" si="24"/>
        <v>201960</v>
      </c>
      <c r="N2266" s="59" t="s">
        <v>180</v>
      </c>
      <c r="Q2266">
        <f>[1]Source!X2158</f>
        <v>0</v>
      </c>
      <c r="R2266">
        <f>[1]Source!X2159</f>
        <v>0</v>
      </c>
      <c r="S2266">
        <f>[1]Source!Y2158</f>
        <v>0</v>
      </c>
      <c r="T2266">
        <f>[1]Source!Y2159</f>
        <v>0</v>
      </c>
      <c r="U2266">
        <f>ROUND((175/100)*ROUND([1]Source!R2158, 2), 2)</f>
        <v>0</v>
      </c>
      <c r="V2266">
        <f>ROUND((0/100)*ROUND([1]Source!R2159, 2), 2)</f>
        <v>0</v>
      </c>
      <c r="AC2266">
        <v>3</v>
      </c>
    </row>
    <row r="2267" spans="1:29" ht="13.8" hidden="1" x14ac:dyDescent="0.25">
      <c r="C2267" s="39" t="s">
        <v>49</v>
      </c>
      <c r="H2267" s="40">
        <f>I2266+0</f>
        <v>17159.740000000002</v>
      </c>
      <c r="I2267" s="40"/>
      <c r="J2267" s="40">
        <f>K2266+0</f>
        <v>168851.84</v>
      </c>
      <c r="K2267" s="40"/>
      <c r="O2267" s="42">
        <f>I2266+0</f>
        <v>17159.740000000002</v>
      </c>
      <c r="P2267" s="42">
        <f>K2266+0</f>
        <v>168851.84</v>
      </c>
    </row>
    <row r="2268" spans="1:29" hidden="1" x14ac:dyDescent="0.25"/>
    <row r="2269" spans="1:29" ht="345" x14ac:dyDescent="0.25">
      <c r="A2269" s="53">
        <v>252</v>
      </c>
      <c r="B2269" s="53" t="str">
        <f>[1]Source!F2160</f>
        <v>КА 171</v>
      </c>
      <c r="C2269" s="53" t="s">
        <v>526</v>
      </c>
      <c r="D2269" s="54"/>
      <c r="E2269" s="55"/>
      <c r="F2269" s="30"/>
      <c r="G2269" s="31"/>
      <c r="H2269" s="29"/>
      <c r="I2269" s="30"/>
      <c r="J2269" s="29"/>
      <c r="K2269" s="56"/>
      <c r="M2269" s="50">
        <f t="shared" ref="M2269:M2270" si="25">L2269*E2269</f>
        <v>0</v>
      </c>
      <c r="N2269" s="59" t="s">
        <v>180</v>
      </c>
    </row>
    <row r="2270" spans="1:29" ht="67.8" x14ac:dyDescent="0.25">
      <c r="A2270" s="46"/>
      <c r="B2270" s="46"/>
      <c r="C2270" s="46" t="s">
        <v>527</v>
      </c>
      <c r="D2270" s="47" t="str">
        <f>[1]Source!H2160</f>
        <v>ШТ</v>
      </c>
      <c r="E2270" s="48">
        <f>[1]Source!I2160</f>
        <v>1</v>
      </c>
      <c r="F2270" s="49">
        <f>[1]Source!AL2160</f>
        <v>8579.869999999999</v>
      </c>
      <c r="G2270" s="60"/>
      <c r="H2270" s="48">
        <f>[1]Source!AW2161</f>
        <v>1</v>
      </c>
      <c r="I2270" s="49">
        <f>[1]Source!P2160</f>
        <v>8579.8700000000008</v>
      </c>
      <c r="J2270" s="48">
        <f>IF([1]Source!BC2161&lt;&gt; 0, [1]Source!BC2161, 1)</f>
        <v>9.84</v>
      </c>
      <c r="K2270" s="49">
        <f>[1]Source!P2161</f>
        <v>84425.919999999998</v>
      </c>
      <c r="L2270">
        <v>100980</v>
      </c>
      <c r="M2270" s="50">
        <f t="shared" si="25"/>
        <v>100980</v>
      </c>
      <c r="N2270" s="59" t="s">
        <v>180</v>
      </c>
      <c r="Q2270">
        <f>[1]Source!X2160</f>
        <v>0</v>
      </c>
      <c r="R2270">
        <f>[1]Source!X2161</f>
        <v>0</v>
      </c>
      <c r="S2270">
        <f>[1]Source!Y2160</f>
        <v>0</v>
      </c>
      <c r="T2270">
        <f>[1]Source!Y2161</f>
        <v>0</v>
      </c>
      <c r="U2270">
        <f>ROUND((175/100)*ROUND([1]Source!R2160, 2), 2)</f>
        <v>0</v>
      </c>
      <c r="V2270">
        <f>ROUND((0/100)*ROUND([1]Source!R2161, 2), 2)</f>
        <v>0</v>
      </c>
      <c r="AC2270">
        <v>3</v>
      </c>
    </row>
    <row r="2271" spans="1:29" ht="13.8" hidden="1" x14ac:dyDescent="0.25">
      <c r="C2271" s="39" t="s">
        <v>49</v>
      </c>
      <c r="H2271" s="40">
        <f>I2270+0</f>
        <v>8579.8700000000008</v>
      </c>
      <c r="I2271" s="40"/>
      <c r="J2271" s="40">
        <f>K2270+0</f>
        <v>84425.919999999998</v>
      </c>
      <c r="K2271" s="40"/>
      <c r="O2271" s="42">
        <f>I2270+0</f>
        <v>8579.8700000000008</v>
      </c>
      <c r="P2271" s="42">
        <f>K2270+0</f>
        <v>84425.919999999998</v>
      </c>
    </row>
    <row r="2272" spans="1:29" hidden="1" x14ac:dyDescent="0.25"/>
    <row r="2273" spans="1:29" ht="345" x14ac:dyDescent="0.25">
      <c r="A2273" s="53">
        <v>253</v>
      </c>
      <c r="B2273" s="53" t="str">
        <f>[1]Source!F2162</f>
        <v>КА 172</v>
      </c>
      <c r="C2273" s="53" t="s">
        <v>528</v>
      </c>
      <c r="D2273" s="54"/>
      <c r="E2273" s="55"/>
      <c r="F2273" s="30"/>
      <c r="G2273" s="31"/>
      <c r="H2273" s="29"/>
      <c r="I2273" s="30"/>
      <c r="J2273" s="29"/>
      <c r="K2273" s="56"/>
      <c r="M2273" s="50">
        <f t="shared" ref="M2273:M2274" si="26">L2273*E2273</f>
        <v>0</v>
      </c>
      <c r="N2273" s="59" t="s">
        <v>180</v>
      </c>
    </row>
    <row r="2274" spans="1:29" ht="67.8" x14ac:dyDescent="0.25">
      <c r="A2274" s="46"/>
      <c r="B2274" s="46"/>
      <c r="C2274" s="46" t="s">
        <v>529</v>
      </c>
      <c r="D2274" s="47" t="str">
        <f>[1]Source!H2162</f>
        <v>ШТ</v>
      </c>
      <c r="E2274" s="48">
        <f>[1]Source!I2162</f>
        <v>1</v>
      </c>
      <c r="F2274" s="49">
        <f>[1]Source!AL2162</f>
        <v>9645.34</v>
      </c>
      <c r="G2274" s="60"/>
      <c r="H2274" s="48">
        <f>[1]Source!AW2163</f>
        <v>1</v>
      </c>
      <c r="I2274" s="49">
        <f>[1]Source!P2162</f>
        <v>9645.34</v>
      </c>
      <c r="J2274" s="48">
        <f>IF([1]Source!BC2163&lt;&gt; 0, [1]Source!BC2163, 1)</f>
        <v>9.84</v>
      </c>
      <c r="K2274" s="49">
        <f>[1]Source!P2163</f>
        <v>94910.15</v>
      </c>
      <c r="L2274">
        <v>113520</v>
      </c>
      <c r="M2274" s="50">
        <f t="shared" si="26"/>
        <v>113520</v>
      </c>
      <c r="N2274" s="59" t="s">
        <v>180</v>
      </c>
      <c r="Q2274">
        <f>[1]Source!X2162</f>
        <v>0</v>
      </c>
      <c r="R2274">
        <f>[1]Source!X2163</f>
        <v>0</v>
      </c>
      <c r="S2274">
        <f>[1]Source!Y2162</f>
        <v>0</v>
      </c>
      <c r="T2274">
        <f>[1]Source!Y2163</f>
        <v>0</v>
      </c>
      <c r="U2274">
        <f>ROUND((175/100)*ROUND([1]Source!R2162, 2), 2)</f>
        <v>0</v>
      </c>
      <c r="V2274">
        <f>ROUND((0/100)*ROUND([1]Source!R2163, 2), 2)</f>
        <v>0</v>
      </c>
      <c r="AC2274">
        <v>3</v>
      </c>
    </row>
    <row r="2275" spans="1:29" ht="13.8" hidden="1" x14ac:dyDescent="0.25">
      <c r="C2275" s="39" t="s">
        <v>49</v>
      </c>
      <c r="H2275" s="40">
        <f>I2274+0</f>
        <v>9645.34</v>
      </c>
      <c r="I2275" s="40"/>
      <c r="J2275" s="40">
        <f>K2274+0</f>
        <v>94910.15</v>
      </c>
      <c r="K2275" s="40"/>
      <c r="O2275" s="42">
        <f>I2274+0</f>
        <v>9645.34</v>
      </c>
      <c r="P2275" s="42">
        <f>K2274+0</f>
        <v>94910.15</v>
      </c>
    </row>
    <row r="2276" spans="1:29" hidden="1" x14ac:dyDescent="0.25"/>
    <row r="2277" spans="1:29" ht="345" x14ac:dyDescent="0.25">
      <c r="A2277" s="53">
        <v>254</v>
      </c>
      <c r="B2277" s="53" t="str">
        <f>[1]Source!F2164</f>
        <v>КА 173</v>
      </c>
      <c r="C2277" s="53" t="s">
        <v>530</v>
      </c>
      <c r="D2277" s="54"/>
      <c r="E2277" s="55"/>
      <c r="F2277" s="30"/>
      <c r="G2277" s="31"/>
      <c r="H2277" s="29"/>
      <c r="I2277" s="30"/>
      <c r="J2277" s="29"/>
      <c r="K2277" s="56"/>
      <c r="M2277" s="50">
        <f t="shared" ref="M2277:M2278" si="27">L2277*E2277</f>
        <v>0</v>
      </c>
      <c r="N2277" s="59" t="s">
        <v>180</v>
      </c>
    </row>
    <row r="2278" spans="1:29" ht="67.8" x14ac:dyDescent="0.25">
      <c r="A2278" s="46"/>
      <c r="B2278" s="46"/>
      <c r="C2278" s="46" t="s">
        <v>529</v>
      </c>
      <c r="D2278" s="47" t="str">
        <f>[1]Source!H2164</f>
        <v>ШТ</v>
      </c>
      <c r="E2278" s="48">
        <f>[1]Source!I2164</f>
        <v>1</v>
      </c>
      <c r="F2278" s="49">
        <f>[1]Source!AL2164</f>
        <v>9645.34</v>
      </c>
      <c r="G2278" s="60"/>
      <c r="H2278" s="48">
        <f>[1]Source!AW2165</f>
        <v>1</v>
      </c>
      <c r="I2278" s="49">
        <f>[1]Source!P2164</f>
        <v>9645.34</v>
      </c>
      <c r="J2278" s="48">
        <f>IF([1]Source!BC2165&lt;&gt; 0, [1]Source!BC2165, 1)</f>
        <v>9.84</v>
      </c>
      <c r="K2278" s="49">
        <f>[1]Source!P2165</f>
        <v>94910.15</v>
      </c>
      <c r="L2278">
        <v>113520</v>
      </c>
      <c r="M2278" s="50">
        <f t="shared" si="27"/>
        <v>113520</v>
      </c>
      <c r="N2278" s="59" t="s">
        <v>180</v>
      </c>
      <c r="Q2278">
        <f>[1]Source!X2164</f>
        <v>0</v>
      </c>
      <c r="R2278">
        <f>[1]Source!X2165</f>
        <v>0</v>
      </c>
      <c r="S2278">
        <f>[1]Source!Y2164</f>
        <v>0</v>
      </c>
      <c r="T2278">
        <f>[1]Source!Y2165</f>
        <v>0</v>
      </c>
      <c r="U2278">
        <f>ROUND((175/100)*ROUND([1]Source!R2164, 2), 2)</f>
        <v>0</v>
      </c>
      <c r="V2278">
        <f>ROUND((0/100)*ROUND([1]Source!R2165, 2), 2)</f>
        <v>0</v>
      </c>
      <c r="AC2278">
        <v>3</v>
      </c>
    </row>
    <row r="2279" spans="1:29" ht="13.8" hidden="1" x14ac:dyDescent="0.25">
      <c r="C2279" s="39" t="s">
        <v>49</v>
      </c>
      <c r="H2279" s="40">
        <f>I2278+0</f>
        <v>9645.34</v>
      </c>
      <c r="I2279" s="40"/>
      <c r="J2279" s="40">
        <f>K2278+0</f>
        <v>94910.15</v>
      </c>
      <c r="K2279" s="40"/>
      <c r="O2279" s="42">
        <f>I2278+0</f>
        <v>9645.34</v>
      </c>
      <c r="P2279" s="42">
        <f>K2278+0</f>
        <v>94910.15</v>
      </c>
    </row>
    <row r="2280" spans="1:29" hidden="1" x14ac:dyDescent="0.25"/>
    <row r="2281" spans="1:29" ht="345" x14ac:dyDescent="0.25">
      <c r="A2281" s="53">
        <v>255</v>
      </c>
      <c r="B2281" s="53" t="str">
        <f>[1]Source!F2166</f>
        <v>КА 174</v>
      </c>
      <c r="C2281" s="53" t="s">
        <v>531</v>
      </c>
      <c r="D2281" s="54"/>
      <c r="E2281" s="55"/>
      <c r="F2281" s="30"/>
      <c r="G2281" s="31"/>
      <c r="H2281" s="29"/>
      <c r="I2281" s="30"/>
      <c r="J2281" s="29"/>
      <c r="K2281" s="56"/>
      <c r="M2281" s="50">
        <f t="shared" ref="M2281:M2282" si="28">L2281*E2281</f>
        <v>0</v>
      </c>
      <c r="N2281" s="59" t="s">
        <v>180</v>
      </c>
    </row>
    <row r="2282" spans="1:29" ht="67.8" x14ac:dyDescent="0.25">
      <c r="A2282" s="46"/>
      <c r="B2282" s="46"/>
      <c r="C2282" s="46" t="s">
        <v>509</v>
      </c>
      <c r="D2282" s="47" t="str">
        <f>[1]Source!H2166</f>
        <v>ШТ</v>
      </c>
      <c r="E2282" s="48">
        <f>[1]Source!I2166</f>
        <v>1</v>
      </c>
      <c r="F2282" s="49">
        <f>[1]Source!AL2166</f>
        <v>9645.34</v>
      </c>
      <c r="G2282" s="60"/>
      <c r="H2282" s="48">
        <f>[1]Source!AW2167</f>
        <v>1</v>
      </c>
      <c r="I2282" s="49">
        <f>[1]Source!P2166</f>
        <v>9645.34</v>
      </c>
      <c r="J2282" s="48">
        <f>IF([1]Source!BC2167&lt;&gt; 0, [1]Source!BC2167, 1)</f>
        <v>9.84</v>
      </c>
      <c r="K2282" s="49">
        <f>[1]Source!P2167</f>
        <v>94910.15</v>
      </c>
      <c r="L2282">
        <v>113520</v>
      </c>
      <c r="M2282" s="50">
        <f t="shared" si="28"/>
        <v>113520</v>
      </c>
      <c r="N2282" s="59" t="s">
        <v>180</v>
      </c>
      <c r="Q2282">
        <f>[1]Source!X2166</f>
        <v>0</v>
      </c>
      <c r="R2282">
        <f>[1]Source!X2167</f>
        <v>0</v>
      </c>
      <c r="S2282">
        <f>[1]Source!Y2166</f>
        <v>0</v>
      </c>
      <c r="T2282">
        <f>[1]Source!Y2167</f>
        <v>0</v>
      </c>
      <c r="U2282">
        <f>ROUND((175/100)*ROUND([1]Source!R2166, 2), 2)</f>
        <v>0</v>
      </c>
      <c r="V2282">
        <f>ROUND((0/100)*ROUND([1]Source!R2167, 2), 2)</f>
        <v>0</v>
      </c>
      <c r="AC2282">
        <v>3</v>
      </c>
    </row>
    <row r="2283" spans="1:29" ht="13.8" hidden="1" x14ac:dyDescent="0.25">
      <c r="C2283" s="39" t="s">
        <v>49</v>
      </c>
      <c r="H2283" s="40">
        <f>I2282+0</f>
        <v>9645.34</v>
      </c>
      <c r="I2283" s="40"/>
      <c r="J2283" s="40">
        <f>K2282+0</f>
        <v>94910.15</v>
      </c>
      <c r="K2283" s="40"/>
      <c r="O2283" s="42">
        <f>I2282+0</f>
        <v>9645.34</v>
      </c>
      <c r="P2283" s="42">
        <f>K2282+0</f>
        <v>94910.15</v>
      </c>
    </row>
    <row r="2284" spans="1:29" hidden="1" x14ac:dyDescent="0.25"/>
    <row r="2285" spans="1:29" ht="345" x14ac:dyDescent="0.25">
      <c r="A2285" s="53">
        <v>256</v>
      </c>
      <c r="B2285" s="53" t="str">
        <f>[1]Source!F2168</f>
        <v>КА 175</v>
      </c>
      <c r="C2285" s="53" t="s">
        <v>532</v>
      </c>
      <c r="D2285" s="54"/>
      <c r="E2285" s="55"/>
      <c r="F2285" s="30"/>
      <c r="G2285" s="31"/>
      <c r="H2285" s="29"/>
      <c r="I2285" s="30"/>
      <c r="J2285" s="29"/>
      <c r="K2285" s="56"/>
      <c r="M2285" s="50">
        <f t="shared" ref="M2285:M2286" si="29">L2285*E2285</f>
        <v>0</v>
      </c>
      <c r="N2285" s="59" t="s">
        <v>180</v>
      </c>
    </row>
    <row r="2286" spans="1:29" ht="67.8" x14ac:dyDescent="0.25">
      <c r="A2286" s="46"/>
      <c r="B2286" s="46"/>
      <c r="C2286" s="46" t="s">
        <v>533</v>
      </c>
      <c r="D2286" s="47" t="str">
        <f>[1]Source!H2168</f>
        <v>ШТ</v>
      </c>
      <c r="E2286" s="48">
        <f>[1]Source!I2168</f>
        <v>1</v>
      </c>
      <c r="F2286" s="49">
        <f>[1]Source!AL2168</f>
        <v>8579.869999999999</v>
      </c>
      <c r="G2286" s="60"/>
      <c r="H2286" s="48">
        <f>[1]Source!AW2169</f>
        <v>1</v>
      </c>
      <c r="I2286" s="49">
        <f>[1]Source!P2168</f>
        <v>8579.8700000000008</v>
      </c>
      <c r="J2286" s="48">
        <f>IF([1]Source!BC2169&lt;&gt; 0, [1]Source!BC2169, 1)</f>
        <v>9.84</v>
      </c>
      <c r="K2286" s="49">
        <f>[1]Source!P2169</f>
        <v>84425.919999999998</v>
      </c>
      <c r="L2286">
        <v>100980</v>
      </c>
      <c r="M2286" s="50">
        <f t="shared" si="29"/>
        <v>100980</v>
      </c>
      <c r="N2286" s="59" t="s">
        <v>180</v>
      </c>
      <c r="Q2286">
        <f>[1]Source!X2168</f>
        <v>0</v>
      </c>
      <c r="R2286">
        <f>[1]Source!X2169</f>
        <v>0</v>
      </c>
      <c r="S2286">
        <f>[1]Source!Y2168</f>
        <v>0</v>
      </c>
      <c r="T2286">
        <f>[1]Source!Y2169</f>
        <v>0</v>
      </c>
      <c r="U2286">
        <f>ROUND((175/100)*ROUND([1]Source!R2168, 2), 2)</f>
        <v>0</v>
      </c>
      <c r="V2286">
        <f>ROUND((0/100)*ROUND([1]Source!R2169, 2), 2)</f>
        <v>0</v>
      </c>
      <c r="AC2286">
        <v>3</v>
      </c>
    </row>
    <row r="2287" spans="1:29" ht="13.8" hidden="1" x14ac:dyDescent="0.25">
      <c r="C2287" s="39" t="s">
        <v>49</v>
      </c>
      <c r="H2287" s="40">
        <f>I2286+0</f>
        <v>8579.8700000000008</v>
      </c>
      <c r="I2287" s="40"/>
      <c r="J2287" s="40">
        <f>K2286+0</f>
        <v>84425.919999999998</v>
      </c>
      <c r="K2287" s="40"/>
      <c r="O2287" s="42">
        <f>I2286+0</f>
        <v>8579.8700000000008</v>
      </c>
      <c r="P2287" s="42">
        <f>K2286+0</f>
        <v>84425.919999999998</v>
      </c>
    </row>
    <row r="2288" spans="1:29" hidden="1" x14ac:dyDescent="0.25"/>
    <row r="2289" spans="1:29" ht="345" x14ac:dyDescent="0.25">
      <c r="A2289" s="53">
        <v>257</v>
      </c>
      <c r="B2289" s="53" t="str">
        <f>[1]Source!F2170</f>
        <v>КА 176</v>
      </c>
      <c r="C2289" s="53" t="s">
        <v>534</v>
      </c>
      <c r="D2289" s="54"/>
      <c r="E2289" s="55"/>
      <c r="F2289" s="30"/>
      <c r="G2289" s="31"/>
      <c r="H2289" s="29"/>
      <c r="I2289" s="30"/>
      <c r="J2289" s="29"/>
      <c r="K2289" s="56"/>
      <c r="M2289" s="50">
        <f t="shared" ref="M2289:M2290" si="30">L2289*E2289</f>
        <v>0</v>
      </c>
      <c r="N2289" s="59" t="s">
        <v>180</v>
      </c>
    </row>
    <row r="2290" spans="1:29" ht="40.200000000000003" x14ac:dyDescent="0.25">
      <c r="A2290" s="46"/>
      <c r="B2290" s="46"/>
      <c r="C2290" s="46" t="s">
        <v>535</v>
      </c>
      <c r="D2290" s="47" t="str">
        <f>[1]Source!H2170</f>
        <v>ШТ</v>
      </c>
      <c r="E2290" s="48">
        <f>[1]Source!I2170</f>
        <v>1</v>
      </c>
      <c r="F2290" s="49">
        <f>[1]Source!AL2170</f>
        <v>11383.75</v>
      </c>
      <c r="G2290" s="60"/>
      <c r="H2290" s="48">
        <f>[1]Source!AW2171</f>
        <v>1</v>
      </c>
      <c r="I2290" s="49">
        <f>[1]Source!P2170</f>
        <v>11383.75</v>
      </c>
      <c r="J2290" s="48">
        <f>IF([1]Source!BC2171&lt;&gt; 0, [1]Source!BC2171, 1)</f>
        <v>9.84</v>
      </c>
      <c r="K2290" s="49">
        <f>[1]Source!P2171</f>
        <v>112016.1</v>
      </c>
      <c r="L2290">
        <v>113980</v>
      </c>
      <c r="M2290" s="50">
        <f t="shared" si="30"/>
        <v>113980</v>
      </c>
      <c r="N2290" s="59" t="s">
        <v>180</v>
      </c>
      <c r="Q2290">
        <f>[1]Source!X2170</f>
        <v>0</v>
      </c>
      <c r="R2290">
        <f>[1]Source!X2171</f>
        <v>0</v>
      </c>
      <c r="S2290">
        <f>[1]Source!Y2170</f>
        <v>0</v>
      </c>
      <c r="T2290">
        <f>[1]Source!Y2171</f>
        <v>0</v>
      </c>
      <c r="U2290">
        <f>ROUND((175/100)*ROUND([1]Source!R2170, 2), 2)</f>
        <v>0</v>
      </c>
      <c r="V2290">
        <f>ROUND((0/100)*ROUND([1]Source!R2171, 2), 2)</f>
        <v>0</v>
      </c>
      <c r="AC2290">
        <v>3</v>
      </c>
    </row>
    <row r="2291" spans="1:29" ht="13.8" hidden="1" x14ac:dyDescent="0.25">
      <c r="C2291" s="39" t="s">
        <v>49</v>
      </c>
      <c r="H2291" s="40">
        <f>I2290+0</f>
        <v>11383.75</v>
      </c>
      <c r="I2291" s="40"/>
      <c r="J2291" s="40">
        <f>K2290+0</f>
        <v>112016.1</v>
      </c>
      <c r="K2291" s="40"/>
      <c r="O2291" s="42">
        <f>I2290+0</f>
        <v>11383.75</v>
      </c>
      <c r="P2291" s="42">
        <f>K2290+0</f>
        <v>112016.1</v>
      </c>
    </row>
    <row r="2292" spans="1:29" hidden="1" x14ac:dyDescent="0.25"/>
    <row r="2293" spans="1:29" ht="345" x14ac:dyDescent="0.25">
      <c r="A2293" s="53">
        <v>258</v>
      </c>
      <c r="B2293" s="53" t="str">
        <f>[1]Source!F2172</f>
        <v>КА 177</v>
      </c>
      <c r="C2293" s="53" t="s">
        <v>536</v>
      </c>
      <c r="D2293" s="54"/>
      <c r="E2293" s="55"/>
      <c r="F2293" s="30"/>
      <c r="G2293" s="31"/>
      <c r="H2293" s="29"/>
      <c r="I2293" s="30"/>
      <c r="J2293" s="29"/>
      <c r="K2293" s="56"/>
      <c r="M2293" s="50">
        <f t="shared" ref="M2293:M2294" si="31">L2293*E2293</f>
        <v>0</v>
      </c>
      <c r="N2293" s="59" t="s">
        <v>180</v>
      </c>
    </row>
    <row r="2294" spans="1:29" ht="40.200000000000003" x14ac:dyDescent="0.25">
      <c r="A2294" s="46"/>
      <c r="B2294" s="46"/>
      <c r="C2294" s="46" t="s">
        <v>535</v>
      </c>
      <c r="D2294" s="47" t="str">
        <f>[1]Source!H2172</f>
        <v>ШТ</v>
      </c>
      <c r="E2294" s="48">
        <f>[1]Source!I2172</f>
        <v>1</v>
      </c>
      <c r="F2294" s="49">
        <f>[1]Source!AL2172</f>
        <v>11383.75</v>
      </c>
      <c r="G2294" s="60"/>
      <c r="H2294" s="48">
        <f>[1]Source!AW2173</f>
        <v>1</v>
      </c>
      <c r="I2294" s="49">
        <f>[1]Source!P2172</f>
        <v>11383.75</v>
      </c>
      <c r="J2294" s="48">
        <f>IF([1]Source!BC2173&lt;&gt; 0, [1]Source!BC2173, 1)</f>
        <v>9.84</v>
      </c>
      <c r="K2294" s="49">
        <f>[1]Source!P2173</f>
        <v>112016.1</v>
      </c>
      <c r="L2294">
        <v>113980</v>
      </c>
      <c r="M2294" s="50">
        <f t="shared" si="31"/>
        <v>113980</v>
      </c>
      <c r="N2294" s="59" t="s">
        <v>180</v>
      </c>
      <c r="Q2294">
        <f>[1]Source!X2172</f>
        <v>0</v>
      </c>
      <c r="R2294">
        <f>[1]Source!X2173</f>
        <v>0</v>
      </c>
      <c r="S2294">
        <f>[1]Source!Y2172</f>
        <v>0</v>
      </c>
      <c r="T2294">
        <f>[1]Source!Y2173</f>
        <v>0</v>
      </c>
      <c r="U2294">
        <f>ROUND((175/100)*ROUND([1]Source!R2172, 2), 2)</f>
        <v>0</v>
      </c>
      <c r="V2294">
        <f>ROUND((0/100)*ROUND([1]Source!R2173, 2), 2)</f>
        <v>0</v>
      </c>
      <c r="AC2294">
        <v>3</v>
      </c>
    </row>
    <row r="2295" spans="1:29" ht="13.8" hidden="1" x14ac:dyDescent="0.25">
      <c r="C2295" s="39" t="s">
        <v>49</v>
      </c>
      <c r="H2295" s="40">
        <f>I2294+0</f>
        <v>11383.75</v>
      </c>
      <c r="I2295" s="40"/>
      <c r="J2295" s="40">
        <f>K2294+0</f>
        <v>112016.1</v>
      </c>
      <c r="K2295" s="40"/>
      <c r="O2295" s="42">
        <f>I2294+0</f>
        <v>11383.75</v>
      </c>
      <c r="P2295" s="42">
        <f>K2294+0</f>
        <v>112016.1</v>
      </c>
    </row>
    <row r="2296" spans="1:29" hidden="1" x14ac:dyDescent="0.25"/>
    <row r="2297" spans="1:29" ht="41.4" hidden="1" x14ac:dyDescent="0.25">
      <c r="A2297" s="27">
        <v>259</v>
      </c>
      <c r="B2297" s="27" t="str">
        <f>[1]Source!F2174</f>
        <v>3.70-434-1</v>
      </c>
      <c r="C2297" s="27" t="s">
        <v>426</v>
      </c>
      <c r="D2297" s="28" t="str">
        <f>[1]Source!H2174</f>
        <v>100 шт.</v>
      </c>
      <c r="E2297" s="29">
        <f>[1]Source!I2174</f>
        <v>1.69</v>
      </c>
      <c r="F2297" s="30"/>
      <c r="G2297" s="31"/>
      <c r="H2297" s="29"/>
      <c r="I2297" s="30"/>
      <c r="J2297" s="29"/>
      <c r="K2297" s="30"/>
      <c r="Q2297">
        <f>[1]Source!X2174</f>
        <v>416.52</v>
      </c>
      <c r="R2297">
        <f>[1]Source!X2175</f>
        <v>23471.040000000001</v>
      </c>
      <c r="S2297">
        <f>[1]Source!Y2174</f>
        <v>262.81</v>
      </c>
      <c r="T2297">
        <f>[1]Source!Y2175</f>
        <v>14809.11</v>
      </c>
      <c r="U2297">
        <f>ROUND((175/100)*ROUND([1]Source!R2174, 2), 2)</f>
        <v>10.96</v>
      </c>
      <c r="V2297">
        <f>ROUND((0/100)*ROUND([1]Source!R2175, 2), 2)</f>
        <v>0</v>
      </c>
      <c r="AC2297">
        <v>0</v>
      </c>
    </row>
    <row r="2298" spans="1:29" hidden="1" x14ac:dyDescent="0.25">
      <c r="C2298" s="32" t="str">
        <f>"Объем: "&amp;[1]Source!I2174&amp;"=169/"&amp;"100"</f>
        <v>Объем: 1,69=169/100</v>
      </c>
    </row>
    <row r="2299" spans="1:29" ht="14.4" hidden="1" x14ac:dyDescent="0.25">
      <c r="A2299" s="27"/>
      <c r="B2299" s="27"/>
      <c r="C2299" s="27" t="s">
        <v>36</v>
      </c>
      <c r="D2299" s="28"/>
      <c r="E2299" s="29"/>
      <c r="F2299" s="30">
        <f>[1]Source!AO2174</f>
        <v>193.13</v>
      </c>
      <c r="G2299" s="31" t="s">
        <v>37</v>
      </c>
      <c r="H2299" s="29">
        <f>[1]Source!AV2175</f>
        <v>1.087</v>
      </c>
      <c r="I2299" s="30">
        <f>[1]Source!S2174</f>
        <v>489.6</v>
      </c>
      <c r="J2299" s="29">
        <f>IF([1]Source!BA2175&lt;&gt; 0, [1]Source!BA2175, 1)</f>
        <v>56.35</v>
      </c>
      <c r="K2299" s="30">
        <f>[1]Source!S2175</f>
        <v>27588.959999999999</v>
      </c>
    </row>
    <row r="2300" spans="1:29" ht="14.4" hidden="1" x14ac:dyDescent="0.25">
      <c r="A2300" s="27"/>
      <c r="B2300" s="27"/>
      <c r="C2300" s="27" t="s">
        <v>38</v>
      </c>
      <c r="D2300" s="28"/>
      <c r="E2300" s="29"/>
      <c r="F2300" s="30">
        <f>[1]Source!AM2174</f>
        <v>18.690000000000001</v>
      </c>
      <c r="G2300" s="31" t="s">
        <v>39</v>
      </c>
      <c r="H2300" s="29">
        <f>[1]Source!AV2175</f>
        <v>1.087</v>
      </c>
      <c r="I2300" s="30">
        <f>[1]Source!Q2174</f>
        <v>51.5</v>
      </c>
      <c r="J2300" s="29">
        <f>IF([1]Source!BB2175&lt;&gt; 0, [1]Source!BB2175, 1)</f>
        <v>15.58</v>
      </c>
      <c r="K2300" s="30">
        <f>[1]Source!Q2175</f>
        <v>802.37</v>
      </c>
    </row>
    <row r="2301" spans="1:29" ht="14.4" hidden="1" x14ac:dyDescent="0.25">
      <c r="A2301" s="27"/>
      <c r="B2301" s="27"/>
      <c r="C2301" s="27" t="s">
        <v>40</v>
      </c>
      <c r="D2301" s="28"/>
      <c r="E2301" s="29"/>
      <c r="F2301" s="30">
        <f>[1]Source!AN2174</f>
        <v>2.27</v>
      </c>
      <c r="G2301" s="31" t="s">
        <v>39</v>
      </c>
      <c r="H2301" s="29">
        <f>[1]Source!AV2175</f>
        <v>1.087</v>
      </c>
      <c r="I2301" s="33">
        <f>[1]Source!R2174</f>
        <v>6.26</v>
      </c>
      <c r="J2301" s="29">
        <f>IF([1]Source!BS2175&lt;&gt; 0, [1]Source!BS2175, 1)</f>
        <v>56.35</v>
      </c>
      <c r="K2301" s="33">
        <f>[1]Source!R2175</f>
        <v>352.75</v>
      </c>
    </row>
    <row r="2302" spans="1:29" ht="14.4" hidden="1" x14ac:dyDescent="0.25">
      <c r="A2302" s="27"/>
      <c r="B2302" s="27"/>
      <c r="C2302" s="27" t="s">
        <v>41</v>
      </c>
      <c r="D2302" s="28"/>
      <c r="E2302" s="29"/>
      <c r="F2302" s="30">
        <f>[1]Source!AL2174</f>
        <v>132.34</v>
      </c>
      <c r="G2302" s="31"/>
      <c r="H2302" s="29">
        <f>[1]Source!AW2175</f>
        <v>1</v>
      </c>
      <c r="I2302" s="30">
        <f>[1]Source!P2174</f>
        <v>223.65</v>
      </c>
      <c r="J2302" s="29">
        <f>IF([1]Source!BC2175&lt;&gt; 0, [1]Source!BC2175, 1)</f>
        <v>3.46</v>
      </c>
      <c r="K2302" s="30">
        <f>[1]Source!P2175</f>
        <v>773.83</v>
      </c>
    </row>
    <row r="2303" spans="1:29" ht="27.6" hidden="1" x14ac:dyDescent="0.25">
      <c r="A2303" s="27" t="s">
        <v>537</v>
      </c>
      <c r="B2303" s="27" t="str">
        <f>[1]Source!F2176</f>
        <v>1.8-1-74</v>
      </c>
      <c r="C2303" s="27" t="s">
        <v>538</v>
      </c>
      <c r="D2303" s="28" t="str">
        <f>[1]Source!H2176</f>
        <v>шт.</v>
      </c>
      <c r="E2303" s="29">
        <f>[1]Source!I2176</f>
        <v>169</v>
      </c>
      <c r="F2303" s="30">
        <f>[1]Source!AK2176</f>
        <v>269.43</v>
      </c>
      <c r="G2303" s="43" t="s">
        <v>54</v>
      </c>
      <c r="H2303" s="29">
        <f>[1]Source!AW2177</f>
        <v>1</v>
      </c>
      <c r="I2303" s="30">
        <f>[1]Source!O2176</f>
        <v>45533.67</v>
      </c>
      <c r="J2303" s="29">
        <f>IF([1]Source!BC2177&lt;&gt; 0, [1]Source!BC2177, 1)</f>
        <v>9.3000000000000007</v>
      </c>
      <c r="K2303" s="30">
        <f>[1]Source!O2177</f>
        <v>423463.13</v>
      </c>
      <c r="Q2303">
        <f>[1]Source!X2176</f>
        <v>0</v>
      </c>
      <c r="R2303">
        <f>[1]Source!X2177</f>
        <v>0</v>
      </c>
      <c r="S2303">
        <f>[1]Source!Y2176</f>
        <v>0</v>
      </c>
      <c r="T2303">
        <f>[1]Source!Y2177</f>
        <v>0</v>
      </c>
      <c r="U2303">
        <f>ROUND((175/100)*ROUND([1]Source!R2176, 2), 2)</f>
        <v>0</v>
      </c>
      <c r="V2303">
        <f>ROUND((0/100)*ROUND([1]Source!R2177, 2), 2)</f>
        <v>0</v>
      </c>
      <c r="AC2303">
        <v>3</v>
      </c>
    </row>
    <row r="2304" spans="1:29" ht="14.4" hidden="1" x14ac:dyDescent="0.25">
      <c r="A2304" s="27"/>
      <c r="B2304" s="27"/>
      <c r="C2304" s="27" t="s">
        <v>42</v>
      </c>
      <c r="D2304" s="28" t="s">
        <v>43</v>
      </c>
      <c r="E2304" s="29">
        <f>[1]Source!BZ2175</f>
        <v>84</v>
      </c>
      <c r="F2304" s="30"/>
      <c r="G2304" s="31"/>
      <c r="H2304" s="29"/>
      <c r="I2304" s="30">
        <f>SUM(Q2297:Q2303)</f>
        <v>416.52</v>
      </c>
      <c r="J2304" s="29">
        <f>[1]Source!AT2175</f>
        <v>84</v>
      </c>
      <c r="K2304" s="30">
        <f>SUM(R2297:R2303)</f>
        <v>23471.040000000001</v>
      </c>
    </row>
    <row r="2305" spans="1:29" ht="14.4" hidden="1" x14ac:dyDescent="0.25">
      <c r="A2305" s="27"/>
      <c r="B2305" s="27"/>
      <c r="C2305" s="27" t="s">
        <v>44</v>
      </c>
      <c r="D2305" s="28" t="s">
        <v>43</v>
      </c>
      <c r="E2305" s="29">
        <f>[1]Source!CA2175</f>
        <v>53</v>
      </c>
      <c r="F2305" s="30"/>
      <c r="G2305" s="31"/>
      <c r="H2305" s="29"/>
      <c r="I2305" s="30">
        <f>SUM(S2297:S2304)</f>
        <v>262.81</v>
      </c>
      <c r="J2305" s="29">
        <f>[1]Source!AU2175</f>
        <v>53</v>
      </c>
      <c r="K2305" s="30">
        <f>SUM(T2297:T2304)</f>
        <v>14809.11</v>
      </c>
    </row>
    <row r="2306" spans="1:29" ht="14.4" hidden="1" x14ac:dyDescent="0.25">
      <c r="A2306" s="34"/>
      <c r="B2306" s="34"/>
      <c r="C2306" s="34" t="s">
        <v>45</v>
      </c>
      <c r="D2306" s="35" t="s">
        <v>46</v>
      </c>
      <c r="E2306" s="36">
        <f>[1]Source!AQ2174</f>
        <v>11.57</v>
      </c>
      <c r="F2306" s="37"/>
      <c r="G2306" s="38" t="s">
        <v>37</v>
      </c>
      <c r="H2306" s="36">
        <f>[1]Source!AV2175</f>
        <v>1.087</v>
      </c>
      <c r="I2306" s="37">
        <f>[1]Source!U2174</f>
        <v>29.331123197999997</v>
      </c>
      <c r="J2306" s="36"/>
      <c r="K2306" s="37"/>
    </row>
    <row r="2307" spans="1:29" ht="13.8" hidden="1" x14ac:dyDescent="0.25">
      <c r="C2307" s="39" t="s">
        <v>47</v>
      </c>
      <c r="H2307" s="40">
        <f>I2299+I2300+I2302+I2304+I2305+SUM(I2303:I2303)-SUMIF(AC2303:AC2303, 5, I2303:I2303)-SUMIF(AC2303:AC2303, 6, I2303:I2303)</f>
        <v>46977.75</v>
      </c>
      <c r="I2307" s="40"/>
      <c r="J2307" s="40">
        <f>K2299+K2300+K2302+K2304+K2305+SUM(K2303:K2303)-SUMIF(AC2303:AC2303, 5, K2303:K2303)-SUMIF(AC2303:AC2303, 6, K2303:K2303)</f>
        <v>490908.44</v>
      </c>
      <c r="K2307" s="40"/>
    </row>
    <row r="2308" spans="1:29" ht="13.8" hidden="1" x14ac:dyDescent="0.25">
      <c r="C2308" s="39" t="s">
        <v>48</v>
      </c>
      <c r="H2308" s="41">
        <f>SUMIF(AC2303:AC2303, 5, I2303:I2303)+SUMIF(AC2303:AC2303, 6, I2303:I2303)</f>
        <v>0</v>
      </c>
      <c r="I2308" s="41"/>
      <c r="J2308" s="41">
        <f>SUMIF(AC2303:AC2303, 5, K2303:K2303)+SUMIF(AC2303:AC2303, 6, K2303:K2303)</f>
        <v>0</v>
      </c>
      <c r="K2308" s="41"/>
    </row>
    <row r="2309" spans="1:29" ht="13.8" hidden="1" x14ac:dyDescent="0.25">
      <c r="C2309" s="39" t="s">
        <v>49</v>
      </c>
      <c r="H2309" s="41">
        <f>I2299+I2300+I2302+I2304+I2305+SUM(I2303:I2303)</f>
        <v>46977.75</v>
      </c>
      <c r="I2309" s="41"/>
      <c r="J2309" s="41">
        <f>K2299+K2300+K2302+K2304+K2305+SUM(K2303:K2303)</f>
        <v>490908.44</v>
      </c>
      <c r="K2309" s="41"/>
      <c r="O2309" s="42">
        <f>I2299+I2300+I2302+I2304+I2305+SUM(I2303:I2303)</f>
        <v>46977.75</v>
      </c>
      <c r="P2309" s="42">
        <f>K2299+K2300+K2302+K2304+K2305+SUM(K2303:K2303)</f>
        <v>490908.44</v>
      </c>
    </row>
    <row r="2310" spans="1:29" hidden="1" x14ac:dyDescent="0.25"/>
    <row r="2311" spans="1:29" hidden="1" x14ac:dyDescent="0.25"/>
    <row r="2312" spans="1:29" ht="13.8" hidden="1" x14ac:dyDescent="0.25">
      <c r="A2312" s="44" t="str">
        <f>CONCATENATE("Итого по подразделу: ",IF([1]Source!G2179&lt;&gt;"Новый подраздел", [1]Source!G2179, ""))</f>
        <v>Итого по подразделу: Алюминиевые двери.</v>
      </c>
      <c r="B2312" s="44"/>
      <c r="C2312" s="44"/>
      <c r="D2312" s="44"/>
      <c r="E2312" s="44"/>
      <c r="F2312" s="44"/>
      <c r="G2312" s="44"/>
      <c r="H2312" s="41">
        <f>SUM(O2141:O2311)</f>
        <v>886267.73999999987</v>
      </c>
      <c r="I2312" s="45"/>
      <c r="J2312" s="41">
        <f>SUM(P2141:P2311)</f>
        <v>9595960.8099999987</v>
      </c>
      <c r="K2312" s="45"/>
    </row>
    <row r="2313" spans="1:29" hidden="1" x14ac:dyDescent="0.25">
      <c r="A2313" t="s">
        <v>55</v>
      </c>
      <c r="I2313">
        <f>SUM(W2141:W2312)</f>
        <v>0</v>
      </c>
      <c r="J2313">
        <f>SUM(X2141:X2312)</f>
        <v>0</v>
      </c>
    </row>
    <row r="2314" spans="1:29" hidden="1" x14ac:dyDescent="0.25">
      <c r="A2314" t="s">
        <v>56</v>
      </c>
      <c r="I2314">
        <f>SUM(Y2141:Y2313)</f>
        <v>0</v>
      </c>
      <c r="J2314">
        <f>SUM(Z2141:Z2313)</f>
        <v>0</v>
      </c>
    </row>
    <row r="2315" spans="1:29" hidden="1" x14ac:dyDescent="0.25"/>
    <row r="2316" spans="1:29" ht="16.8" hidden="1" x14ac:dyDescent="0.25">
      <c r="A2316" s="11" t="str">
        <f>CONCATENATE("Подраздел: ",IF([1]Source!G2209&lt;&gt;"Новый подраздел", [1]Source!G2209, ""))</f>
        <v>Подраздел: Металлические двери</v>
      </c>
      <c r="B2316" s="11"/>
      <c r="C2316" s="11"/>
      <c r="D2316" s="11"/>
      <c r="E2316" s="11"/>
      <c r="F2316" s="11"/>
      <c r="G2316" s="11"/>
      <c r="H2316" s="11"/>
      <c r="I2316" s="11"/>
      <c r="J2316" s="11"/>
      <c r="K2316" s="11"/>
    </row>
    <row r="2317" spans="1:29" ht="41.4" hidden="1" x14ac:dyDescent="0.25">
      <c r="A2317" s="27">
        <v>260</v>
      </c>
      <c r="B2317" s="27" t="str">
        <f>[1]Source!F2213</f>
        <v>3.20-26-5</v>
      </c>
      <c r="C2317" s="27" t="s">
        <v>539</v>
      </c>
      <c r="D2317" s="28" t="str">
        <f>[1]Source!H2213</f>
        <v>1ШТ.</v>
      </c>
      <c r="E2317" s="29">
        <f>[1]Source!I2213</f>
        <v>1</v>
      </c>
      <c r="F2317" s="30"/>
      <c r="G2317" s="31"/>
      <c r="H2317" s="29"/>
      <c r="I2317" s="30"/>
      <c r="J2317" s="29"/>
      <c r="K2317" s="30"/>
      <c r="Q2317">
        <f>[1]Source!X2213</f>
        <v>43.7</v>
      </c>
      <c r="R2317">
        <f>[1]Source!X2214</f>
        <v>2462.39</v>
      </c>
      <c r="S2317">
        <f>[1]Source!Y2213</f>
        <v>24.45</v>
      </c>
      <c r="T2317">
        <f>[1]Source!Y2214</f>
        <v>1378.03</v>
      </c>
      <c r="U2317">
        <f>ROUND((175/100)*ROUND([1]Source!R2213, 2), 2)</f>
        <v>2.14</v>
      </c>
      <c r="V2317">
        <f>ROUND((0/100)*ROUND([1]Source!R2214, 2), 2)</f>
        <v>0</v>
      </c>
      <c r="AC2317">
        <v>0</v>
      </c>
    </row>
    <row r="2318" spans="1:29" ht="14.4" hidden="1" x14ac:dyDescent="0.25">
      <c r="A2318" s="27"/>
      <c r="B2318" s="27"/>
      <c r="C2318" s="27" t="s">
        <v>36</v>
      </c>
      <c r="D2318" s="28"/>
      <c r="E2318" s="29"/>
      <c r="F2318" s="30">
        <f>[1]Source!AO2213</f>
        <v>26.4</v>
      </c>
      <c r="G2318" s="31" t="s">
        <v>37</v>
      </c>
      <c r="H2318" s="29">
        <f>[1]Source!AV2214</f>
        <v>1.0669999999999999</v>
      </c>
      <c r="I2318" s="30">
        <f>[1]Source!S2213</f>
        <v>38.869999999999997</v>
      </c>
      <c r="J2318" s="29">
        <f>IF([1]Source!BA2214&lt;&gt; 0, [1]Source!BA2214, 1)</f>
        <v>56.35</v>
      </c>
      <c r="K2318" s="30">
        <f>[1]Source!S2214</f>
        <v>2190.3200000000002</v>
      </c>
    </row>
    <row r="2319" spans="1:29" ht="14.4" hidden="1" x14ac:dyDescent="0.25">
      <c r="A2319" s="27"/>
      <c r="B2319" s="27"/>
      <c r="C2319" s="27" t="s">
        <v>38</v>
      </c>
      <c r="D2319" s="28"/>
      <c r="E2319" s="29"/>
      <c r="F2319" s="30">
        <f>[1]Source!AM2213</f>
        <v>10.11</v>
      </c>
      <c r="G2319" s="31" t="s">
        <v>39</v>
      </c>
      <c r="H2319" s="29">
        <f>[1]Source!AV2214</f>
        <v>1.0669999999999999</v>
      </c>
      <c r="I2319" s="30">
        <f>[1]Source!Q2213</f>
        <v>16.18</v>
      </c>
      <c r="J2319" s="29">
        <f>IF([1]Source!BB2214&lt;&gt; 0, [1]Source!BB2214, 1)</f>
        <v>15.23</v>
      </c>
      <c r="K2319" s="30">
        <f>[1]Source!Q2214</f>
        <v>246.42</v>
      </c>
    </row>
    <row r="2320" spans="1:29" ht="14.4" hidden="1" x14ac:dyDescent="0.25">
      <c r="A2320" s="27"/>
      <c r="B2320" s="27"/>
      <c r="C2320" s="27" t="s">
        <v>40</v>
      </c>
      <c r="D2320" s="28"/>
      <c r="E2320" s="29"/>
      <c r="F2320" s="30">
        <f>[1]Source!AN2213</f>
        <v>0.76</v>
      </c>
      <c r="G2320" s="31" t="s">
        <v>39</v>
      </c>
      <c r="H2320" s="29">
        <f>[1]Source!AV2214</f>
        <v>1.0669999999999999</v>
      </c>
      <c r="I2320" s="33">
        <f>[1]Source!R2213</f>
        <v>1.22</v>
      </c>
      <c r="J2320" s="29">
        <f>IF([1]Source!BS2214&lt;&gt; 0, [1]Source!BS2214, 1)</f>
        <v>56.35</v>
      </c>
      <c r="K2320" s="33">
        <f>[1]Source!R2214</f>
        <v>68.75</v>
      </c>
    </row>
    <row r="2321" spans="1:29" ht="14.4" hidden="1" x14ac:dyDescent="0.25">
      <c r="A2321" s="27"/>
      <c r="B2321" s="27"/>
      <c r="C2321" s="27" t="s">
        <v>41</v>
      </c>
      <c r="D2321" s="28"/>
      <c r="E2321" s="29"/>
      <c r="F2321" s="30">
        <f>[1]Source!AL2213</f>
        <v>79.45</v>
      </c>
      <c r="G2321" s="31"/>
      <c r="H2321" s="29">
        <f>[1]Source!AW2214</f>
        <v>1</v>
      </c>
      <c r="I2321" s="30">
        <f>[1]Source!P2213</f>
        <v>79.45</v>
      </c>
      <c r="J2321" s="29">
        <f>IF([1]Source!BC2214&lt;&gt; 0, [1]Source!BC2214, 1)</f>
        <v>7.56</v>
      </c>
      <c r="K2321" s="30">
        <f>[1]Source!P2214</f>
        <v>600.64</v>
      </c>
    </row>
    <row r="2322" spans="1:29" ht="69" hidden="1" x14ac:dyDescent="0.25">
      <c r="A2322" s="27" t="s">
        <v>540</v>
      </c>
      <c r="B2322" s="27" t="str">
        <f>[1]Source!F2215</f>
        <v>1.7-2-13</v>
      </c>
      <c r="C2322" s="27" t="s">
        <v>541</v>
      </c>
      <c r="D2322" s="28" t="str">
        <f>[1]Source!H2215</f>
        <v>шт.</v>
      </c>
      <c r="E2322" s="29">
        <f>[1]Source!I2215</f>
        <v>1</v>
      </c>
      <c r="F2322" s="30">
        <f>[1]Source!AK2215</f>
        <v>1143.73</v>
      </c>
      <c r="G2322" s="43" t="s">
        <v>54</v>
      </c>
      <c r="H2322" s="29">
        <f>[1]Source!AW2216</f>
        <v>1</v>
      </c>
      <c r="I2322" s="30">
        <f>[1]Source!O2215</f>
        <v>1143.73</v>
      </c>
      <c r="J2322" s="29">
        <f>IF([1]Source!BC2216&lt;&gt; 0, [1]Source!BC2216, 1)</f>
        <v>10.58</v>
      </c>
      <c r="K2322" s="30">
        <f>[1]Source!O2216</f>
        <v>12100.66</v>
      </c>
      <c r="Q2322">
        <f>[1]Source!X2215</f>
        <v>0</v>
      </c>
      <c r="R2322">
        <f>[1]Source!X2216</f>
        <v>0</v>
      </c>
      <c r="S2322">
        <f>[1]Source!Y2215</f>
        <v>0</v>
      </c>
      <c r="T2322">
        <f>[1]Source!Y2216</f>
        <v>0</v>
      </c>
      <c r="U2322">
        <f>ROUND((175/100)*ROUND([1]Source!R2215, 2), 2)</f>
        <v>0</v>
      </c>
      <c r="V2322">
        <f>ROUND((0/100)*ROUND([1]Source!R2216, 2), 2)</f>
        <v>0</v>
      </c>
      <c r="AC2322">
        <v>3</v>
      </c>
    </row>
    <row r="2323" spans="1:29" ht="14.4" hidden="1" x14ac:dyDescent="0.25">
      <c r="A2323" s="27"/>
      <c r="B2323" s="27"/>
      <c r="C2323" s="27" t="s">
        <v>42</v>
      </c>
      <c r="D2323" s="28" t="s">
        <v>43</v>
      </c>
      <c r="E2323" s="29">
        <f>[1]Source!BZ2214</f>
        <v>109</v>
      </c>
      <c r="F2323" s="30"/>
      <c r="G2323" s="31"/>
      <c r="H2323" s="29"/>
      <c r="I2323" s="30">
        <f>SUM(Q2317:Q2322)</f>
        <v>43.7</v>
      </c>
      <c r="J2323" s="29">
        <f>[1]Source!AT2214</f>
        <v>109</v>
      </c>
      <c r="K2323" s="30">
        <f>SUM(R2317:R2322)</f>
        <v>2462.39</v>
      </c>
    </row>
    <row r="2324" spans="1:29" ht="14.4" hidden="1" x14ac:dyDescent="0.25">
      <c r="A2324" s="27"/>
      <c r="B2324" s="27"/>
      <c r="C2324" s="27" t="s">
        <v>44</v>
      </c>
      <c r="D2324" s="28" t="s">
        <v>43</v>
      </c>
      <c r="E2324" s="29">
        <f>[1]Source!CA2214</f>
        <v>61</v>
      </c>
      <c r="F2324" s="30"/>
      <c r="G2324" s="31"/>
      <c r="H2324" s="29"/>
      <c r="I2324" s="30">
        <f>SUM(S2317:S2323)</f>
        <v>24.45</v>
      </c>
      <c r="J2324" s="29">
        <f>[1]Source!AU2214</f>
        <v>61</v>
      </c>
      <c r="K2324" s="30">
        <f>SUM(T2317:T2323)</f>
        <v>1378.03</v>
      </c>
    </row>
    <row r="2325" spans="1:29" ht="14.4" hidden="1" x14ac:dyDescent="0.25">
      <c r="A2325" s="34"/>
      <c r="B2325" s="34"/>
      <c r="C2325" s="34" t="s">
        <v>45</v>
      </c>
      <c r="D2325" s="35" t="s">
        <v>46</v>
      </c>
      <c r="E2325" s="36">
        <f>[1]Source!AQ2213</f>
        <v>2</v>
      </c>
      <c r="F2325" s="37"/>
      <c r="G2325" s="38" t="s">
        <v>37</v>
      </c>
      <c r="H2325" s="36">
        <f>[1]Source!AV2214</f>
        <v>1.0669999999999999</v>
      </c>
      <c r="I2325" s="37">
        <f>[1]Source!U2213</f>
        <v>2.9449199999999998</v>
      </c>
      <c r="J2325" s="36"/>
      <c r="K2325" s="37"/>
    </row>
    <row r="2326" spans="1:29" ht="13.8" hidden="1" x14ac:dyDescent="0.25">
      <c r="C2326" s="39" t="s">
        <v>47</v>
      </c>
      <c r="H2326" s="40">
        <f>I2318+I2319+I2321+I2323+I2324+SUM(I2322:I2322)-SUMIF(AC2322:AC2322, 5, I2322:I2322)-SUMIF(AC2322:AC2322, 6, I2322:I2322)</f>
        <v>1346.38</v>
      </c>
      <c r="I2326" s="40"/>
      <c r="J2326" s="40">
        <f>K2318+K2319+K2321+K2323+K2324+SUM(K2322:K2322)-SUMIF(AC2322:AC2322, 5, K2322:K2322)-SUMIF(AC2322:AC2322, 6, K2322:K2322)</f>
        <v>18978.46</v>
      </c>
      <c r="K2326" s="40"/>
    </row>
    <row r="2327" spans="1:29" ht="13.8" hidden="1" x14ac:dyDescent="0.25">
      <c r="C2327" s="39" t="s">
        <v>48</v>
      </c>
      <c r="H2327" s="41">
        <f>SUMIF(AC2322:AC2322, 5, I2322:I2322)+SUMIF(AC2322:AC2322, 6, I2322:I2322)</f>
        <v>0</v>
      </c>
      <c r="I2327" s="41"/>
      <c r="J2327" s="41">
        <f>SUMIF(AC2322:AC2322, 5, K2322:K2322)+SUMIF(AC2322:AC2322, 6, K2322:K2322)</f>
        <v>0</v>
      </c>
      <c r="K2327" s="41"/>
    </row>
    <row r="2328" spans="1:29" ht="13.8" hidden="1" x14ac:dyDescent="0.25">
      <c r="C2328" s="39" t="s">
        <v>49</v>
      </c>
      <c r="H2328" s="41">
        <f>I2318+I2319+I2321+I2323+I2324+SUM(I2322:I2322)</f>
        <v>1346.38</v>
      </c>
      <c r="I2328" s="41"/>
      <c r="J2328" s="41">
        <f>K2318+K2319+K2321+K2323+K2324+SUM(K2322:K2322)</f>
        <v>18978.46</v>
      </c>
      <c r="K2328" s="41"/>
      <c r="O2328" s="42">
        <f>I2318+I2319+I2321+I2323+I2324+SUM(I2322:I2322)</f>
        <v>1346.38</v>
      </c>
      <c r="P2328" s="42">
        <f>K2318+K2319+K2321+K2323+K2324+SUM(K2322:K2322)</f>
        <v>18978.46</v>
      </c>
    </row>
    <row r="2329" spans="1:29" hidden="1" x14ac:dyDescent="0.25"/>
    <row r="2330" spans="1:29" ht="41.4" hidden="1" x14ac:dyDescent="0.25">
      <c r="A2330" s="27">
        <v>261</v>
      </c>
      <c r="B2330" s="27" t="str">
        <f>[1]Source!F2217</f>
        <v>3.70-44-1</v>
      </c>
      <c r="C2330" s="27" t="s">
        <v>429</v>
      </c>
      <c r="D2330" s="28" t="str">
        <f>[1]Source!H2217</f>
        <v>10 шт.</v>
      </c>
      <c r="E2330" s="29">
        <f>[1]Source!I2217</f>
        <v>3.6</v>
      </c>
      <c r="F2330" s="30"/>
      <c r="G2330" s="31"/>
      <c r="H2330" s="29"/>
      <c r="I2330" s="30"/>
      <c r="J2330" s="29"/>
      <c r="K2330" s="30"/>
      <c r="Q2330">
        <f>[1]Source!X2217</f>
        <v>1336.1</v>
      </c>
      <c r="R2330">
        <f>[1]Source!X2218</f>
        <v>75289.460000000006</v>
      </c>
      <c r="S2330">
        <f>[1]Source!Y2217</f>
        <v>843.02</v>
      </c>
      <c r="T2330">
        <f>[1]Source!Y2218</f>
        <v>47504.06</v>
      </c>
      <c r="U2330">
        <f>ROUND((175/100)*ROUND([1]Source!R2217, 2), 2)</f>
        <v>176.28</v>
      </c>
      <c r="V2330">
        <f>ROUND((0/100)*ROUND([1]Source!R2218, 2), 2)</f>
        <v>0</v>
      </c>
      <c r="AC2330">
        <v>0</v>
      </c>
    </row>
    <row r="2331" spans="1:29" hidden="1" x14ac:dyDescent="0.25">
      <c r="C2331" s="32" t="str">
        <f>"Объем: "&amp;[1]Source!I2217&amp;"=(1+"&amp;"5+"&amp;"1+"&amp;"3+"&amp;"1+"&amp;"11+"&amp;"9+"&amp;"1+"&amp;"1+"&amp;"1+"&amp;"2)/"&amp;"10"</f>
        <v>Объем: 3,6=(1+5+1+3+1+11+9+1+1+1+2)/10</v>
      </c>
    </row>
    <row r="2332" spans="1:29" ht="14.4" hidden="1" x14ac:dyDescent="0.25">
      <c r="A2332" s="27"/>
      <c r="B2332" s="27"/>
      <c r="C2332" s="27" t="s">
        <v>36</v>
      </c>
      <c r="D2332" s="28"/>
      <c r="E2332" s="29"/>
      <c r="F2332" s="30">
        <f>[1]Source!AO2217</f>
        <v>275.89</v>
      </c>
      <c r="G2332" s="31" t="s">
        <v>37</v>
      </c>
      <c r="H2332" s="29">
        <f>[1]Source!AV2218</f>
        <v>1.087</v>
      </c>
      <c r="I2332" s="30">
        <f>[1]Source!S2217</f>
        <v>1489.87</v>
      </c>
      <c r="J2332" s="29">
        <f>IF([1]Source!BA2218&lt;&gt; 0, [1]Source!BA2218, 1)</f>
        <v>56.35</v>
      </c>
      <c r="K2332" s="30">
        <f>[1]Source!S2218</f>
        <v>83954.17</v>
      </c>
    </row>
    <row r="2333" spans="1:29" ht="14.4" hidden="1" x14ac:dyDescent="0.25">
      <c r="A2333" s="27"/>
      <c r="B2333" s="27"/>
      <c r="C2333" s="27" t="s">
        <v>38</v>
      </c>
      <c r="D2333" s="28"/>
      <c r="E2333" s="29"/>
      <c r="F2333" s="30">
        <f>[1]Source!AM2217</f>
        <v>113.73</v>
      </c>
      <c r="G2333" s="31" t="s">
        <v>39</v>
      </c>
      <c r="H2333" s="29">
        <f>[1]Source!AV2218</f>
        <v>1.087</v>
      </c>
      <c r="I2333" s="30">
        <f>[1]Source!Q2217</f>
        <v>667.57</v>
      </c>
      <c r="J2333" s="29">
        <f>IF([1]Source!BB2218&lt;&gt; 0, [1]Source!BB2218, 1)</f>
        <v>17.02</v>
      </c>
      <c r="K2333" s="30">
        <f>[1]Source!Q2218</f>
        <v>11362.04</v>
      </c>
    </row>
    <row r="2334" spans="1:29" ht="14.4" hidden="1" x14ac:dyDescent="0.25">
      <c r="A2334" s="27"/>
      <c r="B2334" s="27"/>
      <c r="C2334" s="27" t="s">
        <v>40</v>
      </c>
      <c r="D2334" s="28"/>
      <c r="E2334" s="29"/>
      <c r="F2334" s="30">
        <f>[1]Source!AN2217</f>
        <v>17.16</v>
      </c>
      <c r="G2334" s="31" t="s">
        <v>39</v>
      </c>
      <c r="H2334" s="29">
        <f>[1]Source!AV2218</f>
        <v>1.087</v>
      </c>
      <c r="I2334" s="33">
        <f>[1]Source!R2217</f>
        <v>100.73</v>
      </c>
      <c r="J2334" s="29">
        <f>IF([1]Source!BS2218&lt;&gt; 0, [1]Source!BS2218, 1)</f>
        <v>56.35</v>
      </c>
      <c r="K2334" s="33">
        <f>[1]Source!R2218</f>
        <v>5676.14</v>
      </c>
    </row>
    <row r="2335" spans="1:29" ht="14.4" hidden="1" x14ac:dyDescent="0.25">
      <c r="A2335" s="27"/>
      <c r="B2335" s="27"/>
      <c r="C2335" s="27" t="s">
        <v>41</v>
      </c>
      <c r="D2335" s="28"/>
      <c r="E2335" s="29"/>
      <c r="F2335" s="30">
        <f>[1]Source!AL2217</f>
        <v>487.88</v>
      </c>
      <c r="G2335" s="31"/>
      <c r="H2335" s="29">
        <f>[1]Source!AW2218</f>
        <v>1</v>
      </c>
      <c r="I2335" s="30">
        <f>[1]Source!P2217</f>
        <v>1756.37</v>
      </c>
      <c r="J2335" s="29">
        <f>IF([1]Source!BC2218&lt;&gt; 0, [1]Source!BC2218, 1)</f>
        <v>6.4</v>
      </c>
      <c r="K2335" s="30">
        <f>[1]Source!P2218</f>
        <v>11240.77</v>
      </c>
    </row>
    <row r="2336" spans="1:29" ht="14.4" hidden="1" x14ac:dyDescent="0.25">
      <c r="A2336" s="27"/>
      <c r="B2336" s="27"/>
      <c r="C2336" s="27" t="s">
        <v>42</v>
      </c>
      <c r="D2336" s="28" t="s">
        <v>43</v>
      </c>
      <c r="E2336" s="29">
        <f>[1]Source!BZ2218</f>
        <v>84</v>
      </c>
      <c r="F2336" s="30"/>
      <c r="G2336" s="31"/>
      <c r="H2336" s="29"/>
      <c r="I2336" s="30">
        <f>SUM(Q2330:Q2335)</f>
        <v>1336.1</v>
      </c>
      <c r="J2336" s="29">
        <f>[1]Source!AT2218</f>
        <v>84</v>
      </c>
      <c r="K2336" s="30">
        <f>SUM(R2330:R2335)</f>
        <v>75289.460000000006</v>
      </c>
    </row>
    <row r="2337" spans="1:29" ht="14.4" hidden="1" x14ac:dyDescent="0.25">
      <c r="A2337" s="27"/>
      <c r="B2337" s="27"/>
      <c r="C2337" s="27" t="s">
        <v>44</v>
      </c>
      <c r="D2337" s="28" t="s">
        <v>43</v>
      </c>
      <c r="E2337" s="29">
        <f>[1]Source!CA2218</f>
        <v>53</v>
      </c>
      <c r="F2337" s="30"/>
      <c r="G2337" s="31"/>
      <c r="H2337" s="29"/>
      <c r="I2337" s="30">
        <f>SUM(S2330:S2336)</f>
        <v>843.02</v>
      </c>
      <c r="J2337" s="29">
        <f>[1]Source!AU2218</f>
        <v>53</v>
      </c>
      <c r="K2337" s="30">
        <f>SUM(T2330:T2336)</f>
        <v>47504.06</v>
      </c>
    </row>
    <row r="2338" spans="1:29" ht="14.4" hidden="1" x14ac:dyDescent="0.25">
      <c r="A2338" s="34"/>
      <c r="B2338" s="34"/>
      <c r="C2338" s="34" t="s">
        <v>45</v>
      </c>
      <c r="D2338" s="35" t="s">
        <v>46</v>
      </c>
      <c r="E2338" s="36">
        <f>[1]Source!AQ2217</f>
        <v>18.38</v>
      </c>
      <c r="F2338" s="37"/>
      <c r="G2338" s="38" t="s">
        <v>37</v>
      </c>
      <c r="H2338" s="36">
        <f>[1]Source!AV2218</f>
        <v>1.087</v>
      </c>
      <c r="I2338" s="37">
        <f>[1]Source!U2217</f>
        <v>99.255970079999983</v>
      </c>
      <c r="J2338" s="36"/>
      <c r="K2338" s="37"/>
    </row>
    <row r="2339" spans="1:29" ht="13.8" hidden="1" x14ac:dyDescent="0.25">
      <c r="C2339" s="39" t="s">
        <v>47</v>
      </c>
      <c r="H2339" s="40">
        <f>I2332+I2333+I2335+I2336+I2337+0-0-0</f>
        <v>6092.93</v>
      </c>
      <c r="I2339" s="40"/>
      <c r="J2339" s="40">
        <f>K2332+K2333+K2335+K2336+K2337+0-0-0</f>
        <v>229350.5</v>
      </c>
      <c r="K2339" s="40"/>
    </row>
    <row r="2340" spans="1:29" ht="13.8" hidden="1" x14ac:dyDescent="0.25">
      <c r="C2340" s="39" t="s">
        <v>48</v>
      </c>
      <c r="H2340" s="41">
        <f>0+0</f>
        <v>0</v>
      </c>
      <c r="I2340" s="41"/>
      <c r="J2340" s="41">
        <f>0+0</f>
        <v>0</v>
      </c>
      <c r="K2340" s="41"/>
    </row>
    <row r="2341" spans="1:29" ht="13.8" hidden="1" x14ac:dyDescent="0.25">
      <c r="C2341" s="39" t="s">
        <v>49</v>
      </c>
      <c r="H2341" s="41">
        <f>I2332+I2333+I2335+I2336+I2337+0</f>
        <v>6092.93</v>
      </c>
      <c r="I2341" s="41"/>
      <c r="J2341" s="41">
        <f>K2332+K2333+K2335+K2336+K2337+0</f>
        <v>229350.5</v>
      </c>
      <c r="K2341" s="41"/>
      <c r="O2341" s="42">
        <f>I2332+I2333+I2335+I2336+I2337+0</f>
        <v>6092.93</v>
      </c>
      <c r="P2341" s="42">
        <f>K2332+K2333+K2335+K2336+K2337+0</f>
        <v>229350.5</v>
      </c>
    </row>
    <row r="2342" spans="1:29" hidden="1" x14ac:dyDescent="0.25"/>
    <row r="2343" spans="1:29" ht="41.4" hidden="1" x14ac:dyDescent="0.25">
      <c r="A2343" s="34">
        <v>262</v>
      </c>
      <c r="B2343" s="34" t="str">
        <f>[1]Source!F2219</f>
        <v>1.7-2-21</v>
      </c>
      <c r="C2343" s="34" t="s">
        <v>542</v>
      </c>
      <c r="D2343" s="35" t="str">
        <f>[1]Source!H2219</f>
        <v>шт.</v>
      </c>
      <c r="E2343" s="36">
        <f>[1]Source!I2219</f>
        <v>1</v>
      </c>
      <c r="F2343" s="37">
        <f>[1]Source!AL2219</f>
        <v>1016.67</v>
      </c>
      <c r="G2343" s="38"/>
      <c r="H2343" s="36">
        <f>[1]Source!AW2220</f>
        <v>1</v>
      </c>
      <c r="I2343" s="37">
        <f>[1]Source!P2219</f>
        <v>1016.67</v>
      </c>
      <c r="J2343" s="36">
        <f>IF([1]Source!BC2220&lt;&gt; 0, [1]Source!BC2220, 1)</f>
        <v>13.06</v>
      </c>
      <c r="K2343" s="37">
        <f>[1]Source!P2220</f>
        <v>13277.71</v>
      </c>
      <c r="Q2343">
        <f>[1]Source!X2219</f>
        <v>0</v>
      </c>
      <c r="R2343">
        <f>[1]Source!X2220</f>
        <v>0</v>
      </c>
      <c r="S2343">
        <f>[1]Source!Y2219</f>
        <v>0</v>
      </c>
      <c r="T2343">
        <f>[1]Source!Y2220</f>
        <v>0</v>
      </c>
      <c r="U2343">
        <f>ROUND((175/100)*ROUND([1]Source!R2219, 2), 2)</f>
        <v>0</v>
      </c>
      <c r="V2343">
        <f>ROUND((0/100)*ROUND([1]Source!R2220, 2), 2)</f>
        <v>0</v>
      </c>
      <c r="AC2343">
        <v>3</v>
      </c>
    </row>
    <row r="2344" spans="1:29" ht="13.8" hidden="1" x14ac:dyDescent="0.25">
      <c r="C2344" s="39" t="s">
        <v>49</v>
      </c>
      <c r="H2344" s="40">
        <f>I2343+0</f>
        <v>1016.67</v>
      </c>
      <c r="I2344" s="40"/>
      <c r="J2344" s="40">
        <f>K2343+0</f>
        <v>13277.71</v>
      </c>
      <c r="K2344" s="40"/>
      <c r="O2344" s="42">
        <f>I2343+0</f>
        <v>1016.67</v>
      </c>
      <c r="P2344" s="42">
        <f>K2343+0</f>
        <v>13277.71</v>
      </c>
    </row>
    <row r="2345" spans="1:29" hidden="1" x14ac:dyDescent="0.25"/>
    <row r="2346" spans="1:29" ht="124.2" hidden="1" x14ac:dyDescent="0.25">
      <c r="A2346" s="27">
        <v>263</v>
      </c>
      <c r="B2346" s="27" t="str">
        <f>[1]Source!F2221</f>
        <v>1.7-2-89</v>
      </c>
      <c r="C2346" s="27" t="s">
        <v>543</v>
      </c>
      <c r="D2346" s="28" t="str">
        <f>[1]Source!H2221</f>
        <v>т</v>
      </c>
      <c r="E2346" s="29">
        <f>[1]Source!I2221</f>
        <v>3.4649999999999999</v>
      </c>
      <c r="F2346" s="30">
        <f>[1]Source!AL2221</f>
        <v>45696.5</v>
      </c>
      <c r="G2346" s="31"/>
      <c r="H2346" s="29">
        <f>[1]Source!AW2222</f>
        <v>1</v>
      </c>
      <c r="I2346" s="30">
        <f>[1]Source!P2221</f>
        <v>158338.37</v>
      </c>
      <c r="J2346" s="29">
        <f>IF([1]Source!BC2222&lt;&gt; 0, [1]Source!BC2222, 1)</f>
        <v>3.22</v>
      </c>
      <c r="K2346" s="30">
        <f>[1]Source!P2222</f>
        <v>509849.55</v>
      </c>
      <c r="Q2346">
        <f>[1]Source!X2221</f>
        <v>0</v>
      </c>
      <c r="R2346">
        <f>[1]Source!X2222</f>
        <v>0</v>
      </c>
      <c r="S2346">
        <f>[1]Source!Y2221</f>
        <v>0</v>
      </c>
      <c r="T2346">
        <f>[1]Source!Y2222</f>
        <v>0</v>
      </c>
      <c r="U2346">
        <f>ROUND((175/100)*ROUND([1]Source!R2221, 2), 2)</f>
        <v>0</v>
      </c>
      <c r="V2346">
        <f>ROUND((0/100)*ROUND([1]Source!R2222, 2), 2)</f>
        <v>0</v>
      </c>
      <c r="AC2346">
        <v>3</v>
      </c>
    </row>
    <row r="2347" spans="1:29" hidden="1" x14ac:dyDescent="0.25">
      <c r="A2347" s="57"/>
      <c r="B2347" s="57"/>
      <c r="C2347" s="58" t="str">
        <f>"Объем: "&amp;[1]Source!I2221&amp;"=(5+"&amp;"1+"&amp;"3+"&amp;"1+"&amp;"11+"&amp;"9+"&amp;"1+"&amp;"1+"&amp;"1)*"&amp;"0,105"</f>
        <v>Объем: 3,465=(5+1+3+1+11+9+1+1+1)*0,105</v>
      </c>
      <c r="D2347" s="57"/>
      <c r="E2347" s="57"/>
      <c r="F2347" s="57"/>
      <c r="G2347" s="57"/>
      <c r="H2347" s="57"/>
      <c r="I2347" s="57"/>
      <c r="J2347" s="57"/>
      <c r="K2347" s="57"/>
    </row>
    <row r="2348" spans="1:29" ht="13.8" hidden="1" x14ac:dyDescent="0.25">
      <c r="C2348" s="39" t="s">
        <v>49</v>
      </c>
      <c r="H2348" s="40">
        <f>I2346+0</f>
        <v>158338.37</v>
      </c>
      <c r="I2348" s="40"/>
      <c r="J2348" s="40">
        <f>K2346+0</f>
        <v>509849.55</v>
      </c>
      <c r="K2348" s="40"/>
      <c r="O2348" s="42">
        <f>I2346+0</f>
        <v>158338.37</v>
      </c>
      <c r="P2348" s="42">
        <f>K2346+0</f>
        <v>509849.55</v>
      </c>
    </row>
    <row r="2349" spans="1:29" hidden="1" x14ac:dyDescent="0.25"/>
    <row r="2350" spans="1:29" ht="110.4" hidden="1" x14ac:dyDescent="0.25">
      <c r="A2350" s="27">
        <v>264</v>
      </c>
      <c r="B2350" s="27" t="str">
        <f>[1]Source!F2223</f>
        <v>1.7-2-90</v>
      </c>
      <c r="C2350" s="27" t="s">
        <v>544</v>
      </c>
      <c r="D2350" s="28" t="str">
        <f>[1]Source!H2223</f>
        <v>т</v>
      </c>
      <c r="E2350" s="29">
        <f>[1]Source!I2223</f>
        <v>0.222</v>
      </c>
      <c r="F2350" s="30">
        <f>[1]Source!AL2223</f>
        <v>45594.04</v>
      </c>
      <c r="G2350" s="31"/>
      <c r="H2350" s="29">
        <f>[1]Source!AW2224</f>
        <v>1</v>
      </c>
      <c r="I2350" s="30">
        <f>[1]Source!P2223</f>
        <v>10121.879999999999</v>
      </c>
      <c r="J2350" s="29">
        <f>IF([1]Source!BC2224&lt;&gt; 0, [1]Source!BC2224, 1)</f>
        <v>3.23</v>
      </c>
      <c r="K2350" s="30">
        <f>[1]Source!P2224</f>
        <v>32693.67</v>
      </c>
      <c r="Q2350">
        <f>[1]Source!X2223</f>
        <v>0</v>
      </c>
      <c r="R2350">
        <f>[1]Source!X2224</f>
        <v>0</v>
      </c>
      <c r="S2350">
        <f>[1]Source!Y2223</f>
        <v>0</v>
      </c>
      <c r="T2350">
        <f>[1]Source!Y2224</f>
        <v>0</v>
      </c>
      <c r="U2350">
        <f>ROUND((175/100)*ROUND([1]Source!R2223, 2), 2)</f>
        <v>0</v>
      </c>
      <c r="V2350">
        <f>ROUND((0/100)*ROUND([1]Source!R2224, 2), 2)</f>
        <v>0</v>
      </c>
      <c r="AC2350">
        <v>3</v>
      </c>
    </row>
    <row r="2351" spans="1:29" hidden="1" x14ac:dyDescent="0.25">
      <c r="A2351" s="57"/>
      <c r="B2351" s="57"/>
      <c r="C2351" s="58" t="str">
        <f>"Объем: "&amp;[1]Source!I2223&amp;"=2*"&amp;"0,111"</f>
        <v>Объем: 0,222=2*0,111</v>
      </c>
      <c r="D2351" s="57"/>
      <c r="E2351" s="57"/>
      <c r="F2351" s="57"/>
      <c r="G2351" s="57"/>
      <c r="H2351" s="57"/>
      <c r="I2351" s="57"/>
      <c r="J2351" s="57"/>
      <c r="K2351" s="57"/>
    </row>
    <row r="2352" spans="1:29" ht="13.8" hidden="1" x14ac:dyDescent="0.25">
      <c r="C2352" s="39" t="s">
        <v>49</v>
      </c>
      <c r="H2352" s="40">
        <f>I2350+0</f>
        <v>10121.879999999999</v>
      </c>
      <c r="I2352" s="40"/>
      <c r="J2352" s="40">
        <f>K2350+0</f>
        <v>32693.67</v>
      </c>
      <c r="K2352" s="40"/>
      <c r="O2352" s="42">
        <f>I2350+0</f>
        <v>10121.879999999999</v>
      </c>
      <c r="P2352" s="42">
        <f>K2350+0</f>
        <v>32693.67</v>
      </c>
    </row>
    <row r="2353" spans="1:29" hidden="1" x14ac:dyDescent="0.25"/>
    <row r="2354" spans="1:29" ht="41.4" hidden="1" x14ac:dyDescent="0.25">
      <c r="A2354" s="27">
        <v>265</v>
      </c>
      <c r="B2354" s="27" t="str">
        <f>[1]Source!F2225</f>
        <v>3.70-44-2</v>
      </c>
      <c r="C2354" s="27" t="s">
        <v>545</v>
      </c>
      <c r="D2354" s="28" t="str">
        <f>[1]Source!H2225</f>
        <v>10 шт.</v>
      </c>
      <c r="E2354" s="29">
        <f>[1]Source!I2225</f>
        <v>0.1</v>
      </c>
      <c r="F2354" s="30"/>
      <c r="G2354" s="31"/>
      <c r="H2354" s="29"/>
      <c r="I2354" s="30"/>
      <c r="J2354" s="29"/>
      <c r="K2354" s="30"/>
      <c r="Q2354">
        <f>[1]Source!X2225</f>
        <v>46.68</v>
      </c>
      <c r="R2354">
        <f>[1]Source!X2226</f>
        <v>2630.35</v>
      </c>
      <c r="S2354">
        <f>[1]Source!Y2225</f>
        <v>29.45</v>
      </c>
      <c r="T2354">
        <f>[1]Source!Y2226</f>
        <v>1659.63</v>
      </c>
      <c r="U2354">
        <f>ROUND((175/100)*ROUND([1]Source!R2225, 2), 2)</f>
        <v>7.02</v>
      </c>
      <c r="V2354">
        <f>ROUND((0/100)*ROUND([1]Source!R2226, 2), 2)</f>
        <v>0</v>
      </c>
      <c r="AC2354">
        <v>0</v>
      </c>
    </row>
    <row r="2355" spans="1:29" hidden="1" x14ac:dyDescent="0.25">
      <c r="C2355" s="32" t="str">
        <f>"Объем: "&amp;[1]Source!I2225&amp;"=1/"&amp;"10"</f>
        <v>Объем: 0,1=1/10</v>
      </c>
    </row>
    <row r="2356" spans="1:29" ht="14.4" hidden="1" x14ac:dyDescent="0.25">
      <c r="A2356" s="27"/>
      <c r="B2356" s="27"/>
      <c r="C2356" s="27" t="s">
        <v>36</v>
      </c>
      <c r="D2356" s="28"/>
      <c r="E2356" s="29"/>
      <c r="F2356" s="30">
        <f>[1]Source!AO2225</f>
        <v>343.71</v>
      </c>
      <c r="G2356" s="31" t="s">
        <v>37</v>
      </c>
      <c r="H2356" s="29">
        <f>[1]Source!AV2226</f>
        <v>1.087</v>
      </c>
      <c r="I2356" s="30">
        <f>[1]Source!S2225</f>
        <v>51.56</v>
      </c>
      <c r="J2356" s="29">
        <f>IF([1]Source!BA2226&lt;&gt; 0, [1]Source!BA2226, 1)</f>
        <v>56.35</v>
      </c>
      <c r="K2356" s="30">
        <f>[1]Source!S2226</f>
        <v>2905.41</v>
      </c>
    </row>
    <row r="2357" spans="1:29" ht="14.4" hidden="1" x14ac:dyDescent="0.25">
      <c r="A2357" s="27"/>
      <c r="B2357" s="27"/>
      <c r="C2357" s="27" t="s">
        <v>38</v>
      </c>
      <c r="D2357" s="28"/>
      <c r="E2357" s="29"/>
      <c r="F2357" s="30">
        <f>[1]Source!AM2225</f>
        <v>162.97999999999999</v>
      </c>
      <c r="G2357" s="31" t="s">
        <v>39</v>
      </c>
      <c r="H2357" s="29">
        <f>[1]Source!AV2226</f>
        <v>1.087</v>
      </c>
      <c r="I2357" s="30">
        <f>[1]Source!Q2225</f>
        <v>26.57</v>
      </c>
      <c r="J2357" s="29">
        <f>IF([1]Source!BB2226&lt;&gt; 0, [1]Source!BB2226, 1)</f>
        <v>17.03</v>
      </c>
      <c r="K2357" s="30">
        <f>[1]Source!Q2226</f>
        <v>452.49</v>
      </c>
    </row>
    <row r="2358" spans="1:29" ht="14.4" hidden="1" x14ac:dyDescent="0.25">
      <c r="A2358" s="27"/>
      <c r="B2358" s="27"/>
      <c r="C2358" s="27" t="s">
        <v>40</v>
      </c>
      <c r="D2358" s="28"/>
      <c r="E2358" s="29"/>
      <c r="F2358" s="30">
        <f>[1]Source!AN2225</f>
        <v>24.61</v>
      </c>
      <c r="G2358" s="31" t="s">
        <v>39</v>
      </c>
      <c r="H2358" s="29">
        <f>[1]Source!AV2226</f>
        <v>1.087</v>
      </c>
      <c r="I2358" s="33">
        <f>[1]Source!R2225</f>
        <v>4.01</v>
      </c>
      <c r="J2358" s="29">
        <f>IF([1]Source!BS2226&lt;&gt; 0, [1]Source!BS2226, 1)</f>
        <v>56.35</v>
      </c>
      <c r="K2358" s="33">
        <f>[1]Source!R2226</f>
        <v>225.96</v>
      </c>
    </row>
    <row r="2359" spans="1:29" ht="14.4" hidden="1" x14ac:dyDescent="0.25">
      <c r="A2359" s="27"/>
      <c r="B2359" s="27"/>
      <c r="C2359" s="27" t="s">
        <v>41</v>
      </c>
      <c r="D2359" s="28"/>
      <c r="E2359" s="29"/>
      <c r="F2359" s="30">
        <f>[1]Source!AL2225</f>
        <v>649.57000000000005</v>
      </c>
      <c r="G2359" s="31"/>
      <c r="H2359" s="29">
        <f>[1]Source!AW2226</f>
        <v>1</v>
      </c>
      <c r="I2359" s="30">
        <f>[1]Source!P2225</f>
        <v>64.959999999999994</v>
      </c>
      <c r="J2359" s="29">
        <f>IF([1]Source!BC2226&lt;&gt; 0, [1]Source!BC2226, 1)</f>
        <v>6.39</v>
      </c>
      <c r="K2359" s="30">
        <f>[1]Source!P2226</f>
        <v>415.09</v>
      </c>
    </row>
    <row r="2360" spans="1:29" ht="14.4" hidden="1" x14ac:dyDescent="0.25">
      <c r="A2360" s="27"/>
      <c r="B2360" s="27"/>
      <c r="C2360" s="27" t="s">
        <v>42</v>
      </c>
      <c r="D2360" s="28" t="s">
        <v>43</v>
      </c>
      <c r="E2360" s="29">
        <f>[1]Source!BZ2226</f>
        <v>84</v>
      </c>
      <c r="F2360" s="30"/>
      <c r="G2360" s="31"/>
      <c r="H2360" s="29"/>
      <c r="I2360" s="30">
        <f>SUM(Q2354:Q2359)</f>
        <v>46.68</v>
      </c>
      <c r="J2360" s="29">
        <f>[1]Source!AT2226</f>
        <v>84</v>
      </c>
      <c r="K2360" s="30">
        <f>SUM(R2354:R2359)</f>
        <v>2630.35</v>
      </c>
    </row>
    <row r="2361" spans="1:29" ht="14.4" hidden="1" x14ac:dyDescent="0.25">
      <c r="A2361" s="27"/>
      <c r="B2361" s="27"/>
      <c r="C2361" s="27" t="s">
        <v>44</v>
      </c>
      <c r="D2361" s="28" t="s">
        <v>43</v>
      </c>
      <c r="E2361" s="29">
        <f>[1]Source!CA2226</f>
        <v>53</v>
      </c>
      <c r="F2361" s="30"/>
      <c r="G2361" s="31"/>
      <c r="H2361" s="29"/>
      <c r="I2361" s="30">
        <f>SUM(S2354:S2360)</f>
        <v>29.45</v>
      </c>
      <c r="J2361" s="29">
        <f>[1]Source!AU2226</f>
        <v>53</v>
      </c>
      <c r="K2361" s="30">
        <f>SUM(T2354:T2360)</f>
        <v>1659.63</v>
      </c>
    </row>
    <row r="2362" spans="1:29" ht="14.4" hidden="1" x14ac:dyDescent="0.25">
      <c r="A2362" s="34"/>
      <c r="B2362" s="34"/>
      <c r="C2362" s="34" t="s">
        <v>45</v>
      </c>
      <c r="D2362" s="35" t="s">
        <v>46</v>
      </c>
      <c r="E2362" s="36">
        <f>[1]Source!AQ2225</f>
        <v>23.3</v>
      </c>
      <c r="F2362" s="37"/>
      <c r="G2362" s="38" t="s">
        <v>37</v>
      </c>
      <c r="H2362" s="36">
        <f>[1]Source!AV2226</f>
        <v>1.087</v>
      </c>
      <c r="I2362" s="37">
        <f>[1]Source!U2225</f>
        <v>3.4951398</v>
      </c>
      <c r="J2362" s="36"/>
      <c r="K2362" s="37"/>
    </row>
    <row r="2363" spans="1:29" ht="13.8" hidden="1" x14ac:dyDescent="0.25">
      <c r="C2363" s="39" t="s">
        <v>47</v>
      </c>
      <c r="H2363" s="40">
        <f>I2356+I2357+I2359+I2360+I2361+0-0-0</f>
        <v>219.21999999999997</v>
      </c>
      <c r="I2363" s="40"/>
      <c r="J2363" s="40">
        <f>K2356+K2357+K2359+K2360+K2361+0-0-0</f>
        <v>8062.97</v>
      </c>
      <c r="K2363" s="40"/>
    </row>
    <row r="2364" spans="1:29" ht="13.8" hidden="1" x14ac:dyDescent="0.25">
      <c r="C2364" s="39" t="s">
        <v>48</v>
      </c>
      <c r="H2364" s="41">
        <f>0+0</f>
        <v>0</v>
      </c>
      <c r="I2364" s="41"/>
      <c r="J2364" s="41">
        <f>0+0</f>
        <v>0</v>
      </c>
      <c r="K2364" s="41"/>
    </row>
    <row r="2365" spans="1:29" ht="13.8" hidden="1" x14ac:dyDescent="0.25">
      <c r="C2365" s="39" t="s">
        <v>49</v>
      </c>
      <c r="H2365" s="41">
        <f>I2356+I2357+I2359+I2360+I2361+0</f>
        <v>219.21999999999997</v>
      </c>
      <c r="I2365" s="41"/>
      <c r="J2365" s="41">
        <f>K2356+K2357+K2359+K2360+K2361+0</f>
        <v>8062.97</v>
      </c>
      <c r="K2365" s="41"/>
      <c r="O2365" s="42">
        <f>I2356+I2357+I2359+I2360+I2361+0</f>
        <v>219.21999999999997</v>
      </c>
      <c r="P2365" s="42">
        <f>K2356+K2357+K2359+K2360+K2361+0</f>
        <v>8062.97</v>
      </c>
    </row>
    <row r="2366" spans="1:29" hidden="1" x14ac:dyDescent="0.25"/>
    <row r="2367" spans="1:29" ht="110.4" hidden="1" x14ac:dyDescent="0.25">
      <c r="A2367" s="27">
        <v>266</v>
      </c>
      <c r="B2367" s="27" t="str">
        <f>[1]Source!F2227</f>
        <v>1.7-2-110</v>
      </c>
      <c r="C2367" s="27" t="s">
        <v>546</v>
      </c>
      <c r="D2367" s="28" t="str">
        <f>[1]Source!H2227</f>
        <v>т</v>
      </c>
      <c r="E2367" s="29">
        <f>[1]Source!I2227</f>
        <v>0.20399999999999999</v>
      </c>
      <c r="F2367" s="30">
        <f>[1]Source!AL2227</f>
        <v>53740.69</v>
      </c>
      <c r="G2367" s="31"/>
      <c r="H2367" s="29">
        <f>[1]Source!AW2228</f>
        <v>1</v>
      </c>
      <c r="I2367" s="30">
        <f>[1]Source!P2227</f>
        <v>10963.1</v>
      </c>
      <c r="J2367" s="29">
        <f>IF([1]Source!BC2228&lt;&gt; 0, [1]Source!BC2228, 1)</f>
        <v>3.23</v>
      </c>
      <c r="K2367" s="30">
        <f>[1]Source!P2228</f>
        <v>35410.81</v>
      </c>
      <c r="Q2367">
        <f>[1]Source!X2227</f>
        <v>0</v>
      </c>
      <c r="R2367">
        <f>[1]Source!X2228</f>
        <v>0</v>
      </c>
      <c r="S2367">
        <f>[1]Source!Y2227</f>
        <v>0</v>
      </c>
      <c r="T2367">
        <f>[1]Source!Y2228</f>
        <v>0</v>
      </c>
      <c r="U2367">
        <f>ROUND((175/100)*ROUND([1]Source!R2227, 2), 2)</f>
        <v>0</v>
      </c>
      <c r="V2367">
        <f>ROUND((0/100)*ROUND([1]Source!R2228, 2), 2)</f>
        <v>0</v>
      </c>
      <c r="AC2367">
        <v>3</v>
      </c>
    </row>
    <row r="2368" spans="1:29" hidden="1" x14ac:dyDescent="0.25">
      <c r="A2368" s="57"/>
      <c r="B2368" s="57"/>
      <c r="C2368" s="58" t="str">
        <f>"Объем: "&amp;[1]Source!I2227&amp;"=(204*"&amp;"1)/"&amp;"1000"</f>
        <v>Объем: 0,204=(204*1)/1000</v>
      </c>
      <c r="D2368" s="57"/>
      <c r="E2368" s="57"/>
      <c r="F2368" s="57"/>
      <c r="G2368" s="57"/>
      <c r="H2368" s="57"/>
      <c r="I2368" s="57"/>
      <c r="J2368" s="57"/>
      <c r="K2368" s="57"/>
    </row>
    <row r="2369" spans="1:29" ht="13.8" hidden="1" x14ac:dyDescent="0.25">
      <c r="C2369" s="39" t="s">
        <v>49</v>
      </c>
      <c r="H2369" s="40">
        <f>I2367+0</f>
        <v>10963.1</v>
      </c>
      <c r="I2369" s="40"/>
      <c r="J2369" s="40">
        <f>K2367+0</f>
        <v>35410.81</v>
      </c>
      <c r="K2369" s="40"/>
      <c r="O2369" s="42">
        <f>I2367+0</f>
        <v>10963.1</v>
      </c>
      <c r="P2369" s="42">
        <f>K2367+0</f>
        <v>35410.81</v>
      </c>
    </row>
    <row r="2370" spans="1:29" hidden="1" x14ac:dyDescent="0.25"/>
    <row r="2371" spans="1:29" hidden="1" x14ac:dyDescent="0.25"/>
    <row r="2372" spans="1:29" ht="13.8" hidden="1" x14ac:dyDescent="0.25">
      <c r="A2372" s="44" t="str">
        <f>CONCATENATE("Итого по подразделу: ",IF([1]Source!G2230&lt;&gt;"Новый подраздел", [1]Source!G2230, ""))</f>
        <v>Итого по подразделу: Металлические двери</v>
      </c>
      <c r="B2372" s="44"/>
      <c r="C2372" s="44"/>
      <c r="D2372" s="44"/>
      <c r="E2372" s="44"/>
      <c r="F2372" s="44"/>
      <c r="G2372" s="44"/>
      <c r="H2372" s="41">
        <f>SUM(O2316:O2371)</f>
        <v>188098.55000000002</v>
      </c>
      <c r="I2372" s="45"/>
      <c r="J2372" s="41">
        <f>SUM(P2316:P2371)</f>
        <v>847623.66999999993</v>
      </c>
      <c r="K2372" s="45"/>
    </row>
    <row r="2373" spans="1:29" hidden="1" x14ac:dyDescent="0.25">
      <c r="A2373" t="s">
        <v>55</v>
      </c>
      <c r="I2373">
        <f>SUM(W2316:W2372)</f>
        <v>0</v>
      </c>
      <c r="J2373">
        <f>SUM(X2316:X2372)</f>
        <v>0</v>
      </c>
    </row>
    <row r="2374" spans="1:29" hidden="1" x14ac:dyDescent="0.25">
      <c r="A2374" t="s">
        <v>56</v>
      </c>
      <c r="I2374">
        <f>SUM(Y2316:Y2373)</f>
        <v>0</v>
      </c>
      <c r="J2374">
        <f>SUM(Z2316:Z2373)</f>
        <v>0</v>
      </c>
    </row>
    <row r="2375" spans="1:29" hidden="1" x14ac:dyDescent="0.25"/>
    <row r="2376" spans="1:29" ht="16.8" hidden="1" x14ac:dyDescent="0.25">
      <c r="A2376" s="11" t="str">
        <f>CONCATENATE("Подраздел: ",IF([1]Source!G2260&lt;&gt;"Новый подраздел", [1]Source!G2260, ""))</f>
        <v>Подраздел: Двери композитные</v>
      </c>
      <c r="B2376" s="11"/>
      <c r="C2376" s="11"/>
      <c r="D2376" s="11"/>
      <c r="E2376" s="11"/>
      <c r="F2376" s="11"/>
      <c r="G2376" s="11"/>
      <c r="H2376" s="11"/>
      <c r="I2376" s="11"/>
      <c r="J2376" s="11"/>
      <c r="K2376" s="11"/>
    </row>
    <row r="2377" spans="1:29" ht="55.2" hidden="1" x14ac:dyDescent="0.25">
      <c r="A2377" s="27">
        <v>267</v>
      </c>
      <c r="B2377" s="27" t="str">
        <f>[1]Source!F2264</f>
        <v>3.70-115-1</v>
      </c>
      <c r="C2377" s="27" t="s">
        <v>547</v>
      </c>
      <c r="D2377" s="28" t="str">
        <f>[1]Source!H2264</f>
        <v>100 м2</v>
      </c>
      <c r="E2377" s="29">
        <f>[1]Source!I2264</f>
        <v>0.46400000000000002</v>
      </c>
      <c r="F2377" s="30"/>
      <c r="G2377" s="31"/>
      <c r="H2377" s="29"/>
      <c r="I2377" s="30"/>
      <c r="J2377" s="29"/>
      <c r="K2377" s="30"/>
      <c r="Q2377">
        <f>[1]Source!X2264</f>
        <v>2081.66</v>
      </c>
      <c r="R2377">
        <f>[1]Source!X2265</f>
        <v>117301.48</v>
      </c>
      <c r="S2377">
        <f>[1]Source!Y2264</f>
        <v>1008.64</v>
      </c>
      <c r="T2377">
        <f>[1]Source!Y2265</f>
        <v>56836.800000000003</v>
      </c>
      <c r="U2377">
        <f>ROUND((175/100)*ROUND([1]Source!R2264, 2), 2)</f>
        <v>52.78</v>
      </c>
      <c r="V2377">
        <f>ROUND((0/100)*ROUND([1]Source!R2265, 2), 2)</f>
        <v>0</v>
      </c>
      <c r="AC2377">
        <v>0</v>
      </c>
    </row>
    <row r="2378" spans="1:29" ht="26.4" hidden="1" x14ac:dyDescent="0.25">
      <c r="C2378" s="32" t="str">
        <f>"Объем: "&amp;[1]Source!I2264&amp;"=(10+"&amp;"12,5+"&amp;"2,3+"&amp;"6,8+"&amp;"2,3+"&amp;"5+"&amp;"7,5)/"&amp;"100"</f>
        <v>Объем: 0,464=(10+12,5+2,3+6,8+2,3+5+7,5)/100</v>
      </c>
    </row>
    <row r="2379" spans="1:29" ht="14.4" hidden="1" x14ac:dyDescent="0.25">
      <c r="A2379" s="27"/>
      <c r="B2379" s="27"/>
      <c r="C2379" s="27" t="s">
        <v>36</v>
      </c>
      <c r="D2379" s="28"/>
      <c r="E2379" s="29"/>
      <c r="F2379" s="30">
        <f>[1]Source!AO2264</f>
        <v>3156.08</v>
      </c>
      <c r="G2379" s="31" t="s">
        <v>37</v>
      </c>
      <c r="H2379" s="29">
        <f>[1]Source!AV2265</f>
        <v>1.0469999999999999</v>
      </c>
      <c r="I2379" s="30">
        <f>[1]Source!S2264</f>
        <v>2115.88</v>
      </c>
      <c r="J2379" s="29">
        <f>IF([1]Source!BA2265&lt;&gt; 0, [1]Source!BA2265, 1)</f>
        <v>56.35</v>
      </c>
      <c r="K2379" s="30">
        <f>[1]Source!S2265</f>
        <v>119229.84</v>
      </c>
    </row>
    <row r="2380" spans="1:29" ht="14.4" hidden="1" x14ac:dyDescent="0.25">
      <c r="A2380" s="27"/>
      <c r="B2380" s="27"/>
      <c r="C2380" s="27" t="s">
        <v>38</v>
      </c>
      <c r="D2380" s="28"/>
      <c r="E2380" s="29"/>
      <c r="F2380" s="30">
        <f>[1]Source!AM2264</f>
        <v>307.2</v>
      </c>
      <c r="G2380" s="31" t="s">
        <v>39</v>
      </c>
      <c r="H2380" s="29">
        <f>[1]Source!AV2265</f>
        <v>1.0469999999999999</v>
      </c>
      <c r="I2380" s="30">
        <f>[1]Source!Q2264</f>
        <v>223.86</v>
      </c>
      <c r="J2380" s="29">
        <f>IF([1]Source!BB2265&lt;&gt; 0, [1]Source!BB2265, 1)</f>
        <v>16.23</v>
      </c>
      <c r="K2380" s="30">
        <f>[1]Source!Q2265</f>
        <v>3633.25</v>
      </c>
    </row>
    <row r="2381" spans="1:29" ht="14.4" hidden="1" x14ac:dyDescent="0.25">
      <c r="A2381" s="27"/>
      <c r="B2381" s="27"/>
      <c r="C2381" s="27" t="s">
        <v>40</v>
      </c>
      <c r="D2381" s="28"/>
      <c r="E2381" s="29"/>
      <c r="F2381" s="30">
        <f>[1]Source!AN2264</f>
        <v>41.39</v>
      </c>
      <c r="G2381" s="31" t="s">
        <v>39</v>
      </c>
      <c r="H2381" s="29">
        <f>[1]Source!AV2265</f>
        <v>1.0469999999999999</v>
      </c>
      <c r="I2381" s="33">
        <f>[1]Source!R2264</f>
        <v>30.16</v>
      </c>
      <c r="J2381" s="29">
        <f>IF([1]Source!BS2265&lt;&gt; 0, [1]Source!BS2265, 1)</f>
        <v>56.35</v>
      </c>
      <c r="K2381" s="33">
        <f>[1]Source!R2265</f>
        <v>1699.52</v>
      </c>
    </row>
    <row r="2382" spans="1:29" ht="14.4" hidden="1" x14ac:dyDescent="0.25">
      <c r="A2382" s="27"/>
      <c r="B2382" s="27"/>
      <c r="C2382" s="27" t="s">
        <v>41</v>
      </c>
      <c r="D2382" s="28"/>
      <c r="E2382" s="29"/>
      <c r="F2382" s="30">
        <f>[1]Source!AL2264</f>
        <v>11326.06</v>
      </c>
      <c r="G2382" s="31"/>
      <c r="H2382" s="29">
        <f>[1]Source!AW2265</f>
        <v>1</v>
      </c>
      <c r="I2382" s="30">
        <f>[1]Source!P2264</f>
        <v>5255.29</v>
      </c>
      <c r="J2382" s="29">
        <f>IF([1]Source!BC2265&lt;&gt; 0, [1]Source!BC2265, 1)</f>
        <v>2.73</v>
      </c>
      <c r="K2382" s="30">
        <f>[1]Source!P2265</f>
        <v>14346.94</v>
      </c>
    </row>
    <row r="2383" spans="1:29" ht="193.2" hidden="1" x14ac:dyDescent="0.25">
      <c r="A2383" s="27" t="s">
        <v>548</v>
      </c>
      <c r="B2383" s="27" t="str">
        <f>[1]Source!F2266</f>
        <v>1.1-1-2469</v>
      </c>
      <c r="C2383" s="27" t="s">
        <v>290</v>
      </c>
      <c r="D2383" s="28" t="str">
        <f>[1]Source!H2266</f>
        <v>м</v>
      </c>
      <c r="E2383" s="29">
        <f>[1]Source!I2266</f>
        <v>19.952000000000002</v>
      </c>
      <c r="F2383" s="30">
        <f>[1]Source!AK2266</f>
        <v>14.98</v>
      </c>
      <c r="G2383" s="43" t="s">
        <v>54</v>
      </c>
      <c r="H2383" s="29">
        <f>[1]Source!AW2267</f>
        <v>1</v>
      </c>
      <c r="I2383" s="30">
        <f>[1]Source!O2266</f>
        <v>298.88</v>
      </c>
      <c r="J2383" s="29">
        <f>IF([1]Source!BC2267&lt;&gt; 0, [1]Source!BC2267, 1)</f>
        <v>1.42</v>
      </c>
      <c r="K2383" s="30">
        <f>[1]Source!O2267</f>
        <v>424.41</v>
      </c>
      <c r="Q2383">
        <f>[1]Source!X2266</f>
        <v>0</v>
      </c>
      <c r="R2383">
        <f>[1]Source!X2267</f>
        <v>0</v>
      </c>
      <c r="S2383">
        <f>[1]Source!Y2266</f>
        <v>0</v>
      </c>
      <c r="T2383">
        <f>[1]Source!Y2267</f>
        <v>0</v>
      </c>
      <c r="U2383">
        <f>ROUND((175/100)*ROUND([1]Source!R2266, 2), 2)</f>
        <v>0</v>
      </c>
      <c r="V2383">
        <f>ROUND((0/100)*ROUND([1]Source!R2267, 2), 2)</f>
        <v>0</v>
      </c>
      <c r="AC2383">
        <v>3</v>
      </c>
    </row>
    <row r="2384" spans="1:29" ht="234.6" hidden="1" x14ac:dyDescent="0.25">
      <c r="A2384" s="27" t="s">
        <v>549</v>
      </c>
      <c r="B2384" s="27" t="str">
        <f>[1]Source!F2268</f>
        <v>1.1-1-2980</v>
      </c>
      <c r="C2384" s="27" t="s">
        <v>292</v>
      </c>
      <c r="D2384" s="28" t="str">
        <f>[1]Source!H2268</f>
        <v>м</v>
      </c>
      <c r="E2384" s="29">
        <f>[1]Source!I2268</f>
        <v>186.52799999999999</v>
      </c>
      <c r="F2384" s="30">
        <f>[1]Source!AK2268</f>
        <v>14.75</v>
      </c>
      <c r="G2384" s="43" t="s">
        <v>54</v>
      </c>
      <c r="H2384" s="29">
        <f>[1]Source!AW2269</f>
        <v>1</v>
      </c>
      <c r="I2384" s="30">
        <f>[1]Source!O2268</f>
        <v>2751.29</v>
      </c>
      <c r="J2384" s="29">
        <f>IF([1]Source!BC2269&lt;&gt; 0, [1]Source!BC2269, 1)</f>
        <v>1.91</v>
      </c>
      <c r="K2384" s="30">
        <f>[1]Source!O2269</f>
        <v>5254.96</v>
      </c>
      <c r="Q2384">
        <f>[1]Source!X2268</f>
        <v>0</v>
      </c>
      <c r="R2384">
        <f>[1]Source!X2269</f>
        <v>0</v>
      </c>
      <c r="S2384">
        <f>[1]Source!Y2268</f>
        <v>0</v>
      </c>
      <c r="T2384">
        <f>[1]Source!Y2269</f>
        <v>0</v>
      </c>
      <c r="U2384">
        <f>ROUND((175/100)*ROUND([1]Source!R2268, 2), 2)</f>
        <v>0</v>
      </c>
      <c r="V2384">
        <f>ROUND((0/100)*ROUND([1]Source!R2269, 2), 2)</f>
        <v>0</v>
      </c>
      <c r="AC2384">
        <v>3</v>
      </c>
    </row>
    <row r="2385" spans="1:29" ht="41.4" hidden="1" x14ac:dyDescent="0.25">
      <c r="A2385" s="27" t="s">
        <v>550</v>
      </c>
      <c r="B2385" s="27" t="str">
        <f>[1]Source!F2270</f>
        <v>1.1-1-2983</v>
      </c>
      <c r="C2385" s="27" t="s">
        <v>551</v>
      </c>
      <c r="D2385" s="28" t="str">
        <f>[1]Source!H2270</f>
        <v>м</v>
      </c>
      <c r="E2385" s="29">
        <f>[1]Source!I2270</f>
        <v>135.952</v>
      </c>
      <c r="F2385" s="30">
        <f>[1]Source!AK2270</f>
        <v>5.49</v>
      </c>
      <c r="G2385" s="43" t="s">
        <v>54</v>
      </c>
      <c r="H2385" s="29">
        <f>[1]Source!AW2271</f>
        <v>1</v>
      </c>
      <c r="I2385" s="30">
        <f>[1]Source!O2270</f>
        <v>746.38</v>
      </c>
      <c r="J2385" s="29">
        <f>IF([1]Source!BC2271&lt;&gt; 0, [1]Source!BC2271, 1)</f>
        <v>0.95</v>
      </c>
      <c r="K2385" s="30">
        <f>[1]Source!O2271</f>
        <v>709.06</v>
      </c>
      <c r="Q2385">
        <f>[1]Source!X2270</f>
        <v>0</v>
      </c>
      <c r="R2385">
        <f>[1]Source!X2271</f>
        <v>0</v>
      </c>
      <c r="S2385">
        <f>[1]Source!Y2270</f>
        <v>0</v>
      </c>
      <c r="T2385">
        <f>[1]Source!Y2271</f>
        <v>0</v>
      </c>
      <c r="U2385">
        <f>ROUND((175/100)*ROUND([1]Source!R2270, 2), 2)</f>
        <v>0</v>
      </c>
      <c r="V2385">
        <f>ROUND((0/100)*ROUND([1]Source!R2271, 2), 2)</f>
        <v>0</v>
      </c>
      <c r="AC2385">
        <v>3</v>
      </c>
    </row>
    <row r="2386" spans="1:29" ht="14.4" hidden="1" x14ac:dyDescent="0.25">
      <c r="A2386" s="27"/>
      <c r="B2386" s="27"/>
      <c r="C2386" s="27" t="s">
        <v>42</v>
      </c>
      <c r="D2386" s="28" t="s">
        <v>43</v>
      </c>
      <c r="E2386" s="29">
        <f>[1]Source!BZ2265</f>
        <v>97</v>
      </c>
      <c r="F2386" s="30"/>
      <c r="G2386" s="31"/>
      <c r="H2386" s="29"/>
      <c r="I2386" s="30">
        <f>SUM(Q2377:Q2385)</f>
        <v>2081.66</v>
      </c>
      <c r="J2386" s="29">
        <f>[1]Source!AT2265</f>
        <v>97</v>
      </c>
      <c r="K2386" s="30">
        <f>SUM(R2377:R2385)</f>
        <v>117301.48</v>
      </c>
    </row>
    <row r="2387" spans="1:29" ht="14.4" hidden="1" x14ac:dyDescent="0.25">
      <c r="A2387" s="27"/>
      <c r="B2387" s="27"/>
      <c r="C2387" s="27" t="s">
        <v>44</v>
      </c>
      <c r="D2387" s="28" t="s">
        <v>43</v>
      </c>
      <c r="E2387" s="29">
        <f>[1]Source!CA2265</f>
        <v>47</v>
      </c>
      <c r="F2387" s="30"/>
      <c r="G2387" s="31"/>
      <c r="H2387" s="29"/>
      <c r="I2387" s="30">
        <f>SUM(S2377:S2386)</f>
        <v>1008.64</v>
      </c>
      <c r="J2387" s="29">
        <f>[1]Source!AU2265</f>
        <v>47</v>
      </c>
      <c r="K2387" s="30">
        <f>SUM(T2377:T2386)</f>
        <v>56836.800000000003</v>
      </c>
    </row>
    <row r="2388" spans="1:29" ht="14.4" hidden="1" x14ac:dyDescent="0.25">
      <c r="A2388" s="34"/>
      <c r="B2388" s="34"/>
      <c r="C2388" s="34" t="s">
        <v>45</v>
      </c>
      <c r="D2388" s="35" t="s">
        <v>46</v>
      </c>
      <c r="E2388" s="36">
        <f>[1]Source!AQ2264</f>
        <v>199.01</v>
      </c>
      <c r="F2388" s="37"/>
      <c r="G2388" s="38" t="s">
        <v>37</v>
      </c>
      <c r="H2388" s="36">
        <f>[1]Source!AV2265</f>
        <v>1.0469999999999999</v>
      </c>
      <c r="I2388" s="37">
        <f>[1]Source!U2264</f>
        <v>133.41929711039998</v>
      </c>
      <c r="J2388" s="36"/>
      <c r="K2388" s="37"/>
    </row>
    <row r="2389" spans="1:29" ht="13.8" hidden="1" x14ac:dyDescent="0.25">
      <c r="C2389" s="39" t="s">
        <v>47</v>
      </c>
      <c r="H2389" s="40">
        <f>I2379+I2380+I2382+I2386+I2387+SUM(I2383:I2385)-SUMIF(AC2383:AC2385, 5, I2383:I2385)-SUMIF(AC2383:AC2385, 6, I2383:I2385)</f>
        <v>14481.880000000001</v>
      </c>
      <c r="I2389" s="40"/>
      <c r="J2389" s="40">
        <f>K2379+K2380+K2382+K2386+K2387+SUM(K2383:K2385)-SUMIF(AC2383:AC2385, 5, K2383:K2385)-SUMIF(AC2383:AC2385, 6, K2383:K2385)</f>
        <v>317736.74</v>
      </c>
      <c r="K2389" s="40"/>
    </row>
    <row r="2390" spans="1:29" ht="13.8" hidden="1" x14ac:dyDescent="0.25">
      <c r="C2390" s="39" t="s">
        <v>48</v>
      </c>
      <c r="H2390" s="41">
        <f>SUMIF(AC2383:AC2385, 5, I2383:I2385)+SUMIF(AC2383:AC2385, 6, I2383:I2385)</f>
        <v>0</v>
      </c>
      <c r="I2390" s="41"/>
      <c r="J2390" s="41">
        <f>SUMIF(AC2383:AC2385, 5, K2383:K2385)+SUMIF(AC2383:AC2385, 6, K2383:K2385)</f>
        <v>0</v>
      </c>
      <c r="K2390" s="41"/>
    </row>
    <row r="2391" spans="1:29" ht="13.8" hidden="1" x14ac:dyDescent="0.25">
      <c r="C2391" s="39" t="s">
        <v>49</v>
      </c>
      <c r="H2391" s="41">
        <f>I2379+I2380+I2382+I2386+I2387+SUM(I2383:I2385)</f>
        <v>14481.880000000001</v>
      </c>
      <c r="I2391" s="41"/>
      <c r="J2391" s="41">
        <f>K2379+K2380+K2382+K2386+K2387+SUM(K2383:K2385)</f>
        <v>317736.74</v>
      </c>
      <c r="K2391" s="41"/>
      <c r="O2391" s="42">
        <f>I2379+I2380+I2382+I2386+I2387+SUM(I2383:I2385)</f>
        <v>14481.880000000001</v>
      </c>
      <c r="P2391" s="42">
        <f>K2379+K2380+K2382+K2386+K2387+SUM(K2383:K2385)</f>
        <v>317736.74</v>
      </c>
    </row>
    <row r="2392" spans="1:29" hidden="1" x14ac:dyDescent="0.25"/>
    <row r="2393" spans="1:29" ht="330" x14ac:dyDescent="0.25">
      <c r="A2393" s="53">
        <v>268</v>
      </c>
      <c r="B2393" s="53" t="str">
        <f>[1]Source!F2272</f>
        <v>КА-143</v>
      </c>
      <c r="C2393" s="53" t="s">
        <v>552</v>
      </c>
      <c r="D2393" s="54" t="str">
        <f>[1]Source!H2272</f>
        <v>ШТ</v>
      </c>
      <c r="E2393" s="55">
        <f>[1]Source!I2272</f>
        <v>9</v>
      </c>
      <c r="F2393" s="30">
        <f>[1]Source!AL2272</f>
        <v>3325.06</v>
      </c>
      <c r="G2393" s="31"/>
      <c r="H2393" s="29">
        <f>[1]Source!AW2273</f>
        <v>1</v>
      </c>
      <c r="I2393" s="30">
        <f>[1]Source!P2272</f>
        <v>29925.54</v>
      </c>
      <c r="J2393" s="29">
        <f>IF([1]Source!BC2273&lt;&gt; 0, [1]Source!BC2273, 1)</f>
        <v>9.84</v>
      </c>
      <c r="K2393" s="56">
        <f>[1]Source!P2273</f>
        <v>294467.31</v>
      </c>
      <c r="M2393" s="50">
        <f>L2393*E2393</f>
        <v>0</v>
      </c>
      <c r="N2393" s="59" t="s">
        <v>180</v>
      </c>
      <c r="Q2393">
        <f>[1]Source!X2272</f>
        <v>0</v>
      </c>
      <c r="R2393">
        <f>[1]Source!X2273</f>
        <v>0</v>
      </c>
      <c r="S2393">
        <f>[1]Source!Y2272</f>
        <v>0</v>
      </c>
      <c r="T2393">
        <f>[1]Source!Y2273</f>
        <v>0</v>
      </c>
      <c r="U2393">
        <f>ROUND((175/100)*ROUND([1]Source!R2272, 2), 2)</f>
        <v>0</v>
      </c>
      <c r="V2393">
        <f>ROUND((0/100)*ROUND([1]Source!R2273, 2), 2)</f>
        <v>0</v>
      </c>
      <c r="AC2393">
        <v>3</v>
      </c>
    </row>
    <row r="2394" spans="1:29" hidden="1" x14ac:dyDescent="0.25">
      <c r="A2394" s="57"/>
      <c r="B2394" s="57"/>
      <c r="C2394" s="58" t="str">
        <f>"Объем: "&amp;[1]Source!I2272&amp;"=4+"&amp;"5"</f>
        <v>Объем: 9=4+5</v>
      </c>
      <c r="D2394" s="57"/>
      <c r="E2394" s="57"/>
      <c r="F2394" s="57"/>
      <c r="G2394" s="57"/>
      <c r="H2394" s="57"/>
      <c r="I2394" s="57"/>
      <c r="J2394" s="57"/>
      <c r="K2394" s="57"/>
    </row>
    <row r="2395" spans="1:29" ht="13.8" hidden="1" x14ac:dyDescent="0.25">
      <c r="C2395" s="39" t="s">
        <v>49</v>
      </c>
      <c r="H2395" s="40">
        <f>I2393+0</f>
        <v>29925.54</v>
      </c>
      <c r="I2395" s="40"/>
      <c r="J2395" s="40">
        <f>K2393+0</f>
        <v>294467.31</v>
      </c>
      <c r="K2395" s="40"/>
      <c r="O2395" s="42">
        <f>I2393+0</f>
        <v>29925.54</v>
      </c>
      <c r="P2395" s="42">
        <f>K2393+0</f>
        <v>294467.31</v>
      </c>
    </row>
    <row r="2396" spans="1:29" hidden="1" x14ac:dyDescent="0.25"/>
    <row r="2397" spans="1:29" ht="302.39999999999998" x14ac:dyDescent="0.25">
      <c r="A2397" s="46">
        <v>269</v>
      </c>
      <c r="B2397" s="46" t="str">
        <f>[1]Source!F2274</f>
        <v>КА-144</v>
      </c>
      <c r="C2397" s="46" t="s">
        <v>553</v>
      </c>
      <c r="D2397" s="47" t="str">
        <f>[1]Source!H2274</f>
        <v>ШТ</v>
      </c>
      <c r="E2397" s="48">
        <f>[1]Source!I2274</f>
        <v>1</v>
      </c>
      <c r="F2397" s="37">
        <f>[1]Source!AL2274</f>
        <v>3031.57</v>
      </c>
      <c r="G2397" s="38"/>
      <c r="H2397" s="36">
        <f>[1]Source!AW2275</f>
        <v>1</v>
      </c>
      <c r="I2397" s="37">
        <f>[1]Source!P2274</f>
        <v>3031.57</v>
      </c>
      <c r="J2397" s="36">
        <f>IF([1]Source!BC2275&lt;&gt; 0, [1]Source!BC2275, 1)</f>
        <v>9.84</v>
      </c>
      <c r="K2397" s="49">
        <f>[1]Source!P2275</f>
        <v>29830.65</v>
      </c>
      <c r="L2397">
        <v>35679.82</v>
      </c>
      <c r="M2397" s="50">
        <f>L2397*E2397</f>
        <v>35679.82</v>
      </c>
      <c r="N2397" s="59" t="s">
        <v>180</v>
      </c>
      <c r="Q2397">
        <f>[1]Source!X2274</f>
        <v>0</v>
      </c>
      <c r="R2397">
        <f>[1]Source!X2275</f>
        <v>0</v>
      </c>
      <c r="S2397">
        <f>[1]Source!Y2274</f>
        <v>0</v>
      </c>
      <c r="T2397">
        <f>[1]Source!Y2275</f>
        <v>0</v>
      </c>
      <c r="U2397">
        <f>ROUND((175/100)*ROUND([1]Source!R2274, 2), 2)</f>
        <v>0</v>
      </c>
      <c r="V2397">
        <f>ROUND((0/100)*ROUND([1]Source!R2275, 2), 2)</f>
        <v>0</v>
      </c>
      <c r="AC2397">
        <v>3</v>
      </c>
    </row>
    <row r="2398" spans="1:29" ht="13.8" hidden="1" x14ac:dyDescent="0.25">
      <c r="C2398" s="39" t="s">
        <v>49</v>
      </c>
      <c r="H2398" s="40">
        <f>I2397+0</f>
        <v>3031.57</v>
      </c>
      <c r="I2398" s="40"/>
      <c r="J2398" s="40">
        <f>K2397+0</f>
        <v>29830.65</v>
      </c>
      <c r="K2398" s="40"/>
      <c r="O2398" s="42">
        <f>I2397+0</f>
        <v>3031.57</v>
      </c>
      <c r="P2398" s="42">
        <f>K2397+0</f>
        <v>29830.65</v>
      </c>
    </row>
    <row r="2399" spans="1:29" hidden="1" x14ac:dyDescent="0.25"/>
    <row r="2400" spans="1:29" ht="302.39999999999998" x14ac:dyDescent="0.25">
      <c r="A2400" s="53">
        <v>270</v>
      </c>
      <c r="B2400" s="53" t="str">
        <f>[1]Source!F2276</f>
        <v>КА 145</v>
      </c>
      <c r="C2400" s="53" t="s">
        <v>554</v>
      </c>
      <c r="D2400" s="54" t="str">
        <f>[1]Source!H2276</f>
        <v>ШТ</v>
      </c>
      <c r="E2400" s="55">
        <f>[1]Source!I2276</f>
        <v>4</v>
      </c>
      <c r="F2400" s="30">
        <f>[1]Source!AL2276</f>
        <v>3031.57</v>
      </c>
      <c r="G2400" s="31"/>
      <c r="H2400" s="29">
        <f>[1]Source!AW2277</f>
        <v>1</v>
      </c>
      <c r="I2400" s="30">
        <f>[1]Source!P2276</f>
        <v>12126.28</v>
      </c>
      <c r="J2400" s="29">
        <f>IF([1]Source!BC2277&lt;&gt; 0, [1]Source!BC2277, 1)</f>
        <v>9.84</v>
      </c>
      <c r="K2400" s="56">
        <f>[1]Source!P2277</f>
        <v>119322.6</v>
      </c>
      <c r="L2400">
        <v>35679.82</v>
      </c>
      <c r="M2400" s="50">
        <f>L2400*E2400</f>
        <v>142719.28</v>
      </c>
      <c r="N2400" s="59" t="s">
        <v>180</v>
      </c>
      <c r="Q2400">
        <f>[1]Source!X2276</f>
        <v>0</v>
      </c>
      <c r="R2400">
        <f>[1]Source!X2277</f>
        <v>0</v>
      </c>
      <c r="S2400">
        <f>[1]Source!Y2276</f>
        <v>0</v>
      </c>
      <c r="T2400">
        <f>[1]Source!Y2277</f>
        <v>0</v>
      </c>
      <c r="U2400">
        <f>ROUND((175/100)*ROUND([1]Source!R2276, 2), 2)</f>
        <v>0</v>
      </c>
      <c r="V2400">
        <f>ROUND((0/100)*ROUND([1]Source!R2277, 2), 2)</f>
        <v>0</v>
      </c>
      <c r="AC2400">
        <v>3</v>
      </c>
    </row>
    <row r="2401" spans="1:29" hidden="1" x14ac:dyDescent="0.25">
      <c r="A2401" s="57"/>
      <c r="B2401" s="57"/>
      <c r="C2401" s="58" t="str">
        <f>"Объем: "&amp;[1]Source!I2276&amp;"=3+"&amp;"1"</f>
        <v>Объем: 4=3+1</v>
      </c>
      <c r="D2401" s="57"/>
      <c r="E2401" s="57"/>
      <c r="F2401" s="57"/>
      <c r="G2401" s="57"/>
      <c r="H2401" s="57"/>
      <c r="I2401" s="57"/>
      <c r="J2401" s="57"/>
      <c r="K2401" s="57"/>
    </row>
    <row r="2402" spans="1:29" ht="13.8" hidden="1" x14ac:dyDescent="0.25">
      <c r="C2402" s="39" t="s">
        <v>49</v>
      </c>
      <c r="H2402" s="40">
        <f>I2400+0</f>
        <v>12126.28</v>
      </c>
      <c r="I2402" s="40"/>
      <c r="J2402" s="40">
        <f>K2400+0</f>
        <v>119322.6</v>
      </c>
      <c r="K2402" s="40"/>
      <c r="O2402" s="42">
        <f>I2400+0</f>
        <v>12126.28</v>
      </c>
      <c r="P2402" s="42">
        <f>K2400+0</f>
        <v>119322.6</v>
      </c>
    </row>
    <row r="2403" spans="1:29" hidden="1" x14ac:dyDescent="0.25"/>
    <row r="2404" spans="1:29" ht="316.2" x14ac:dyDescent="0.25">
      <c r="A2404" s="53">
        <v>271</v>
      </c>
      <c r="B2404" s="53" t="str">
        <f>[1]Source!F2278</f>
        <v>КА-146</v>
      </c>
      <c r="C2404" s="53" t="s">
        <v>555</v>
      </c>
      <c r="D2404" s="54" t="str">
        <f>[1]Source!H2278</f>
        <v>ШТ</v>
      </c>
      <c r="E2404" s="55">
        <f>[1]Source!I2278</f>
        <v>5</v>
      </c>
      <c r="F2404" s="30">
        <f>[1]Source!AL2278</f>
        <v>3325.0499999999997</v>
      </c>
      <c r="G2404" s="31"/>
      <c r="H2404" s="29">
        <f>[1]Source!AW2279</f>
        <v>1</v>
      </c>
      <c r="I2404" s="30">
        <f>[1]Source!P2278</f>
        <v>16625.25</v>
      </c>
      <c r="J2404" s="29">
        <f>IF([1]Source!BC2279&lt;&gt; 0, [1]Source!BC2279, 1)</f>
        <v>9.84</v>
      </c>
      <c r="K2404" s="56">
        <f>[1]Source!P2279</f>
        <v>163592.46</v>
      </c>
      <c r="L2404">
        <v>39133.82</v>
      </c>
      <c r="M2404" s="50">
        <f>L2404*E2404</f>
        <v>195669.1</v>
      </c>
      <c r="N2404" s="59" t="s">
        <v>180</v>
      </c>
      <c r="Q2404">
        <f>[1]Source!X2278</f>
        <v>0</v>
      </c>
      <c r="R2404">
        <f>[1]Source!X2279</f>
        <v>0</v>
      </c>
      <c r="S2404">
        <f>[1]Source!Y2278</f>
        <v>0</v>
      </c>
      <c r="T2404">
        <f>[1]Source!Y2279</f>
        <v>0</v>
      </c>
      <c r="U2404">
        <f>ROUND((175/100)*ROUND([1]Source!R2278, 2), 2)</f>
        <v>0</v>
      </c>
      <c r="V2404">
        <f>ROUND((0/100)*ROUND([1]Source!R2279, 2), 2)</f>
        <v>0</v>
      </c>
      <c r="AC2404">
        <v>3</v>
      </c>
    </row>
    <row r="2405" spans="1:29" hidden="1" x14ac:dyDescent="0.25">
      <c r="A2405" s="57"/>
      <c r="B2405" s="57"/>
      <c r="C2405" s="58" t="str">
        <f>"Объем: "&amp;[1]Source!I2278&amp;"=2+"&amp;"3"</f>
        <v>Объем: 5=2+3</v>
      </c>
      <c r="D2405" s="57"/>
      <c r="E2405" s="57"/>
      <c r="F2405" s="57"/>
      <c r="G2405" s="57"/>
      <c r="H2405" s="57"/>
      <c r="I2405" s="57"/>
      <c r="J2405" s="57"/>
      <c r="K2405" s="57"/>
    </row>
    <row r="2406" spans="1:29" ht="13.8" hidden="1" x14ac:dyDescent="0.25">
      <c r="C2406" s="39" t="s">
        <v>49</v>
      </c>
      <c r="H2406" s="40">
        <f>I2404+0</f>
        <v>16625.25</v>
      </c>
      <c r="I2406" s="40"/>
      <c r="J2406" s="40">
        <f>K2404+0</f>
        <v>163592.46</v>
      </c>
      <c r="K2406" s="40"/>
      <c r="O2406" s="42">
        <f>I2404+0</f>
        <v>16625.25</v>
      </c>
      <c r="P2406" s="42">
        <f>K2404+0</f>
        <v>163592.46</v>
      </c>
    </row>
    <row r="2407" spans="1:29" hidden="1" x14ac:dyDescent="0.25"/>
    <row r="2408" spans="1:29" ht="55.2" hidden="1" x14ac:dyDescent="0.25">
      <c r="A2408" s="27">
        <v>272</v>
      </c>
      <c r="B2408" s="27" t="str">
        <f>[1]Source!F2280</f>
        <v>3.70-115-2</v>
      </c>
      <c r="C2408" s="27" t="s">
        <v>556</v>
      </c>
      <c r="D2408" s="28" t="str">
        <f>[1]Source!H2280</f>
        <v>100 м2</v>
      </c>
      <c r="E2408" s="29">
        <f>[1]Source!I2280</f>
        <v>6.6</v>
      </c>
      <c r="F2408" s="30"/>
      <c r="G2408" s="31"/>
      <c r="H2408" s="29"/>
      <c r="I2408" s="30"/>
      <c r="J2408" s="29"/>
      <c r="K2408" s="30"/>
      <c r="Q2408">
        <f>[1]Source!X2280</f>
        <v>18104.82</v>
      </c>
      <c r="R2408">
        <f>[1]Source!X2281</f>
        <v>1020206.45</v>
      </c>
      <c r="S2408">
        <f>[1]Source!Y2280</f>
        <v>8772.44</v>
      </c>
      <c r="T2408">
        <f>[1]Source!Y2281</f>
        <v>494326.84</v>
      </c>
      <c r="U2408">
        <f>ROUND((175/100)*ROUND([1]Source!R2280, 2), 2)</f>
        <v>750.79</v>
      </c>
      <c r="V2408">
        <f>ROUND((0/100)*ROUND([1]Source!R2281, 2), 2)</f>
        <v>0</v>
      </c>
      <c r="AC2408">
        <v>0</v>
      </c>
    </row>
    <row r="2409" spans="1:29" hidden="1" x14ac:dyDescent="0.25">
      <c r="C2409" s="32" t="str">
        <f>"Объем: "&amp;[1]Source!I2280&amp;"=(3,3+"&amp;"3,3)/"&amp;"100*"&amp;"100"</f>
        <v>Объем: 6,6=(3,3+3,3)/100*100</v>
      </c>
    </row>
    <row r="2410" spans="1:29" ht="14.4" hidden="1" x14ac:dyDescent="0.25">
      <c r="A2410" s="27"/>
      <c r="B2410" s="27"/>
      <c r="C2410" s="27" t="s">
        <v>36</v>
      </c>
      <c r="D2410" s="28"/>
      <c r="E2410" s="29"/>
      <c r="F2410" s="30">
        <f>[1]Source!AO2280</f>
        <v>1912.29</v>
      </c>
      <c r="G2410" s="31" t="s">
        <v>37</v>
      </c>
      <c r="H2410" s="29">
        <f>[1]Source!AV2281</f>
        <v>1.0469999999999999</v>
      </c>
      <c r="I2410" s="30">
        <f>[1]Source!S2280</f>
        <v>18235.740000000002</v>
      </c>
      <c r="J2410" s="29">
        <f>IF([1]Source!BA2281&lt;&gt; 0, [1]Source!BA2281, 1)</f>
        <v>56.35</v>
      </c>
      <c r="K2410" s="30">
        <f>[1]Source!S2281</f>
        <v>1027583.95</v>
      </c>
    </row>
    <row r="2411" spans="1:29" ht="14.4" hidden="1" x14ac:dyDescent="0.25">
      <c r="A2411" s="27"/>
      <c r="B2411" s="27"/>
      <c r="C2411" s="27" t="s">
        <v>38</v>
      </c>
      <c r="D2411" s="28"/>
      <c r="E2411" s="29"/>
      <c r="F2411" s="30">
        <f>[1]Source!AM2280</f>
        <v>289.08</v>
      </c>
      <c r="G2411" s="31" t="s">
        <v>39</v>
      </c>
      <c r="H2411" s="29">
        <f>[1]Source!AV2281</f>
        <v>1.0469999999999999</v>
      </c>
      <c r="I2411" s="30">
        <f>[1]Source!Q2280</f>
        <v>2996.4</v>
      </c>
      <c r="J2411" s="29">
        <f>IF([1]Source!BB2281&lt;&gt; 0, [1]Source!BB2281, 1)</f>
        <v>16.64</v>
      </c>
      <c r="K2411" s="30">
        <f>[1]Source!Q2281</f>
        <v>49860.1</v>
      </c>
    </row>
    <row r="2412" spans="1:29" ht="14.4" hidden="1" x14ac:dyDescent="0.25">
      <c r="A2412" s="27"/>
      <c r="B2412" s="27"/>
      <c r="C2412" s="27" t="s">
        <v>40</v>
      </c>
      <c r="D2412" s="28"/>
      <c r="E2412" s="29"/>
      <c r="F2412" s="30">
        <f>[1]Source!AN2280</f>
        <v>41.39</v>
      </c>
      <c r="G2412" s="31" t="s">
        <v>39</v>
      </c>
      <c r="H2412" s="29">
        <f>[1]Source!AV2281</f>
        <v>1.0469999999999999</v>
      </c>
      <c r="I2412" s="33">
        <f>[1]Source!R2280</f>
        <v>429.02</v>
      </c>
      <c r="J2412" s="29">
        <f>IF([1]Source!BS2281&lt;&gt; 0, [1]Source!BS2281, 1)</f>
        <v>56.35</v>
      </c>
      <c r="K2412" s="33">
        <f>[1]Source!R2281</f>
        <v>24175.279999999999</v>
      </c>
    </row>
    <row r="2413" spans="1:29" ht="14.4" hidden="1" x14ac:dyDescent="0.25">
      <c r="A2413" s="27"/>
      <c r="B2413" s="27"/>
      <c r="C2413" s="27" t="s">
        <v>41</v>
      </c>
      <c r="D2413" s="28"/>
      <c r="E2413" s="29"/>
      <c r="F2413" s="30">
        <f>[1]Source!AL2280</f>
        <v>5869.93</v>
      </c>
      <c r="G2413" s="31"/>
      <c r="H2413" s="29">
        <f>[1]Source!AW2281</f>
        <v>1</v>
      </c>
      <c r="I2413" s="30">
        <f>[1]Source!P2280</f>
        <v>38741.54</v>
      </c>
      <c r="J2413" s="29">
        <f>IF([1]Source!BC2281&lt;&gt; 0, [1]Source!BC2281, 1)</f>
        <v>2.87</v>
      </c>
      <c r="K2413" s="30">
        <f>[1]Source!P2281</f>
        <v>111188.22</v>
      </c>
    </row>
    <row r="2414" spans="1:29" ht="193.2" hidden="1" x14ac:dyDescent="0.25">
      <c r="A2414" s="27" t="s">
        <v>557</v>
      </c>
      <c r="B2414" s="27" t="str">
        <f>[1]Source!F2282</f>
        <v>1.1-1-2469</v>
      </c>
      <c r="C2414" s="27" t="s">
        <v>290</v>
      </c>
      <c r="D2414" s="28" t="str">
        <f>[1]Source!H2282</f>
        <v>м</v>
      </c>
      <c r="E2414" s="29">
        <f>[1]Source!I2282</f>
        <v>264</v>
      </c>
      <c r="F2414" s="30">
        <f>[1]Source!AK2282</f>
        <v>14.98</v>
      </c>
      <c r="G2414" s="43" t="s">
        <v>54</v>
      </c>
      <c r="H2414" s="29">
        <f>[1]Source!AW2283</f>
        <v>1</v>
      </c>
      <c r="I2414" s="30">
        <f>[1]Source!O2282</f>
        <v>3954.72</v>
      </c>
      <c r="J2414" s="29">
        <f>IF([1]Source!BC2283&lt;&gt; 0, [1]Source!BC2283, 1)</f>
        <v>1.42</v>
      </c>
      <c r="K2414" s="30">
        <f>[1]Source!O2283</f>
        <v>5615.7</v>
      </c>
      <c r="Q2414">
        <f>[1]Source!X2282</f>
        <v>0</v>
      </c>
      <c r="R2414">
        <f>[1]Source!X2283</f>
        <v>0</v>
      </c>
      <c r="S2414">
        <f>[1]Source!Y2282</f>
        <v>0</v>
      </c>
      <c r="T2414">
        <f>[1]Source!Y2283</f>
        <v>0</v>
      </c>
      <c r="U2414">
        <f>ROUND((175/100)*ROUND([1]Source!R2282, 2), 2)</f>
        <v>0</v>
      </c>
      <c r="V2414">
        <f>ROUND((0/100)*ROUND([1]Source!R2283, 2), 2)</f>
        <v>0</v>
      </c>
      <c r="AC2414">
        <v>3</v>
      </c>
    </row>
    <row r="2415" spans="1:29" ht="234.6" hidden="1" x14ac:dyDescent="0.25">
      <c r="A2415" s="27" t="s">
        <v>558</v>
      </c>
      <c r="B2415" s="27" t="str">
        <f>[1]Source!F2284</f>
        <v>1.1-1-2980</v>
      </c>
      <c r="C2415" s="27" t="s">
        <v>292</v>
      </c>
      <c r="D2415" s="28" t="str">
        <f>[1]Source!H2284</f>
        <v>м</v>
      </c>
      <c r="E2415" s="29">
        <f>[1]Source!I2284</f>
        <v>1438.8</v>
      </c>
      <c r="F2415" s="30">
        <f>[1]Source!AK2284</f>
        <v>14.75</v>
      </c>
      <c r="G2415" s="43" t="s">
        <v>54</v>
      </c>
      <c r="H2415" s="29">
        <f>[1]Source!AW2285</f>
        <v>1</v>
      </c>
      <c r="I2415" s="30">
        <f>[1]Source!O2284</f>
        <v>21222.3</v>
      </c>
      <c r="J2415" s="29">
        <f>IF([1]Source!BC2285&lt;&gt; 0, [1]Source!BC2285, 1)</f>
        <v>1.91</v>
      </c>
      <c r="K2415" s="30">
        <f>[1]Source!O2285</f>
        <v>40534.589999999997</v>
      </c>
      <c r="Q2415">
        <f>[1]Source!X2284</f>
        <v>0</v>
      </c>
      <c r="R2415">
        <f>[1]Source!X2285</f>
        <v>0</v>
      </c>
      <c r="S2415">
        <f>[1]Source!Y2284</f>
        <v>0</v>
      </c>
      <c r="T2415">
        <f>[1]Source!Y2285</f>
        <v>0</v>
      </c>
      <c r="U2415">
        <f>ROUND((175/100)*ROUND([1]Source!R2284, 2), 2)</f>
        <v>0</v>
      </c>
      <c r="V2415">
        <f>ROUND((0/100)*ROUND([1]Source!R2285, 2), 2)</f>
        <v>0</v>
      </c>
      <c r="AC2415">
        <v>3</v>
      </c>
    </row>
    <row r="2416" spans="1:29" ht="41.4" hidden="1" x14ac:dyDescent="0.25">
      <c r="A2416" s="27" t="s">
        <v>559</v>
      </c>
      <c r="B2416" s="27" t="str">
        <f>[1]Source!F2286</f>
        <v>1.1-1-2983</v>
      </c>
      <c r="C2416" s="27" t="s">
        <v>551</v>
      </c>
      <c r="D2416" s="28" t="str">
        <f>[1]Source!H2286</f>
        <v>м</v>
      </c>
      <c r="E2416" s="29">
        <f>[1]Source!I2286</f>
        <v>996.59999999999991</v>
      </c>
      <c r="F2416" s="30">
        <f>[1]Source!AK2286</f>
        <v>5.49</v>
      </c>
      <c r="G2416" s="43" t="s">
        <v>54</v>
      </c>
      <c r="H2416" s="29">
        <f>[1]Source!AW2287</f>
        <v>1</v>
      </c>
      <c r="I2416" s="30">
        <f>[1]Source!O2286</f>
        <v>5471.33</v>
      </c>
      <c r="J2416" s="29">
        <f>IF([1]Source!BC2287&lt;&gt; 0, [1]Source!BC2287, 1)</f>
        <v>0.95</v>
      </c>
      <c r="K2416" s="30">
        <f>[1]Source!O2287</f>
        <v>5197.76</v>
      </c>
      <c r="Q2416">
        <f>[1]Source!X2286</f>
        <v>0</v>
      </c>
      <c r="R2416">
        <f>[1]Source!X2287</f>
        <v>0</v>
      </c>
      <c r="S2416">
        <f>[1]Source!Y2286</f>
        <v>0</v>
      </c>
      <c r="T2416">
        <f>[1]Source!Y2287</f>
        <v>0</v>
      </c>
      <c r="U2416">
        <f>ROUND((175/100)*ROUND([1]Source!R2286, 2), 2)</f>
        <v>0</v>
      </c>
      <c r="V2416">
        <f>ROUND((0/100)*ROUND([1]Source!R2287, 2), 2)</f>
        <v>0</v>
      </c>
      <c r="AC2416">
        <v>3</v>
      </c>
    </row>
    <row r="2417" spans="1:29" ht="14.4" hidden="1" x14ac:dyDescent="0.25">
      <c r="A2417" s="27"/>
      <c r="B2417" s="27"/>
      <c r="C2417" s="27" t="s">
        <v>42</v>
      </c>
      <c r="D2417" s="28" t="s">
        <v>43</v>
      </c>
      <c r="E2417" s="29">
        <f>[1]Source!BZ2281</f>
        <v>97</v>
      </c>
      <c r="F2417" s="30"/>
      <c r="G2417" s="31"/>
      <c r="H2417" s="29"/>
      <c r="I2417" s="30">
        <f>SUM(Q2408:Q2416)</f>
        <v>18104.82</v>
      </c>
      <c r="J2417" s="29">
        <f>[1]Source!AT2281</f>
        <v>97</v>
      </c>
      <c r="K2417" s="30">
        <f>SUM(R2408:R2416)</f>
        <v>1020206.45</v>
      </c>
    </row>
    <row r="2418" spans="1:29" ht="14.4" hidden="1" x14ac:dyDescent="0.25">
      <c r="A2418" s="27"/>
      <c r="B2418" s="27"/>
      <c r="C2418" s="27" t="s">
        <v>44</v>
      </c>
      <c r="D2418" s="28" t="s">
        <v>43</v>
      </c>
      <c r="E2418" s="29">
        <f>[1]Source!CA2281</f>
        <v>47</v>
      </c>
      <c r="F2418" s="30"/>
      <c r="G2418" s="31"/>
      <c r="H2418" s="29"/>
      <c r="I2418" s="30">
        <f>SUM(S2408:S2417)</f>
        <v>8772.44</v>
      </c>
      <c r="J2418" s="29">
        <f>[1]Source!AU2281</f>
        <v>47</v>
      </c>
      <c r="K2418" s="30">
        <f>SUM(T2408:T2417)</f>
        <v>494326.84</v>
      </c>
    </row>
    <row r="2419" spans="1:29" ht="14.4" hidden="1" x14ac:dyDescent="0.25">
      <c r="A2419" s="34"/>
      <c r="B2419" s="34"/>
      <c r="C2419" s="34" t="s">
        <v>45</v>
      </c>
      <c r="D2419" s="35" t="s">
        <v>46</v>
      </c>
      <c r="E2419" s="36">
        <f>[1]Source!AQ2280</f>
        <v>122.57</v>
      </c>
      <c r="F2419" s="37"/>
      <c r="G2419" s="38" t="s">
        <v>37</v>
      </c>
      <c r="H2419" s="36">
        <f>[1]Source!AV2281</f>
        <v>1.0469999999999999</v>
      </c>
      <c r="I2419" s="37">
        <f>[1]Source!U2280</f>
        <v>1168.8368353199996</v>
      </c>
      <c r="J2419" s="36"/>
      <c r="K2419" s="37"/>
    </row>
    <row r="2420" spans="1:29" ht="13.8" hidden="1" x14ac:dyDescent="0.25">
      <c r="C2420" s="39" t="s">
        <v>47</v>
      </c>
      <c r="H2420" s="40">
        <f>I2410+I2411+I2413+I2417+I2418+SUM(I2414:I2416)-SUMIF(AC2414:AC2416, 5, I2414:I2416)-SUMIF(AC2414:AC2416, 6, I2414:I2416)</f>
        <v>117499.29000000001</v>
      </c>
      <c r="I2420" s="40"/>
      <c r="J2420" s="40">
        <f>K2410+K2411+K2413+K2417+K2418+SUM(K2414:K2416)-SUMIF(AC2414:AC2416, 5, K2414:K2416)-SUMIF(AC2414:AC2416, 6, K2414:K2416)</f>
        <v>2754513.6099999994</v>
      </c>
      <c r="K2420" s="40"/>
    </row>
    <row r="2421" spans="1:29" ht="13.8" hidden="1" x14ac:dyDescent="0.25">
      <c r="C2421" s="39" t="s">
        <v>48</v>
      </c>
      <c r="H2421" s="41">
        <f>SUMIF(AC2414:AC2416, 5, I2414:I2416)+SUMIF(AC2414:AC2416, 6, I2414:I2416)</f>
        <v>0</v>
      </c>
      <c r="I2421" s="41"/>
      <c r="J2421" s="41">
        <f>SUMIF(AC2414:AC2416, 5, K2414:K2416)+SUMIF(AC2414:AC2416, 6, K2414:K2416)</f>
        <v>0</v>
      </c>
      <c r="K2421" s="41"/>
    </row>
    <row r="2422" spans="1:29" ht="13.8" hidden="1" x14ac:dyDescent="0.25">
      <c r="C2422" s="39" t="s">
        <v>49</v>
      </c>
      <c r="H2422" s="41">
        <f>I2410+I2411+I2413+I2417+I2418+SUM(I2414:I2416)</f>
        <v>117499.29000000001</v>
      </c>
      <c r="I2422" s="41"/>
      <c r="J2422" s="41">
        <f>K2410+K2411+K2413+K2417+K2418+SUM(K2414:K2416)</f>
        <v>2754513.6099999994</v>
      </c>
      <c r="K2422" s="41"/>
      <c r="O2422" s="42">
        <f>I2410+I2411+I2413+I2417+I2418+SUM(I2414:I2416)</f>
        <v>117499.29000000001</v>
      </c>
      <c r="P2422" s="42">
        <f>K2410+K2411+K2413+K2417+K2418+SUM(K2414:K2416)</f>
        <v>2754513.6099999994</v>
      </c>
    </row>
    <row r="2423" spans="1:29" hidden="1" x14ac:dyDescent="0.25"/>
    <row r="2424" spans="1:29" ht="330" x14ac:dyDescent="0.25">
      <c r="A2424" s="53">
        <v>273</v>
      </c>
      <c r="B2424" s="53" t="str">
        <f>[1]Source!F2288</f>
        <v>КА-147</v>
      </c>
      <c r="C2424" s="53" t="s">
        <v>560</v>
      </c>
      <c r="D2424" s="54" t="str">
        <f>[1]Source!H2288</f>
        <v>ШТ</v>
      </c>
      <c r="E2424" s="55">
        <f>[1]Source!I2288</f>
        <v>2</v>
      </c>
      <c r="F2424" s="30">
        <f>[1]Source!AL2288</f>
        <v>4355.13</v>
      </c>
      <c r="G2424" s="31"/>
      <c r="H2424" s="29">
        <f>[1]Source!AW2289</f>
        <v>1</v>
      </c>
      <c r="I2424" s="30">
        <f>[1]Source!P2288</f>
        <v>8710.26</v>
      </c>
      <c r="J2424" s="29">
        <f>IF([1]Source!BC2289&lt;&gt; 0, [1]Source!BC2289, 1)</f>
        <v>9.84</v>
      </c>
      <c r="K2424" s="56">
        <f>[1]Source!P2289</f>
        <v>85708.96</v>
      </c>
      <c r="L2424">
        <v>51257.36</v>
      </c>
      <c r="M2424" s="50">
        <f>L2424*E2424</f>
        <v>102514.72</v>
      </c>
      <c r="N2424" s="59" t="s">
        <v>180</v>
      </c>
      <c r="Q2424">
        <f>[1]Source!X2288</f>
        <v>0</v>
      </c>
      <c r="R2424">
        <f>[1]Source!X2289</f>
        <v>0</v>
      </c>
      <c r="S2424">
        <f>[1]Source!Y2288</f>
        <v>0</v>
      </c>
      <c r="T2424">
        <f>[1]Source!Y2289</f>
        <v>0</v>
      </c>
      <c r="U2424">
        <f>ROUND((175/100)*ROUND([1]Source!R2288, 2), 2)</f>
        <v>0</v>
      </c>
      <c r="V2424">
        <f>ROUND((0/100)*ROUND([1]Source!R2289, 2), 2)</f>
        <v>0</v>
      </c>
      <c r="AC2424">
        <v>3</v>
      </c>
    </row>
    <row r="2425" spans="1:29" hidden="1" x14ac:dyDescent="0.25">
      <c r="A2425" s="57"/>
      <c r="B2425" s="57"/>
      <c r="C2425" s="58" t="str">
        <f>"Объем: "&amp;[1]Source!I2288&amp;"=1+"&amp;"1"</f>
        <v>Объем: 2=1+1</v>
      </c>
      <c r="D2425" s="57"/>
      <c r="E2425" s="57"/>
      <c r="F2425" s="57"/>
      <c r="G2425" s="57"/>
      <c r="H2425" s="57"/>
      <c r="I2425" s="57"/>
      <c r="J2425" s="57"/>
      <c r="K2425" s="57"/>
    </row>
    <row r="2426" spans="1:29" ht="13.8" hidden="1" x14ac:dyDescent="0.25">
      <c r="C2426" s="39" t="s">
        <v>49</v>
      </c>
      <c r="H2426" s="40">
        <f>I2424+0</f>
        <v>8710.26</v>
      </c>
      <c r="I2426" s="40"/>
      <c r="J2426" s="40">
        <f>K2424+0</f>
        <v>85708.96</v>
      </c>
      <c r="K2426" s="40"/>
      <c r="O2426" s="42">
        <f>I2424+0</f>
        <v>8710.26</v>
      </c>
      <c r="P2426" s="42">
        <f>K2424+0</f>
        <v>85708.96</v>
      </c>
    </row>
    <row r="2427" spans="1:29" hidden="1" x14ac:dyDescent="0.25"/>
    <row r="2428" spans="1:29" hidden="1" x14ac:dyDescent="0.25"/>
    <row r="2429" spans="1:29" ht="13.8" hidden="1" x14ac:dyDescent="0.25">
      <c r="A2429" s="44" t="str">
        <f>CONCATENATE("Итого по подразделу: ",IF([1]Source!G2291&lt;&gt;"Новый подраздел", [1]Source!G2291, ""))</f>
        <v>Итого по подразделу: Двери композитные</v>
      </c>
      <c r="B2429" s="44"/>
      <c r="C2429" s="44"/>
      <c r="D2429" s="44"/>
      <c r="E2429" s="44"/>
      <c r="F2429" s="44"/>
      <c r="G2429" s="44"/>
      <c r="H2429" s="41">
        <f>SUM(O2376:O2428)</f>
        <v>202400.07</v>
      </c>
      <c r="I2429" s="45"/>
      <c r="J2429" s="41">
        <f>SUM(P2376:P2428)</f>
        <v>3765172.3299999991</v>
      </c>
      <c r="K2429" s="45"/>
    </row>
    <row r="2430" spans="1:29" hidden="1" x14ac:dyDescent="0.25">
      <c r="A2430" t="s">
        <v>55</v>
      </c>
      <c r="I2430">
        <f>SUM(W2376:W2429)</f>
        <v>0</v>
      </c>
      <c r="J2430">
        <f>SUM(X2376:X2429)</f>
        <v>0</v>
      </c>
    </row>
    <row r="2431" spans="1:29" hidden="1" x14ac:dyDescent="0.25">
      <c r="A2431" t="s">
        <v>56</v>
      </c>
      <c r="I2431">
        <f>SUM(Y2376:Y2430)</f>
        <v>0</v>
      </c>
      <c r="J2431">
        <f>SUM(Z2376:Z2430)</f>
        <v>0</v>
      </c>
    </row>
    <row r="2432" spans="1:29" hidden="1" x14ac:dyDescent="0.25"/>
    <row r="2433" spans="1:29" ht="13.8" hidden="1" x14ac:dyDescent="0.25">
      <c r="A2433" s="44" t="str">
        <f>CONCATENATE("Итого по разделу: ",IF([1]Source!G2321&lt;&gt;"Новый раздел", [1]Source!G2321, ""))</f>
        <v>Итого по разделу: Внутренние двери</v>
      </c>
      <c r="B2433" s="44"/>
      <c r="C2433" s="44"/>
      <c r="D2433" s="44"/>
      <c r="E2433" s="44"/>
      <c r="F2433" s="44"/>
      <c r="G2433" s="44"/>
      <c r="H2433" s="41">
        <f>SUM(O2110:O2432)</f>
        <v>1292195.48</v>
      </c>
      <c r="I2433" s="45"/>
      <c r="J2433" s="41">
        <f>SUM(P2110:P2432)</f>
        <v>14893337.160000004</v>
      </c>
      <c r="K2433" s="45"/>
    </row>
    <row r="2434" spans="1:29" hidden="1" x14ac:dyDescent="0.25">
      <c r="A2434" t="s">
        <v>55</v>
      </c>
      <c r="I2434">
        <f>SUM(W2110:W2433)</f>
        <v>0</v>
      </c>
      <c r="J2434">
        <f>SUM(X2110:X2433)</f>
        <v>0</v>
      </c>
    </row>
    <row r="2435" spans="1:29" hidden="1" x14ac:dyDescent="0.25">
      <c r="A2435" t="s">
        <v>56</v>
      </c>
      <c r="I2435">
        <f>SUM(Y2110:Y2434)</f>
        <v>0</v>
      </c>
      <c r="J2435">
        <f>SUM(Z2110:Z2434)</f>
        <v>0</v>
      </c>
    </row>
    <row r="2436" spans="1:29" hidden="1" x14ac:dyDescent="0.25"/>
    <row r="2437" spans="1:29" ht="16.8" hidden="1" x14ac:dyDescent="0.25">
      <c r="A2437" s="11" t="str">
        <f>CONCATENATE("Раздел: ",IF([1]Source!G2351&lt;&gt;"Новый раздел", [1]Source!G2351, ""))</f>
        <v>Раздел: Витражи</v>
      </c>
      <c r="B2437" s="11"/>
      <c r="C2437" s="11"/>
      <c r="D2437" s="11"/>
      <c r="E2437" s="11"/>
      <c r="F2437" s="11"/>
      <c r="G2437" s="11"/>
      <c r="H2437" s="11"/>
      <c r="I2437" s="11"/>
      <c r="J2437" s="11"/>
      <c r="K2437" s="11"/>
    </row>
    <row r="2438" spans="1:29" hidden="1" x14ac:dyDescent="0.25"/>
    <row r="2439" spans="1:29" ht="16.8" hidden="1" x14ac:dyDescent="0.25">
      <c r="A2439" s="11" t="str">
        <f>CONCATENATE("Подраздел: ",IF([1]Source!G2355&lt;&gt;"Новый подраздел", [1]Source!G2355, ""))</f>
        <v>Подраздел: Демонтажные работы</v>
      </c>
      <c r="B2439" s="11"/>
      <c r="C2439" s="11"/>
      <c r="D2439" s="11"/>
      <c r="E2439" s="11"/>
      <c r="F2439" s="11"/>
      <c r="G2439" s="11"/>
      <c r="H2439" s="11"/>
      <c r="I2439" s="11"/>
      <c r="J2439" s="11"/>
      <c r="K2439" s="11"/>
    </row>
    <row r="2440" spans="1:29" ht="41.4" hidden="1" x14ac:dyDescent="0.25">
      <c r="A2440" s="27">
        <v>274</v>
      </c>
      <c r="B2440" s="27" t="str">
        <f>[1]Source!F2359</f>
        <v>3.70-29-1</v>
      </c>
      <c r="C2440" s="27" t="s">
        <v>561</v>
      </c>
      <c r="D2440" s="28" t="str">
        <f>[1]Source!H2359</f>
        <v>100 м2</v>
      </c>
      <c r="E2440" s="29">
        <f>[1]Source!I2359</f>
        <v>2.3069999999999999</v>
      </c>
      <c r="F2440" s="30"/>
      <c r="G2440" s="31"/>
      <c r="H2440" s="29"/>
      <c r="I2440" s="30"/>
      <c r="J2440" s="29"/>
      <c r="K2440" s="30"/>
      <c r="Q2440">
        <f>[1]Source!X2359</f>
        <v>3010.47</v>
      </c>
      <c r="R2440">
        <f>[1]Source!X2360</f>
        <v>169639.86</v>
      </c>
      <c r="S2440">
        <f>[1]Source!Y2359</f>
        <v>1899.46</v>
      </c>
      <c r="T2440">
        <f>[1]Source!Y2360</f>
        <v>107034.67</v>
      </c>
      <c r="U2440">
        <f>ROUND((175/100)*ROUND([1]Source!R2359, 2), 2)</f>
        <v>68.13</v>
      </c>
      <c r="V2440">
        <f>ROUND((0/100)*ROUND([1]Source!R2360, 2), 2)</f>
        <v>0</v>
      </c>
      <c r="AC2440">
        <v>0</v>
      </c>
    </row>
    <row r="2441" spans="1:29" hidden="1" x14ac:dyDescent="0.25">
      <c r="C2441" s="32" t="str">
        <f>"Объем: "&amp;[1]Source!I2359&amp;"=230,7/"&amp;"100"</f>
        <v>Объем: 2,307=230,7/100</v>
      </c>
    </row>
    <row r="2442" spans="1:29" ht="14.4" hidden="1" x14ac:dyDescent="0.25">
      <c r="A2442" s="27"/>
      <c r="B2442" s="27"/>
      <c r="C2442" s="27" t="s">
        <v>36</v>
      </c>
      <c r="D2442" s="28"/>
      <c r="E2442" s="29"/>
      <c r="F2442" s="30">
        <f>[1]Source!AO2359</f>
        <v>1963.37</v>
      </c>
      <c r="G2442" s="31" t="s">
        <v>102</v>
      </c>
      <c r="H2442" s="29">
        <f>[1]Source!AV2360</f>
        <v>1.087</v>
      </c>
      <c r="I2442" s="30">
        <f>[1]Source!S2359</f>
        <v>3544.96</v>
      </c>
      <c r="J2442" s="29">
        <f>IF([1]Source!BA2360&lt;&gt; 0, [1]Source!BA2360, 1)</f>
        <v>56.35</v>
      </c>
      <c r="K2442" s="30">
        <f>[1]Source!S2360</f>
        <v>199758.5</v>
      </c>
    </row>
    <row r="2443" spans="1:29" ht="14.4" hidden="1" x14ac:dyDescent="0.25">
      <c r="A2443" s="27"/>
      <c r="B2443" s="27"/>
      <c r="C2443" s="27" t="s">
        <v>38</v>
      </c>
      <c r="D2443" s="28"/>
      <c r="E2443" s="29"/>
      <c r="F2443" s="30">
        <f>[1]Source!AM2359</f>
        <v>409.71</v>
      </c>
      <c r="G2443" s="31" t="s">
        <v>102</v>
      </c>
      <c r="H2443" s="29">
        <f>[1]Source!AV2360</f>
        <v>1.087</v>
      </c>
      <c r="I2443" s="30">
        <f>[1]Source!Q2359</f>
        <v>739.75</v>
      </c>
      <c r="J2443" s="29">
        <f>IF([1]Source!BB2360&lt;&gt; 0, [1]Source!BB2360, 1)</f>
        <v>13.5</v>
      </c>
      <c r="K2443" s="30">
        <f>[1]Source!Q2360</f>
        <v>9986.6299999999992</v>
      </c>
    </row>
    <row r="2444" spans="1:29" ht="14.4" hidden="1" x14ac:dyDescent="0.25">
      <c r="A2444" s="27"/>
      <c r="B2444" s="27"/>
      <c r="C2444" s="27" t="s">
        <v>40</v>
      </c>
      <c r="D2444" s="28"/>
      <c r="E2444" s="29"/>
      <c r="F2444" s="30">
        <f>[1]Source!AN2359</f>
        <v>21.56</v>
      </c>
      <c r="G2444" s="31" t="s">
        <v>102</v>
      </c>
      <c r="H2444" s="29">
        <f>[1]Source!AV2360</f>
        <v>1.087</v>
      </c>
      <c r="I2444" s="33">
        <f>[1]Source!R2359</f>
        <v>38.93</v>
      </c>
      <c r="J2444" s="29">
        <f>IF([1]Source!BS2360&lt;&gt; 0, [1]Source!BS2360, 1)</f>
        <v>56.35</v>
      </c>
      <c r="K2444" s="33">
        <f>[1]Source!R2360</f>
        <v>2193.71</v>
      </c>
    </row>
    <row r="2445" spans="1:29" ht="14.4" hidden="1" x14ac:dyDescent="0.25">
      <c r="A2445" s="27"/>
      <c r="B2445" s="27"/>
      <c r="C2445" s="27" t="s">
        <v>41</v>
      </c>
      <c r="D2445" s="28"/>
      <c r="E2445" s="29"/>
      <c r="F2445" s="30">
        <f>[1]Source!AL2359</f>
        <v>2114.35</v>
      </c>
      <c r="G2445" s="31" t="s">
        <v>64</v>
      </c>
      <c r="H2445" s="29">
        <f>[1]Source!AW2360</f>
        <v>1</v>
      </c>
      <c r="I2445" s="30">
        <f>[1]Source!P2359</f>
        <v>2926.68</v>
      </c>
      <c r="J2445" s="29">
        <f>IF([1]Source!BC2360&lt;&gt; 0, [1]Source!BC2360, 1)</f>
        <v>11.62</v>
      </c>
      <c r="K2445" s="30">
        <f>[1]Source!P2360</f>
        <v>34008.019999999997</v>
      </c>
    </row>
    <row r="2446" spans="1:29" ht="14.4" hidden="1" x14ac:dyDescent="0.25">
      <c r="A2446" s="27"/>
      <c r="B2446" s="27"/>
      <c r="C2446" s="27" t="s">
        <v>42</v>
      </c>
      <c r="D2446" s="28" t="s">
        <v>43</v>
      </c>
      <c r="E2446" s="29">
        <f>[1]Source!BZ2360</f>
        <v>84</v>
      </c>
      <c r="F2446" s="30"/>
      <c r="G2446" s="31"/>
      <c r="H2446" s="29"/>
      <c r="I2446" s="30">
        <f>SUM(Q2440:Q2445)</f>
        <v>3010.47</v>
      </c>
      <c r="J2446" s="29">
        <f>[1]Source!AT2360</f>
        <v>84</v>
      </c>
      <c r="K2446" s="30">
        <f>SUM(R2440:R2445)</f>
        <v>169639.86</v>
      </c>
    </row>
    <row r="2447" spans="1:29" ht="14.4" hidden="1" x14ac:dyDescent="0.25">
      <c r="A2447" s="27"/>
      <c r="B2447" s="27"/>
      <c r="C2447" s="27" t="s">
        <v>44</v>
      </c>
      <c r="D2447" s="28" t="s">
        <v>43</v>
      </c>
      <c r="E2447" s="29">
        <f>[1]Source!CA2360</f>
        <v>53</v>
      </c>
      <c r="F2447" s="30"/>
      <c r="G2447" s="31"/>
      <c r="H2447" s="29"/>
      <c r="I2447" s="30">
        <f>SUM(S2440:S2446)</f>
        <v>1899.46</v>
      </c>
      <c r="J2447" s="29">
        <f>[1]Source!AU2360</f>
        <v>53</v>
      </c>
      <c r="K2447" s="30">
        <f>SUM(T2440:T2446)</f>
        <v>107034.67</v>
      </c>
    </row>
    <row r="2448" spans="1:29" ht="14.4" hidden="1" x14ac:dyDescent="0.25">
      <c r="A2448" s="34"/>
      <c r="B2448" s="34"/>
      <c r="C2448" s="34" t="s">
        <v>45</v>
      </c>
      <c r="D2448" s="35" t="s">
        <v>46</v>
      </c>
      <c r="E2448" s="36">
        <f>[1]Source!AQ2359</f>
        <v>111</v>
      </c>
      <c r="F2448" s="37"/>
      <c r="G2448" s="38" t="s">
        <v>102</v>
      </c>
      <c r="H2448" s="36">
        <f>[1]Source!AV2360</f>
        <v>1.087</v>
      </c>
      <c r="I2448" s="37">
        <f>[1]Source!U2359</f>
        <v>200.41610327999996</v>
      </c>
      <c r="J2448" s="36"/>
      <c r="K2448" s="37"/>
    </row>
    <row r="2449" spans="1:29" ht="13.8" hidden="1" x14ac:dyDescent="0.25">
      <c r="C2449" s="39" t="s">
        <v>47</v>
      </c>
      <c r="H2449" s="40">
        <f>I2442+I2443+I2445+I2446+I2447+0-0-0</f>
        <v>12121.32</v>
      </c>
      <c r="I2449" s="40"/>
      <c r="J2449" s="40">
        <f>K2442+K2443+K2445+K2446+K2447+0-0-0</f>
        <v>520427.68</v>
      </c>
      <c r="K2449" s="40"/>
    </row>
    <row r="2450" spans="1:29" ht="13.8" hidden="1" x14ac:dyDescent="0.25">
      <c r="C2450" s="39" t="s">
        <v>48</v>
      </c>
      <c r="H2450" s="41">
        <f>0+0</f>
        <v>0</v>
      </c>
      <c r="I2450" s="41"/>
      <c r="J2450" s="41">
        <f>0+0</f>
        <v>0</v>
      </c>
      <c r="K2450" s="41"/>
    </row>
    <row r="2451" spans="1:29" ht="13.8" hidden="1" x14ac:dyDescent="0.25">
      <c r="C2451" s="39" t="s">
        <v>49</v>
      </c>
      <c r="H2451" s="41">
        <f>I2442+I2443+I2445+I2446+I2447+0</f>
        <v>12121.32</v>
      </c>
      <c r="I2451" s="41"/>
      <c r="J2451" s="41">
        <f>K2442+K2443+K2445+K2446+K2447+0</f>
        <v>520427.68</v>
      </c>
      <c r="K2451" s="41"/>
      <c r="O2451" s="42">
        <f>I2442+I2443+I2445+I2446+I2447+0</f>
        <v>12121.32</v>
      </c>
      <c r="P2451" s="42">
        <f>K2442+K2443+K2445+K2446+K2447+0</f>
        <v>520427.68</v>
      </c>
    </row>
    <row r="2452" spans="1:29" hidden="1" x14ac:dyDescent="0.25"/>
    <row r="2453" spans="1:29" hidden="1" x14ac:dyDescent="0.25"/>
    <row r="2454" spans="1:29" ht="13.8" hidden="1" x14ac:dyDescent="0.25">
      <c r="A2454" s="44" t="str">
        <f>CONCATENATE("Итого по подразделу: ",IF([1]Source!G2362&lt;&gt;"Новый подраздел", [1]Source!G2362, ""))</f>
        <v>Итого по подразделу: Демонтажные работы</v>
      </c>
      <c r="B2454" s="44"/>
      <c r="C2454" s="44"/>
      <c r="D2454" s="44"/>
      <c r="E2454" s="44"/>
      <c r="F2454" s="44"/>
      <c r="G2454" s="44"/>
      <c r="H2454" s="41">
        <f>SUM(O2439:O2453)</f>
        <v>12121.32</v>
      </c>
      <c r="I2454" s="45"/>
      <c r="J2454" s="41">
        <f>SUM(P2439:P2453)</f>
        <v>520427.68</v>
      </c>
      <c r="K2454" s="45"/>
    </row>
    <row r="2455" spans="1:29" hidden="1" x14ac:dyDescent="0.25">
      <c r="A2455" t="s">
        <v>55</v>
      </c>
      <c r="I2455">
        <f>SUM(W2439:W2454)</f>
        <v>0</v>
      </c>
      <c r="J2455">
        <f>SUM(X2439:X2454)</f>
        <v>0</v>
      </c>
    </row>
    <row r="2456" spans="1:29" hidden="1" x14ac:dyDescent="0.25">
      <c r="A2456" t="s">
        <v>56</v>
      </c>
      <c r="I2456">
        <f>SUM(Y2439:Y2455)</f>
        <v>0</v>
      </c>
      <c r="J2456">
        <f>SUM(Z2439:Z2455)</f>
        <v>0</v>
      </c>
    </row>
    <row r="2457" spans="1:29" hidden="1" x14ac:dyDescent="0.25"/>
    <row r="2458" spans="1:29" ht="16.8" hidden="1" x14ac:dyDescent="0.25">
      <c r="A2458" s="11" t="str">
        <f>CONCATENATE("Подраздел: ",IF([1]Source!G2392&lt;&gt;"Новый подраздел", [1]Source!G2392, ""))</f>
        <v>Подраздел: ДВ-18-Л Витраж учебного кабинета</v>
      </c>
      <c r="B2458" s="11"/>
      <c r="C2458" s="11"/>
      <c r="D2458" s="11"/>
      <c r="E2458" s="11"/>
      <c r="F2458" s="11"/>
      <c r="G2458" s="11"/>
      <c r="H2458" s="11"/>
      <c r="I2458" s="11"/>
      <c r="J2458" s="11"/>
      <c r="K2458" s="11"/>
    </row>
    <row r="2459" spans="1:29" ht="41.4" hidden="1" x14ac:dyDescent="0.25">
      <c r="A2459" s="27">
        <v>275</v>
      </c>
      <c r="B2459" s="27" t="str">
        <f>[1]Source!F2396</f>
        <v>3.70-55-2</v>
      </c>
      <c r="C2459" s="27" t="s">
        <v>365</v>
      </c>
      <c r="D2459" s="28" t="str">
        <f>[1]Source!H2396</f>
        <v>100 м2</v>
      </c>
      <c r="E2459" s="29">
        <f>[1]Source!I2396</f>
        <v>4.3999999999999997E-2</v>
      </c>
      <c r="F2459" s="30"/>
      <c r="G2459" s="31"/>
      <c r="H2459" s="29"/>
      <c r="I2459" s="30"/>
      <c r="J2459" s="29"/>
      <c r="K2459" s="30"/>
      <c r="Q2459">
        <f>[1]Source!X2396</f>
        <v>165.71</v>
      </c>
      <c r="R2459">
        <f>[1]Source!X2397</f>
        <v>9337.57</v>
      </c>
      <c r="S2459">
        <f>[1]Source!Y2396</f>
        <v>104.55</v>
      </c>
      <c r="T2459">
        <f>[1]Source!Y2397</f>
        <v>5891.56</v>
      </c>
      <c r="U2459">
        <f>ROUND((175/100)*ROUND([1]Source!R2396, 2), 2)</f>
        <v>3.55</v>
      </c>
      <c r="V2459">
        <f>ROUND((0/100)*ROUND([1]Source!R2397, 2), 2)</f>
        <v>0</v>
      </c>
      <c r="AC2459">
        <v>0</v>
      </c>
    </row>
    <row r="2460" spans="1:29" hidden="1" x14ac:dyDescent="0.25">
      <c r="C2460" s="32" t="str">
        <f>"Объем: "&amp;[1]Source!I2396&amp;"=4,4/"&amp;"100"</f>
        <v>Объем: 0,044=4,4/100</v>
      </c>
    </row>
    <row r="2461" spans="1:29" ht="14.4" hidden="1" x14ac:dyDescent="0.25">
      <c r="A2461" s="27"/>
      <c r="B2461" s="27"/>
      <c r="C2461" s="27" t="s">
        <v>36</v>
      </c>
      <c r="D2461" s="28"/>
      <c r="E2461" s="29"/>
      <c r="F2461" s="30">
        <f>[1]Source!AO2396</f>
        <v>2958.13</v>
      </c>
      <c r="G2461" s="31" t="s">
        <v>37</v>
      </c>
      <c r="H2461" s="29">
        <f>[1]Source!AV2397</f>
        <v>1.087</v>
      </c>
      <c r="I2461" s="30">
        <f>[1]Source!S2396</f>
        <v>195.24</v>
      </c>
      <c r="J2461" s="29">
        <f>IF([1]Source!BA2397&lt;&gt; 0, [1]Source!BA2397, 1)</f>
        <v>56.35</v>
      </c>
      <c r="K2461" s="30">
        <f>[1]Source!S2397</f>
        <v>11001.77</v>
      </c>
    </row>
    <row r="2462" spans="1:29" ht="14.4" hidden="1" x14ac:dyDescent="0.25">
      <c r="A2462" s="27"/>
      <c r="B2462" s="27"/>
      <c r="C2462" s="27" t="s">
        <v>38</v>
      </c>
      <c r="D2462" s="28"/>
      <c r="E2462" s="29"/>
      <c r="F2462" s="30">
        <f>[1]Source!AM2396</f>
        <v>243.71</v>
      </c>
      <c r="G2462" s="31" t="s">
        <v>39</v>
      </c>
      <c r="H2462" s="29">
        <f>[1]Source!AV2397</f>
        <v>1.087</v>
      </c>
      <c r="I2462" s="30">
        <f>[1]Source!Q2396</f>
        <v>17.48</v>
      </c>
      <c r="J2462" s="29">
        <f>IF([1]Source!BB2397&lt;&gt; 0, [1]Source!BB2397, 1)</f>
        <v>15.43</v>
      </c>
      <c r="K2462" s="30">
        <f>[1]Source!Q2397</f>
        <v>269.72000000000003</v>
      </c>
    </row>
    <row r="2463" spans="1:29" ht="14.4" hidden="1" x14ac:dyDescent="0.25">
      <c r="A2463" s="27"/>
      <c r="B2463" s="27"/>
      <c r="C2463" s="27" t="s">
        <v>40</v>
      </c>
      <c r="D2463" s="28"/>
      <c r="E2463" s="29"/>
      <c r="F2463" s="30">
        <f>[1]Source!AN2396</f>
        <v>28.27</v>
      </c>
      <c r="G2463" s="31" t="s">
        <v>39</v>
      </c>
      <c r="H2463" s="29">
        <f>[1]Source!AV2397</f>
        <v>1.087</v>
      </c>
      <c r="I2463" s="33">
        <f>[1]Source!R2396</f>
        <v>2.0299999999999998</v>
      </c>
      <c r="J2463" s="29">
        <f>IF([1]Source!BS2397&lt;&gt; 0, [1]Source!BS2397, 1)</f>
        <v>56.35</v>
      </c>
      <c r="K2463" s="33">
        <f>[1]Source!R2397</f>
        <v>114.39</v>
      </c>
    </row>
    <row r="2464" spans="1:29" ht="14.4" hidden="1" x14ac:dyDescent="0.25">
      <c r="A2464" s="27"/>
      <c r="B2464" s="27"/>
      <c r="C2464" s="27" t="s">
        <v>41</v>
      </c>
      <c r="D2464" s="28"/>
      <c r="E2464" s="29"/>
      <c r="F2464" s="30">
        <f>[1]Source!AL2396</f>
        <v>1577.27</v>
      </c>
      <c r="G2464" s="31"/>
      <c r="H2464" s="29">
        <f>[1]Source!AW2397</f>
        <v>1</v>
      </c>
      <c r="I2464" s="30">
        <f>[1]Source!P2396</f>
        <v>69.400000000000006</v>
      </c>
      <c r="J2464" s="29">
        <f>IF([1]Source!BC2397&lt;&gt; 0, [1]Source!BC2397, 1)</f>
        <v>4.66</v>
      </c>
      <c r="K2464" s="30">
        <f>[1]Source!P2397</f>
        <v>323.39999999999998</v>
      </c>
    </row>
    <row r="2465" spans="1:29" ht="69" hidden="1" x14ac:dyDescent="0.25">
      <c r="A2465" s="27" t="s">
        <v>562</v>
      </c>
      <c r="B2465" s="27" t="str">
        <f>[1]Source!F2398</f>
        <v>1.1-1-2121</v>
      </c>
      <c r="C2465" s="27" t="s">
        <v>367</v>
      </c>
      <c r="D2465" s="28" t="str">
        <f>[1]Source!H2398</f>
        <v>м2</v>
      </c>
      <c r="E2465" s="29">
        <f>[1]Source!I2398</f>
        <v>1.7780000000000001E-3</v>
      </c>
      <c r="F2465" s="30">
        <f>[1]Source!AK2398</f>
        <v>145.16999999999999</v>
      </c>
      <c r="G2465" s="43" t="s">
        <v>54</v>
      </c>
      <c r="H2465" s="29">
        <f>[1]Source!AW2399</f>
        <v>1</v>
      </c>
      <c r="I2465" s="30">
        <f>[1]Source!O2398</f>
        <v>0.26</v>
      </c>
      <c r="J2465" s="29">
        <f>IF([1]Source!BC2399&lt;&gt; 0, [1]Source!BC2399, 1)</f>
        <v>5.69</v>
      </c>
      <c r="K2465" s="30">
        <f>[1]Source!O2399</f>
        <v>1.48</v>
      </c>
      <c r="Q2465">
        <f>[1]Source!X2398</f>
        <v>0</v>
      </c>
      <c r="R2465">
        <f>[1]Source!X2399</f>
        <v>0</v>
      </c>
      <c r="S2465">
        <f>[1]Source!Y2398</f>
        <v>0</v>
      </c>
      <c r="T2465">
        <f>[1]Source!Y2399</f>
        <v>0</v>
      </c>
      <c r="U2465">
        <f>ROUND((175/100)*ROUND([1]Source!R2398, 2), 2)</f>
        <v>0</v>
      </c>
      <c r="V2465">
        <f>ROUND((0/100)*ROUND([1]Source!R2399, 2), 2)</f>
        <v>0</v>
      </c>
      <c r="AC2465">
        <v>3</v>
      </c>
    </row>
    <row r="2466" spans="1:29" ht="27.6" hidden="1" x14ac:dyDescent="0.25">
      <c r="A2466" s="27" t="s">
        <v>563</v>
      </c>
      <c r="B2466" s="27" t="str">
        <f>[1]Source!F2400</f>
        <v>1.7-3-8</v>
      </c>
      <c r="C2466" s="27" t="s">
        <v>402</v>
      </c>
      <c r="D2466" s="28" t="str">
        <f>[1]Source!H2400</f>
        <v>шт.</v>
      </c>
      <c r="E2466" s="29">
        <f>[1]Source!I2400</f>
        <v>1</v>
      </c>
      <c r="F2466" s="30">
        <f>[1]Source!AK2400</f>
        <v>11.82</v>
      </c>
      <c r="G2466" s="43" t="s">
        <v>54</v>
      </c>
      <c r="H2466" s="29">
        <f>[1]Source!AW2401</f>
        <v>1</v>
      </c>
      <c r="I2466" s="30">
        <f>[1]Source!O2400</f>
        <v>11.82</v>
      </c>
      <c r="J2466" s="29">
        <f>IF([1]Source!BC2401&lt;&gt; 0, [1]Source!BC2401, 1)</f>
        <v>6.25</v>
      </c>
      <c r="K2466" s="30">
        <f>[1]Source!O2401</f>
        <v>73.88</v>
      </c>
      <c r="Q2466">
        <f>[1]Source!X2400</f>
        <v>0</v>
      </c>
      <c r="R2466">
        <f>[1]Source!X2401</f>
        <v>0</v>
      </c>
      <c r="S2466">
        <f>[1]Source!Y2400</f>
        <v>0</v>
      </c>
      <c r="T2466">
        <f>[1]Source!Y2401</f>
        <v>0</v>
      </c>
      <c r="U2466">
        <f>ROUND((175/100)*ROUND([1]Source!R2400, 2), 2)</f>
        <v>0</v>
      </c>
      <c r="V2466">
        <f>ROUND((0/100)*ROUND([1]Source!R2401, 2), 2)</f>
        <v>0</v>
      </c>
      <c r="AC2466">
        <v>3</v>
      </c>
    </row>
    <row r="2467" spans="1:29" ht="55.2" hidden="1" x14ac:dyDescent="0.25">
      <c r="A2467" s="27" t="s">
        <v>564</v>
      </c>
      <c r="B2467" s="27" t="str">
        <f>[1]Source!F2402</f>
        <v>1.7-3-112</v>
      </c>
      <c r="C2467" s="27" t="s">
        <v>371</v>
      </c>
      <c r="D2467" s="28" t="str">
        <f>[1]Source!H2402</f>
        <v>шт.</v>
      </c>
      <c r="E2467" s="29">
        <f>[1]Source!I2402</f>
        <v>1</v>
      </c>
      <c r="F2467" s="30">
        <f>[1]Source!AK2402</f>
        <v>15.25</v>
      </c>
      <c r="G2467" s="43" t="s">
        <v>54</v>
      </c>
      <c r="H2467" s="29">
        <f>[1]Source!AW2403</f>
        <v>1</v>
      </c>
      <c r="I2467" s="30">
        <f>[1]Source!O2402</f>
        <v>15.25</v>
      </c>
      <c r="J2467" s="29">
        <f>IF([1]Source!BC2403&lt;&gt; 0, [1]Source!BC2403, 1)</f>
        <v>2.37</v>
      </c>
      <c r="K2467" s="30">
        <f>[1]Source!O2403</f>
        <v>36.14</v>
      </c>
      <c r="Q2467">
        <f>[1]Source!X2402</f>
        <v>0</v>
      </c>
      <c r="R2467">
        <f>[1]Source!X2403</f>
        <v>0</v>
      </c>
      <c r="S2467">
        <f>[1]Source!Y2402</f>
        <v>0</v>
      </c>
      <c r="T2467">
        <f>[1]Source!Y2403</f>
        <v>0</v>
      </c>
      <c r="U2467">
        <f>ROUND((175/100)*ROUND([1]Source!R2402, 2), 2)</f>
        <v>0</v>
      </c>
      <c r="V2467">
        <f>ROUND((0/100)*ROUND([1]Source!R2403, 2), 2)</f>
        <v>0</v>
      </c>
      <c r="AC2467">
        <v>3</v>
      </c>
    </row>
    <row r="2468" spans="1:29" ht="41.4" hidden="1" x14ac:dyDescent="0.25">
      <c r="A2468" s="27" t="s">
        <v>565</v>
      </c>
      <c r="B2468" s="27" t="str">
        <f>[1]Source!F2404</f>
        <v>1.7-3-68</v>
      </c>
      <c r="C2468" s="27" t="s">
        <v>566</v>
      </c>
      <c r="D2468" s="28" t="str">
        <f>[1]Source!H2404</f>
        <v>шт.</v>
      </c>
      <c r="E2468" s="29">
        <f>[1]Source!I2404</f>
        <v>1</v>
      </c>
      <c r="F2468" s="30">
        <f>[1]Source!AK2404</f>
        <v>69318.3</v>
      </c>
      <c r="G2468" s="43" t="s">
        <v>54</v>
      </c>
      <c r="H2468" s="29">
        <f>[1]Source!AW2405</f>
        <v>1</v>
      </c>
      <c r="I2468" s="30">
        <f>[1]Source!O2404</f>
        <v>69318.3</v>
      </c>
      <c r="J2468" s="29">
        <f>IF([1]Source!BC2405&lt;&gt; 0, [1]Source!BC2405, 1)</f>
        <v>1.32</v>
      </c>
      <c r="K2468" s="30">
        <f>[1]Source!O2405</f>
        <v>91500.160000000003</v>
      </c>
      <c r="Q2468">
        <f>[1]Source!X2404</f>
        <v>0</v>
      </c>
      <c r="R2468">
        <f>[1]Source!X2405</f>
        <v>0</v>
      </c>
      <c r="S2468">
        <f>[1]Source!Y2404</f>
        <v>0</v>
      </c>
      <c r="T2468">
        <f>[1]Source!Y2405</f>
        <v>0</v>
      </c>
      <c r="U2468">
        <f>ROUND((175/100)*ROUND([1]Source!R2404, 2), 2)</f>
        <v>0</v>
      </c>
      <c r="V2468">
        <f>ROUND((0/100)*ROUND([1]Source!R2405, 2), 2)</f>
        <v>0</v>
      </c>
      <c r="AC2468">
        <v>3</v>
      </c>
    </row>
    <row r="2469" spans="1:29" ht="14.4" hidden="1" x14ac:dyDescent="0.25">
      <c r="A2469" s="27"/>
      <c r="B2469" s="27"/>
      <c r="C2469" s="27" t="s">
        <v>42</v>
      </c>
      <c r="D2469" s="28" t="s">
        <v>43</v>
      </c>
      <c r="E2469" s="29">
        <f>[1]Source!BZ2397</f>
        <v>84</v>
      </c>
      <c r="F2469" s="30"/>
      <c r="G2469" s="31"/>
      <c r="H2469" s="29"/>
      <c r="I2469" s="30">
        <f>SUM(Q2459:Q2468)</f>
        <v>165.71</v>
      </c>
      <c r="J2469" s="29">
        <f>[1]Source!AT2397</f>
        <v>84</v>
      </c>
      <c r="K2469" s="30">
        <f>SUM(R2459:R2468)</f>
        <v>9337.57</v>
      </c>
    </row>
    <row r="2470" spans="1:29" ht="14.4" hidden="1" x14ac:dyDescent="0.25">
      <c r="A2470" s="27"/>
      <c r="B2470" s="27"/>
      <c r="C2470" s="27" t="s">
        <v>44</v>
      </c>
      <c r="D2470" s="28" t="s">
        <v>43</v>
      </c>
      <c r="E2470" s="29">
        <f>[1]Source!CA2397</f>
        <v>53</v>
      </c>
      <c r="F2470" s="30"/>
      <c r="G2470" s="31"/>
      <c r="H2470" s="29"/>
      <c r="I2470" s="30">
        <f>SUM(S2459:S2469)</f>
        <v>104.55</v>
      </c>
      <c r="J2470" s="29">
        <f>[1]Source!AU2397</f>
        <v>53</v>
      </c>
      <c r="K2470" s="30">
        <f>SUM(T2459:T2469)</f>
        <v>5891.56</v>
      </c>
    </row>
    <row r="2471" spans="1:29" ht="14.4" hidden="1" x14ac:dyDescent="0.25">
      <c r="A2471" s="34"/>
      <c r="B2471" s="34"/>
      <c r="C2471" s="34" t="s">
        <v>45</v>
      </c>
      <c r="D2471" s="35" t="s">
        <v>46</v>
      </c>
      <c r="E2471" s="36">
        <f>[1]Source!AQ2396</f>
        <v>183.77</v>
      </c>
      <c r="F2471" s="37"/>
      <c r="G2471" s="38" t="s">
        <v>37</v>
      </c>
      <c r="H2471" s="36">
        <f>[1]Source!AV2397</f>
        <v>1.087</v>
      </c>
      <c r="I2471" s="37">
        <f>[1]Source!U2396</f>
        <v>12.129305152799999</v>
      </c>
      <c r="J2471" s="36"/>
      <c r="K2471" s="37"/>
    </row>
    <row r="2472" spans="1:29" ht="13.8" hidden="1" x14ac:dyDescent="0.25">
      <c r="C2472" s="39" t="s">
        <v>47</v>
      </c>
      <c r="H2472" s="40">
        <f>I2461+I2462+I2464+I2469+I2470+SUM(I2465:I2468)-SUMIF(AC2465:AC2468, 5, I2465:I2468)-SUMIF(AC2465:AC2468, 6, I2465:I2468)</f>
        <v>69898.010000000009</v>
      </c>
      <c r="I2472" s="40"/>
      <c r="J2472" s="40">
        <f>K2461+K2462+K2464+K2469+K2470+SUM(K2465:K2468)-SUMIF(AC2465:AC2468, 5, K2465:K2468)-SUMIF(AC2465:AC2468, 6, K2465:K2468)</f>
        <v>118435.68000000001</v>
      </c>
      <c r="K2472" s="40"/>
    </row>
    <row r="2473" spans="1:29" ht="13.8" hidden="1" x14ac:dyDescent="0.25">
      <c r="C2473" s="39" t="s">
        <v>48</v>
      </c>
      <c r="H2473" s="41">
        <f>SUMIF(AC2465:AC2468, 5, I2465:I2468)+SUMIF(AC2465:AC2468, 6, I2465:I2468)</f>
        <v>0</v>
      </c>
      <c r="I2473" s="41"/>
      <c r="J2473" s="41">
        <f>SUMIF(AC2465:AC2468, 5, K2465:K2468)+SUMIF(AC2465:AC2468, 6, K2465:K2468)</f>
        <v>0</v>
      </c>
      <c r="K2473" s="41"/>
    </row>
    <row r="2474" spans="1:29" ht="13.8" hidden="1" x14ac:dyDescent="0.25">
      <c r="C2474" s="39" t="s">
        <v>49</v>
      </c>
      <c r="H2474" s="41">
        <f>I2461+I2462+I2464+I2469+I2470+SUM(I2465:I2468)</f>
        <v>69898.010000000009</v>
      </c>
      <c r="I2474" s="41"/>
      <c r="J2474" s="41">
        <f>K2461+K2462+K2464+K2469+K2470+SUM(K2465:K2468)</f>
        <v>118435.68000000001</v>
      </c>
      <c r="K2474" s="41"/>
      <c r="O2474" s="42">
        <f>I2461+I2462+I2464+I2469+I2470+SUM(I2465:I2468)</f>
        <v>69898.010000000009</v>
      </c>
      <c r="P2474" s="42">
        <f>K2461+K2462+K2464+K2469+K2470+SUM(K2465:K2468)</f>
        <v>118435.68000000001</v>
      </c>
    </row>
    <row r="2475" spans="1:29" hidden="1" x14ac:dyDescent="0.25"/>
    <row r="2476" spans="1:29" ht="55.2" hidden="1" x14ac:dyDescent="0.25">
      <c r="A2476" s="27">
        <v>276</v>
      </c>
      <c r="B2476" s="27" t="str">
        <f>[1]Source!F2406</f>
        <v>3.70-55-7</v>
      </c>
      <c r="C2476" s="27" t="s">
        <v>567</v>
      </c>
      <c r="D2476" s="28" t="str">
        <f>[1]Source!H2406</f>
        <v>100 м2</v>
      </c>
      <c r="E2476" s="29">
        <f>[1]Source!I2406</f>
        <v>1.2500000000000001E-2</v>
      </c>
      <c r="F2476" s="30"/>
      <c r="G2476" s="31"/>
      <c r="H2476" s="29"/>
      <c r="I2476" s="30"/>
      <c r="J2476" s="29"/>
      <c r="K2476" s="30"/>
      <c r="Q2476">
        <f>[1]Source!X2406</f>
        <v>17.14</v>
      </c>
      <c r="R2476">
        <f>[1]Source!X2407</f>
        <v>965.61</v>
      </c>
      <c r="S2476">
        <f>[1]Source!Y2406</f>
        <v>10.81</v>
      </c>
      <c r="T2476">
        <f>[1]Source!Y2407</f>
        <v>609.26</v>
      </c>
      <c r="U2476">
        <f>ROUND((175/100)*ROUND([1]Source!R2406, 2), 2)</f>
        <v>0.56000000000000005</v>
      </c>
      <c r="V2476">
        <f>ROUND((0/100)*ROUND([1]Source!R2407, 2), 2)</f>
        <v>0</v>
      </c>
      <c r="AC2476">
        <v>0</v>
      </c>
    </row>
    <row r="2477" spans="1:29" hidden="1" x14ac:dyDescent="0.25">
      <c r="C2477" s="32" t="str">
        <f>"Объем: "&amp;[1]Source!I2406&amp;"=(4,4-"&amp;"3,15)/"&amp;"100"</f>
        <v>Объем: 0,0125=(4,4-3,15)/100</v>
      </c>
    </row>
    <row r="2478" spans="1:29" ht="14.4" hidden="1" x14ac:dyDescent="0.25">
      <c r="A2478" s="27"/>
      <c r="B2478" s="27"/>
      <c r="C2478" s="27" t="s">
        <v>36</v>
      </c>
      <c r="D2478" s="28"/>
      <c r="E2478" s="29"/>
      <c r="F2478" s="30">
        <f>[1]Source!AO2406</f>
        <v>1071.1199999999999</v>
      </c>
      <c r="G2478" s="31" t="s">
        <v>568</v>
      </c>
      <c r="H2478" s="29">
        <f>[1]Source!AV2407</f>
        <v>1.087</v>
      </c>
      <c r="I2478" s="30">
        <f>[1]Source!S2406</f>
        <v>20.079999999999998</v>
      </c>
      <c r="J2478" s="29">
        <f>IF([1]Source!BA2407&lt;&gt; 0, [1]Source!BA2407, 1)</f>
        <v>56.35</v>
      </c>
      <c r="K2478" s="30">
        <f>[1]Source!S2407</f>
        <v>1131.51</v>
      </c>
    </row>
    <row r="2479" spans="1:29" ht="14.4" hidden="1" x14ac:dyDescent="0.25">
      <c r="A2479" s="27"/>
      <c r="B2479" s="27"/>
      <c r="C2479" s="27" t="s">
        <v>38</v>
      </c>
      <c r="D2479" s="28"/>
      <c r="E2479" s="29"/>
      <c r="F2479" s="30">
        <f>[1]Source!AM2406</f>
        <v>115.28</v>
      </c>
      <c r="G2479" s="31" t="s">
        <v>569</v>
      </c>
      <c r="H2479" s="29">
        <f>[1]Source!AV2407</f>
        <v>1.087</v>
      </c>
      <c r="I2479" s="30">
        <f>[1]Source!Q2406</f>
        <v>2.35</v>
      </c>
      <c r="J2479" s="29">
        <f>IF([1]Source!BB2407&lt;&gt; 0, [1]Source!BB2407, 1)</f>
        <v>16.39</v>
      </c>
      <c r="K2479" s="30">
        <f>[1]Source!Q2407</f>
        <v>38.520000000000003</v>
      </c>
    </row>
    <row r="2480" spans="1:29" ht="14.4" hidden="1" x14ac:dyDescent="0.25">
      <c r="A2480" s="27"/>
      <c r="B2480" s="27"/>
      <c r="C2480" s="27" t="s">
        <v>40</v>
      </c>
      <c r="D2480" s="28"/>
      <c r="E2480" s="29"/>
      <c r="F2480" s="30">
        <f>[1]Source!AN2406</f>
        <v>15.9</v>
      </c>
      <c r="G2480" s="31" t="s">
        <v>569</v>
      </c>
      <c r="H2480" s="29">
        <f>[1]Source!AV2407</f>
        <v>1.087</v>
      </c>
      <c r="I2480" s="33">
        <f>[1]Source!R2406</f>
        <v>0.32</v>
      </c>
      <c r="J2480" s="29">
        <f>IF([1]Source!BS2407&lt;&gt; 0, [1]Source!BS2407, 1)</f>
        <v>56.35</v>
      </c>
      <c r="K2480" s="33">
        <f>[1]Source!R2407</f>
        <v>18.03</v>
      </c>
    </row>
    <row r="2481" spans="1:29" ht="14.4" hidden="1" x14ac:dyDescent="0.25">
      <c r="A2481" s="27"/>
      <c r="B2481" s="27"/>
      <c r="C2481" s="27" t="s">
        <v>41</v>
      </c>
      <c r="D2481" s="28"/>
      <c r="E2481" s="29"/>
      <c r="F2481" s="30">
        <f>[1]Source!AL2406</f>
        <v>17.079999999999998</v>
      </c>
      <c r="G2481" s="31"/>
      <c r="H2481" s="29">
        <f>[1]Source!AW2407</f>
        <v>1</v>
      </c>
      <c r="I2481" s="30">
        <f>[1]Source!P2406</f>
        <v>0.21</v>
      </c>
      <c r="J2481" s="29">
        <f>IF([1]Source!BC2407&lt;&gt; 0, [1]Source!BC2407, 1)</f>
        <v>3.95</v>
      </c>
      <c r="K2481" s="30">
        <f>[1]Source!P2407</f>
        <v>0.83</v>
      </c>
    </row>
    <row r="2482" spans="1:29" ht="14.4" hidden="1" x14ac:dyDescent="0.25">
      <c r="A2482" s="27"/>
      <c r="B2482" s="27"/>
      <c r="C2482" s="27" t="s">
        <v>42</v>
      </c>
      <c r="D2482" s="28" t="s">
        <v>43</v>
      </c>
      <c r="E2482" s="29">
        <f>[1]Source!BZ2407</f>
        <v>84</v>
      </c>
      <c r="F2482" s="30"/>
      <c r="G2482" s="31"/>
      <c r="H2482" s="29"/>
      <c r="I2482" s="30">
        <f>SUM(Q2476:Q2481)</f>
        <v>17.14</v>
      </c>
      <c r="J2482" s="29">
        <f>[1]Source!AT2407</f>
        <v>84</v>
      </c>
      <c r="K2482" s="30">
        <f>SUM(R2476:R2481)</f>
        <v>965.61</v>
      </c>
    </row>
    <row r="2483" spans="1:29" ht="14.4" hidden="1" x14ac:dyDescent="0.25">
      <c r="A2483" s="27"/>
      <c r="B2483" s="27"/>
      <c r="C2483" s="27" t="s">
        <v>44</v>
      </c>
      <c r="D2483" s="28" t="s">
        <v>43</v>
      </c>
      <c r="E2483" s="29">
        <f>[1]Source!CA2407</f>
        <v>53</v>
      </c>
      <c r="F2483" s="30"/>
      <c r="G2483" s="31"/>
      <c r="H2483" s="29"/>
      <c r="I2483" s="30">
        <f>SUM(S2476:S2482)</f>
        <v>10.81</v>
      </c>
      <c r="J2483" s="29">
        <f>[1]Source!AU2407</f>
        <v>53</v>
      </c>
      <c r="K2483" s="30">
        <f>SUM(T2476:T2482)</f>
        <v>609.26</v>
      </c>
    </row>
    <row r="2484" spans="1:29" ht="14.4" hidden="1" x14ac:dyDescent="0.25">
      <c r="A2484" s="34"/>
      <c r="B2484" s="34"/>
      <c r="C2484" s="34" t="s">
        <v>45</v>
      </c>
      <c r="D2484" s="35" t="s">
        <v>46</v>
      </c>
      <c r="E2484" s="36">
        <f>[1]Source!AQ2406</f>
        <v>69.03</v>
      </c>
      <c r="F2484" s="37"/>
      <c r="G2484" s="38" t="s">
        <v>568</v>
      </c>
      <c r="H2484" s="36">
        <f>[1]Source!AV2407</f>
        <v>1.087</v>
      </c>
      <c r="I2484" s="37">
        <f>[1]Source!U2406</f>
        <v>1.2943642725</v>
      </c>
      <c r="J2484" s="36"/>
      <c r="K2484" s="37"/>
    </row>
    <row r="2485" spans="1:29" ht="13.8" hidden="1" x14ac:dyDescent="0.25">
      <c r="C2485" s="39" t="s">
        <v>47</v>
      </c>
      <c r="H2485" s="40">
        <f>I2478+I2479+I2481+I2482+I2483+0-0-0</f>
        <v>50.59</v>
      </c>
      <c r="I2485" s="40"/>
      <c r="J2485" s="40">
        <f>K2478+K2479+K2481+K2482+K2483+0-0-0</f>
        <v>2745.7299999999996</v>
      </c>
      <c r="K2485" s="40"/>
    </row>
    <row r="2486" spans="1:29" ht="13.8" hidden="1" x14ac:dyDescent="0.25">
      <c r="C2486" s="39" t="s">
        <v>48</v>
      </c>
      <c r="H2486" s="41">
        <f>0+0</f>
        <v>0</v>
      </c>
      <c r="I2486" s="41"/>
      <c r="J2486" s="41">
        <f>0+0</f>
        <v>0</v>
      </c>
      <c r="K2486" s="41"/>
    </row>
    <row r="2487" spans="1:29" ht="13.8" hidden="1" x14ac:dyDescent="0.25">
      <c r="C2487" s="39" t="s">
        <v>49</v>
      </c>
      <c r="H2487" s="41">
        <f>I2478+I2479+I2481+I2482+I2483+0</f>
        <v>50.59</v>
      </c>
      <c r="I2487" s="41"/>
      <c r="J2487" s="41">
        <f>K2478+K2479+K2481+K2482+K2483+0</f>
        <v>2745.7299999999996</v>
      </c>
      <c r="K2487" s="41"/>
      <c r="O2487" s="42">
        <f>I2478+I2479+I2481+I2482+I2483+0</f>
        <v>50.59</v>
      </c>
      <c r="P2487" s="42">
        <f>K2478+K2479+K2481+K2482+K2483+0</f>
        <v>2745.7299999999996</v>
      </c>
    </row>
    <row r="2488" spans="1:29" hidden="1" x14ac:dyDescent="0.25"/>
    <row r="2489" spans="1:29" ht="55.2" hidden="1" x14ac:dyDescent="0.25">
      <c r="A2489" s="27">
        <v>277</v>
      </c>
      <c r="B2489" s="27" t="str">
        <f>[1]Source!F2408</f>
        <v>3.70-55-10</v>
      </c>
      <c r="C2489" s="27" t="s">
        <v>570</v>
      </c>
      <c r="D2489" s="28" t="str">
        <f>[1]Source!H2408</f>
        <v>100 м2</v>
      </c>
      <c r="E2489" s="29">
        <f>[1]Source!I2408</f>
        <v>3.15E-2</v>
      </c>
      <c r="F2489" s="30"/>
      <c r="G2489" s="31"/>
      <c r="H2489" s="29"/>
      <c r="I2489" s="30"/>
      <c r="J2489" s="29"/>
      <c r="K2489" s="30"/>
      <c r="Q2489">
        <f>[1]Source!X2408</f>
        <v>79.510000000000005</v>
      </c>
      <c r="R2489">
        <f>[1]Source!X2409</f>
        <v>4480.17</v>
      </c>
      <c r="S2489">
        <f>[1]Source!Y2408</f>
        <v>50.16</v>
      </c>
      <c r="T2489">
        <f>[1]Source!Y2409</f>
        <v>2826.77</v>
      </c>
      <c r="U2489">
        <f>ROUND((175/100)*ROUND([1]Source!R2408, 2), 2)</f>
        <v>1.19</v>
      </c>
      <c r="V2489">
        <f>ROUND((0/100)*ROUND([1]Source!R2409, 2), 2)</f>
        <v>0</v>
      </c>
      <c r="AC2489">
        <v>0</v>
      </c>
    </row>
    <row r="2490" spans="1:29" hidden="1" x14ac:dyDescent="0.25">
      <c r="C2490" s="32" t="str">
        <f>"Объем: "&amp;[1]Source!I2408&amp;"=((1,5*"&amp;"2,1)*"&amp;"1)/"&amp;"100"</f>
        <v>Объем: 0,0315=((1,5*2,1)*1)/100</v>
      </c>
    </row>
    <row r="2491" spans="1:29" ht="14.4" hidden="1" x14ac:dyDescent="0.25">
      <c r="A2491" s="27"/>
      <c r="B2491" s="27"/>
      <c r="C2491" s="27" t="s">
        <v>36</v>
      </c>
      <c r="D2491" s="28"/>
      <c r="E2491" s="29"/>
      <c r="F2491" s="30">
        <f>[1]Source!AO2408</f>
        <v>1988.67</v>
      </c>
      <c r="G2491" s="31" t="s">
        <v>37</v>
      </c>
      <c r="H2491" s="29">
        <f>[1]Source!AV2409</f>
        <v>1.087</v>
      </c>
      <c r="I2491" s="30">
        <f>[1]Source!S2408</f>
        <v>93.97</v>
      </c>
      <c r="J2491" s="29">
        <f>IF([1]Source!BA2409&lt;&gt; 0, [1]Source!BA2409, 1)</f>
        <v>56.35</v>
      </c>
      <c r="K2491" s="30">
        <f>[1]Source!S2409</f>
        <v>5295.21</v>
      </c>
    </row>
    <row r="2492" spans="1:29" ht="14.4" hidden="1" x14ac:dyDescent="0.25">
      <c r="A2492" s="27"/>
      <c r="B2492" s="27"/>
      <c r="C2492" s="27" t="s">
        <v>38</v>
      </c>
      <c r="D2492" s="28"/>
      <c r="E2492" s="29"/>
      <c r="F2492" s="30">
        <f>[1]Source!AM2408</f>
        <v>97.6</v>
      </c>
      <c r="G2492" s="31" t="s">
        <v>39</v>
      </c>
      <c r="H2492" s="29">
        <f>[1]Source!AV2409</f>
        <v>1.087</v>
      </c>
      <c r="I2492" s="30">
        <f>[1]Source!Q2408</f>
        <v>5.01</v>
      </c>
      <c r="J2492" s="29">
        <f>IF([1]Source!BB2409&lt;&gt; 0, [1]Source!BB2409, 1)</f>
        <v>16.28</v>
      </c>
      <c r="K2492" s="30">
        <f>[1]Source!Q2409</f>
        <v>81.56</v>
      </c>
    </row>
    <row r="2493" spans="1:29" ht="14.4" hidden="1" x14ac:dyDescent="0.25">
      <c r="A2493" s="27"/>
      <c r="B2493" s="27"/>
      <c r="C2493" s="27" t="s">
        <v>40</v>
      </c>
      <c r="D2493" s="28"/>
      <c r="E2493" s="29"/>
      <c r="F2493" s="30">
        <f>[1]Source!AN2408</f>
        <v>13.25</v>
      </c>
      <c r="G2493" s="31" t="s">
        <v>39</v>
      </c>
      <c r="H2493" s="29">
        <f>[1]Source!AV2409</f>
        <v>1.087</v>
      </c>
      <c r="I2493" s="33">
        <f>[1]Source!R2408</f>
        <v>0.68</v>
      </c>
      <c r="J2493" s="29">
        <f>IF([1]Source!BS2409&lt;&gt; 0, [1]Source!BS2409, 1)</f>
        <v>56.35</v>
      </c>
      <c r="K2493" s="33">
        <f>[1]Source!R2409</f>
        <v>38.32</v>
      </c>
    </row>
    <row r="2494" spans="1:29" ht="14.4" hidden="1" x14ac:dyDescent="0.25">
      <c r="A2494" s="27"/>
      <c r="B2494" s="27"/>
      <c r="C2494" s="27" t="s">
        <v>41</v>
      </c>
      <c r="D2494" s="28"/>
      <c r="E2494" s="29"/>
      <c r="F2494" s="30">
        <f>[1]Source!AL2408</f>
        <v>55.75</v>
      </c>
      <c r="G2494" s="31"/>
      <c r="H2494" s="29">
        <f>[1]Source!AW2409</f>
        <v>1</v>
      </c>
      <c r="I2494" s="30">
        <f>[1]Source!P2408</f>
        <v>1.76</v>
      </c>
      <c r="J2494" s="29">
        <f>IF([1]Source!BC2409&lt;&gt; 0, [1]Source!BC2409, 1)</f>
        <v>6.65</v>
      </c>
      <c r="K2494" s="30">
        <f>[1]Source!P2409</f>
        <v>11.7</v>
      </c>
    </row>
    <row r="2495" spans="1:29" ht="55.2" hidden="1" x14ac:dyDescent="0.25">
      <c r="A2495" s="27" t="s">
        <v>571</v>
      </c>
      <c r="B2495" s="27" t="str">
        <f>[1]Source!F2410</f>
        <v>1.7-3-112</v>
      </c>
      <c r="C2495" s="27" t="s">
        <v>371</v>
      </c>
      <c r="D2495" s="28" t="str">
        <f>[1]Source!H2410</f>
        <v>шт.</v>
      </c>
      <c r="E2495" s="29">
        <f>[1]Source!I2410</f>
        <v>1</v>
      </c>
      <c r="F2495" s="30">
        <f>[1]Source!AK2410</f>
        <v>15.25</v>
      </c>
      <c r="G2495" s="43" t="s">
        <v>54</v>
      </c>
      <c r="H2495" s="29">
        <f>[1]Source!AW2411</f>
        <v>1</v>
      </c>
      <c r="I2495" s="30">
        <f>[1]Source!O2410</f>
        <v>15.25</v>
      </c>
      <c r="J2495" s="29">
        <f>IF([1]Source!BC2411&lt;&gt; 0, [1]Source!BC2411, 1)</f>
        <v>2.37</v>
      </c>
      <c r="K2495" s="30">
        <f>[1]Source!O2411</f>
        <v>36.14</v>
      </c>
      <c r="Q2495">
        <f>[1]Source!X2410</f>
        <v>0</v>
      </c>
      <c r="R2495">
        <f>[1]Source!X2411</f>
        <v>0</v>
      </c>
      <c r="S2495">
        <f>[1]Source!Y2410</f>
        <v>0</v>
      </c>
      <c r="T2495">
        <f>[1]Source!Y2411</f>
        <v>0</v>
      </c>
      <c r="U2495">
        <f>ROUND((175/100)*ROUND([1]Source!R2410, 2), 2)</f>
        <v>0</v>
      </c>
      <c r="V2495">
        <f>ROUND((0/100)*ROUND([1]Source!R2411, 2), 2)</f>
        <v>0</v>
      </c>
      <c r="AC2495">
        <v>3</v>
      </c>
    </row>
    <row r="2496" spans="1:29" ht="14.4" hidden="1" x14ac:dyDescent="0.25">
      <c r="A2496" s="27"/>
      <c r="B2496" s="27"/>
      <c r="C2496" s="27" t="s">
        <v>42</v>
      </c>
      <c r="D2496" s="28" t="s">
        <v>43</v>
      </c>
      <c r="E2496" s="29">
        <f>[1]Source!BZ2409</f>
        <v>84</v>
      </c>
      <c r="F2496" s="30"/>
      <c r="G2496" s="31"/>
      <c r="H2496" s="29"/>
      <c r="I2496" s="30">
        <f>SUM(Q2489:Q2495)</f>
        <v>79.510000000000005</v>
      </c>
      <c r="J2496" s="29">
        <f>[1]Source!AT2409</f>
        <v>84</v>
      </c>
      <c r="K2496" s="30">
        <f>SUM(R2489:R2495)</f>
        <v>4480.17</v>
      </c>
    </row>
    <row r="2497" spans="1:29" ht="14.4" hidden="1" x14ac:dyDescent="0.25">
      <c r="A2497" s="27"/>
      <c r="B2497" s="27"/>
      <c r="C2497" s="27" t="s">
        <v>44</v>
      </c>
      <c r="D2497" s="28" t="s">
        <v>43</v>
      </c>
      <c r="E2497" s="29">
        <f>[1]Source!CA2409</f>
        <v>53</v>
      </c>
      <c r="F2497" s="30"/>
      <c r="G2497" s="31"/>
      <c r="H2497" s="29"/>
      <c r="I2497" s="30">
        <f>SUM(S2489:S2496)</f>
        <v>50.16</v>
      </c>
      <c r="J2497" s="29">
        <f>[1]Source!AU2409</f>
        <v>53</v>
      </c>
      <c r="K2497" s="30">
        <f>SUM(T2489:T2496)</f>
        <v>2826.77</v>
      </c>
    </row>
    <row r="2498" spans="1:29" ht="14.4" hidden="1" x14ac:dyDescent="0.25">
      <c r="A2498" s="34"/>
      <c r="B2498" s="34"/>
      <c r="C2498" s="34" t="s">
        <v>45</v>
      </c>
      <c r="D2498" s="35" t="s">
        <v>46</v>
      </c>
      <c r="E2498" s="36">
        <f>[1]Source!AQ2408</f>
        <v>113.3</v>
      </c>
      <c r="F2498" s="37"/>
      <c r="G2498" s="38" t="s">
        <v>37</v>
      </c>
      <c r="H2498" s="36">
        <f>[1]Source!AV2409</f>
        <v>1.087</v>
      </c>
      <c r="I2498" s="37">
        <f>[1]Source!U2408</f>
        <v>5.353639137</v>
      </c>
      <c r="J2498" s="36"/>
      <c r="K2498" s="37"/>
    </row>
    <row r="2499" spans="1:29" ht="13.8" hidden="1" x14ac:dyDescent="0.25">
      <c r="C2499" s="39" t="s">
        <v>47</v>
      </c>
      <c r="H2499" s="40">
        <f>I2491+I2492+I2494+I2496+I2497+SUM(I2495:I2495)-SUMIF(AC2495:AC2495, 5, I2495:I2495)-SUMIF(AC2495:AC2495, 6, I2495:I2495)</f>
        <v>245.66</v>
      </c>
      <c r="I2499" s="40"/>
      <c r="J2499" s="40">
        <f>K2491+K2492+K2494+K2496+K2497+SUM(K2495:K2495)-SUMIF(AC2495:AC2495, 5, K2495:K2495)-SUMIF(AC2495:AC2495, 6, K2495:K2495)</f>
        <v>12731.55</v>
      </c>
      <c r="K2499" s="40"/>
    </row>
    <row r="2500" spans="1:29" ht="13.8" hidden="1" x14ac:dyDescent="0.25">
      <c r="C2500" s="39" t="s">
        <v>48</v>
      </c>
      <c r="H2500" s="41">
        <f>SUMIF(AC2495:AC2495, 5, I2495:I2495)+SUMIF(AC2495:AC2495, 6, I2495:I2495)</f>
        <v>0</v>
      </c>
      <c r="I2500" s="41"/>
      <c r="J2500" s="41">
        <f>SUMIF(AC2495:AC2495, 5, K2495:K2495)+SUMIF(AC2495:AC2495, 6, K2495:K2495)</f>
        <v>0</v>
      </c>
      <c r="K2500" s="41"/>
    </row>
    <row r="2501" spans="1:29" ht="13.8" hidden="1" x14ac:dyDescent="0.25">
      <c r="C2501" s="39" t="s">
        <v>49</v>
      </c>
      <c r="H2501" s="41">
        <f>I2491+I2492+I2494+I2496+I2497+SUM(I2495:I2495)</f>
        <v>245.66</v>
      </c>
      <c r="I2501" s="41"/>
      <c r="J2501" s="41">
        <f>K2491+K2492+K2494+K2496+K2497+SUM(K2495:K2495)</f>
        <v>12731.55</v>
      </c>
      <c r="K2501" s="41"/>
      <c r="O2501" s="42">
        <f>I2491+I2492+I2494+I2496+I2497+SUM(I2495:I2495)</f>
        <v>245.66</v>
      </c>
      <c r="P2501" s="42">
        <f>K2491+K2492+K2494+K2496+K2497+SUM(K2495:K2495)</f>
        <v>12731.55</v>
      </c>
    </row>
    <row r="2502" spans="1:29" hidden="1" x14ac:dyDescent="0.25"/>
    <row r="2503" spans="1:29" ht="345" x14ac:dyDescent="0.25">
      <c r="A2503" s="53">
        <v>278</v>
      </c>
      <c r="B2503" s="53" t="str">
        <f>[1]Source!F2412</f>
        <v>КА-179</v>
      </c>
      <c r="C2503" s="53" t="s">
        <v>572</v>
      </c>
      <c r="D2503" s="54"/>
      <c r="E2503" s="55"/>
      <c r="F2503" s="30"/>
      <c r="G2503" s="31"/>
      <c r="H2503" s="29"/>
      <c r="I2503" s="30"/>
      <c r="J2503" s="29"/>
      <c r="K2503" s="56"/>
      <c r="M2503" s="50"/>
      <c r="N2503" s="59" t="s">
        <v>180</v>
      </c>
    </row>
    <row r="2504" spans="1:29" ht="302.39999999999998" x14ac:dyDescent="0.25">
      <c r="A2504" s="46"/>
      <c r="B2504" s="46"/>
      <c r="C2504" s="46" t="s">
        <v>573</v>
      </c>
      <c r="D2504" s="47" t="str">
        <f>[1]Source!H2412</f>
        <v>м2</v>
      </c>
      <c r="E2504" s="48">
        <f>[1]Source!I2412</f>
        <v>4.4000000000000004</v>
      </c>
      <c r="F2504" s="49">
        <f>[1]Source!AL2412</f>
        <v>3874.45</v>
      </c>
      <c r="G2504" s="60"/>
      <c r="H2504" s="48">
        <f>[1]Source!AW2413</f>
        <v>1</v>
      </c>
      <c r="I2504" s="49">
        <f>[1]Source!P2412</f>
        <v>17047.580000000002</v>
      </c>
      <c r="J2504" s="48">
        <f>IF([1]Source!BC2413&lt;&gt; 0, [1]Source!BC2413, 1)</f>
        <v>9.84</v>
      </c>
      <c r="K2504" s="49">
        <f>[1]Source!P2413</f>
        <v>94910.05</v>
      </c>
      <c r="L2504">
        <v>25800</v>
      </c>
      <c r="M2504" s="50">
        <f t="shared" ref="M2504" si="32">L2504*E2504</f>
        <v>113520.00000000001</v>
      </c>
      <c r="N2504" s="59" t="s">
        <v>180</v>
      </c>
      <c r="Q2504">
        <f>[1]Source!X2412</f>
        <v>0</v>
      </c>
      <c r="R2504">
        <f>[1]Source!X2413</f>
        <v>0</v>
      </c>
      <c r="S2504">
        <f>[1]Source!Y2412</f>
        <v>0</v>
      </c>
      <c r="T2504">
        <f>[1]Source!Y2413</f>
        <v>0</v>
      </c>
      <c r="U2504">
        <f>ROUND((175/100)*ROUND([1]Source!R2412, 2), 2)</f>
        <v>0</v>
      </c>
      <c r="V2504">
        <f>ROUND((0/100)*ROUND([1]Source!R2413, 2), 2)</f>
        <v>0</v>
      </c>
      <c r="AC2504">
        <v>3</v>
      </c>
    </row>
    <row r="2505" spans="1:29" ht="13.8" hidden="1" x14ac:dyDescent="0.25">
      <c r="C2505" s="39" t="s">
        <v>49</v>
      </c>
      <c r="H2505" s="40">
        <f>I2504+0</f>
        <v>17047.580000000002</v>
      </c>
      <c r="I2505" s="40"/>
      <c r="J2505" s="40">
        <f>K2504+0</f>
        <v>94910.05</v>
      </c>
      <c r="K2505" s="40"/>
      <c r="O2505" s="42">
        <f>I2504+0</f>
        <v>17047.580000000002</v>
      </c>
      <c r="P2505" s="42">
        <f>K2504+0</f>
        <v>94910.05</v>
      </c>
    </row>
    <row r="2506" spans="1:29" hidden="1" x14ac:dyDescent="0.25"/>
    <row r="2507" spans="1:29" hidden="1" x14ac:dyDescent="0.25"/>
    <row r="2508" spans="1:29" ht="13.8" hidden="1" x14ac:dyDescent="0.25">
      <c r="A2508" s="44" t="str">
        <f>CONCATENATE("Итого по подразделу: ",IF([1]Source!G2415&lt;&gt;"Новый подраздел", [1]Source!G2415, ""))</f>
        <v>Итого по подразделу: ДВ-18-Л Витраж учебного кабинета</v>
      </c>
      <c r="B2508" s="44"/>
      <c r="C2508" s="44"/>
      <c r="D2508" s="44"/>
      <c r="E2508" s="44"/>
      <c r="F2508" s="44"/>
      <c r="G2508" s="44"/>
      <c r="H2508" s="41">
        <f>SUM(O2458:O2507)</f>
        <v>87241.840000000011</v>
      </c>
      <c r="I2508" s="45"/>
      <c r="J2508" s="41">
        <f>SUM(P2458:P2507)</f>
        <v>228823.01</v>
      </c>
      <c r="K2508" s="45"/>
    </row>
    <row r="2509" spans="1:29" hidden="1" x14ac:dyDescent="0.25">
      <c r="A2509" t="s">
        <v>55</v>
      </c>
      <c r="I2509">
        <f>SUM(W2458:W2508)</f>
        <v>0</v>
      </c>
      <c r="J2509">
        <f>SUM(X2458:X2508)</f>
        <v>0</v>
      </c>
    </row>
    <row r="2510" spans="1:29" hidden="1" x14ac:dyDescent="0.25">
      <c r="A2510" t="s">
        <v>56</v>
      </c>
      <c r="I2510">
        <f>SUM(Y2458:Y2509)</f>
        <v>0</v>
      </c>
      <c r="J2510">
        <f>SUM(Z2458:Z2509)</f>
        <v>0</v>
      </c>
    </row>
    <row r="2511" spans="1:29" hidden="1" x14ac:dyDescent="0.25"/>
    <row r="2512" spans="1:29" ht="16.8" hidden="1" x14ac:dyDescent="0.25">
      <c r="A2512" s="11" t="str">
        <f>CONCATENATE("Подраздел: ",IF([1]Source!G2445&lt;&gt;"Новый подраздел", [1]Source!G2445, ""))</f>
        <v>Подраздел: ДВ-19-П Витраж учебного кабинета</v>
      </c>
      <c r="B2512" s="11"/>
      <c r="C2512" s="11"/>
      <c r="D2512" s="11"/>
      <c r="E2512" s="11"/>
      <c r="F2512" s="11"/>
      <c r="G2512" s="11"/>
      <c r="H2512" s="11"/>
      <c r="I2512" s="11"/>
      <c r="J2512" s="11"/>
      <c r="K2512" s="11"/>
    </row>
    <row r="2513" spans="1:29" ht="55.2" hidden="1" x14ac:dyDescent="0.25">
      <c r="A2513" s="27">
        <v>279</v>
      </c>
      <c r="B2513" s="27" t="str">
        <f>[1]Source!F2449</f>
        <v>3.70-55-2</v>
      </c>
      <c r="C2513" s="27" t="s">
        <v>574</v>
      </c>
      <c r="D2513" s="28" t="str">
        <f>[1]Source!H2449</f>
        <v>100 м2</v>
      </c>
      <c r="E2513" s="29">
        <f>[1]Source!I2449</f>
        <v>8.5999999999999993E-2</v>
      </c>
      <c r="F2513" s="30"/>
      <c r="G2513" s="31"/>
      <c r="H2513" s="29"/>
      <c r="I2513" s="30"/>
      <c r="J2513" s="29"/>
      <c r="K2513" s="30"/>
      <c r="Q2513">
        <f>[1]Source!X2449</f>
        <v>323.88</v>
      </c>
      <c r="R2513">
        <f>[1]Source!X2450</f>
        <v>18250.57</v>
      </c>
      <c r="S2513">
        <f>[1]Source!Y2449</f>
        <v>204.35</v>
      </c>
      <c r="T2513">
        <f>[1]Source!Y2450</f>
        <v>11515.24</v>
      </c>
      <c r="U2513">
        <f>ROUND((175/100)*ROUND([1]Source!R2449, 2), 2)</f>
        <v>6.93</v>
      </c>
      <c r="V2513">
        <f>ROUND((0/100)*ROUND([1]Source!R2450, 2), 2)</f>
        <v>0</v>
      </c>
      <c r="AC2513">
        <v>0</v>
      </c>
    </row>
    <row r="2514" spans="1:29" hidden="1" x14ac:dyDescent="0.25">
      <c r="C2514" s="32" t="str">
        <f>"Объем: "&amp;[1]Source!I2449&amp;"=8,6/"&amp;"100"</f>
        <v>Объем: 0,086=8,6/100</v>
      </c>
    </row>
    <row r="2515" spans="1:29" ht="14.4" hidden="1" x14ac:dyDescent="0.25">
      <c r="A2515" s="27"/>
      <c r="B2515" s="27"/>
      <c r="C2515" s="27" t="s">
        <v>36</v>
      </c>
      <c r="D2515" s="28"/>
      <c r="E2515" s="29"/>
      <c r="F2515" s="30">
        <f>[1]Source!AO2449</f>
        <v>2958.13</v>
      </c>
      <c r="G2515" s="31" t="s">
        <v>37</v>
      </c>
      <c r="H2515" s="29">
        <f>[1]Source!AV2450</f>
        <v>1.087</v>
      </c>
      <c r="I2515" s="30">
        <f>[1]Source!S2449</f>
        <v>381.61</v>
      </c>
      <c r="J2515" s="29">
        <f>IF([1]Source!BA2450&lt;&gt; 0, [1]Source!BA2450, 1)</f>
        <v>56.35</v>
      </c>
      <c r="K2515" s="30">
        <f>[1]Source!S2450</f>
        <v>21503.72</v>
      </c>
    </row>
    <row r="2516" spans="1:29" ht="14.4" hidden="1" x14ac:dyDescent="0.25">
      <c r="A2516" s="27"/>
      <c r="B2516" s="27"/>
      <c r="C2516" s="27" t="s">
        <v>38</v>
      </c>
      <c r="D2516" s="28"/>
      <c r="E2516" s="29"/>
      <c r="F2516" s="30">
        <f>[1]Source!AM2449</f>
        <v>243.71</v>
      </c>
      <c r="G2516" s="31" t="s">
        <v>39</v>
      </c>
      <c r="H2516" s="29">
        <f>[1]Source!AV2450</f>
        <v>1.087</v>
      </c>
      <c r="I2516" s="30">
        <f>[1]Source!Q2449</f>
        <v>34.17</v>
      </c>
      <c r="J2516" s="29">
        <f>IF([1]Source!BB2450&lt;&gt; 0, [1]Source!BB2450, 1)</f>
        <v>15.43</v>
      </c>
      <c r="K2516" s="30">
        <f>[1]Source!Q2450</f>
        <v>527.24</v>
      </c>
    </row>
    <row r="2517" spans="1:29" ht="14.4" hidden="1" x14ac:dyDescent="0.25">
      <c r="A2517" s="27"/>
      <c r="B2517" s="27"/>
      <c r="C2517" s="27" t="s">
        <v>40</v>
      </c>
      <c r="D2517" s="28"/>
      <c r="E2517" s="29"/>
      <c r="F2517" s="30">
        <f>[1]Source!AN2449</f>
        <v>28.27</v>
      </c>
      <c r="G2517" s="31" t="s">
        <v>39</v>
      </c>
      <c r="H2517" s="29">
        <f>[1]Source!AV2450</f>
        <v>1.087</v>
      </c>
      <c r="I2517" s="33">
        <f>[1]Source!R2449</f>
        <v>3.96</v>
      </c>
      <c r="J2517" s="29">
        <f>IF([1]Source!BS2450&lt;&gt; 0, [1]Source!BS2450, 1)</f>
        <v>56.35</v>
      </c>
      <c r="K2517" s="33">
        <f>[1]Source!R2450</f>
        <v>223.15</v>
      </c>
    </row>
    <row r="2518" spans="1:29" ht="14.4" hidden="1" x14ac:dyDescent="0.25">
      <c r="A2518" s="27"/>
      <c r="B2518" s="27"/>
      <c r="C2518" s="27" t="s">
        <v>41</v>
      </c>
      <c r="D2518" s="28"/>
      <c r="E2518" s="29"/>
      <c r="F2518" s="30">
        <f>[1]Source!AL2449</f>
        <v>1577.27</v>
      </c>
      <c r="G2518" s="31"/>
      <c r="H2518" s="29">
        <f>[1]Source!AW2450</f>
        <v>1</v>
      </c>
      <c r="I2518" s="30">
        <f>[1]Source!P2449</f>
        <v>135.65</v>
      </c>
      <c r="J2518" s="29">
        <f>IF([1]Source!BC2450&lt;&gt; 0, [1]Source!BC2450, 1)</f>
        <v>4.66</v>
      </c>
      <c r="K2518" s="30">
        <f>[1]Source!P2450</f>
        <v>632.13</v>
      </c>
    </row>
    <row r="2519" spans="1:29" ht="55.2" hidden="1" x14ac:dyDescent="0.25">
      <c r="A2519" s="27" t="s">
        <v>575</v>
      </c>
      <c r="B2519" s="27" t="str">
        <f>[1]Source!F2451</f>
        <v>1.7-1-105</v>
      </c>
      <c r="C2519" s="27" t="s">
        <v>576</v>
      </c>
      <c r="D2519" s="28" t="str">
        <f>[1]Source!H2451</f>
        <v>м</v>
      </c>
      <c r="E2519" s="29">
        <f>[1]Source!I2451</f>
        <v>3.4740000000000001E-3</v>
      </c>
      <c r="F2519" s="30">
        <f>[1]Source!AK2451</f>
        <v>15.96</v>
      </c>
      <c r="G2519" s="43" t="s">
        <v>54</v>
      </c>
      <c r="H2519" s="29">
        <f>[1]Source!AW2452</f>
        <v>1</v>
      </c>
      <c r="I2519" s="30">
        <f>[1]Source!O2451</f>
        <v>0.06</v>
      </c>
      <c r="J2519" s="29">
        <f>IF([1]Source!BC2452&lt;&gt; 0, [1]Source!BC2452, 1)</f>
        <v>10.82</v>
      </c>
      <c r="K2519" s="30">
        <f>[1]Source!O2452</f>
        <v>0.65</v>
      </c>
      <c r="Q2519">
        <f>[1]Source!X2451</f>
        <v>0</v>
      </c>
      <c r="R2519">
        <f>[1]Source!X2452</f>
        <v>0</v>
      </c>
      <c r="S2519">
        <f>[1]Source!Y2451</f>
        <v>0</v>
      </c>
      <c r="T2519">
        <f>[1]Source!Y2452</f>
        <v>0</v>
      </c>
      <c r="U2519">
        <f>ROUND((175/100)*ROUND([1]Source!R2451, 2), 2)</f>
        <v>0</v>
      </c>
      <c r="V2519">
        <f>ROUND((0/100)*ROUND([1]Source!R2452, 2), 2)</f>
        <v>0</v>
      </c>
      <c r="AC2519">
        <v>3</v>
      </c>
    </row>
    <row r="2520" spans="1:29" ht="14.4" hidden="1" x14ac:dyDescent="0.25">
      <c r="A2520" s="27"/>
      <c r="B2520" s="27"/>
      <c r="C2520" s="27" t="s">
        <v>42</v>
      </c>
      <c r="D2520" s="28" t="s">
        <v>43</v>
      </c>
      <c r="E2520" s="29">
        <f>[1]Source!BZ2450</f>
        <v>84</v>
      </c>
      <c r="F2520" s="30"/>
      <c r="G2520" s="31"/>
      <c r="H2520" s="29"/>
      <c r="I2520" s="30">
        <f>SUM(Q2513:Q2519)</f>
        <v>323.88</v>
      </c>
      <c r="J2520" s="29">
        <f>[1]Source!AT2450</f>
        <v>84</v>
      </c>
      <c r="K2520" s="30">
        <f>SUM(R2513:R2519)</f>
        <v>18250.57</v>
      </c>
    </row>
    <row r="2521" spans="1:29" ht="14.4" hidden="1" x14ac:dyDescent="0.25">
      <c r="A2521" s="27"/>
      <c r="B2521" s="27"/>
      <c r="C2521" s="27" t="s">
        <v>44</v>
      </c>
      <c r="D2521" s="28" t="s">
        <v>43</v>
      </c>
      <c r="E2521" s="29">
        <f>[1]Source!CA2450</f>
        <v>53</v>
      </c>
      <c r="F2521" s="30"/>
      <c r="G2521" s="31"/>
      <c r="H2521" s="29"/>
      <c r="I2521" s="30">
        <f>SUM(S2513:S2520)</f>
        <v>204.35</v>
      </c>
      <c r="J2521" s="29">
        <f>[1]Source!AU2450</f>
        <v>53</v>
      </c>
      <c r="K2521" s="30">
        <f>SUM(T2513:T2520)</f>
        <v>11515.24</v>
      </c>
    </row>
    <row r="2522" spans="1:29" ht="14.4" hidden="1" x14ac:dyDescent="0.25">
      <c r="A2522" s="34"/>
      <c r="B2522" s="34"/>
      <c r="C2522" s="34" t="s">
        <v>45</v>
      </c>
      <c r="D2522" s="35" t="s">
        <v>46</v>
      </c>
      <c r="E2522" s="36">
        <f>[1]Source!AQ2449</f>
        <v>183.77</v>
      </c>
      <c r="F2522" s="37"/>
      <c r="G2522" s="38" t="s">
        <v>37</v>
      </c>
      <c r="H2522" s="36">
        <f>[1]Source!AV2450</f>
        <v>1.087</v>
      </c>
      <c r="I2522" s="37">
        <f>[1]Source!U2449</f>
        <v>23.707278253199995</v>
      </c>
      <c r="J2522" s="36"/>
      <c r="K2522" s="37"/>
    </row>
    <row r="2523" spans="1:29" ht="13.8" hidden="1" x14ac:dyDescent="0.25">
      <c r="C2523" s="39" t="s">
        <v>47</v>
      </c>
      <c r="H2523" s="40">
        <f>I2515+I2516+I2518+I2520+I2521+SUM(I2519:I2519)-SUMIF(AC2519:AC2519, 5, I2519:I2519)-SUMIF(AC2519:AC2519, 6, I2519:I2519)</f>
        <v>1079.72</v>
      </c>
      <c r="I2523" s="40"/>
      <c r="J2523" s="40">
        <f>K2515+K2516+K2518+K2520+K2521+SUM(K2519:K2519)-SUMIF(AC2519:AC2519, 5, K2519:K2519)-SUMIF(AC2519:AC2519, 6, K2519:K2519)</f>
        <v>52429.55</v>
      </c>
      <c r="K2523" s="40"/>
    </row>
    <row r="2524" spans="1:29" ht="13.8" hidden="1" x14ac:dyDescent="0.25">
      <c r="C2524" s="39" t="s">
        <v>48</v>
      </c>
      <c r="H2524" s="41">
        <f>SUMIF(AC2519:AC2519, 5, I2519:I2519)+SUMIF(AC2519:AC2519, 6, I2519:I2519)</f>
        <v>0</v>
      </c>
      <c r="I2524" s="41"/>
      <c r="J2524" s="41">
        <f>SUMIF(AC2519:AC2519, 5, K2519:K2519)+SUMIF(AC2519:AC2519, 6, K2519:K2519)</f>
        <v>0</v>
      </c>
      <c r="K2524" s="41"/>
    </row>
    <row r="2525" spans="1:29" ht="13.8" hidden="1" x14ac:dyDescent="0.25">
      <c r="C2525" s="39" t="s">
        <v>49</v>
      </c>
      <c r="H2525" s="41">
        <f>I2515+I2516+I2518+I2520+I2521+SUM(I2519:I2519)</f>
        <v>1079.72</v>
      </c>
      <c r="I2525" s="41"/>
      <c r="J2525" s="41">
        <f>K2515+K2516+K2518+K2520+K2521+SUM(K2519:K2519)</f>
        <v>52429.55</v>
      </c>
      <c r="K2525" s="41"/>
      <c r="O2525" s="42">
        <f>I2515+I2516+I2518+I2520+I2521+SUM(I2519:I2519)</f>
        <v>1079.72</v>
      </c>
      <c r="P2525" s="42">
        <f>K2515+K2516+K2518+K2520+K2521+SUM(K2519:K2519)</f>
        <v>52429.55</v>
      </c>
    </row>
    <row r="2526" spans="1:29" hidden="1" x14ac:dyDescent="0.25"/>
    <row r="2527" spans="1:29" ht="55.2" hidden="1" x14ac:dyDescent="0.25">
      <c r="A2527" s="27">
        <v>280</v>
      </c>
      <c r="B2527" s="27" t="str">
        <f>[1]Source!F2453</f>
        <v>3.70-55-8</v>
      </c>
      <c r="C2527" s="27" t="s">
        <v>577</v>
      </c>
      <c r="D2527" s="28" t="str">
        <f>[1]Source!H2453</f>
        <v>100 м2</v>
      </c>
      <c r="E2527" s="29">
        <f>[1]Source!I2453</f>
        <v>5.45E-2</v>
      </c>
      <c r="F2527" s="30"/>
      <c r="G2527" s="31"/>
      <c r="H2527" s="29"/>
      <c r="I2527" s="30"/>
      <c r="J2527" s="29"/>
      <c r="K2527" s="30"/>
      <c r="Q2527">
        <f>[1]Source!X2453</f>
        <v>59.09</v>
      </c>
      <c r="R2527">
        <f>[1]Source!X2454</f>
        <v>3329.94</v>
      </c>
      <c r="S2527">
        <f>[1]Source!Y2453</f>
        <v>37.29</v>
      </c>
      <c r="T2527">
        <f>[1]Source!Y2454</f>
        <v>2101.04</v>
      </c>
      <c r="U2527">
        <f>ROUND((175/100)*ROUND([1]Source!R2453, 2), 2)</f>
        <v>2.4700000000000002</v>
      </c>
      <c r="V2527">
        <f>ROUND((0/100)*ROUND([1]Source!R2454, 2), 2)</f>
        <v>0</v>
      </c>
      <c r="AC2527">
        <v>0</v>
      </c>
    </row>
    <row r="2528" spans="1:29" hidden="1" x14ac:dyDescent="0.25">
      <c r="C2528" s="32" t="str">
        <f>"Объем: "&amp;[1]Source!I2453&amp;"=(8,6-"&amp;"3,15)/"&amp;"100"</f>
        <v>Объем: 0,0545=(8,6-3,15)/100</v>
      </c>
    </row>
    <row r="2529" spans="1:29" ht="14.4" hidden="1" x14ac:dyDescent="0.25">
      <c r="A2529" s="27"/>
      <c r="B2529" s="27"/>
      <c r="C2529" s="27" t="s">
        <v>36</v>
      </c>
      <c r="D2529" s="28"/>
      <c r="E2529" s="29"/>
      <c r="F2529" s="30">
        <f>[1]Source!AO2453</f>
        <v>843.28</v>
      </c>
      <c r="G2529" s="31" t="s">
        <v>37</v>
      </c>
      <c r="H2529" s="29">
        <f>[1]Source!AV2454</f>
        <v>1.087</v>
      </c>
      <c r="I2529" s="30">
        <f>[1]Source!S2453</f>
        <v>68.94</v>
      </c>
      <c r="J2529" s="29">
        <f>IF([1]Source!BA2454&lt;&gt; 0, [1]Source!BA2454, 1)</f>
        <v>56.35</v>
      </c>
      <c r="K2529" s="30">
        <f>[1]Source!S2454</f>
        <v>3884.77</v>
      </c>
    </row>
    <row r="2530" spans="1:29" ht="14.4" hidden="1" x14ac:dyDescent="0.25">
      <c r="A2530" s="27"/>
      <c r="B2530" s="27"/>
      <c r="C2530" s="27" t="s">
        <v>38</v>
      </c>
      <c r="D2530" s="28"/>
      <c r="E2530" s="29"/>
      <c r="F2530" s="30">
        <f>[1]Source!AM2453</f>
        <v>112.46</v>
      </c>
      <c r="G2530" s="31" t="s">
        <v>39</v>
      </c>
      <c r="H2530" s="29">
        <f>[1]Source!AV2454</f>
        <v>1.087</v>
      </c>
      <c r="I2530" s="30">
        <f>[1]Source!Q2453</f>
        <v>9.99</v>
      </c>
      <c r="J2530" s="29">
        <f>IF([1]Source!BB2454&lt;&gt; 0, [1]Source!BB2454, 1)</f>
        <v>16.559999999999999</v>
      </c>
      <c r="K2530" s="30">
        <f>[1]Source!Q2454</f>
        <v>165.43</v>
      </c>
    </row>
    <row r="2531" spans="1:29" ht="14.4" hidden="1" x14ac:dyDescent="0.25">
      <c r="A2531" s="27"/>
      <c r="B2531" s="27"/>
      <c r="C2531" s="27" t="s">
        <v>40</v>
      </c>
      <c r="D2531" s="28"/>
      <c r="E2531" s="29"/>
      <c r="F2531" s="30">
        <f>[1]Source!AN2453</f>
        <v>15.9</v>
      </c>
      <c r="G2531" s="31" t="s">
        <v>39</v>
      </c>
      <c r="H2531" s="29">
        <f>[1]Source!AV2454</f>
        <v>1.087</v>
      </c>
      <c r="I2531" s="33">
        <f>[1]Source!R2453</f>
        <v>1.41</v>
      </c>
      <c r="J2531" s="29">
        <f>IF([1]Source!BS2454&lt;&gt; 0, [1]Source!BS2454, 1)</f>
        <v>56.35</v>
      </c>
      <c r="K2531" s="33">
        <f>[1]Source!R2454</f>
        <v>79.45</v>
      </c>
    </row>
    <row r="2532" spans="1:29" ht="14.4" hidden="1" x14ac:dyDescent="0.25">
      <c r="A2532" s="27"/>
      <c r="B2532" s="27"/>
      <c r="C2532" s="27" t="s">
        <v>41</v>
      </c>
      <c r="D2532" s="28"/>
      <c r="E2532" s="29"/>
      <c r="F2532" s="30">
        <f>[1]Source!AL2453</f>
        <v>11.79</v>
      </c>
      <c r="G2532" s="31"/>
      <c r="H2532" s="29">
        <f>[1]Source!AW2454</f>
        <v>1</v>
      </c>
      <c r="I2532" s="30">
        <f>[1]Source!P2453</f>
        <v>0.64</v>
      </c>
      <c r="J2532" s="29">
        <f>IF([1]Source!BC2454&lt;&gt; 0, [1]Source!BC2454, 1)</f>
        <v>3.95</v>
      </c>
      <c r="K2532" s="30">
        <f>[1]Source!P2454</f>
        <v>2.5299999999999998</v>
      </c>
    </row>
    <row r="2533" spans="1:29" ht="14.4" hidden="1" x14ac:dyDescent="0.25">
      <c r="A2533" s="27"/>
      <c r="B2533" s="27"/>
      <c r="C2533" s="27" t="s">
        <v>42</v>
      </c>
      <c r="D2533" s="28" t="s">
        <v>43</v>
      </c>
      <c r="E2533" s="29">
        <f>[1]Source!BZ2454</f>
        <v>84</v>
      </c>
      <c r="F2533" s="30"/>
      <c r="G2533" s="31"/>
      <c r="H2533" s="29"/>
      <c r="I2533" s="30">
        <f>SUM(Q2527:Q2532)</f>
        <v>59.09</v>
      </c>
      <c r="J2533" s="29">
        <f>[1]Source!AT2454</f>
        <v>84</v>
      </c>
      <c r="K2533" s="30">
        <f>SUM(R2527:R2532)</f>
        <v>3329.94</v>
      </c>
    </row>
    <row r="2534" spans="1:29" ht="14.4" hidden="1" x14ac:dyDescent="0.25">
      <c r="A2534" s="27"/>
      <c r="B2534" s="27"/>
      <c r="C2534" s="27" t="s">
        <v>44</v>
      </c>
      <c r="D2534" s="28" t="s">
        <v>43</v>
      </c>
      <c r="E2534" s="29">
        <f>[1]Source!CA2454</f>
        <v>53</v>
      </c>
      <c r="F2534" s="30"/>
      <c r="G2534" s="31"/>
      <c r="H2534" s="29"/>
      <c r="I2534" s="30">
        <f>SUM(S2527:S2533)</f>
        <v>37.29</v>
      </c>
      <c r="J2534" s="29">
        <f>[1]Source!AU2454</f>
        <v>53</v>
      </c>
      <c r="K2534" s="30">
        <f>SUM(T2527:T2533)</f>
        <v>2101.04</v>
      </c>
    </row>
    <row r="2535" spans="1:29" ht="14.4" hidden="1" x14ac:dyDescent="0.25">
      <c r="A2535" s="34"/>
      <c r="B2535" s="34"/>
      <c r="C2535" s="34" t="s">
        <v>45</v>
      </c>
      <c r="D2535" s="35" t="s">
        <v>46</v>
      </c>
      <c r="E2535" s="36">
        <f>[1]Source!AQ2453</f>
        <v>54.86</v>
      </c>
      <c r="F2535" s="37"/>
      <c r="G2535" s="38" t="s">
        <v>37</v>
      </c>
      <c r="H2535" s="36">
        <f>[1]Source!AV2454</f>
        <v>1.087</v>
      </c>
      <c r="I2535" s="37">
        <f>[1]Source!U2453</f>
        <v>4.4849843921999994</v>
      </c>
      <c r="J2535" s="36"/>
      <c r="K2535" s="37"/>
    </row>
    <row r="2536" spans="1:29" ht="13.8" hidden="1" x14ac:dyDescent="0.25">
      <c r="C2536" s="39" t="s">
        <v>47</v>
      </c>
      <c r="H2536" s="40">
        <f>I2529+I2530+I2532+I2533+I2534+0-0-0</f>
        <v>175.95</v>
      </c>
      <c r="I2536" s="40"/>
      <c r="J2536" s="40">
        <f>K2529+K2530+K2532+K2533+K2534+0-0-0</f>
        <v>9483.7099999999991</v>
      </c>
      <c r="K2536" s="40"/>
    </row>
    <row r="2537" spans="1:29" ht="13.8" hidden="1" x14ac:dyDescent="0.25">
      <c r="C2537" s="39" t="s">
        <v>48</v>
      </c>
      <c r="H2537" s="41">
        <f>0+0</f>
        <v>0</v>
      </c>
      <c r="I2537" s="41"/>
      <c r="J2537" s="41">
        <f>0+0</f>
        <v>0</v>
      </c>
      <c r="K2537" s="41"/>
    </row>
    <row r="2538" spans="1:29" ht="13.8" hidden="1" x14ac:dyDescent="0.25">
      <c r="C2538" s="39" t="s">
        <v>49</v>
      </c>
      <c r="H2538" s="41">
        <f>I2529+I2530+I2532+I2533+I2534+0</f>
        <v>175.95</v>
      </c>
      <c r="I2538" s="41"/>
      <c r="J2538" s="41">
        <f>K2529+K2530+K2532+K2533+K2534+0</f>
        <v>9483.7099999999991</v>
      </c>
      <c r="K2538" s="41"/>
      <c r="O2538" s="42">
        <f>I2529+I2530+I2532+I2533+I2534+0</f>
        <v>175.95</v>
      </c>
      <c r="P2538" s="42">
        <f>K2529+K2530+K2532+K2533+K2534+0</f>
        <v>9483.7099999999991</v>
      </c>
    </row>
    <row r="2539" spans="1:29" hidden="1" x14ac:dyDescent="0.25"/>
    <row r="2540" spans="1:29" ht="55.2" hidden="1" x14ac:dyDescent="0.25">
      <c r="A2540" s="27">
        <v>281</v>
      </c>
      <c r="B2540" s="27" t="str">
        <f>[1]Source!F2455</f>
        <v>3.70-55-10</v>
      </c>
      <c r="C2540" s="27" t="s">
        <v>570</v>
      </c>
      <c r="D2540" s="28" t="str">
        <f>[1]Source!H2455</f>
        <v>100 м2</v>
      </c>
      <c r="E2540" s="29">
        <f>[1]Source!I2455</f>
        <v>3.15E-2</v>
      </c>
      <c r="F2540" s="30"/>
      <c r="G2540" s="31"/>
      <c r="H2540" s="29"/>
      <c r="I2540" s="30"/>
      <c r="J2540" s="29"/>
      <c r="K2540" s="30"/>
      <c r="Q2540">
        <f>[1]Source!X2455</f>
        <v>79.510000000000005</v>
      </c>
      <c r="R2540">
        <f>[1]Source!X2456</f>
        <v>4480.17</v>
      </c>
      <c r="S2540">
        <f>[1]Source!Y2455</f>
        <v>50.16</v>
      </c>
      <c r="T2540">
        <f>[1]Source!Y2456</f>
        <v>2826.77</v>
      </c>
      <c r="U2540">
        <f>ROUND((175/100)*ROUND([1]Source!R2455, 2), 2)</f>
        <v>1.19</v>
      </c>
      <c r="V2540">
        <f>ROUND((0/100)*ROUND([1]Source!R2456, 2), 2)</f>
        <v>0</v>
      </c>
      <c r="AC2540">
        <v>0</v>
      </c>
    </row>
    <row r="2541" spans="1:29" hidden="1" x14ac:dyDescent="0.25">
      <c r="C2541" s="32" t="str">
        <f>"Объем: "&amp;[1]Source!I2455&amp;"=((1,5*"&amp;"2,1)*"&amp;"1)/"&amp;"100"</f>
        <v>Объем: 0,0315=((1,5*2,1)*1)/100</v>
      </c>
    </row>
    <row r="2542" spans="1:29" ht="14.4" hidden="1" x14ac:dyDescent="0.25">
      <c r="A2542" s="27"/>
      <c r="B2542" s="27"/>
      <c r="C2542" s="27" t="s">
        <v>36</v>
      </c>
      <c r="D2542" s="28"/>
      <c r="E2542" s="29"/>
      <c r="F2542" s="30">
        <f>[1]Source!AO2455</f>
        <v>1988.67</v>
      </c>
      <c r="G2542" s="31" t="s">
        <v>37</v>
      </c>
      <c r="H2542" s="29">
        <f>[1]Source!AV2456</f>
        <v>1.087</v>
      </c>
      <c r="I2542" s="30">
        <f>[1]Source!S2455</f>
        <v>93.97</v>
      </c>
      <c r="J2542" s="29">
        <f>IF([1]Source!BA2456&lt;&gt; 0, [1]Source!BA2456, 1)</f>
        <v>56.35</v>
      </c>
      <c r="K2542" s="30">
        <f>[1]Source!S2456</f>
        <v>5295.21</v>
      </c>
    </row>
    <row r="2543" spans="1:29" ht="14.4" hidden="1" x14ac:dyDescent="0.25">
      <c r="A2543" s="27"/>
      <c r="B2543" s="27"/>
      <c r="C2543" s="27" t="s">
        <v>38</v>
      </c>
      <c r="D2543" s="28"/>
      <c r="E2543" s="29"/>
      <c r="F2543" s="30">
        <f>[1]Source!AM2455</f>
        <v>97.6</v>
      </c>
      <c r="G2543" s="31" t="s">
        <v>39</v>
      </c>
      <c r="H2543" s="29">
        <f>[1]Source!AV2456</f>
        <v>1.087</v>
      </c>
      <c r="I2543" s="30">
        <f>[1]Source!Q2455</f>
        <v>5.01</v>
      </c>
      <c r="J2543" s="29">
        <f>IF([1]Source!BB2456&lt;&gt; 0, [1]Source!BB2456, 1)</f>
        <v>16.28</v>
      </c>
      <c r="K2543" s="30">
        <f>[1]Source!Q2456</f>
        <v>81.56</v>
      </c>
    </row>
    <row r="2544" spans="1:29" ht="14.4" hidden="1" x14ac:dyDescent="0.25">
      <c r="A2544" s="27"/>
      <c r="B2544" s="27"/>
      <c r="C2544" s="27" t="s">
        <v>40</v>
      </c>
      <c r="D2544" s="28"/>
      <c r="E2544" s="29"/>
      <c r="F2544" s="30">
        <f>[1]Source!AN2455</f>
        <v>13.25</v>
      </c>
      <c r="G2544" s="31" t="s">
        <v>39</v>
      </c>
      <c r="H2544" s="29">
        <f>[1]Source!AV2456</f>
        <v>1.087</v>
      </c>
      <c r="I2544" s="33">
        <f>[1]Source!R2455</f>
        <v>0.68</v>
      </c>
      <c r="J2544" s="29">
        <f>IF([1]Source!BS2456&lt;&gt; 0, [1]Source!BS2456, 1)</f>
        <v>56.35</v>
      </c>
      <c r="K2544" s="33">
        <f>[1]Source!R2456</f>
        <v>38.32</v>
      </c>
    </row>
    <row r="2545" spans="1:29" ht="14.4" hidden="1" x14ac:dyDescent="0.25">
      <c r="A2545" s="27"/>
      <c r="B2545" s="27"/>
      <c r="C2545" s="27" t="s">
        <v>41</v>
      </c>
      <c r="D2545" s="28"/>
      <c r="E2545" s="29"/>
      <c r="F2545" s="30">
        <f>[1]Source!AL2455</f>
        <v>55.75</v>
      </c>
      <c r="G2545" s="31"/>
      <c r="H2545" s="29">
        <f>[1]Source!AW2456</f>
        <v>1</v>
      </c>
      <c r="I2545" s="30">
        <f>[1]Source!P2455</f>
        <v>1.76</v>
      </c>
      <c r="J2545" s="29">
        <f>IF([1]Source!BC2456&lt;&gt; 0, [1]Source!BC2456, 1)</f>
        <v>6.65</v>
      </c>
      <c r="K2545" s="30">
        <f>[1]Source!P2456</f>
        <v>11.7</v>
      </c>
    </row>
    <row r="2546" spans="1:29" ht="14.4" hidden="1" x14ac:dyDescent="0.25">
      <c r="A2546" s="27"/>
      <c r="B2546" s="27"/>
      <c r="C2546" s="27" t="s">
        <v>42</v>
      </c>
      <c r="D2546" s="28" t="s">
        <v>43</v>
      </c>
      <c r="E2546" s="29">
        <f>[1]Source!BZ2456</f>
        <v>84</v>
      </c>
      <c r="F2546" s="30"/>
      <c r="G2546" s="31"/>
      <c r="H2546" s="29"/>
      <c r="I2546" s="30">
        <f>SUM(Q2540:Q2545)</f>
        <v>79.510000000000005</v>
      </c>
      <c r="J2546" s="29">
        <f>[1]Source!AT2456</f>
        <v>84</v>
      </c>
      <c r="K2546" s="30">
        <f>SUM(R2540:R2545)</f>
        <v>4480.17</v>
      </c>
    </row>
    <row r="2547" spans="1:29" ht="14.4" hidden="1" x14ac:dyDescent="0.25">
      <c r="A2547" s="27"/>
      <c r="B2547" s="27"/>
      <c r="C2547" s="27" t="s">
        <v>44</v>
      </c>
      <c r="D2547" s="28" t="s">
        <v>43</v>
      </c>
      <c r="E2547" s="29">
        <f>[1]Source!CA2456</f>
        <v>53</v>
      </c>
      <c r="F2547" s="30"/>
      <c r="G2547" s="31"/>
      <c r="H2547" s="29"/>
      <c r="I2547" s="30">
        <f>SUM(S2540:S2546)</f>
        <v>50.16</v>
      </c>
      <c r="J2547" s="29">
        <f>[1]Source!AU2456</f>
        <v>53</v>
      </c>
      <c r="K2547" s="30">
        <f>SUM(T2540:T2546)</f>
        <v>2826.77</v>
      </c>
    </row>
    <row r="2548" spans="1:29" ht="14.4" hidden="1" x14ac:dyDescent="0.25">
      <c r="A2548" s="34"/>
      <c r="B2548" s="34"/>
      <c r="C2548" s="34" t="s">
        <v>45</v>
      </c>
      <c r="D2548" s="35" t="s">
        <v>46</v>
      </c>
      <c r="E2548" s="36">
        <f>[1]Source!AQ2455</f>
        <v>113.3</v>
      </c>
      <c r="F2548" s="37"/>
      <c r="G2548" s="38" t="s">
        <v>37</v>
      </c>
      <c r="H2548" s="36">
        <f>[1]Source!AV2456</f>
        <v>1.087</v>
      </c>
      <c r="I2548" s="37">
        <f>[1]Source!U2455</f>
        <v>5.353639137</v>
      </c>
      <c r="J2548" s="36"/>
      <c r="K2548" s="37"/>
    </row>
    <row r="2549" spans="1:29" ht="13.8" hidden="1" x14ac:dyDescent="0.25">
      <c r="C2549" s="39" t="s">
        <v>47</v>
      </c>
      <c r="H2549" s="40">
        <f>I2542+I2543+I2545+I2546+I2547+0-0-0</f>
        <v>230.41</v>
      </c>
      <c r="I2549" s="40"/>
      <c r="J2549" s="40">
        <f>K2542+K2543+K2545+K2546+K2547+0-0-0</f>
        <v>12695.41</v>
      </c>
      <c r="K2549" s="40"/>
    </row>
    <row r="2550" spans="1:29" ht="13.8" hidden="1" x14ac:dyDescent="0.25">
      <c r="C2550" s="39" t="s">
        <v>48</v>
      </c>
      <c r="H2550" s="41">
        <f>0+0</f>
        <v>0</v>
      </c>
      <c r="I2550" s="41"/>
      <c r="J2550" s="41">
        <f>0+0</f>
        <v>0</v>
      </c>
      <c r="K2550" s="41"/>
    </row>
    <row r="2551" spans="1:29" ht="13.8" hidden="1" x14ac:dyDescent="0.25">
      <c r="C2551" s="39" t="s">
        <v>49</v>
      </c>
      <c r="H2551" s="41">
        <f>I2542+I2543+I2545+I2546+I2547+0</f>
        <v>230.41</v>
      </c>
      <c r="I2551" s="41"/>
      <c r="J2551" s="41">
        <f>K2542+K2543+K2545+K2546+K2547+0</f>
        <v>12695.41</v>
      </c>
      <c r="K2551" s="41"/>
      <c r="O2551" s="42">
        <f>I2542+I2543+I2545+I2546+I2547+0</f>
        <v>230.41</v>
      </c>
      <c r="P2551" s="42">
        <f>K2542+K2543+K2545+K2546+K2547+0</f>
        <v>12695.41</v>
      </c>
    </row>
    <row r="2552" spans="1:29" hidden="1" x14ac:dyDescent="0.25"/>
    <row r="2553" spans="1:29" ht="193.2" customHeight="1" x14ac:dyDescent="0.25">
      <c r="A2553" s="53">
        <v>282</v>
      </c>
      <c r="B2553" s="53" t="str">
        <f>[1]Source!F2457</f>
        <v>КА-179</v>
      </c>
      <c r="C2553" s="53" t="s">
        <v>572</v>
      </c>
      <c r="D2553" s="54"/>
      <c r="E2553" s="55"/>
      <c r="F2553" s="30"/>
      <c r="G2553" s="31"/>
      <c r="H2553" s="29"/>
      <c r="I2553" s="30"/>
      <c r="J2553" s="29"/>
      <c r="K2553" s="56"/>
      <c r="M2553" s="50"/>
      <c r="N2553" s="59" t="s">
        <v>180</v>
      </c>
    </row>
    <row r="2554" spans="1:29" ht="261" x14ac:dyDescent="0.25">
      <c r="A2554" s="46"/>
      <c r="B2554" s="46"/>
      <c r="C2554" s="46" t="s">
        <v>578</v>
      </c>
      <c r="D2554" s="47" t="str">
        <f>[1]Source!H2457</f>
        <v>м2</v>
      </c>
      <c r="E2554" s="48">
        <f>[1]Source!I2457</f>
        <v>8.6</v>
      </c>
      <c r="F2554" s="49">
        <f>[1]Source!AL2457</f>
        <v>3874.45</v>
      </c>
      <c r="G2554" s="60"/>
      <c r="H2554" s="48">
        <f>[1]Source!AW2458</f>
        <v>1</v>
      </c>
      <c r="I2554" s="49">
        <f>[1]Source!P2457</f>
        <v>33320.269999999997</v>
      </c>
      <c r="J2554" s="48">
        <f>IF([1]Source!BC2458&lt;&gt; 0, [1]Source!BC2458, 1)</f>
        <v>9.84</v>
      </c>
      <c r="K2554" s="49">
        <f>[1]Source!P2458</f>
        <v>185505.94</v>
      </c>
      <c r="L2554">
        <v>25800</v>
      </c>
      <c r="M2554" s="50">
        <f t="shared" ref="M2554" si="33">L2554*E2554</f>
        <v>221880</v>
      </c>
      <c r="N2554" s="59" t="s">
        <v>180</v>
      </c>
      <c r="Q2554">
        <f>[1]Source!X2457</f>
        <v>0</v>
      </c>
      <c r="R2554">
        <f>[1]Source!X2458</f>
        <v>0</v>
      </c>
      <c r="S2554">
        <f>[1]Source!Y2457</f>
        <v>0</v>
      </c>
      <c r="T2554">
        <f>[1]Source!Y2458</f>
        <v>0</v>
      </c>
      <c r="U2554">
        <f>ROUND((175/100)*ROUND([1]Source!R2457, 2), 2)</f>
        <v>0</v>
      </c>
      <c r="V2554">
        <f>ROUND((0/100)*ROUND([1]Source!R2458, 2), 2)</f>
        <v>0</v>
      </c>
      <c r="AC2554">
        <v>3</v>
      </c>
    </row>
    <row r="2555" spans="1:29" ht="13.8" hidden="1" x14ac:dyDescent="0.25">
      <c r="C2555" s="39" t="s">
        <v>49</v>
      </c>
      <c r="H2555" s="40">
        <f>I2554+0</f>
        <v>33320.269999999997</v>
      </c>
      <c r="I2555" s="40"/>
      <c r="J2555" s="40">
        <f>K2554+0</f>
        <v>185505.94</v>
      </c>
      <c r="K2555" s="40"/>
      <c r="O2555" s="42">
        <f>I2554+0</f>
        <v>33320.269999999997</v>
      </c>
      <c r="P2555" s="42">
        <f>K2554+0</f>
        <v>185505.94</v>
      </c>
    </row>
    <row r="2556" spans="1:29" hidden="1" x14ac:dyDescent="0.25"/>
    <row r="2557" spans="1:29" hidden="1" x14ac:dyDescent="0.25"/>
    <row r="2558" spans="1:29" ht="13.8" hidden="1" x14ac:dyDescent="0.25">
      <c r="A2558" s="44" t="str">
        <f>CONCATENATE("Итого по подразделу: ",IF([1]Source!G2460&lt;&gt;"Новый подраздел", [1]Source!G2460, ""))</f>
        <v>Итого по подразделу: ДВ-19-П Витраж учебного кабинета</v>
      </c>
      <c r="B2558" s="44"/>
      <c r="C2558" s="44"/>
      <c r="D2558" s="44"/>
      <c r="E2558" s="44"/>
      <c r="F2558" s="44"/>
      <c r="G2558" s="44"/>
      <c r="H2558" s="41">
        <f>SUM(O2512:O2557)</f>
        <v>34806.35</v>
      </c>
      <c r="I2558" s="45"/>
      <c r="J2558" s="41">
        <f>SUM(P2512:P2557)</f>
        <v>260114.61</v>
      </c>
      <c r="K2558" s="45"/>
    </row>
    <row r="2559" spans="1:29" hidden="1" x14ac:dyDescent="0.25">
      <c r="A2559" t="s">
        <v>55</v>
      </c>
      <c r="I2559">
        <f>SUM(W2512:W2558)</f>
        <v>0</v>
      </c>
      <c r="J2559">
        <f>SUM(X2512:X2558)</f>
        <v>0</v>
      </c>
    </row>
    <row r="2560" spans="1:29" hidden="1" x14ac:dyDescent="0.25">
      <c r="A2560" t="s">
        <v>56</v>
      </c>
      <c r="I2560">
        <f>SUM(Y2512:Y2559)</f>
        <v>0</v>
      </c>
      <c r="J2560">
        <f>SUM(Z2512:Z2559)</f>
        <v>0</v>
      </c>
    </row>
    <row r="2561" spans="1:29" hidden="1" x14ac:dyDescent="0.25"/>
    <row r="2562" spans="1:29" ht="16.8" hidden="1" x14ac:dyDescent="0.25">
      <c r="A2562" s="11" t="str">
        <f>CONCATENATE("Подраздел: ",IF([1]Source!G2490&lt;&gt;"Новый подраздел", [1]Source!G2490, ""))</f>
        <v>Подраздел: ДВ-20-П  Витраж учебного кабинета</v>
      </c>
      <c r="B2562" s="11"/>
      <c r="C2562" s="11"/>
      <c r="D2562" s="11"/>
      <c r="E2562" s="11"/>
      <c r="F2562" s="11"/>
      <c r="G2562" s="11"/>
      <c r="H2562" s="11"/>
      <c r="I2562" s="11"/>
      <c r="J2562" s="11"/>
      <c r="K2562" s="11"/>
    </row>
    <row r="2563" spans="1:29" ht="55.2" hidden="1" x14ac:dyDescent="0.25">
      <c r="A2563" s="27">
        <v>283</v>
      </c>
      <c r="B2563" s="27" t="str">
        <f>[1]Source!F2494</f>
        <v>3.70-55-2</v>
      </c>
      <c r="C2563" s="27" t="s">
        <v>579</v>
      </c>
      <c r="D2563" s="28" t="str">
        <f>[1]Source!H2494</f>
        <v>100 м2</v>
      </c>
      <c r="E2563" s="29">
        <f>[1]Source!I2494</f>
        <v>0.112</v>
      </c>
      <c r="F2563" s="30"/>
      <c r="G2563" s="31"/>
      <c r="H2563" s="29"/>
      <c r="I2563" s="30"/>
      <c r="J2563" s="29"/>
      <c r="K2563" s="30"/>
      <c r="Q2563">
        <f>[1]Source!X2494</f>
        <v>421.81</v>
      </c>
      <c r="R2563">
        <f>[1]Source!X2495</f>
        <v>23768.77</v>
      </c>
      <c r="S2563">
        <f>[1]Source!Y2494</f>
        <v>266.14</v>
      </c>
      <c r="T2563">
        <f>[1]Source!Y2495</f>
        <v>14996.96</v>
      </c>
      <c r="U2563">
        <f>ROUND((175/100)*ROUND([1]Source!R2494, 2), 2)</f>
        <v>9.0299999999999994</v>
      </c>
      <c r="V2563">
        <f>ROUND((0/100)*ROUND([1]Source!R2495, 2), 2)</f>
        <v>0</v>
      </c>
      <c r="AC2563">
        <v>0</v>
      </c>
    </row>
    <row r="2564" spans="1:29" hidden="1" x14ac:dyDescent="0.25">
      <c r="C2564" s="32" t="str">
        <f>"Объем: "&amp;[1]Source!I2494&amp;"=11,2/"&amp;"100"</f>
        <v>Объем: 0,112=11,2/100</v>
      </c>
    </row>
    <row r="2565" spans="1:29" ht="14.4" hidden="1" x14ac:dyDescent="0.25">
      <c r="A2565" s="27"/>
      <c r="B2565" s="27"/>
      <c r="C2565" s="27" t="s">
        <v>36</v>
      </c>
      <c r="D2565" s="28"/>
      <c r="E2565" s="29"/>
      <c r="F2565" s="30">
        <f>[1]Source!AO2494</f>
        <v>2958.13</v>
      </c>
      <c r="G2565" s="31" t="s">
        <v>37</v>
      </c>
      <c r="H2565" s="29">
        <f>[1]Source!AV2495</f>
        <v>1.087</v>
      </c>
      <c r="I2565" s="30">
        <f>[1]Source!S2494</f>
        <v>496.99</v>
      </c>
      <c r="J2565" s="29">
        <f>IF([1]Source!BA2495&lt;&gt; 0, [1]Source!BA2495, 1)</f>
        <v>56.35</v>
      </c>
      <c r="K2565" s="30">
        <f>[1]Source!S2495</f>
        <v>28005.39</v>
      </c>
    </row>
    <row r="2566" spans="1:29" ht="14.4" hidden="1" x14ac:dyDescent="0.25">
      <c r="A2566" s="27"/>
      <c r="B2566" s="27"/>
      <c r="C2566" s="27" t="s">
        <v>38</v>
      </c>
      <c r="D2566" s="28"/>
      <c r="E2566" s="29"/>
      <c r="F2566" s="30">
        <f>[1]Source!AM2494</f>
        <v>243.71</v>
      </c>
      <c r="G2566" s="31" t="s">
        <v>39</v>
      </c>
      <c r="H2566" s="29">
        <f>[1]Source!AV2495</f>
        <v>1.087</v>
      </c>
      <c r="I2566" s="30">
        <f>[1]Source!Q2494</f>
        <v>44.51</v>
      </c>
      <c r="J2566" s="29">
        <f>IF([1]Source!BB2495&lt;&gt; 0, [1]Source!BB2495, 1)</f>
        <v>15.43</v>
      </c>
      <c r="K2566" s="30">
        <f>[1]Source!Q2495</f>
        <v>686.79</v>
      </c>
    </row>
    <row r="2567" spans="1:29" ht="14.4" hidden="1" x14ac:dyDescent="0.25">
      <c r="A2567" s="27"/>
      <c r="B2567" s="27"/>
      <c r="C2567" s="27" t="s">
        <v>40</v>
      </c>
      <c r="D2567" s="28"/>
      <c r="E2567" s="29"/>
      <c r="F2567" s="30">
        <f>[1]Source!AN2494</f>
        <v>28.27</v>
      </c>
      <c r="G2567" s="31" t="s">
        <v>39</v>
      </c>
      <c r="H2567" s="29">
        <f>[1]Source!AV2495</f>
        <v>1.087</v>
      </c>
      <c r="I2567" s="33">
        <f>[1]Source!R2494</f>
        <v>5.16</v>
      </c>
      <c r="J2567" s="29">
        <f>IF([1]Source!BS2495&lt;&gt; 0, [1]Source!BS2495, 1)</f>
        <v>56.35</v>
      </c>
      <c r="K2567" s="33">
        <f>[1]Source!R2495</f>
        <v>290.77</v>
      </c>
    </row>
    <row r="2568" spans="1:29" ht="14.4" hidden="1" x14ac:dyDescent="0.25">
      <c r="A2568" s="27"/>
      <c r="B2568" s="27"/>
      <c r="C2568" s="27" t="s">
        <v>41</v>
      </c>
      <c r="D2568" s="28"/>
      <c r="E2568" s="29"/>
      <c r="F2568" s="30">
        <f>[1]Source!AL2494</f>
        <v>1577.27</v>
      </c>
      <c r="G2568" s="31"/>
      <c r="H2568" s="29">
        <f>[1]Source!AW2495</f>
        <v>1</v>
      </c>
      <c r="I2568" s="30">
        <f>[1]Source!P2494</f>
        <v>176.65</v>
      </c>
      <c r="J2568" s="29">
        <f>IF([1]Source!BC2495&lt;&gt; 0, [1]Source!BC2495, 1)</f>
        <v>4.66</v>
      </c>
      <c r="K2568" s="30">
        <f>[1]Source!P2495</f>
        <v>823.19</v>
      </c>
    </row>
    <row r="2569" spans="1:29" ht="55.2" hidden="1" x14ac:dyDescent="0.25">
      <c r="A2569" s="27" t="s">
        <v>580</v>
      </c>
      <c r="B2569" s="27" t="str">
        <f>[1]Source!F2496</f>
        <v>1.7-1-105</v>
      </c>
      <c r="C2569" s="27" t="s">
        <v>576</v>
      </c>
      <c r="D2569" s="28" t="str">
        <f>[1]Source!H2496</f>
        <v>м</v>
      </c>
      <c r="E2569" s="29">
        <f>[1]Source!I2496</f>
        <v>4.5250000000000004E-3</v>
      </c>
      <c r="F2569" s="30">
        <f>[1]Source!AK2496</f>
        <v>15.96</v>
      </c>
      <c r="G2569" s="43" t="s">
        <v>54</v>
      </c>
      <c r="H2569" s="29">
        <f>[1]Source!AW2497</f>
        <v>1</v>
      </c>
      <c r="I2569" s="30">
        <f>[1]Source!O2496</f>
        <v>7.0000000000000007E-2</v>
      </c>
      <c r="J2569" s="29">
        <f>IF([1]Source!BC2497&lt;&gt; 0, [1]Source!BC2497, 1)</f>
        <v>10.82</v>
      </c>
      <c r="K2569" s="30">
        <f>[1]Source!O2497</f>
        <v>0.76</v>
      </c>
      <c r="Q2569">
        <f>[1]Source!X2496</f>
        <v>0</v>
      </c>
      <c r="R2569">
        <f>[1]Source!X2497</f>
        <v>0</v>
      </c>
      <c r="S2569">
        <f>[1]Source!Y2496</f>
        <v>0</v>
      </c>
      <c r="T2569">
        <f>[1]Source!Y2497</f>
        <v>0</v>
      </c>
      <c r="U2569">
        <f>ROUND((175/100)*ROUND([1]Source!R2496, 2), 2)</f>
        <v>0</v>
      </c>
      <c r="V2569">
        <f>ROUND((0/100)*ROUND([1]Source!R2497, 2), 2)</f>
        <v>0</v>
      </c>
      <c r="AC2569">
        <v>3</v>
      </c>
    </row>
    <row r="2570" spans="1:29" ht="14.4" hidden="1" x14ac:dyDescent="0.25">
      <c r="A2570" s="27"/>
      <c r="B2570" s="27"/>
      <c r="C2570" s="27" t="s">
        <v>42</v>
      </c>
      <c r="D2570" s="28" t="s">
        <v>43</v>
      </c>
      <c r="E2570" s="29">
        <f>[1]Source!BZ2495</f>
        <v>84</v>
      </c>
      <c r="F2570" s="30"/>
      <c r="G2570" s="31"/>
      <c r="H2570" s="29"/>
      <c r="I2570" s="30">
        <f>SUM(Q2563:Q2569)</f>
        <v>421.81</v>
      </c>
      <c r="J2570" s="29">
        <f>[1]Source!AT2495</f>
        <v>84</v>
      </c>
      <c r="K2570" s="30">
        <f>SUM(R2563:R2569)</f>
        <v>23768.77</v>
      </c>
    </row>
    <row r="2571" spans="1:29" ht="14.4" hidden="1" x14ac:dyDescent="0.25">
      <c r="A2571" s="27"/>
      <c r="B2571" s="27"/>
      <c r="C2571" s="27" t="s">
        <v>44</v>
      </c>
      <c r="D2571" s="28" t="s">
        <v>43</v>
      </c>
      <c r="E2571" s="29">
        <f>[1]Source!CA2495</f>
        <v>53</v>
      </c>
      <c r="F2571" s="30"/>
      <c r="G2571" s="31"/>
      <c r="H2571" s="29"/>
      <c r="I2571" s="30">
        <f>SUM(S2563:S2570)</f>
        <v>266.14</v>
      </c>
      <c r="J2571" s="29">
        <f>[1]Source!AU2495</f>
        <v>53</v>
      </c>
      <c r="K2571" s="30">
        <f>SUM(T2563:T2570)</f>
        <v>14996.96</v>
      </c>
    </row>
    <row r="2572" spans="1:29" ht="14.4" hidden="1" x14ac:dyDescent="0.25">
      <c r="A2572" s="34"/>
      <c r="B2572" s="34"/>
      <c r="C2572" s="34" t="s">
        <v>45</v>
      </c>
      <c r="D2572" s="35" t="s">
        <v>46</v>
      </c>
      <c r="E2572" s="36">
        <f>[1]Source!AQ2494</f>
        <v>183.77</v>
      </c>
      <c r="F2572" s="37"/>
      <c r="G2572" s="38" t="s">
        <v>37</v>
      </c>
      <c r="H2572" s="36">
        <f>[1]Source!AV2495</f>
        <v>1.087</v>
      </c>
      <c r="I2572" s="37">
        <f>[1]Source!U2494</f>
        <v>30.874594934399997</v>
      </c>
      <c r="J2572" s="36"/>
      <c r="K2572" s="37"/>
    </row>
    <row r="2573" spans="1:29" ht="13.8" hidden="1" x14ac:dyDescent="0.25">
      <c r="C2573" s="39" t="s">
        <v>47</v>
      </c>
      <c r="H2573" s="40">
        <f>I2565+I2566+I2568+I2570+I2571+SUM(I2569:I2569)-SUMIF(AC2569:AC2569, 5, I2569:I2569)-SUMIF(AC2569:AC2569, 6, I2569:I2569)</f>
        <v>1406.1699999999998</v>
      </c>
      <c r="I2573" s="40"/>
      <c r="J2573" s="40">
        <f>K2565+K2566+K2568+K2570+K2571+SUM(K2569:K2569)-SUMIF(AC2569:AC2569, 5, K2569:K2569)-SUMIF(AC2569:AC2569, 6, K2569:K2569)</f>
        <v>68281.86</v>
      </c>
      <c r="K2573" s="40"/>
    </row>
    <row r="2574" spans="1:29" ht="13.8" hidden="1" x14ac:dyDescent="0.25">
      <c r="C2574" s="39" t="s">
        <v>48</v>
      </c>
      <c r="H2574" s="41">
        <f>SUMIF(AC2569:AC2569, 5, I2569:I2569)+SUMIF(AC2569:AC2569, 6, I2569:I2569)</f>
        <v>0</v>
      </c>
      <c r="I2574" s="41"/>
      <c r="J2574" s="41">
        <f>SUMIF(AC2569:AC2569, 5, K2569:K2569)+SUMIF(AC2569:AC2569, 6, K2569:K2569)</f>
        <v>0</v>
      </c>
      <c r="K2574" s="41"/>
    </row>
    <row r="2575" spans="1:29" ht="13.8" hidden="1" x14ac:dyDescent="0.25">
      <c r="C2575" s="39" t="s">
        <v>49</v>
      </c>
      <c r="H2575" s="41">
        <f>I2565+I2566+I2568+I2570+I2571+SUM(I2569:I2569)</f>
        <v>1406.1699999999998</v>
      </c>
      <c r="I2575" s="41"/>
      <c r="J2575" s="41">
        <f>K2565+K2566+K2568+K2570+K2571+SUM(K2569:K2569)</f>
        <v>68281.86</v>
      </c>
      <c r="K2575" s="41"/>
      <c r="O2575" s="42">
        <f>I2565+I2566+I2568+I2570+I2571+SUM(I2569:I2569)</f>
        <v>1406.1699999999998</v>
      </c>
      <c r="P2575" s="42">
        <f>K2565+K2566+K2568+K2570+K2571+SUM(K2569:K2569)</f>
        <v>68281.86</v>
      </c>
    </row>
    <row r="2576" spans="1:29" hidden="1" x14ac:dyDescent="0.25"/>
    <row r="2577" spans="1:29" ht="55.2" hidden="1" x14ac:dyDescent="0.25">
      <c r="A2577" s="27">
        <v>284</v>
      </c>
      <c r="B2577" s="27" t="str">
        <f>[1]Source!F2498</f>
        <v>3.70-55-8</v>
      </c>
      <c r="C2577" s="27" t="s">
        <v>577</v>
      </c>
      <c r="D2577" s="28" t="str">
        <f>[1]Source!H2498</f>
        <v>100 м2</v>
      </c>
      <c r="E2577" s="29">
        <f>[1]Source!I2498</f>
        <v>8.0500000000000002E-2</v>
      </c>
      <c r="F2577" s="30"/>
      <c r="G2577" s="31"/>
      <c r="H2577" s="29"/>
      <c r="I2577" s="30"/>
      <c r="J2577" s="29"/>
      <c r="K2577" s="30"/>
      <c r="Q2577">
        <f>[1]Source!X2498</f>
        <v>87.29</v>
      </c>
      <c r="R2577">
        <f>[1]Source!X2499</f>
        <v>4918.95</v>
      </c>
      <c r="S2577">
        <f>[1]Source!Y2498</f>
        <v>55.08</v>
      </c>
      <c r="T2577">
        <f>[1]Source!Y2499</f>
        <v>3103.62</v>
      </c>
      <c r="U2577">
        <f>ROUND((175/100)*ROUND([1]Source!R2498, 2), 2)</f>
        <v>3.66</v>
      </c>
      <c r="V2577">
        <f>ROUND((0/100)*ROUND([1]Source!R2499, 2), 2)</f>
        <v>0</v>
      </c>
      <c r="AC2577">
        <v>0</v>
      </c>
    </row>
    <row r="2578" spans="1:29" hidden="1" x14ac:dyDescent="0.25">
      <c r="C2578" s="32" t="str">
        <f>"Объем: "&amp;[1]Source!I2498&amp;"=(11,2-"&amp;"3,15)/"&amp;"100"</f>
        <v>Объем: 0,0805=(11,2-3,15)/100</v>
      </c>
    </row>
    <row r="2579" spans="1:29" ht="14.4" hidden="1" x14ac:dyDescent="0.25">
      <c r="A2579" s="27"/>
      <c r="B2579" s="27"/>
      <c r="C2579" s="27" t="s">
        <v>36</v>
      </c>
      <c r="D2579" s="28"/>
      <c r="E2579" s="29"/>
      <c r="F2579" s="30">
        <f>[1]Source!AO2498</f>
        <v>843.28</v>
      </c>
      <c r="G2579" s="31" t="s">
        <v>37</v>
      </c>
      <c r="H2579" s="29">
        <f>[1]Source!AV2499</f>
        <v>1.087</v>
      </c>
      <c r="I2579" s="30">
        <f>[1]Source!S2498</f>
        <v>101.83</v>
      </c>
      <c r="J2579" s="29">
        <f>IF([1]Source!BA2499&lt;&gt; 0, [1]Source!BA2499, 1)</f>
        <v>56.35</v>
      </c>
      <c r="K2579" s="30">
        <f>[1]Source!S2499</f>
        <v>5738.12</v>
      </c>
    </row>
    <row r="2580" spans="1:29" ht="14.4" hidden="1" x14ac:dyDescent="0.25">
      <c r="A2580" s="27"/>
      <c r="B2580" s="27"/>
      <c r="C2580" s="27" t="s">
        <v>38</v>
      </c>
      <c r="D2580" s="28"/>
      <c r="E2580" s="29"/>
      <c r="F2580" s="30">
        <f>[1]Source!AM2498</f>
        <v>112.46</v>
      </c>
      <c r="G2580" s="31" t="s">
        <v>39</v>
      </c>
      <c r="H2580" s="29">
        <f>[1]Source!AV2499</f>
        <v>1.087</v>
      </c>
      <c r="I2580" s="30">
        <f>[1]Source!Q2498</f>
        <v>14.76</v>
      </c>
      <c r="J2580" s="29">
        <f>IF([1]Source!BB2499&lt;&gt; 0, [1]Source!BB2499, 1)</f>
        <v>16.559999999999999</v>
      </c>
      <c r="K2580" s="30">
        <f>[1]Source!Q2499</f>
        <v>244.43</v>
      </c>
    </row>
    <row r="2581" spans="1:29" ht="14.4" hidden="1" x14ac:dyDescent="0.25">
      <c r="A2581" s="27"/>
      <c r="B2581" s="27"/>
      <c r="C2581" s="27" t="s">
        <v>40</v>
      </c>
      <c r="D2581" s="28"/>
      <c r="E2581" s="29"/>
      <c r="F2581" s="30">
        <f>[1]Source!AN2498</f>
        <v>15.9</v>
      </c>
      <c r="G2581" s="31" t="s">
        <v>39</v>
      </c>
      <c r="H2581" s="29">
        <f>[1]Source!AV2499</f>
        <v>1.087</v>
      </c>
      <c r="I2581" s="33">
        <f>[1]Source!R2498</f>
        <v>2.09</v>
      </c>
      <c r="J2581" s="29">
        <f>IF([1]Source!BS2499&lt;&gt; 0, [1]Source!BS2499, 1)</f>
        <v>56.35</v>
      </c>
      <c r="K2581" s="33">
        <f>[1]Source!R2499</f>
        <v>117.77</v>
      </c>
    </row>
    <row r="2582" spans="1:29" ht="14.4" hidden="1" x14ac:dyDescent="0.25">
      <c r="A2582" s="27"/>
      <c r="B2582" s="27"/>
      <c r="C2582" s="27" t="s">
        <v>41</v>
      </c>
      <c r="D2582" s="28"/>
      <c r="E2582" s="29"/>
      <c r="F2582" s="30">
        <f>[1]Source!AL2498</f>
        <v>11.79</v>
      </c>
      <c r="G2582" s="31"/>
      <c r="H2582" s="29">
        <f>[1]Source!AW2499</f>
        <v>1</v>
      </c>
      <c r="I2582" s="30">
        <f>[1]Source!P2498</f>
        <v>0.95</v>
      </c>
      <c r="J2582" s="29">
        <f>IF([1]Source!BC2499&lt;&gt; 0, [1]Source!BC2499, 1)</f>
        <v>3.95</v>
      </c>
      <c r="K2582" s="30">
        <f>[1]Source!P2499</f>
        <v>3.75</v>
      </c>
    </row>
    <row r="2583" spans="1:29" ht="14.4" hidden="1" x14ac:dyDescent="0.25">
      <c r="A2583" s="27"/>
      <c r="B2583" s="27"/>
      <c r="C2583" s="27" t="s">
        <v>42</v>
      </c>
      <c r="D2583" s="28" t="s">
        <v>43</v>
      </c>
      <c r="E2583" s="29">
        <f>[1]Source!BZ2499</f>
        <v>84</v>
      </c>
      <c r="F2583" s="30"/>
      <c r="G2583" s="31"/>
      <c r="H2583" s="29"/>
      <c r="I2583" s="30">
        <f>SUM(Q2577:Q2582)</f>
        <v>87.29</v>
      </c>
      <c r="J2583" s="29">
        <f>[1]Source!AT2499</f>
        <v>84</v>
      </c>
      <c r="K2583" s="30">
        <f>SUM(R2577:R2582)</f>
        <v>4918.95</v>
      </c>
    </row>
    <row r="2584" spans="1:29" ht="14.4" hidden="1" x14ac:dyDescent="0.25">
      <c r="A2584" s="27"/>
      <c r="B2584" s="27"/>
      <c r="C2584" s="27" t="s">
        <v>44</v>
      </c>
      <c r="D2584" s="28" t="s">
        <v>43</v>
      </c>
      <c r="E2584" s="29">
        <f>[1]Source!CA2499</f>
        <v>53</v>
      </c>
      <c r="F2584" s="30"/>
      <c r="G2584" s="31"/>
      <c r="H2584" s="29"/>
      <c r="I2584" s="30">
        <f>SUM(S2577:S2583)</f>
        <v>55.08</v>
      </c>
      <c r="J2584" s="29">
        <f>[1]Source!AU2499</f>
        <v>53</v>
      </c>
      <c r="K2584" s="30">
        <f>SUM(T2577:T2583)</f>
        <v>3103.62</v>
      </c>
    </row>
    <row r="2585" spans="1:29" ht="14.4" hidden="1" x14ac:dyDescent="0.25">
      <c r="A2585" s="34"/>
      <c r="B2585" s="34"/>
      <c r="C2585" s="34" t="s">
        <v>45</v>
      </c>
      <c r="D2585" s="35" t="s">
        <v>46</v>
      </c>
      <c r="E2585" s="36">
        <f>[1]Source!AQ2498</f>
        <v>54.86</v>
      </c>
      <c r="F2585" s="37"/>
      <c r="G2585" s="38" t="s">
        <v>37</v>
      </c>
      <c r="H2585" s="36">
        <f>[1]Source!AV2499</f>
        <v>1.087</v>
      </c>
      <c r="I2585" s="37">
        <f>[1]Source!U2498</f>
        <v>6.6246099737999993</v>
      </c>
      <c r="J2585" s="36"/>
      <c r="K2585" s="37"/>
    </row>
    <row r="2586" spans="1:29" ht="13.8" hidden="1" x14ac:dyDescent="0.25">
      <c r="C2586" s="39" t="s">
        <v>47</v>
      </c>
      <c r="H2586" s="40">
        <f>I2579+I2580+I2582+I2583+I2584+0-0-0</f>
        <v>259.91000000000003</v>
      </c>
      <c r="I2586" s="40"/>
      <c r="J2586" s="40">
        <f>K2579+K2580+K2582+K2583+K2584+0-0-0</f>
        <v>14008.869999999999</v>
      </c>
      <c r="K2586" s="40"/>
    </row>
    <row r="2587" spans="1:29" ht="13.8" hidden="1" x14ac:dyDescent="0.25">
      <c r="C2587" s="39" t="s">
        <v>48</v>
      </c>
      <c r="H2587" s="41">
        <f>0+0</f>
        <v>0</v>
      </c>
      <c r="I2587" s="41"/>
      <c r="J2587" s="41">
        <f>0+0</f>
        <v>0</v>
      </c>
      <c r="K2587" s="41"/>
    </row>
    <row r="2588" spans="1:29" ht="13.8" hidden="1" x14ac:dyDescent="0.25">
      <c r="C2588" s="39" t="s">
        <v>49</v>
      </c>
      <c r="H2588" s="41">
        <f>I2579+I2580+I2582+I2583+I2584+0</f>
        <v>259.91000000000003</v>
      </c>
      <c r="I2588" s="41"/>
      <c r="J2588" s="41">
        <f>K2579+K2580+K2582+K2583+K2584+0</f>
        <v>14008.869999999999</v>
      </c>
      <c r="K2588" s="41"/>
      <c r="O2588" s="42">
        <f>I2579+I2580+I2582+I2583+I2584+0</f>
        <v>259.91000000000003</v>
      </c>
      <c r="P2588" s="42">
        <f>K2579+K2580+K2582+K2583+K2584+0</f>
        <v>14008.869999999999</v>
      </c>
    </row>
    <row r="2589" spans="1:29" hidden="1" x14ac:dyDescent="0.25"/>
    <row r="2590" spans="1:29" ht="55.2" hidden="1" x14ac:dyDescent="0.25">
      <c r="A2590" s="27">
        <v>285</v>
      </c>
      <c r="B2590" s="27" t="str">
        <f>[1]Source!F2500</f>
        <v>3.70-55-10</v>
      </c>
      <c r="C2590" s="27" t="s">
        <v>570</v>
      </c>
      <c r="D2590" s="28" t="str">
        <f>[1]Source!H2500</f>
        <v>100 м2</v>
      </c>
      <c r="E2590" s="29">
        <f>[1]Source!I2500</f>
        <v>3.15E-2</v>
      </c>
      <c r="F2590" s="30"/>
      <c r="G2590" s="31"/>
      <c r="H2590" s="29"/>
      <c r="I2590" s="30"/>
      <c r="J2590" s="29"/>
      <c r="K2590" s="30"/>
      <c r="Q2590">
        <f>[1]Source!X2500</f>
        <v>79.510000000000005</v>
      </c>
      <c r="R2590">
        <f>[1]Source!X2501</f>
        <v>4480.17</v>
      </c>
      <c r="S2590">
        <f>[1]Source!Y2500</f>
        <v>50.16</v>
      </c>
      <c r="T2590">
        <f>[1]Source!Y2501</f>
        <v>2826.77</v>
      </c>
      <c r="U2590">
        <f>ROUND((175/100)*ROUND([1]Source!R2500, 2), 2)</f>
        <v>1.19</v>
      </c>
      <c r="V2590">
        <f>ROUND((0/100)*ROUND([1]Source!R2501, 2), 2)</f>
        <v>0</v>
      </c>
      <c r="AC2590">
        <v>0</v>
      </c>
    </row>
    <row r="2591" spans="1:29" hidden="1" x14ac:dyDescent="0.25">
      <c r="C2591" s="32" t="str">
        <f>"Объем: "&amp;[1]Source!I2500&amp;"=((1,5*"&amp;"2,1)*"&amp;"1)/"&amp;"100"</f>
        <v>Объем: 0,0315=((1,5*2,1)*1)/100</v>
      </c>
    </row>
    <row r="2592" spans="1:29" ht="14.4" hidden="1" x14ac:dyDescent="0.25">
      <c r="A2592" s="27"/>
      <c r="B2592" s="27"/>
      <c r="C2592" s="27" t="s">
        <v>36</v>
      </c>
      <c r="D2592" s="28"/>
      <c r="E2592" s="29"/>
      <c r="F2592" s="30">
        <f>[1]Source!AO2500</f>
        <v>1988.67</v>
      </c>
      <c r="G2592" s="31" t="s">
        <v>37</v>
      </c>
      <c r="H2592" s="29">
        <f>[1]Source!AV2501</f>
        <v>1.087</v>
      </c>
      <c r="I2592" s="30">
        <f>[1]Source!S2500</f>
        <v>93.97</v>
      </c>
      <c r="J2592" s="29">
        <f>IF([1]Source!BA2501&lt;&gt; 0, [1]Source!BA2501, 1)</f>
        <v>56.35</v>
      </c>
      <c r="K2592" s="30">
        <f>[1]Source!S2501</f>
        <v>5295.21</v>
      </c>
    </row>
    <row r="2593" spans="1:29" ht="14.4" hidden="1" x14ac:dyDescent="0.25">
      <c r="A2593" s="27"/>
      <c r="B2593" s="27"/>
      <c r="C2593" s="27" t="s">
        <v>38</v>
      </c>
      <c r="D2593" s="28"/>
      <c r="E2593" s="29"/>
      <c r="F2593" s="30">
        <f>[1]Source!AM2500</f>
        <v>97.6</v>
      </c>
      <c r="G2593" s="31" t="s">
        <v>39</v>
      </c>
      <c r="H2593" s="29">
        <f>[1]Source!AV2501</f>
        <v>1.087</v>
      </c>
      <c r="I2593" s="30">
        <f>[1]Source!Q2500</f>
        <v>5.01</v>
      </c>
      <c r="J2593" s="29">
        <f>IF([1]Source!BB2501&lt;&gt; 0, [1]Source!BB2501, 1)</f>
        <v>16.28</v>
      </c>
      <c r="K2593" s="30">
        <f>[1]Source!Q2501</f>
        <v>81.56</v>
      </c>
    </row>
    <row r="2594" spans="1:29" ht="14.4" hidden="1" x14ac:dyDescent="0.25">
      <c r="A2594" s="27"/>
      <c r="B2594" s="27"/>
      <c r="C2594" s="27" t="s">
        <v>40</v>
      </c>
      <c r="D2594" s="28"/>
      <c r="E2594" s="29"/>
      <c r="F2594" s="30">
        <f>[1]Source!AN2500</f>
        <v>13.25</v>
      </c>
      <c r="G2594" s="31" t="s">
        <v>39</v>
      </c>
      <c r="H2594" s="29">
        <f>[1]Source!AV2501</f>
        <v>1.087</v>
      </c>
      <c r="I2594" s="33">
        <f>[1]Source!R2500</f>
        <v>0.68</v>
      </c>
      <c r="J2594" s="29">
        <f>IF([1]Source!BS2501&lt;&gt; 0, [1]Source!BS2501, 1)</f>
        <v>56.35</v>
      </c>
      <c r="K2594" s="33">
        <f>[1]Source!R2501</f>
        <v>38.32</v>
      </c>
    </row>
    <row r="2595" spans="1:29" ht="14.4" hidden="1" x14ac:dyDescent="0.25">
      <c r="A2595" s="27"/>
      <c r="B2595" s="27"/>
      <c r="C2595" s="27" t="s">
        <v>41</v>
      </c>
      <c r="D2595" s="28"/>
      <c r="E2595" s="29"/>
      <c r="F2595" s="30">
        <f>[1]Source!AL2500</f>
        <v>55.75</v>
      </c>
      <c r="G2595" s="31"/>
      <c r="H2595" s="29">
        <f>[1]Source!AW2501</f>
        <v>1</v>
      </c>
      <c r="I2595" s="30">
        <f>[1]Source!P2500</f>
        <v>1.76</v>
      </c>
      <c r="J2595" s="29">
        <f>IF([1]Source!BC2501&lt;&gt; 0, [1]Source!BC2501, 1)</f>
        <v>6.65</v>
      </c>
      <c r="K2595" s="30">
        <f>[1]Source!P2501</f>
        <v>11.7</v>
      </c>
    </row>
    <row r="2596" spans="1:29" ht="14.4" hidden="1" x14ac:dyDescent="0.25">
      <c r="A2596" s="27"/>
      <c r="B2596" s="27"/>
      <c r="C2596" s="27" t="s">
        <v>42</v>
      </c>
      <c r="D2596" s="28" t="s">
        <v>43</v>
      </c>
      <c r="E2596" s="29">
        <f>[1]Source!BZ2501</f>
        <v>84</v>
      </c>
      <c r="F2596" s="30"/>
      <c r="G2596" s="31"/>
      <c r="H2596" s="29"/>
      <c r="I2596" s="30">
        <f>SUM(Q2590:Q2595)</f>
        <v>79.510000000000005</v>
      </c>
      <c r="J2596" s="29">
        <f>[1]Source!AT2501</f>
        <v>84</v>
      </c>
      <c r="K2596" s="30">
        <f>SUM(R2590:R2595)</f>
        <v>4480.17</v>
      </c>
    </row>
    <row r="2597" spans="1:29" ht="14.4" hidden="1" x14ac:dyDescent="0.25">
      <c r="A2597" s="27"/>
      <c r="B2597" s="27"/>
      <c r="C2597" s="27" t="s">
        <v>44</v>
      </c>
      <c r="D2597" s="28" t="s">
        <v>43</v>
      </c>
      <c r="E2597" s="29">
        <f>[1]Source!CA2501</f>
        <v>53</v>
      </c>
      <c r="F2597" s="30"/>
      <c r="G2597" s="31"/>
      <c r="H2597" s="29"/>
      <c r="I2597" s="30">
        <f>SUM(S2590:S2596)</f>
        <v>50.16</v>
      </c>
      <c r="J2597" s="29">
        <f>[1]Source!AU2501</f>
        <v>53</v>
      </c>
      <c r="K2597" s="30">
        <f>SUM(T2590:T2596)</f>
        <v>2826.77</v>
      </c>
    </row>
    <row r="2598" spans="1:29" ht="14.4" hidden="1" x14ac:dyDescent="0.25">
      <c r="A2598" s="34"/>
      <c r="B2598" s="34"/>
      <c r="C2598" s="34" t="s">
        <v>45</v>
      </c>
      <c r="D2598" s="35" t="s">
        <v>46</v>
      </c>
      <c r="E2598" s="36">
        <f>[1]Source!AQ2500</f>
        <v>113.3</v>
      </c>
      <c r="F2598" s="37"/>
      <c r="G2598" s="38" t="s">
        <v>37</v>
      </c>
      <c r="H2598" s="36">
        <f>[1]Source!AV2501</f>
        <v>1.087</v>
      </c>
      <c r="I2598" s="37">
        <f>[1]Source!U2500</f>
        <v>5.353639137</v>
      </c>
      <c r="J2598" s="36"/>
      <c r="K2598" s="37"/>
    </row>
    <row r="2599" spans="1:29" ht="13.8" hidden="1" x14ac:dyDescent="0.25">
      <c r="C2599" s="39" t="s">
        <v>47</v>
      </c>
      <c r="H2599" s="40">
        <f>I2592+I2593+I2595+I2596+I2597+0-0-0</f>
        <v>230.41</v>
      </c>
      <c r="I2599" s="40"/>
      <c r="J2599" s="40">
        <f>K2592+K2593+K2595+K2596+K2597+0-0-0</f>
        <v>12695.41</v>
      </c>
      <c r="K2599" s="40"/>
    </row>
    <row r="2600" spans="1:29" ht="13.8" hidden="1" x14ac:dyDescent="0.25">
      <c r="C2600" s="39" t="s">
        <v>48</v>
      </c>
      <c r="H2600" s="41">
        <f>0+0</f>
        <v>0</v>
      </c>
      <c r="I2600" s="41"/>
      <c r="J2600" s="41">
        <f>0+0</f>
        <v>0</v>
      </c>
      <c r="K2600" s="41"/>
    </row>
    <row r="2601" spans="1:29" ht="13.8" hidden="1" x14ac:dyDescent="0.25">
      <c r="C2601" s="39" t="s">
        <v>49</v>
      </c>
      <c r="H2601" s="41">
        <f>I2592+I2593+I2595+I2596+I2597+0</f>
        <v>230.41</v>
      </c>
      <c r="I2601" s="41"/>
      <c r="J2601" s="41">
        <f>K2592+K2593+K2595+K2596+K2597+0</f>
        <v>12695.41</v>
      </c>
      <c r="K2601" s="41"/>
      <c r="O2601" s="42">
        <f>I2592+I2593+I2595+I2596+I2597+0</f>
        <v>230.41</v>
      </c>
      <c r="P2601" s="42">
        <f>K2592+K2593+K2595+K2596+K2597+0</f>
        <v>12695.41</v>
      </c>
    </row>
    <row r="2602" spans="1:29" hidden="1" x14ac:dyDescent="0.25"/>
    <row r="2603" spans="1:29" ht="195" customHeight="1" x14ac:dyDescent="0.25">
      <c r="A2603" s="53">
        <v>286</v>
      </c>
      <c r="B2603" s="53" t="str">
        <f>[1]Source!F2502</f>
        <v>КА-179</v>
      </c>
      <c r="C2603" s="53" t="s">
        <v>581</v>
      </c>
      <c r="D2603" s="54"/>
      <c r="E2603" s="55"/>
      <c r="F2603" s="30"/>
      <c r="G2603" s="31"/>
      <c r="H2603" s="29"/>
      <c r="I2603" s="30"/>
      <c r="J2603" s="29"/>
      <c r="K2603" s="56"/>
      <c r="M2603" s="50"/>
      <c r="N2603" s="59" t="s">
        <v>180</v>
      </c>
    </row>
    <row r="2604" spans="1:29" ht="261" x14ac:dyDescent="0.25">
      <c r="A2604" s="46"/>
      <c r="B2604" s="46"/>
      <c r="C2604" s="46" t="s">
        <v>578</v>
      </c>
      <c r="D2604" s="47" t="str">
        <f>[1]Source!H2502</f>
        <v>м2</v>
      </c>
      <c r="E2604" s="48">
        <f>[1]Source!I2502</f>
        <v>11.2</v>
      </c>
      <c r="F2604" s="49">
        <f>[1]Source!AL2502</f>
        <v>3874.45</v>
      </c>
      <c r="G2604" s="60"/>
      <c r="H2604" s="48">
        <f>[1]Source!AW2503</f>
        <v>1</v>
      </c>
      <c r="I2604" s="49">
        <f>[1]Source!P2502</f>
        <v>43393.84</v>
      </c>
      <c r="J2604" s="48">
        <f>IF([1]Source!BC2503&lt;&gt; 0, [1]Source!BC2503, 1)</f>
        <v>9.84</v>
      </c>
      <c r="K2604" s="49">
        <f>[1]Source!P2503</f>
        <v>241589.12</v>
      </c>
      <c r="L2604">
        <v>25800</v>
      </c>
      <c r="M2604" s="50">
        <f t="shared" ref="M2604" si="34">L2604*E2604</f>
        <v>288960</v>
      </c>
      <c r="N2604" s="59" t="s">
        <v>180</v>
      </c>
      <c r="Q2604">
        <f>[1]Source!X2502</f>
        <v>0</v>
      </c>
      <c r="R2604">
        <f>[1]Source!X2503</f>
        <v>0</v>
      </c>
      <c r="S2604">
        <f>[1]Source!Y2502</f>
        <v>0</v>
      </c>
      <c r="T2604">
        <f>[1]Source!Y2503</f>
        <v>0</v>
      </c>
      <c r="U2604">
        <f>ROUND((175/100)*ROUND([1]Source!R2502, 2), 2)</f>
        <v>0</v>
      </c>
      <c r="V2604">
        <f>ROUND((0/100)*ROUND([1]Source!R2503, 2), 2)</f>
        <v>0</v>
      </c>
      <c r="AC2604">
        <v>3</v>
      </c>
    </row>
    <row r="2605" spans="1:29" ht="13.8" hidden="1" x14ac:dyDescent="0.25">
      <c r="C2605" s="39" t="s">
        <v>49</v>
      </c>
      <c r="H2605" s="40">
        <f>I2604+0</f>
        <v>43393.84</v>
      </c>
      <c r="I2605" s="40"/>
      <c r="J2605" s="40">
        <f>K2604+0</f>
        <v>241589.12</v>
      </c>
      <c r="K2605" s="40"/>
      <c r="O2605" s="42">
        <f>I2604+0</f>
        <v>43393.84</v>
      </c>
      <c r="P2605" s="42">
        <f>K2604+0</f>
        <v>241589.12</v>
      </c>
    </row>
    <row r="2606" spans="1:29" hidden="1" x14ac:dyDescent="0.25"/>
    <row r="2607" spans="1:29" hidden="1" x14ac:dyDescent="0.25"/>
    <row r="2608" spans="1:29" ht="13.8" hidden="1" x14ac:dyDescent="0.25">
      <c r="A2608" s="44" t="str">
        <f>CONCATENATE("Итого по подразделу: ",IF([1]Source!G2505&lt;&gt;"Новый подраздел", [1]Source!G2505, ""))</f>
        <v>Итого по подразделу: ДВ-20-П  Витраж учебного кабинета</v>
      </c>
      <c r="B2608" s="44"/>
      <c r="C2608" s="44"/>
      <c r="D2608" s="44"/>
      <c r="E2608" s="44"/>
      <c r="F2608" s="44"/>
      <c r="G2608" s="44"/>
      <c r="H2608" s="41">
        <f>SUM(O2562:O2607)</f>
        <v>45290.329999999994</v>
      </c>
      <c r="I2608" s="45"/>
      <c r="J2608" s="41">
        <f>SUM(P2562:P2607)</f>
        <v>336575.26</v>
      </c>
      <c r="K2608" s="45"/>
    </row>
    <row r="2609" spans="1:29" hidden="1" x14ac:dyDescent="0.25">
      <c r="A2609" t="s">
        <v>55</v>
      </c>
      <c r="I2609">
        <f>SUM(W2562:W2608)</f>
        <v>0</v>
      </c>
      <c r="J2609">
        <f>SUM(X2562:X2608)</f>
        <v>0</v>
      </c>
    </row>
    <row r="2610" spans="1:29" hidden="1" x14ac:dyDescent="0.25">
      <c r="A2610" t="s">
        <v>56</v>
      </c>
      <c r="I2610">
        <f>SUM(Y2562:Y2609)</f>
        <v>0</v>
      </c>
      <c r="J2610">
        <f>SUM(Z2562:Z2609)</f>
        <v>0</v>
      </c>
    </row>
    <row r="2611" spans="1:29" hidden="1" x14ac:dyDescent="0.25"/>
    <row r="2612" spans="1:29" ht="16.8" hidden="1" x14ac:dyDescent="0.25">
      <c r="A2612" s="11" t="str">
        <f>CONCATENATE("Подраздел: ",IF([1]Source!G2535&lt;&gt;"Новый подраздел", [1]Source!G2535, ""))</f>
        <v>Подраздел: ДВ-21-П</v>
      </c>
      <c r="B2612" s="11"/>
      <c r="C2612" s="11"/>
      <c r="D2612" s="11"/>
      <c r="E2612" s="11"/>
      <c r="F2612" s="11"/>
      <c r="G2612" s="11"/>
      <c r="H2612" s="11"/>
      <c r="I2612" s="11"/>
      <c r="J2612" s="11"/>
      <c r="K2612" s="11"/>
    </row>
    <row r="2613" spans="1:29" ht="41.4" hidden="1" x14ac:dyDescent="0.25">
      <c r="A2613" s="27">
        <v>287</v>
      </c>
      <c r="B2613" s="27" t="str">
        <f>[1]Source!F2539</f>
        <v>3.70-55-2</v>
      </c>
      <c r="C2613" s="27" t="s">
        <v>365</v>
      </c>
      <c r="D2613" s="28" t="str">
        <f>[1]Source!H2539</f>
        <v>100 м2</v>
      </c>
      <c r="E2613" s="29">
        <f>[1]Source!I2539</f>
        <v>8.8999999999999996E-2</v>
      </c>
      <c r="F2613" s="30"/>
      <c r="G2613" s="31"/>
      <c r="H2613" s="29"/>
      <c r="I2613" s="30"/>
      <c r="J2613" s="29"/>
      <c r="K2613" s="30"/>
      <c r="Q2613">
        <f>[1]Source!X2539</f>
        <v>335.19</v>
      </c>
      <c r="R2613">
        <f>[1]Source!X2540</f>
        <v>18887.689999999999</v>
      </c>
      <c r="S2613">
        <f>[1]Source!Y2539</f>
        <v>211.49</v>
      </c>
      <c r="T2613">
        <f>[1]Source!Y2540</f>
        <v>11917.24</v>
      </c>
      <c r="U2613">
        <f>ROUND((175/100)*ROUND([1]Source!R2539, 2), 2)</f>
        <v>7.18</v>
      </c>
      <c r="V2613">
        <f>ROUND((0/100)*ROUND([1]Source!R2540, 2), 2)</f>
        <v>0</v>
      </c>
      <c r="AC2613">
        <v>0</v>
      </c>
    </row>
    <row r="2614" spans="1:29" hidden="1" x14ac:dyDescent="0.25">
      <c r="C2614" s="32" t="str">
        <f>"Объем: "&amp;[1]Source!I2539&amp;"=8,9/"&amp;"100"</f>
        <v>Объем: 0,089=8,9/100</v>
      </c>
    </row>
    <row r="2615" spans="1:29" ht="14.4" hidden="1" x14ac:dyDescent="0.25">
      <c r="A2615" s="27"/>
      <c r="B2615" s="27"/>
      <c r="C2615" s="27" t="s">
        <v>36</v>
      </c>
      <c r="D2615" s="28"/>
      <c r="E2615" s="29"/>
      <c r="F2615" s="30">
        <f>[1]Source!AO2539</f>
        <v>2958.13</v>
      </c>
      <c r="G2615" s="31" t="s">
        <v>37</v>
      </c>
      <c r="H2615" s="29">
        <f>[1]Source!AV2540</f>
        <v>1.087</v>
      </c>
      <c r="I2615" s="30">
        <f>[1]Source!S2539</f>
        <v>394.93</v>
      </c>
      <c r="J2615" s="29">
        <f>IF([1]Source!BA2540&lt;&gt; 0, [1]Source!BA2540, 1)</f>
        <v>56.35</v>
      </c>
      <c r="K2615" s="30">
        <f>[1]Source!S2540</f>
        <v>22254.31</v>
      </c>
    </row>
    <row r="2616" spans="1:29" ht="14.4" hidden="1" x14ac:dyDescent="0.25">
      <c r="A2616" s="27"/>
      <c r="B2616" s="27"/>
      <c r="C2616" s="27" t="s">
        <v>38</v>
      </c>
      <c r="D2616" s="28"/>
      <c r="E2616" s="29"/>
      <c r="F2616" s="30">
        <f>[1]Source!AM2539</f>
        <v>243.71</v>
      </c>
      <c r="G2616" s="31" t="s">
        <v>39</v>
      </c>
      <c r="H2616" s="29">
        <f>[1]Source!AV2540</f>
        <v>1.087</v>
      </c>
      <c r="I2616" s="30">
        <f>[1]Source!Q2539</f>
        <v>35.369999999999997</v>
      </c>
      <c r="J2616" s="29">
        <f>IF([1]Source!BB2540&lt;&gt; 0, [1]Source!BB2540, 1)</f>
        <v>15.43</v>
      </c>
      <c r="K2616" s="30">
        <f>[1]Source!Q2540</f>
        <v>545.76</v>
      </c>
    </row>
    <row r="2617" spans="1:29" ht="14.4" hidden="1" x14ac:dyDescent="0.25">
      <c r="A2617" s="27"/>
      <c r="B2617" s="27"/>
      <c r="C2617" s="27" t="s">
        <v>40</v>
      </c>
      <c r="D2617" s="28"/>
      <c r="E2617" s="29"/>
      <c r="F2617" s="30">
        <f>[1]Source!AN2539</f>
        <v>28.27</v>
      </c>
      <c r="G2617" s="31" t="s">
        <v>39</v>
      </c>
      <c r="H2617" s="29">
        <f>[1]Source!AV2540</f>
        <v>1.087</v>
      </c>
      <c r="I2617" s="33">
        <f>[1]Source!R2539</f>
        <v>4.0999999999999996</v>
      </c>
      <c r="J2617" s="29">
        <f>IF([1]Source!BS2540&lt;&gt; 0, [1]Source!BS2540, 1)</f>
        <v>56.35</v>
      </c>
      <c r="K2617" s="33">
        <f>[1]Source!R2540</f>
        <v>231.04</v>
      </c>
    </row>
    <row r="2618" spans="1:29" ht="14.4" hidden="1" x14ac:dyDescent="0.25">
      <c r="A2618" s="27"/>
      <c r="B2618" s="27"/>
      <c r="C2618" s="27" t="s">
        <v>41</v>
      </c>
      <c r="D2618" s="28"/>
      <c r="E2618" s="29"/>
      <c r="F2618" s="30">
        <f>[1]Source!AL2539</f>
        <v>1577.27</v>
      </c>
      <c r="G2618" s="31"/>
      <c r="H2618" s="29">
        <f>[1]Source!AW2540</f>
        <v>1</v>
      </c>
      <c r="I2618" s="30">
        <f>[1]Source!P2539</f>
        <v>140.38</v>
      </c>
      <c r="J2618" s="29">
        <f>IF([1]Source!BC2540&lt;&gt; 0, [1]Source!BC2540, 1)</f>
        <v>4.66</v>
      </c>
      <c r="K2618" s="30">
        <f>[1]Source!P2540</f>
        <v>654.16999999999996</v>
      </c>
    </row>
    <row r="2619" spans="1:29" ht="55.2" hidden="1" x14ac:dyDescent="0.25">
      <c r="A2619" s="27" t="s">
        <v>582</v>
      </c>
      <c r="B2619" s="27" t="str">
        <f>[1]Source!F2541</f>
        <v>1.7-1-105</v>
      </c>
      <c r="C2619" s="27" t="s">
        <v>576</v>
      </c>
      <c r="D2619" s="28" t="str">
        <f>[1]Source!H2541</f>
        <v>м</v>
      </c>
      <c r="E2619" s="29">
        <f>[1]Source!I2541</f>
        <v>3.5959999999999994E-3</v>
      </c>
      <c r="F2619" s="30">
        <f>[1]Source!AK2541</f>
        <v>15.96</v>
      </c>
      <c r="G2619" s="43" t="s">
        <v>54</v>
      </c>
      <c r="H2619" s="29">
        <f>[1]Source!AW2542</f>
        <v>1</v>
      </c>
      <c r="I2619" s="30">
        <f>[1]Source!O2541</f>
        <v>0.06</v>
      </c>
      <c r="J2619" s="29">
        <f>IF([1]Source!BC2542&lt;&gt; 0, [1]Source!BC2542, 1)</f>
        <v>10.82</v>
      </c>
      <c r="K2619" s="30">
        <f>[1]Source!O2542</f>
        <v>0.65</v>
      </c>
      <c r="Q2619">
        <f>[1]Source!X2541</f>
        <v>0</v>
      </c>
      <c r="R2619">
        <f>[1]Source!X2542</f>
        <v>0</v>
      </c>
      <c r="S2619">
        <f>[1]Source!Y2541</f>
        <v>0</v>
      </c>
      <c r="T2619">
        <f>[1]Source!Y2542</f>
        <v>0</v>
      </c>
      <c r="U2619">
        <f>ROUND((175/100)*ROUND([1]Source!R2541, 2), 2)</f>
        <v>0</v>
      </c>
      <c r="V2619">
        <f>ROUND((0/100)*ROUND([1]Source!R2542, 2), 2)</f>
        <v>0</v>
      </c>
      <c r="AC2619">
        <v>3</v>
      </c>
    </row>
    <row r="2620" spans="1:29" ht="14.4" hidden="1" x14ac:dyDescent="0.25">
      <c r="A2620" s="27"/>
      <c r="B2620" s="27"/>
      <c r="C2620" s="27" t="s">
        <v>42</v>
      </c>
      <c r="D2620" s="28" t="s">
        <v>43</v>
      </c>
      <c r="E2620" s="29">
        <f>[1]Source!BZ2540</f>
        <v>84</v>
      </c>
      <c r="F2620" s="30"/>
      <c r="G2620" s="31"/>
      <c r="H2620" s="29"/>
      <c r="I2620" s="30">
        <f>SUM(Q2613:Q2619)</f>
        <v>335.19</v>
      </c>
      <c r="J2620" s="29">
        <f>[1]Source!AT2540</f>
        <v>84</v>
      </c>
      <c r="K2620" s="30">
        <f>SUM(R2613:R2619)</f>
        <v>18887.689999999999</v>
      </c>
    </row>
    <row r="2621" spans="1:29" ht="14.4" hidden="1" x14ac:dyDescent="0.25">
      <c r="A2621" s="27"/>
      <c r="B2621" s="27"/>
      <c r="C2621" s="27" t="s">
        <v>44</v>
      </c>
      <c r="D2621" s="28" t="s">
        <v>43</v>
      </c>
      <c r="E2621" s="29">
        <f>[1]Source!CA2540</f>
        <v>53</v>
      </c>
      <c r="F2621" s="30"/>
      <c r="G2621" s="31"/>
      <c r="H2621" s="29"/>
      <c r="I2621" s="30">
        <f>SUM(S2613:S2620)</f>
        <v>211.49</v>
      </c>
      <c r="J2621" s="29">
        <f>[1]Source!AU2540</f>
        <v>53</v>
      </c>
      <c r="K2621" s="30">
        <f>SUM(T2613:T2620)</f>
        <v>11917.24</v>
      </c>
    </row>
    <row r="2622" spans="1:29" ht="14.4" hidden="1" x14ac:dyDescent="0.25">
      <c r="A2622" s="34"/>
      <c r="B2622" s="34"/>
      <c r="C2622" s="34" t="s">
        <v>45</v>
      </c>
      <c r="D2622" s="35" t="s">
        <v>46</v>
      </c>
      <c r="E2622" s="36">
        <f>[1]Source!AQ2539</f>
        <v>183.77</v>
      </c>
      <c r="F2622" s="37"/>
      <c r="G2622" s="38" t="s">
        <v>37</v>
      </c>
      <c r="H2622" s="36">
        <f>[1]Source!AV2540</f>
        <v>1.087</v>
      </c>
      <c r="I2622" s="37">
        <f>[1]Source!U2539</f>
        <v>24.534276331799997</v>
      </c>
      <c r="J2622" s="36"/>
      <c r="K2622" s="37"/>
    </row>
    <row r="2623" spans="1:29" ht="13.8" hidden="1" x14ac:dyDescent="0.25">
      <c r="C2623" s="39" t="s">
        <v>47</v>
      </c>
      <c r="H2623" s="40">
        <f>I2615+I2616+I2618+I2620+I2621+SUM(I2619:I2619)-SUMIF(AC2619:AC2619, 5, I2619:I2619)-SUMIF(AC2619:AC2619, 6, I2619:I2619)</f>
        <v>1117.42</v>
      </c>
      <c r="I2623" s="40"/>
      <c r="J2623" s="40">
        <f>K2615+K2616+K2618+K2620+K2621+SUM(K2619:K2619)-SUMIF(AC2619:AC2619, 5, K2619:K2619)-SUMIF(AC2619:AC2619, 6, K2619:K2619)</f>
        <v>54259.819999999992</v>
      </c>
      <c r="K2623" s="40"/>
    </row>
    <row r="2624" spans="1:29" ht="13.8" hidden="1" x14ac:dyDescent="0.25">
      <c r="C2624" s="39" t="s">
        <v>48</v>
      </c>
      <c r="H2624" s="41">
        <f>SUMIF(AC2619:AC2619, 5, I2619:I2619)+SUMIF(AC2619:AC2619, 6, I2619:I2619)</f>
        <v>0</v>
      </c>
      <c r="I2624" s="41"/>
      <c r="J2624" s="41">
        <f>SUMIF(AC2619:AC2619, 5, K2619:K2619)+SUMIF(AC2619:AC2619, 6, K2619:K2619)</f>
        <v>0</v>
      </c>
      <c r="K2624" s="41"/>
    </row>
    <row r="2625" spans="1:29" ht="13.8" hidden="1" x14ac:dyDescent="0.25">
      <c r="C2625" s="39" t="s">
        <v>49</v>
      </c>
      <c r="H2625" s="41">
        <f>I2615+I2616+I2618+I2620+I2621+SUM(I2619:I2619)</f>
        <v>1117.42</v>
      </c>
      <c r="I2625" s="41"/>
      <c r="J2625" s="41">
        <f>K2615+K2616+K2618+K2620+K2621+SUM(K2619:K2619)</f>
        <v>54259.819999999992</v>
      </c>
      <c r="K2625" s="41"/>
      <c r="O2625" s="42">
        <f>I2615+I2616+I2618+I2620+I2621+SUM(I2619:I2619)</f>
        <v>1117.42</v>
      </c>
      <c r="P2625" s="42">
        <f>K2615+K2616+K2618+K2620+K2621+SUM(K2619:K2619)</f>
        <v>54259.819999999992</v>
      </c>
    </row>
    <row r="2626" spans="1:29" hidden="1" x14ac:dyDescent="0.25"/>
    <row r="2627" spans="1:29" ht="55.2" hidden="1" x14ac:dyDescent="0.25">
      <c r="A2627" s="27">
        <v>288</v>
      </c>
      <c r="B2627" s="27" t="str">
        <f>[1]Source!F2543</f>
        <v>3.70-55-8</v>
      </c>
      <c r="C2627" s="27" t="s">
        <v>577</v>
      </c>
      <c r="D2627" s="28" t="str">
        <f>[1]Source!H2543</f>
        <v>100 м2</v>
      </c>
      <c r="E2627" s="29">
        <f>[1]Source!I2543</f>
        <v>5.7500000000000002E-2</v>
      </c>
      <c r="F2627" s="30"/>
      <c r="G2627" s="31"/>
      <c r="H2627" s="29"/>
      <c r="I2627" s="30"/>
      <c r="J2627" s="29"/>
      <c r="K2627" s="30"/>
      <c r="Q2627">
        <f>[1]Source!X2543</f>
        <v>62.35</v>
      </c>
      <c r="R2627">
        <f>[1]Source!X2544</f>
        <v>3513.6</v>
      </c>
      <c r="S2627">
        <f>[1]Source!Y2543</f>
        <v>39.340000000000003</v>
      </c>
      <c r="T2627">
        <f>[1]Source!Y2544</f>
        <v>2216.92</v>
      </c>
      <c r="U2627">
        <f>ROUND((175/100)*ROUND([1]Source!R2543, 2), 2)</f>
        <v>2.61</v>
      </c>
      <c r="V2627">
        <f>ROUND((0/100)*ROUND([1]Source!R2544, 2), 2)</f>
        <v>0</v>
      </c>
      <c r="AC2627">
        <v>0</v>
      </c>
    </row>
    <row r="2628" spans="1:29" hidden="1" x14ac:dyDescent="0.25">
      <c r="C2628" s="32" t="str">
        <f>"Объем: "&amp;[1]Source!I2543&amp;"=(8,9-"&amp;"3,15)/"&amp;"100"</f>
        <v>Объем: 0,0575=(8,9-3,15)/100</v>
      </c>
    </row>
    <row r="2629" spans="1:29" ht="14.4" hidden="1" x14ac:dyDescent="0.25">
      <c r="A2629" s="27"/>
      <c r="B2629" s="27"/>
      <c r="C2629" s="27" t="s">
        <v>36</v>
      </c>
      <c r="D2629" s="28"/>
      <c r="E2629" s="29"/>
      <c r="F2629" s="30">
        <f>[1]Source!AO2543</f>
        <v>843.28</v>
      </c>
      <c r="G2629" s="31" t="s">
        <v>37</v>
      </c>
      <c r="H2629" s="29">
        <f>[1]Source!AV2544</f>
        <v>1.087</v>
      </c>
      <c r="I2629" s="30">
        <f>[1]Source!S2543</f>
        <v>72.739999999999995</v>
      </c>
      <c r="J2629" s="29">
        <f>IF([1]Source!BA2544&lt;&gt; 0, [1]Source!BA2544, 1)</f>
        <v>56.35</v>
      </c>
      <c r="K2629" s="30">
        <f>[1]Source!S2544</f>
        <v>4098.8999999999996</v>
      </c>
    </row>
    <row r="2630" spans="1:29" ht="14.4" hidden="1" x14ac:dyDescent="0.25">
      <c r="A2630" s="27"/>
      <c r="B2630" s="27"/>
      <c r="C2630" s="27" t="s">
        <v>38</v>
      </c>
      <c r="D2630" s="28"/>
      <c r="E2630" s="29"/>
      <c r="F2630" s="30">
        <f>[1]Source!AM2543</f>
        <v>112.46</v>
      </c>
      <c r="G2630" s="31" t="s">
        <v>39</v>
      </c>
      <c r="H2630" s="29">
        <f>[1]Source!AV2544</f>
        <v>1.087</v>
      </c>
      <c r="I2630" s="30">
        <f>[1]Source!Q2543</f>
        <v>10.54</v>
      </c>
      <c r="J2630" s="29">
        <f>IF([1]Source!BB2544&lt;&gt; 0, [1]Source!BB2544, 1)</f>
        <v>16.559999999999999</v>
      </c>
      <c r="K2630" s="30">
        <f>[1]Source!Q2544</f>
        <v>174.54</v>
      </c>
    </row>
    <row r="2631" spans="1:29" ht="14.4" hidden="1" x14ac:dyDescent="0.25">
      <c r="A2631" s="27"/>
      <c r="B2631" s="27"/>
      <c r="C2631" s="27" t="s">
        <v>40</v>
      </c>
      <c r="D2631" s="28"/>
      <c r="E2631" s="29"/>
      <c r="F2631" s="30">
        <f>[1]Source!AN2543</f>
        <v>15.9</v>
      </c>
      <c r="G2631" s="31" t="s">
        <v>39</v>
      </c>
      <c r="H2631" s="29">
        <f>[1]Source!AV2544</f>
        <v>1.087</v>
      </c>
      <c r="I2631" s="33">
        <f>[1]Source!R2543</f>
        <v>1.49</v>
      </c>
      <c r="J2631" s="29">
        <f>IF([1]Source!BS2544&lt;&gt; 0, [1]Source!BS2544, 1)</f>
        <v>56.35</v>
      </c>
      <c r="K2631" s="33">
        <f>[1]Source!R2544</f>
        <v>83.96</v>
      </c>
    </row>
    <row r="2632" spans="1:29" ht="14.4" hidden="1" x14ac:dyDescent="0.25">
      <c r="A2632" s="27"/>
      <c r="B2632" s="27"/>
      <c r="C2632" s="27" t="s">
        <v>41</v>
      </c>
      <c r="D2632" s="28"/>
      <c r="E2632" s="29"/>
      <c r="F2632" s="30">
        <f>[1]Source!AL2543</f>
        <v>11.79</v>
      </c>
      <c r="G2632" s="31"/>
      <c r="H2632" s="29">
        <f>[1]Source!AW2544</f>
        <v>1</v>
      </c>
      <c r="I2632" s="30">
        <f>[1]Source!P2543</f>
        <v>0.68</v>
      </c>
      <c r="J2632" s="29">
        <f>IF([1]Source!BC2544&lt;&gt; 0, [1]Source!BC2544, 1)</f>
        <v>3.95</v>
      </c>
      <c r="K2632" s="30">
        <f>[1]Source!P2544</f>
        <v>2.69</v>
      </c>
    </row>
    <row r="2633" spans="1:29" ht="14.4" hidden="1" x14ac:dyDescent="0.25">
      <c r="A2633" s="27"/>
      <c r="B2633" s="27"/>
      <c r="C2633" s="27" t="s">
        <v>42</v>
      </c>
      <c r="D2633" s="28" t="s">
        <v>43</v>
      </c>
      <c r="E2633" s="29">
        <f>[1]Source!BZ2544</f>
        <v>84</v>
      </c>
      <c r="F2633" s="30"/>
      <c r="G2633" s="31"/>
      <c r="H2633" s="29"/>
      <c r="I2633" s="30">
        <f>SUM(Q2627:Q2632)</f>
        <v>62.35</v>
      </c>
      <c r="J2633" s="29">
        <f>[1]Source!AT2544</f>
        <v>84</v>
      </c>
      <c r="K2633" s="30">
        <f>SUM(R2627:R2632)</f>
        <v>3513.6</v>
      </c>
    </row>
    <row r="2634" spans="1:29" ht="14.4" hidden="1" x14ac:dyDescent="0.25">
      <c r="A2634" s="27"/>
      <c r="B2634" s="27"/>
      <c r="C2634" s="27" t="s">
        <v>44</v>
      </c>
      <c r="D2634" s="28" t="s">
        <v>43</v>
      </c>
      <c r="E2634" s="29">
        <f>[1]Source!CA2544</f>
        <v>53</v>
      </c>
      <c r="F2634" s="30"/>
      <c r="G2634" s="31"/>
      <c r="H2634" s="29"/>
      <c r="I2634" s="30">
        <f>SUM(S2627:S2633)</f>
        <v>39.340000000000003</v>
      </c>
      <c r="J2634" s="29">
        <f>[1]Source!AU2544</f>
        <v>53</v>
      </c>
      <c r="K2634" s="30">
        <f>SUM(T2627:T2633)</f>
        <v>2216.92</v>
      </c>
    </row>
    <row r="2635" spans="1:29" ht="14.4" hidden="1" x14ac:dyDescent="0.25">
      <c r="A2635" s="34"/>
      <c r="B2635" s="34"/>
      <c r="C2635" s="34" t="s">
        <v>45</v>
      </c>
      <c r="D2635" s="35" t="s">
        <v>46</v>
      </c>
      <c r="E2635" s="36">
        <f>[1]Source!AQ2543</f>
        <v>54.86</v>
      </c>
      <c r="F2635" s="37"/>
      <c r="G2635" s="38" t="s">
        <v>37</v>
      </c>
      <c r="H2635" s="36">
        <f>[1]Source!AV2544</f>
        <v>1.087</v>
      </c>
      <c r="I2635" s="37">
        <f>[1]Source!U2543</f>
        <v>4.7318642669999997</v>
      </c>
      <c r="J2635" s="36"/>
      <c r="K2635" s="37"/>
    </row>
    <row r="2636" spans="1:29" ht="13.8" hidden="1" x14ac:dyDescent="0.25">
      <c r="C2636" s="39" t="s">
        <v>47</v>
      </c>
      <c r="H2636" s="40">
        <f>I2629+I2630+I2632+I2633+I2634+0-0-0</f>
        <v>185.65</v>
      </c>
      <c r="I2636" s="40"/>
      <c r="J2636" s="40">
        <f>K2629+K2630+K2632+K2633+K2634+0-0-0</f>
        <v>10006.65</v>
      </c>
      <c r="K2636" s="40"/>
    </row>
    <row r="2637" spans="1:29" ht="13.8" hidden="1" x14ac:dyDescent="0.25">
      <c r="C2637" s="39" t="s">
        <v>48</v>
      </c>
      <c r="H2637" s="41">
        <f>0+0</f>
        <v>0</v>
      </c>
      <c r="I2637" s="41"/>
      <c r="J2637" s="41">
        <f>0+0</f>
        <v>0</v>
      </c>
      <c r="K2637" s="41"/>
    </row>
    <row r="2638" spans="1:29" ht="13.8" hidden="1" x14ac:dyDescent="0.25">
      <c r="C2638" s="39" t="s">
        <v>49</v>
      </c>
      <c r="H2638" s="41">
        <f>I2629+I2630+I2632+I2633+I2634+0</f>
        <v>185.65</v>
      </c>
      <c r="I2638" s="41"/>
      <c r="J2638" s="41">
        <f>K2629+K2630+K2632+K2633+K2634+0</f>
        <v>10006.65</v>
      </c>
      <c r="K2638" s="41"/>
      <c r="O2638" s="42">
        <f>I2629+I2630+I2632+I2633+I2634+0</f>
        <v>185.65</v>
      </c>
      <c r="P2638" s="42">
        <f>K2629+K2630+K2632+K2633+K2634+0</f>
        <v>10006.65</v>
      </c>
    </row>
    <row r="2639" spans="1:29" hidden="1" x14ac:dyDescent="0.25"/>
    <row r="2640" spans="1:29" ht="55.2" hidden="1" x14ac:dyDescent="0.25">
      <c r="A2640" s="27">
        <v>289</v>
      </c>
      <c r="B2640" s="27" t="str">
        <f>[1]Source!F2545</f>
        <v>3.70-55-10</v>
      </c>
      <c r="C2640" s="27" t="s">
        <v>570</v>
      </c>
      <c r="D2640" s="28" t="str">
        <f>[1]Source!H2545</f>
        <v>100 м2</v>
      </c>
      <c r="E2640" s="29">
        <f>[1]Source!I2545</f>
        <v>3.15E-2</v>
      </c>
      <c r="F2640" s="30"/>
      <c r="G2640" s="31"/>
      <c r="H2640" s="29"/>
      <c r="I2640" s="30"/>
      <c r="J2640" s="29"/>
      <c r="K2640" s="30"/>
      <c r="Q2640">
        <f>[1]Source!X2545</f>
        <v>105.21</v>
      </c>
      <c r="R2640">
        <f>[1]Source!X2546</f>
        <v>5928.58</v>
      </c>
      <c r="S2640">
        <f>[1]Source!Y2545</f>
        <v>66.38</v>
      </c>
      <c r="T2640">
        <f>[1]Source!Y2546</f>
        <v>3740.65</v>
      </c>
      <c r="U2640">
        <f>ROUND((175/100)*ROUND([1]Source!R2545, 2), 2)</f>
        <v>1.72</v>
      </c>
      <c r="V2640">
        <f>ROUND((0/100)*ROUND([1]Source!R2546, 2), 2)</f>
        <v>0</v>
      </c>
      <c r="AC2640">
        <v>0</v>
      </c>
    </row>
    <row r="2641" spans="1:29" hidden="1" x14ac:dyDescent="0.25">
      <c r="C2641" s="32" t="str">
        <f>"Объем: "&amp;[1]Source!I2545&amp;"=((1,5*"&amp;"2,1)*"&amp;"1)/"&amp;"100"</f>
        <v>Объем: 0,0315=((1,5*2,1)*1)/100</v>
      </c>
    </row>
    <row r="2642" spans="1:29" ht="27.6" hidden="1" x14ac:dyDescent="0.25">
      <c r="A2642" s="27"/>
      <c r="B2642" s="27"/>
      <c r="C2642" s="27" t="s">
        <v>36</v>
      </c>
      <c r="D2642" s="28"/>
      <c r="E2642" s="29"/>
      <c r="F2642" s="30">
        <f>[1]Source!AO2545</f>
        <v>1988.67</v>
      </c>
      <c r="G2642" s="31" t="s">
        <v>583</v>
      </c>
      <c r="H2642" s="29">
        <f>[1]Source!AV2546</f>
        <v>1.087</v>
      </c>
      <c r="I2642" s="30">
        <f>[1]Source!S2545</f>
        <v>124.27</v>
      </c>
      <c r="J2642" s="29">
        <f>IF([1]Source!BA2546&lt;&gt; 0, [1]Source!BA2546, 1)</f>
        <v>56.35</v>
      </c>
      <c r="K2642" s="30">
        <f>[1]Source!S2546</f>
        <v>7002.61</v>
      </c>
    </row>
    <row r="2643" spans="1:29" ht="27.6" hidden="1" x14ac:dyDescent="0.25">
      <c r="A2643" s="27"/>
      <c r="B2643" s="27"/>
      <c r="C2643" s="27" t="s">
        <v>38</v>
      </c>
      <c r="D2643" s="28"/>
      <c r="E2643" s="29"/>
      <c r="F2643" s="30">
        <f>[1]Source!AM2545</f>
        <v>97.6</v>
      </c>
      <c r="G2643" s="31" t="s">
        <v>584</v>
      </c>
      <c r="H2643" s="29">
        <f>[1]Source!AV2546</f>
        <v>1.087</v>
      </c>
      <c r="I2643" s="30">
        <f>[1]Source!Q2545</f>
        <v>7.21</v>
      </c>
      <c r="J2643" s="29">
        <f>IF([1]Source!BB2546&lt;&gt; 0, [1]Source!BB2546, 1)</f>
        <v>16.28</v>
      </c>
      <c r="K2643" s="30">
        <f>[1]Source!Q2546</f>
        <v>117.38</v>
      </c>
    </row>
    <row r="2644" spans="1:29" ht="27.6" hidden="1" x14ac:dyDescent="0.25">
      <c r="A2644" s="27"/>
      <c r="B2644" s="27"/>
      <c r="C2644" s="27" t="s">
        <v>40</v>
      </c>
      <c r="D2644" s="28"/>
      <c r="E2644" s="29"/>
      <c r="F2644" s="30">
        <f>[1]Source!AN2545</f>
        <v>13.25</v>
      </c>
      <c r="G2644" s="31" t="s">
        <v>584</v>
      </c>
      <c r="H2644" s="29">
        <f>[1]Source!AV2546</f>
        <v>1.087</v>
      </c>
      <c r="I2644" s="33">
        <f>[1]Source!R2545</f>
        <v>0.98</v>
      </c>
      <c r="J2644" s="29">
        <f>IF([1]Source!BS2546&lt;&gt; 0, [1]Source!BS2546, 1)</f>
        <v>56.35</v>
      </c>
      <c r="K2644" s="33">
        <f>[1]Source!R2546</f>
        <v>55.22</v>
      </c>
    </row>
    <row r="2645" spans="1:29" ht="14.4" hidden="1" x14ac:dyDescent="0.25">
      <c r="A2645" s="27"/>
      <c r="B2645" s="27"/>
      <c r="C2645" s="27" t="s">
        <v>41</v>
      </c>
      <c r="D2645" s="28"/>
      <c r="E2645" s="29"/>
      <c r="F2645" s="30">
        <f>[1]Source!AL2545</f>
        <v>55.75</v>
      </c>
      <c r="G2645" s="31"/>
      <c r="H2645" s="29">
        <f>[1]Source!AW2546</f>
        <v>1</v>
      </c>
      <c r="I2645" s="30">
        <f>[1]Source!P2545</f>
        <v>1.76</v>
      </c>
      <c r="J2645" s="29">
        <f>IF([1]Source!BC2546&lt;&gt; 0, [1]Source!BC2546, 1)</f>
        <v>6.65</v>
      </c>
      <c r="K2645" s="30">
        <f>[1]Source!P2546</f>
        <v>11.7</v>
      </c>
    </row>
    <row r="2646" spans="1:29" ht="14.4" hidden="1" x14ac:dyDescent="0.25">
      <c r="A2646" s="27"/>
      <c r="B2646" s="27"/>
      <c r="C2646" s="27" t="s">
        <v>42</v>
      </c>
      <c r="D2646" s="28" t="s">
        <v>43</v>
      </c>
      <c r="E2646" s="29">
        <f>[1]Source!BZ2546</f>
        <v>84</v>
      </c>
      <c r="F2646" s="30"/>
      <c r="G2646" s="31"/>
      <c r="H2646" s="29"/>
      <c r="I2646" s="30">
        <f>SUM(Q2640:Q2645)</f>
        <v>105.21</v>
      </c>
      <c r="J2646" s="29">
        <f>[1]Source!AT2546</f>
        <v>84</v>
      </c>
      <c r="K2646" s="30">
        <f>SUM(R2640:R2645)</f>
        <v>5928.58</v>
      </c>
    </row>
    <row r="2647" spans="1:29" ht="14.4" hidden="1" x14ac:dyDescent="0.25">
      <c r="A2647" s="27"/>
      <c r="B2647" s="27"/>
      <c r="C2647" s="27" t="s">
        <v>44</v>
      </c>
      <c r="D2647" s="28" t="s">
        <v>43</v>
      </c>
      <c r="E2647" s="29">
        <f>[1]Source!CA2546</f>
        <v>53</v>
      </c>
      <c r="F2647" s="30"/>
      <c r="G2647" s="31"/>
      <c r="H2647" s="29"/>
      <c r="I2647" s="30">
        <f>SUM(S2640:S2646)</f>
        <v>66.38</v>
      </c>
      <c r="J2647" s="29">
        <f>[1]Source!AU2546</f>
        <v>53</v>
      </c>
      <c r="K2647" s="30">
        <f>SUM(T2640:T2646)</f>
        <v>3740.65</v>
      </c>
    </row>
    <row r="2648" spans="1:29" ht="27.6" hidden="1" x14ac:dyDescent="0.25">
      <c r="A2648" s="34"/>
      <c r="B2648" s="34"/>
      <c r="C2648" s="34" t="s">
        <v>45</v>
      </c>
      <c r="D2648" s="35" t="s">
        <v>46</v>
      </c>
      <c r="E2648" s="36">
        <f>[1]Source!AQ2545</f>
        <v>113.3</v>
      </c>
      <c r="F2648" s="37"/>
      <c r="G2648" s="38" t="s">
        <v>583</v>
      </c>
      <c r="H2648" s="36">
        <f>[1]Source!AV2546</f>
        <v>1.087</v>
      </c>
      <c r="I2648" s="37">
        <f>[1]Source!U2545</f>
        <v>7.0801877586824977</v>
      </c>
      <c r="J2648" s="36"/>
      <c r="K2648" s="37"/>
    </row>
    <row r="2649" spans="1:29" ht="13.8" hidden="1" x14ac:dyDescent="0.25">
      <c r="C2649" s="39" t="s">
        <v>47</v>
      </c>
      <c r="H2649" s="40">
        <f>I2642+I2643+I2645+I2646+I2647+0-0-0</f>
        <v>304.83</v>
      </c>
      <c r="I2649" s="40"/>
      <c r="J2649" s="40">
        <f>K2642+K2643+K2645+K2646+K2647+0-0-0</f>
        <v>16800.920000000002</v>
      </c>
      <c r="K2649" s="40"/>
    </row>
    <row r="2650" spans="1:29" ht="13.8" hidden="1" x14ac:dyDescent="0.25">
      <c r="C2650" s="39" t="s">
        <v>48</v>
      </c>
      <c r="H2650" s="41">
        <f>0+0</f>
        <v>0</v>
      </c>
      <c r="I2650" s="41"/>
      <c r="J2650" s="41">
        <f>0+0</f>
        <v>0</v>
      </c>
      <c r="K2650" s="41"/>
    </row>
    <row r="2651" spans="1:29" ht="13.8" hidden="1" x14ac:dyDescent="0.25">
      <c r="C2651" s="39" t="s">
        <v>49</v>
      </c>
      <c r="H2651" s="41">
        <f>I2642+I2643+I2645+I2646+I2647+0</f>
        <v>304.83</v>
      </c>
      <c r="I2651" s="41"/>
      <c r="J2651" s="41">
        <f>K2642+K2643+K2645+K2646+K2647+0</f>
        <v>16800.920000000002</v>
      </c>
      <c r="K2651" s="41"/>
      <c r="O2651" s="42">
        <f>I2642+I2643+I2645+I2646+I2647+0</f>
        <v>304.83</v>
      </c>
      <c r="P2651" s="42">
        <f>K2642+K2643+K2645+K2646+K2647+0</f>
        <v>16800.920000000002</v>
      </c>
    </row>
    <row r="2652" spans="1:29" hidden="1" x14ac:dyDescent="0.25"/>
    <row r="2653" spans="1:29" ht="164.4" customHeight="1" x14ac:dyDescent="0.25">
      <c r="A2653" s="53">
        <v>290</v>
      </c>
      <c r="B2653" s="53" t="str">
        <f>[1]Source!F2547</f>
        <v>КА-179</v>
      </c>
      <c r="C2653" s="53" t="s">
        <v>572</v>
      </c>
      <c r="D2653" s="54"/>
      <c r="E2653" s="55"/>
      <c r="F2653" s="30"/>
      <c r="G2653" s="31"/>
      <c r="H2653" s="29"/>
      <c r="I2653" s="30"/>
      <c r="J2653" s="29"/>
      <c r="K2653" s="56"/>
      <c r="M2653" s="50"/>
      <c r="N2653" s="59" t="s">
        <v>180</v>
      </c>
    </row>
    <row r="2654" spans="1:29" ht="136.19999999999999" customHeight="1" x14ac:dyDescent="0.25">
      <c r="A2654" s="46"/>
      <c r="B2654" s="46"/>
      <c r="C2654" s="46" t="s">
        <v>578</v>
      </c>
      <c r="D2654" s="47" t="str">
        <f>[1]Source!H2547</f>
        <v>м2</v>
      </c>
      <c r="E2654" s="48">
        <f>[1]Source!I2547</f>
        <v>8.9</v>
      </c>
      <c r="F2654" s="49">
        <f>[1]Source!AL2547</f>
        <v>3874.45</v>
      </c>
      <c r="G2654" s="60"/>
      <c r="H2654" s="48">
        <f>[1]Source!AW2548</f>
        <v>1</v>
      </c>
      <c r="I2654" s="49">
        <f>[1]Source!P2547</f>
        <v>34482.61</v>
      </c>
      <c r="J2654" s="48">
        <f>IF([1]Source!BC2548&lt;&gt; 0, [1]Source!BC2548, 1)</f>
        <v>9.84</v>
      </c>
      <c r="K2654" s="49">
        <f>[1]Source!P2548</f>
        <v>191977.12</v>
      </c>
      <c r="L2654">
        <v>25800</v>
      </c>
      <c r="M2654" s="50">
        <f t="shared" ref="M2654" si="35">L2654*E2654</f>
        <v>229620</v>
      </c>
      <c r="N2654" s="59" t="s">
        <v>180</v>
      </c>
      <c r="Q2654">
        <f>[1]Source!X2547</f>
        <v>0</v>
      </c>
      <c r="R2654">
        <f>[1]Source!X2548</f>
        <v>0</v>
      </c>
      <c r="S2654">
        <f>[1]Source!Y2547</f>
        <v>0</v>
      </c>
      <c r="T2654">
        <f>[1]Source!Y2548</f>
        <v>0</v>
      </c>
      <c r="U2654">
        <f>ROUND((175/100)*ROUND([1]Source!R2547, 2), 2)</f>
        <v>0</v>
      </c>
      <c r="V2654">
        <f>ROUND((0/100)*ROUND([1]Source!R2548, 2), 2)</f>
        <v>0</v>
      </c>
      <c r="AC2654">
        <v>3</v>
      </c>
    </row>
    <row r="2655" spans="1:29" ht="13.8" hidden="1" x14ac:dyDescent="0.25">
      <c r="C2655" s="39" t="s">
        <v>49</v>
      </c>
      <c r="H2655" s="40">
        <f>I2654+0</f>
        <v>34482.61</v>
      </c>
      <c r="I2655" s="40"/>
      <c r="J2655" s="40">
        <f>K2654+0</f>
        <v>191977.12</v>
      </c>
      <c r="K2655" s="40"/>
      <c r="O2655" s="42">
        <f>I2654+0</f>
        <v>34482.61</v>
      </c>
      <c r="P2655" s="42">
        <f>K2654+0</f>
        <v>191977.12</v>
      </c>
    </row>
    <row r="2656" spans="1:29" hidden="1" x14ac:dyDescent="0.25"/>
    <row r="2657" spans="1:29" hidden="1" x14ac:dyDescent="0.25"/>
    <row r="2658" spans="1:29" ht="13.8" hidden="1" x14ac:dyDescent="0.25">
      <c r="A2658" s="44" t="str">
        <f>CONCATENATE("Итого по подразделу: ",IF([1]Source!G2550&lt;&gt;"Новый подраздел", [1]Source!G2550, ""))</f>
        <v>Итого по подразделу: ДВ-21-П</v>
      </c>
      <c r="B2658" s="44"/>
      <c r="C2658" s="44"/>
      <c r="D2658" s="44"/>
      <c r="E2658" s="44"/>
      <c r="F2658" s="44"/>
      <c r="G2658" s="44"/>
      <c r="H2658" s="41">
        <f>SUM(O2612:O2657)</f>
        <v>36090.51</v>
      </c>
      <c r="I2658" s="45"/>
      <c r="J2658" s="41">
        <f>SUM(P2612:P2657)</f>
        <v>273044.51</v>
      </c>
      <c r="K2658" s="45"/>
    </row>
    <row r="2659" spans="1:29" hidden="1" x14ac:dyDescent="0.25">
      <c r="A2659" t="s">
        <v>55</v>
      </c>
      <c r="I2659">
        <f>SUM(W2612:W2658)</f>
        <v>0</v>
      </c>
      <c r="J2659">
        <f>SUM(X2612:X2658)</f>
        <v>0</v>
      </c>
    </row>
    <row r="2660" spans="1:29" hidden="1" x14ac:dyDescent="0.25">
      <c r="A2660" t="s">
        <v>56</v>
      </c>
      <c r="I2660">
        <f>SUM(Y2612:Y2659)</f>
        <v>0</v>
      </c>
      <c r="J2660">
        <f>SUM(Z2612:Z2659)</f>
        <v>0</v>
      </c>
    </row>
    <row r="2661" spans="1:29" hidden="1" x14ac:dyDescent="0.25"/>
    <row r="2662" spans="1:29" ht="16.8" hidden="1" x14ac:dyDescent="0.25">
      <c r="A2662" s="11" t="str">
        <f>CONCATENATE("Подраздел: ",IF([1]Source!G2580&lt;&gt;"Новый подраздел", [1]Source!G2580, ""))</f>
        <v>Подраздел: ДВ-22-П Витраж учебного кабинета</v>
      </c>
      <c r="B2662" s="11"/>
      <c r="C2662" s="11"/>
      <c r="D2662" s="11"/>
      <c r="E2662" s="11"/>
      <c r="F2662" s="11"/>
      <c r="G2662" s="11"/>
      <c r="H2662" s="11"/>
      <c r="I2662" s="11"/>
      <c r="J2662" s="11"/>
      <c r="K2662" s="11"/>
    </row>
    <row r="2663" spans="1:29" ht="41.4" hidden="1" x14ac:dyDescent="0.25">
      <c r="A2663" s="27">
        <v>291</v>
      </c>
      <c r="B2663" s="27" t="str">
        <f>[1]Source!F2584</f>
        <v>3.70-55-2</v>
      </c>
      <c r="C2663" s="27" t="s">
        <v>365</v>
      </c>
      <c r="D2663" s="28" t="str">
        <f>[1]Source!H2584</f>
        <v>100 м2</v>
      </c>
      <c r="E2663" s="29">
        <f>[1]Source!I2584</f>
        <v>0.309</v>
      </c>
      <c r="F2663" s="30"/>
      <c r="G2663" s="31"/>
      <c r="H2663" s="29"/>
      <c r="I2663" s="30"/>
      <c r="J2663" s="29"/>
      <c r="K2663" s="30"/>
      <c r="Q2663">
        <f>[1]Source!X2584</f>
        <v>1163.73</v>
      </c>
      <c r="R2663">
        <f>[1]Source!X2585</f>
        <v>65576.039999999994</v>
      </c>
      <c r="S2663">
        <f>[1]Source!Y2584</f>
        <v>734.26</v>
      </c>
      <c r="T2663">
        <f>[1]Source!Y2585</f>
        <v>41375.360000000001</v>
      </c>
      <c r="U2663">
        <f>ROUND((175/100)*ROUND([1]Source!R2584, 2), 2)</f>
        <v>24.92</v>
      </c>
      <c r="V2663">
        <f>ROUND((0/100)*ROUND([1]Source!R2585, 2), 2)</f>
        <v>0</v>
      </c>
      <c r="AC2663">
        <v>0</v>
      </c>
    </row>
    <row r="2664" spans="1:29" hidden="1" x14ac:dyDescent="0.25">
      <c r="C2664" s="32" t="str">
        <f>"Объем: "&amp;[1]Source!I2584&amp;"=30,9/"&amp;"100"</f>
        <v>Объем: 0,309=30,9/100</v>
      </c>
    </row>
    <row r="2665" spans="1:29" ht="14.4" hidden="1" x14ac:dyDescent="0.25">
      <c r="A2665" s="27"/>
      <c r="B2665" s="27"/>
      <c r="C2665" s="27" t="s">
        <v>36</v>
      </c>
      <c r="D2665" s="28"/>
      <c r="E2665" s="29"/>
      <c r="F2665" s="30">
        <f>[1]Source!AO2584</f>
        <v>2958.13</v>
      </c>
      <c r="G2665" s="31" t="s">
        <v>37</v>
      </c>
      <c r="H2665" s="29">
        <f>[1]Source!AV2585</f>
        <v>1.087</v>
      </c>
      <c r="I2665" s="30">
        <f>[1]Source!S2584</f>
        <v>1371.15</v>
      </c>
      <c r="J2665" s="29">
        <f>IF([1]Source!BA2585&lt;&gt; 0, [1]Source!BA2585, 1)</f>
        <v>56.35</v>
      </c>
      <c r="K2665" s="30">
        <f>[1]Source!S2585</f>
        <v>77264.3</v>
      </c>
    </row>
    <row r="2666" spans="1:29" ht="14.4" hidden="1" x14ac:dyDescent="0.25">
      <c r="A2666" s="27"/>
      <c r="B2666" s="27"/>
      <c r="C2666" s="27" t="s">
        <v>38</v>
      </c>
      <c r="D2666" s="28"/>
      <c r="E2666" s="29"/>
      <c r="F2666" s="30">
        <f>[1]Source!AM2584</f>
        <v>243.71</v>
      </c>
      <c r="G2666" s="31" t="s">
        <v>39</v>
      </c>
      <c r="H2666" s="29">
        <f>[1]Source!AV2585</f>
        <v>1.087</v>
      </c>
      <c r="I2666" s="30">
        <f>[1]Source!Q2584</f>
        <v>122.79</v>
      </c>
      <c r="J2666" s="29">
        <f>IF([1]Source!BB2585&lt;&gt; 0, [1]Source!BB2585, 1)</f>
        <v>15.43</v>
      </c>
      <c r="K2666" s="30">
        <f>[1]Source!Q2585</f>
        <v>1894.65</v>
      </c>
    </row>
    <row r="2667" spans="1:29" ht="14.4" hidden="1" x14ac:dyDescent="0.25">
      <c r="A2667" s="27"/>
      <c r="B2667" s="27"/>
      <c r="C2667" s="27" t="s">
        <v>40</v>
      </c>
      <c r="D2667" s="28"/>
      <c r="E2667" s="29"/>
      <c r="F2667" s="30">
        <f>[1]Source!AN2584</f>
        <v>28.27</v>
      </c>
      <c r="G2667" s="31" t="s">
        <v>39</v>
      </c>
      <c r="H2667" s="29">
        <f>[1]Source!AV2585</f>
        <v>1.087</v>
      </c>
      <c r="I2667" s="33">
        <f>[1]Source!R2584</f>
        <v>14.24</v>
      </c>
      <c r="J2667" s="29">
        <f>IF([1]Source!BS2585&lt;&gt; 0, [1]Source!BS2585, 1)</f>
        <v>56.35</v>
      </c>
      <c r="K2667" s="33">
        <f>[1]Source!R2585</f>
        <v>802.42</v>
      </c>
    </row>
    <row r="2668" spans="1:29" ht="14.4" hidden="1" x14ac:dyDescent="0.25">
      <c r="A2668" s="27"/>
      <c r="B2668" s="27"/>
      <c r="C2668" s="27" t="s">
        <v>41</v>
      </c>
      <c r="D2668" s="28"/>
      <c r="E2668" s="29"/>
      <c r="F2668" s="30">
        <f>[1]Source!AL2584</f>
        <v>1577.27</v>
      </c>
      <c r="G2668" s="31"/>
      <c r="H2668" s="29">
        <f>[1]Source!AW2585</f>
        <v>1</v>
      </c>
      <c r="I2668" s="30">
        <f>[1]Source!P2584</f>
        <v>487.38</v>
      </c>
      <c r="J2668" s="29">
        <f>IF([1]Source!BC2585&lt;&gt; 0, [1]Source!BC2585, 1)</f>
        <v>4.66</v>
      </c>
      <c r="K2668" s="30">
        <f>[1]Source!P2585</f>
        <v>2271.19</v>
      </c>
    </row>
    <row r="2669" spans="1:29" ht="55.2" hidden="1" x14ac:dyDescent="0.25">
      <c r="A2669" s="27" t="s">
        <v>585</v>
      </c>
      <c r="B2669" s="27" t="str">
        <f>[1]Source!F2586</f>
        <v>1.7-1-105</v>
      </c>
      <c r="C2669" s="27" t="s">
        <v>576</v>
      </c>
      <c r="D2669" s="28" t="str">
        <f>[1]Source!H2586</f>
        <v>м</v>
      </c>
      <c r="E2669" s="29">
        <f>[1]Source!I2586</f>
        <v>1.2484000000000002E-2</v>
      </c>
      <c r="F2669" s="30">
        <f>[1]Source!AK2586</f>
        <v>15.96</v>
      </c>
      <c r="G2669" s="43" t="s">
        <v>54</v>
      </c>
      <c r="H2669" s="29">
        <f>[1]Source!AW2587</f>
        <v>1</v>
      </c>
      <c r="I2669" s="30">
        <f>[1]Source!O2586</f>
        <v>0.2</v>
      </c>
      <c r="J2669" s="29">
        <f>IF([1]Source!BC2587&lt;&gt; 0, [1]Source!BC2587, 1)</f>
        <v>10.82</v>
      </c>
      <c r="K2669" s="30">
        <f>[1]Source!O2587</f>
        <v>2.16</v>
      </c>
      <c r="Q2669">
        <f>[1]Source!X2586</f>
        <v>0</v>
      </c>
      <c r="R2669">
        <f>[1]Source!X2587</f>
        <v>0</v>
      </c>
      <c r="S2669">
        <f>[1]Source!Y2586</f>
        <v>0</v>
      </c>
      <c r="T2669">
        <f>[1]Source!Y2587</f>
        <v>0</v>
      </c>
      <c r="U2669">
        <f>ROUND((175/100)*ROUND([1]Source!R2586, 2), 2)</f>
        <v>0</v>
      </c>
      <c r="V2669">
        <f>ROUND((0/100)*ROUND([1]Source!R2587, 2), 2)</f>
        <v>0</v>
      </c>
      <c r="AC2669">
        <v>3</v>
      </c>
    </row>
    <row r="2670" spans="1:29" ht="14.4" hidden="1" x14ac:dyDescent="0.25">
      <c r="A2670" s="27"/>
      <c r="B2670" s="27"/>
      <c r="C2670" s="27" t="s">
        <v>42</v>
      </c>
      <c r="D2670" s="28" t="s">
        <v>43</v>
      </c>
      <c r="E2670" s="29">
        <f>[1]Source!BZ2585</f>
        <v>84</v>
      </c>
      <c r="F2670" s="30"/>
      <c r="G2670" s="31"/>
      <c r="H2670" s="29"/>
      <c r="I2670" s="30">
        <f>SUM(Q2663:Q2669)</f>
        <v>1163.73</v>
      </c>
      <c r="J2670" s="29">
        <f>[1]Source!AT2585</f>
        <v>84</v>
      </c>
      <c r="K2670" s="30">
        <f>SUM(R2663:R2669)</f>
        <v>65576.039999999994</v>
      </c>
    </row>
    <row r="2671" spans="1:29" ht="14.4" hidden="1" x14ac:dyDescent="0.25">
      <c r="A2671" s="27"/>
      <c r="B2671" s="27"/>
      <c r="C2671" s="27" t="s">
        <v>44</v>
      </c>
      <c r="D2671" s="28" t="s">
        <v>43</v>
      </c>
      <c r="E2671" s="29">
        <f>[1]Source!CA2585</f>
        <v>53</v>
      </c>
      <c r="F2671" s="30"/>
      <c r="G2671" s="31"/>
      <c r="H2671" s="29"/>
      <c r="I2671" s="30">
        <f>SUM(S2663:S2670)</f>
        <v>734.26</v>
      </c>
      <c r="J2671" s="29">
        <f>[1]Source!AU2585</f>
        <v>53</v>
      </c>
      <c r="K2671" s="30">
        <f>SUM(T2663:T2670)</f>
        <v>41375.360000000001</v>
      </c>
    </row>
    <row r="2672" spans="1:29" ht="14.4" hidden="1" x14ac:dyDescent="0.25">
      <c r="A2672" s="34"/>
      <c r="B2672" s="34"/>
      <c r="C2672" s="34" t="s">
        <v>45</v>
      </c>
      <c r="D2672" s="35" t="s">
        <v>46</v>
      </c>
      <c r="E2672" s="36">
        <f>[1]Source!AQ2584</f>
        <v>183.77</v>
      </c>
      <c r="F2672" s="37"/>
      <c r="G2672" s="38" t="s">
        <v>37</v>
      </c>
      <c r="H2672" s="36">
        <f>[1]Source!AV2585</f>
        <v>1.087</v>
      </c>
      <c r="I2672" s="37">
        <f>[1]Source!U2584</f>
        <v>85.18080209579999</v>
      </c>
      <c r="J2672" s="36"/>
      <c r="K2672" s="37"/>
    </row>
    <row r="2673" spans="1:29" ht="13.8" hidden="1" x14ac:dyDescent="0.25">
      <c r="C2673" s="39" t="s">
        <v>47</v>
      </c>
      <c r="H2673" s="40">
        <f>I2665+I2666+I2668+I2670+I2671+SUM(I2669:I2669)-SUMIF(AC2669:AC2669, 5, I2669:I2669)-SUMIF(AC2669:AC2669, 6, I2669:I2669)</f>
        <v>3879.51</v>
      </c>
      <c r="I2673" s="40"/>
      <c r="J2673" s="40">
        <f>K2665+K2666+K2668+K2670+K2671+SUM(K2669:K2669)-SUMIF(AC2669:AC2669, 5, K2669:K2669)-SUMIF(AC2669:AC2669, 6, K2669:K2669)</f>
        <v>188383.69999999998</v>
      </c>
      <c r="K2673" s="40"/>
    </row>
    <row r="2674" spans="1:29" ht="13.8" hidden="1" x14ac:dyDescent="0.25">
      <c r="C2674" s="39" t="s">
        <v>48</v>
      </c>
      <c r="H2674" s="41">
        <f>SUMIF(AC2669:AC2669, 5, I2669:I2669)+SUMIF(AC2669:AC2669, 6, I2669:I2669)</f>
        <v>0</v>
      </c>
      <c r="I2674" s="41"/>
      <c r="J2674" s="41">
        <f>SUMIF(AC2669:AC2669, 5, K2669:K2669)+SUMIF(AC2669:AC2669, 6, K2669:K2669)</f>
        <v>0</v>
      </c>
      <c r="K2674" s="41"/>
    </row>
    <row r="2675" spans="1:29" ht="13.8" hidden="1" x14ac:dyDescent="0.25">
      <c r="C2675" s="39" t="s">
        <v>49</v>
      </c>
      <c r="H2675" s="41">
        <f>I2665+I2666+I2668+I2670+I2671+SUM(I2669:I2669)</f>
        <v>3879.51</v>
      </c>
      <c r="I2675" s="41"/>
      <c r="J2675" s="41">
        <f>K2665+K2666+K2668+K2670+K2671+SUM(K2669:K2669)</f>
        <v>188383.69999999998</v>
      </c>
      <c r="K2675" s="41"/>
      <c r="O2675" s="42">
        <f>I2665+I2666+I2668+I2670+I2671+SUM(I2669:I2669)</f>
        <v>3879.51</v>
      </c>
      <c r="P2675" s="42">
        <f>K2665+K2666+K2668+K2670+K2671+SUM(K2669:K2669)</f>
        <v>188383.69999999998</v>
      </c>
    </row>
    <row r="2676" spans="1:29" hidden="1" x14ac:dyDescent="0.25"/>
    <row r="2677" spans="1:29" ht="55.2" hidden="1" x14ac:dyDescent="0.25">
      <c r="A2677" s="27">
        <v>292</v>
      </c>
      <c r="B2677" s="27" t="str">
        <f>[1]Source!F2588</f>
        <v>3.70-55-8</v>
      </c>
      <c r="C2677" s="27" t="s">
        <v>577</v>
      </c>
      <c r="D2677" s="28" t="str">
        <f>[1]Source!H2588</f>
        <v>100 м2</v>
      </c>
      <c r="E2677" s="29">
        <f>[1]Source!I2588</f>
        <v>0.27750000000000002</v>
      </c>
      <c r="F2677" s="30"/>
      <c r="G2677" s="31"/>
      <c r="H2677" s="29"/>
      <c r="I2677" s="30"/>
      <c r="J2677" s="29"/>
      <c r="K2677" s="30"/>
      <c r="Q2677">
        <f>[1]Source!X2588</f>
        <v>300.89999999999998</v>
      </c>
      <c r="R2677">
        <f>[1]Source!X2589</f>
        <v>16955.990000000002</v>
      </c>
      <c r="S2677">
        <f>[1]Source!Y2588</f>
        <v>189.86</v>
      </c>
      <c r="T2677">
        <f>[1]Source!Y2589</f>
        <v>10698.42</v>
      </c>
      <c r="U2677">
        <f>ROUND((175/100)*ROUND([1]Source!R2588, 2), 2)</f>
        <v>12.58</v>
      </c>
      <c r="V2677">
        <f>ROUND((0/100)*ROUND([1]Source!R2589, 2), 2)</f>
        <v>0</v>
      </c>
      <c r="AC2677">
        <v>0</v>
      </c>
    </row>
    <row r="2678" spans="1:29" hidden="1" x14ac:dyDescent="0.25">
      <c r="C2678" s="32" t="str">
        <f>"Объем: "&amp;[1]Source!I2588&amp;"=(30,9-"&amp;"3,15)/"&amp;"100"</f>
        <v>Объем: 0,2775=(30,9-3,15)/100</v>
      </c>
    </row>
    <row r="2679" spans="1:29" ht="14.4" hidden="1" x14ac:dyDescent="0.25">
      <c r="A2679" s="27"/>
      <c r="B2679" s="27"/>
      <c r="C2679" s="27" t="s">
        <v>36</v>
      </c>
      <c r="D2679" s="28"/>
      <c r="E2679" s="29"/>
      <c r="F2679" s="30">
        <f>[1]Source!AO2588</f>
        <v>843.28</v>
      </c>
      <c r="G2679" s="31" t="s">
        <v>37</v>
      </c>
      <c r="H2679" s="29">
        <f>[1]Source!AV2589</f>
        <v>1.087</v>
      </c>
      <c r="I2679" s="30">
        <f>[1]Source!S2588</f>
        <v>351.03</v>
      </c>
      <c r="J2679" s="29">
        <f>IF([1]Source!BA2589&lt;&gt; 0, [1]Source!BA2589, 1)</f>
        <v>56.35</v>
      </c>
      <c r="K2679" s="30">
        <f>[1]Source!S2589</f>
        <v>19780.54</v>
      </c>
    </row>
    <row r="2680" spans="1:29" ht="14.4" hidden="1" x14ac:dyDescent="0.25">
      <c r="A2680" s="27"/>
      <c r="B2680" s="27"/>
      <c r="C2680" s="27" t="s">
        <v>38</v>
      </c>
      <c r="D2680" s="28"/>
      <c r="E2680" s="29"/>
      <c r="F2680" s="30">
        <f>[1]Source!AM2588</f>
        <v>112.46</v>
      </c>
      <c r="G2680" s="31" t="s">
        <v>39</v>
      </c>
      <c r="H2680" s="29">
        <f>[1]Source!AV2589</f>
        <v>1.087</v>
      </c>
      <c r="I2680" s="30">
        <f>[1]Source!Q2588</f>
        <v>50.88</v>
      </c>
      <c r="J2680" s="29">
        <f>IF([1]Source!BB2589&lt;&gt; 0, [1]Source!BB2589, 1)</f>
        <v>16.559999999999999</v>
      </c>
      <c r="K2680" s="30">
        <f>[1]Source!Q2589</f>
        <v>842.57</v>
      </c>
    </row>
    <row r="2681" spans="1:29" ht="14.4" hidden="1" x14ac:dyDescent="0.25">
      <c r="A2681" s="27"/>
      <c r="B2681" s="27"/>
      <c r="C2681" s="27" t="s">
        <v>40</v>
      </c>
      <c r="D2681" s="28"/>
      <c r="E2681" s="29"/>
      <c r="F2681" s="30">
        <f>[1]Source!AN2588</f>
        <v>15.9</v>
      </c>
      <c r="G2681" s="31" t="s">
        <v>39</v>
      </c>
      <c r="H2681" s="29">
        <f>[1]Source!AV2589</f>
        <v>1.087</v>
      </c>
      <c r="I2681" s="33">
        <f>[1]Source!R2588</f>
        <v>7.19</v>
      </c>
      <c r="J2681" s="29">
        <f>IF([1]Source!BS2589&lt;&gt; 0, [1]Source!BS2589, 1)</f>
        <v>56.35</v>
      </c>
      <c r="K2681" s="33">
        <f>[1]Source!R2589</f>
        <v>405.16</v>
      </c>
    </row>
    <row r="2682" spans="1:29" ht="14.4" hidden="1" x14ac:dyDescent="0.25">
      <c r="A2682" s="27"/>
      <c r="B2682" s="27"/>
      <c r="C2682" s="27" t="s">
        <v>41</v>
      </c>
      <c r="D2682" s="28"/>
      <c r="E2682" s="29"/>
      <c r="F2682" s="30">
        <f>[1]Source!AL2588</f>
        <v>11.79</v>
      </c>
      <c r="G2682" s="31"/>
      <c r="H2682" s="29">
        <f>[1]Source!AW2589</f>
        <v>1</v>
      </c>
      <c r="I2682" s="30">
        <f>[1]Source!P2588</f>
        <v>3.27</v>
      </c>
      <c r="J2682" s="29">
        <f>IF([1]Source!BC2589&lt;&gt; 0, [1]Source!BC2589, 1)</f>
        <v>3.95</v>
      </c>
      <c r="K2682" s="30">
        <f>[1]Source!P2589</f>
        <v>12.92</v>
      </c>
    </row>
    <row r="2683" spans="1:29" ht="14.4" hidden="1" x14ac:dyDescent="0.25">
      <c r="A2683" s="27"/>
      <c r="B2683" s="27"/>
      <c r="C2683" s="27" t="s">
        <v>42</v>
      </c>
      <c r="D2683" s="28" t="s">
        <v>43</v>
      </c>
      <c r="E2683" s="29">
        <f>[1]Source!BZ2589</f>
        <v>84</v>
      </c>
      <c r="F2683" s="30"/>
      <c r="G2683" s="31"/>
      <c r="H2683" s="29"/>
      <c r="I2683" s="30">
        <f>SUM(Q2677:Q2682)</f>
        <v>300.89999999999998</v>
      </c>
      <c r="J2683" s="29">
        <f>[1]Source!AT2589</f>
        <v>84</v>
      </c>
      <c r="K2683" s="30">
        <f>SUM(R2677:R2682)</f>
        <v>16955.990000000002</v>
      </c>
    </row>
    <row r="2684" spans="1:29" ht="14.4" hidden="1" x14ac:dyDescent="0.25">
      <c r="A2684" s="27"/>
      <c r="B2684" s="27"/>
      <c r="C2684" s="27" t="s">
        <v>44</v>
      </c>
      <c r="D2684" s="28" t="s">
        <v>43</v>
      </c>
      <c r="E2684" s="29">
        <f>[1]Source!CA2589</f>
        <v>53</v>
      </c>
      <c r="F2684" s="30"/>
      <c r="G2684" s="31"/>
      <c r="H2684" s="29"/>
      <c r="I2684" s="30">
        <f>SUM(S2677:S2683)</f>
        <v>189.86</v>
      </c>
      <c r="J2684" s="29">
        <f>[1]Source!AU2589</f>
        <v>53</v>
      </c>
      <c r="K2684" s="30">
        <f>SUM(T2677:T2683)</f>
        <v>10698.42</v>
      </c>
    </row>
    <row r="2685" spans="1:29" ht="14.4" hidden="1" x14ac:dyDescent="0.25">
      <c r="A2685" s="34"/>
      <c r="B2685" s="34"/>
      <c r="C2685" s="34" t="s">
        <v>45</v>
      </c>
      <c r="D2685" s="35" t="s">
        <v>46</v>
      </c>
      <c r="E2685" s="36">
        <f>[1]Source!AQ2588</f>
        <v>54.86</v>
      </c>
      <c r="F2685" s="37"/>
      <c r="G2685" s="38" t="s">
        <v>37</v>
      </c>
      <c r="H2685" s="36">
        <f>[1]Source!AV2589</f>
        <v>1.087</v>
      </c>
      <c r="I2685" s="37">
        <f>[1]Source!U2588</f>
        <v>22.836388418999999</v>
      </c>
      <c r="J2685" s="36"/>
      <c r="K2685" s="37"/>
    </row>
    <row r="2686" spans="1:29" ht="13.8" hidden="1" x14ac:dyDescent="0.25">
      <c r="C2686" s="39" t="s">
        <v>47</v>
      </c>
      <c r="H2686" s="40">
        <f>I2679+I2680+I2682+I2683+I2684+0-0-0</f>
        <v>895.93999999999994</v>
      </c>
      <c r="I2686" s="40"/>
      <c r="J2686" s="40">
        <f>K2679+K2680+K2682+K2683+K2684+0-0-0</f>
        <v>48290.44</v>
      </c>
      <c r="K2686" s="40"/>
    </row>
    <row r="2687" spans="1:29" ht="13.8" hidden="1" x14ac:dyDescent="0.25">
      <c r="C2687" s="39" t="s">
        <v>48</v>
      </c>
      <c r="H2687" s="41">
        <f>0+0</f>
        <v>0</v>
      </c>
      <c r="I2687" s="41"/>
      <c r="J2687" s="41">
        <f>0+0</f>
        <v>0</v>
      </c>
      <c r="K2687" s="41"/>
    </row>
    <row r="2688" spans="1:29" ht="13.8" hidden="1" x14ac:dyDescent="0.25">
      <c r="C2688" s="39" t="s">
        <v>49</v>
      </c>
      <c r="H2688" s="41">
        <f>I2679+I2680+I2682+I2683+I2684+0</f>
        <v>895.93999999999994</v>
      </c>
      <c r="I2688" s="41"/>
      <c r="J2688" s="41">
        <f>K2679+K2680+K2682+K2683+K2684+0</f>
        <v>48290.44</v>
      </c>
      <c r="K2688" s="41"/>
      <c r="O2688" s="42">
        <f>I2679+I2680+I2682+I2683+I2684+0</f>
        <v>895.93999999999994</v>
      </c>
      <c r="P2688" s="42">
        <f>K2679+K2680+K2682+K2683+K2684+0</f>
        <v>48290.44</v>
      </c>
    </row>
    <row r="2689" spans="1:29" hidden="1" x14ac:dyDescent="0.25"/>
    <row r="2690" spans="1:29" ht="55.2" hidden="1" x14ac:dyDescent="0.25">
      <c r="A2690" s="27">
        <v>293</v>
      </c>
      <c r="B2690" s="27" t="str">
        <f>[1]Source!F2590</f>
        <v>3.70-55-10</v>
      </c>
      <c r="C2690" s="27" t="s">
        <v>570</v>
      </c>
      <c r="D2690" s="28" t="str">
        <f>[1]Source!H2590</f>
        <v>100 м2</v>
      </c>
      <c r="E2690" s="29">
        <f>[1]Source!I2590</f>
        <v>3.15E-2</v>
      </c>
      <c r="F2690" s="30"/>
      <c r="G2690" s="31"/>
      <c r="H2690" s="29"/>
      <c r="I2690" s="30"/>
      <c r="J2690" s="29"/>
      <c r="K2690" s="30"/>
      <c r="Q2690">
        <f>[1]Source!X2590</f>
        <v>79.510000000000005</v>
      </c>
      <c r="R2690">
        <f>[1]Source!X2591</f>
        <v>4480.17</v>
      </c>
      <c r="S2690">
        <f>[1]Source!Y2590</f>
        <v>50.16</v>
      </c>
      <c r="T2690">
        <f>[1]Source!Y2591</f>
        <v>2826.77</v>
      </c>
      <c r="U2690">
        <f>ROUND((175/100)*ROUND([1]Source!R2590, 2), 2)</f>
        <v>1.19</v>
      </c>
      <c r="V2690">
        <f>ROUND((0/100)*ROUND([1]Source!R2591, 2), 2)</f>
        <v>0</v>
      </c>
      <c r="AC2690">
        <v>0</v>
      </c>
    </row>
    <row r="2691" spans="1:29" hidden="1" x14ac:dyDescent="0.25">
      <c r="C2691" s="32" t="str">
        <f>"Объем: "&amp;[1]Source!I2590&amp;"=((1,5*"&amp;"2,1)*"&amp;"1)/"&amp;"100"</f>
        <v>Объем: 0,0315=((1,5*2,1)*1)/100</v>
      </c>
    </row>
    <row r="2692" spans="1:29" ht="14.4" hidden="1" x14ac:dyDescent="0.25">
      <c r="A2692" s="27"/>
      <c r="B2692" s="27"/>
      <c r="C2692" s="27" t="s">
        <v>36</v>
      </c>
      <c r="D2692" s="28"/>
      <c r="E2692" s="29"/>
      <c r="F2692" s="30">
        <f>[1]Source!AO2590</f>
        <v>1988.67</v>
      </c>
      <c r="G2692" s="31" t="s">
        <v>37</v>
      </c>
      <c r="H2692" s="29">
        <f>[1]Source!AV2591</f>
        <v>1.087</v>
      </c>
      <c r="I2692" s="30">
        <f>[1]Source!S2590</f>
        <v>93.97</v>
      </c>
      <c r="J2692" s="29">
        <f>IF([1]Source!BA2591&lt;&gt; 0, [1]Source!BA2591, 1)</f>
        <v>56.35</v>
      </c>
      <c r="K2692" s="30">
        <f>[1]Source!S2591</f>
        <v>5295.21</v>
      </c>
    </row>
    <row r="2693" spans="1:29" ht="14.4" hidden="1" x14ac:dyDescent="0.25">
      <c r="A2693" s="27"/>
      <c r="B2693" s="27"/>
      <c r="C2693" s="27" t="s">
        <v>38</v>
      </c>
      <c r="D2693" s="28"/>
      <c r="E2693" s="29"/>
      <c r="F2693" s="30">
        <f>[1]Source!AM2590</f>
        <v>97.6</v>
      </c>
      <c r="G2693" s="31" t="s">
        <v>39</v>
      </c>
      <c r="H2693" s="29">
        <f>[1]Source!AV2591</f>
        <v>1.087</v>
      </c>
      <c r="I2693" s="30">
        <f>[1]Source!Q2590</f>
        <v>5.01</v>
      </c>
      <c r="J2693" s="29">
        <f>IF([1]Source!BB2591&lt;&gt; 0, [1]Source!BB2591, 1)</f>
        <v>16.28</v>
      </c>
      <c r="K2693" s="30">
        <f>[1]Source!Q2591</f>
        <v>81.56</v>
      </c>
    </row>
    <row r="2694" spans="1:29" ht="14.4" hidden="1" x14ac:dyDescent="0.25">
      <c r="A2694" s="27"/>
      <c r="B2694" s="27"/>
      <c r="C2694" s="27" t="s">
        <v>40</v>
      </c>
      <c r="D2694" s="28"/>
      <c r="E2694" s="29"/>
      <c r="F2694" s="30">
        <f>[1]Source!AN2590</f>
        <v>13.25</v>
      </c>
      <c r="G2694" s="31" t="s">
        <v>39</v>
      </c>
      <c r="H2694" s="29">
        <f>[1]Source!AV2591</f>
        <v>1.087</v>
      </c>
      <c r="I2694" s="33">
        <f>[1]Source!R2590</f>
        <v>0.68</v>
      </c>
      <c r="J2694" s="29">
        <f>IF([1]Source!BS2591&lt;&gt; 0, [1]Source!BS2591, 1)</f>
        <v>56.35</v>
      </c>
      <c r="K2694" s="33">
        <f>[1]Source!R2591</f>
        <v>38.32</v>
      </c>
    </row>
    <row r="2695" spans="1:29" ht="14.4" hidden="1" x14ac:dyDescent="0.25">
      <c r="A2695" s="27"/>
      <c r="B2695" s="27"/>
      <c r="C2695" s="27" t="s">
        <v>41</v>
      </c>
      <c r="D2695" s="28"/>
      <c r="E2695" s="29"/>
      <c r="F2695" s="30">
        <f>[1]Source!AL2590</f>
        <v>55.75</v>
      </c>
      <c r="G2695" s="31"/>
      <c r="H2695" s="29">
        <f>[1]Source!AW2591</f>
        <v>1</v>
      </c>
      <c r="I2695" s="30">
        <f>[1]Source!P2590</f>
        <v>1.76</v>
      </c>
      <c r="J2695" s="29">
        <f>IF([1]Source!BC2591&lt;&gt; 0, [1]Source!BC2591, 1)</f>
        <v>6.65</v>
      </c>
      <c r="K2695" s="30">
        <f>[1]Source!P2591</f>
        <v>11.7</v>
      </c>
    </row>
    <row r="2696" spans="1:29" ht="14.4" hidden="1" x14ac:dyDescent="0.25">
      <c r="A2696" s="27"/>
      <c r="B2696" s="27"/>
      <c r="C2696" s="27" t="s">
        <v>42</v>
      </c>
      <c r="D2696" s="28" t="s">
        <v>43</v>
      </c>
      <c r="E2696" s="29">
        <f>[1]Source!BZ2591</f>
        <v>84</v>
      </c>
      <c r="F2696" s="30"/>
      <c r="G2696" s="31"/>
      <c r="H2696" s="29"/>
      <c r="I2696" s="30">
        <f>SUM(Q2690:Q2695)</f>
        <v>79.510000000000005</v>
      </c>
      <c r="J2696" s="29">
        <f>[1]Source!AT2591</f>
        <v>84</v>
      </c>
      <c r="K2696" s="30">
        <f>SUM(R2690:R2695)</f>
        <v>4480.17</v>
      </c>
    </row>
    <row r="2697" spans="1:29" ht="14.4" hidden="1" x14ac:dyDescent="0.25">
      <c r="A2697" s="27"/>
      <c r="B2697" s="27"/>
      <c r="C2697" s="27" t="s">
        <v>44</v>
      </c>
      <c r="D2697" s="28" t="s">
        <v>43</v>
      </c>
      <c r="E2697" s="29">
        <f>[1]Source!CA2591</f>
        <v>53</v>
      </c>
      <c r="F2697" s="30"/>
      <c r="G2697" s="31"/>
      <c r="H2697" s="29"/>
      <c r="I2697" s="30">
        <f>SUM(S2690:S2696)</f>
        <v>50.16</v>
      </c>
      <c r="J2697" s="29">
        <f>[1]Source!AU2591</f>
        <v>53</v>
      </c>
      <c r="K2697" s="30">
        <f>SUM(T2690:T2696)</f>
        <v>2826.77</v>
      </c>
    </row>
    <row r="2698" spans="1:29" ht="14.4" hidden="1" x14ac:dyDescent="0.25">
      <c r="A2698" s="34"/>
      <c r="B2698" s="34"/>
      <c r="C2698" s="34" t="s">
        <v>45</v>
      </c>
      <c r="D2698" s="35" t="s">
        <v>46</v>
      </c>
      <c r="E2698" s="36">
        <f>[1]Source!AQ2590</f>
        <v>113.3</v>
      </c>
      <c r="F2698" s="37"/>
      <c r="G2698" s="38" t="s">
        <v>37</v>
      </c>
      <c r="H2698" s="36">
        <f>[1]Source!AV2591</f>
        <v>1.087</v>
      </c>
      <c r="I2698" s="37">
        <f>[1]Source!U2590</f>
        <v>5.353639137</v>
      </c>
      <c r="J2698" s="36"/>
      <c r="K2698" s="37"/>
    </row>
    <row r="2699" spans="1:29" ht="13.8" hidden="1" x14ac:dyDescent="0.25">
      <c r="C2699" s="39" t="s">
        <v>47</v>
      </c>
      <c r="H2699" s="40">
        <f>I2692+I2693+I2695+I2696+I2697+0-0-0</f>
        <v>230.41</v>
      </c>
      <c r="I2699" s="40"/>
      <c r="J2699" s="40">
        <f>K2692+K2693+K2695+K2696+K2697+0-0-0</f>
        <v>12695.41</v>
      </c>
      <c r="K2699" s="40"/>
    </row>
    <row r="2700" spans="1:29" ht="13.8" hidden="1" x14ac:dyDescent="0.25">
      <c r="C2700" s="39" t="s">
        <v>48</v>
      </c>
      <c r="H2700" s="41">
        <f>0+0</f>
        <v>0</v>
      </c>
      <c r="I2700" s="41"/>
      <c r="J2700" s="41">
        <f>0+0</f>
        <v>0</v>
      </c>
      <c r="K2700" s="41"/>
    </row>
    <row r="2701" spans="1:29" ht="13.8" hidden="1" x14ac:dyDescent="0.25">
      <c r="C2701" s="39" t="s">
        <v>49</v>
      </c>
      <c r="H2701" s="41">
        <f>I2692+I2693+I2695+I2696+I2697+0</f>
        <v>230.41</v>
      </c>
      <c r="I2701" s="41"/>
      <c r="J2701" s="41">
        <f>K2692+K2693+K2695+K2696+K2697+0</f>
        <v>12695.41</v>
      </c>
      <c r="K2701" s="41"/>
      <c r="O2701" s="42">
        <f>I2692+I2693+I2695+I2696+I2697+0</f>
        <v>230.41</v>
      </c>
      <c r="P2701" s="42">
        <f>K2692+K2693+K2695+K2696+K2697+0</f>
        <v>12695.41</v>
      </c>
    </row>
    <row r="2702" spans="1:29" hidden="1" x14ac:dyDescent="0.25"/>
    <row r="2703" spans="1:29" ht="166.8" customHeight="1" x14ac:dyDescent="0.25">
      <c r="A2703" s="53">
        <v>294</v>
      </c>
      <c r="B2703" s="53" t="str">
        <f>[1]Source!F2592</f>
        <v>КА-179</v>
      </c>
      <c r="C2703" s="53" t="s">
        <v>572</v>
      </c>
      <c r="D2703" s="54"/>
      <c r="E2703" s="55"/>
      <c r="F2703" s="30"/>
      <c r="G2703" s="31"/>
      <c r="H2703" s="29"/>
      <c r="I2703" s="30"/>
      <c r="J2703" s="29"/>
      <c r="K2703" s="56"/>
      <c r="M2703" s="50"/>
      <c r="N2703" s="59" t="s">
        <v>180</v>
      </c>
    </row>
    <row r="2704" spans="1:29" ht="178.2" customHeight="1" x14ac:dyDescent="0.25">
      <c r="A2704" s="46"/>
      <c r="B2704" s="46"/>
      <c r="C2704" s="46" t="s">
        <v>578</v>
      </c>
      <c r="D2704" s="47" t="str">
        <f>[1]Source!H2592</f>
        <v>м2</v>
      </c>
      <c r="E2704" s="48">
        <f>[1]Source!I2592</f>
        <v>30.9</v>
      </c>
      <c r="F2704" s="49">
        <f>[1]Source!AL2592</f>
        <v>3874.45</v>
      </c>
      <c r="G2704" s="60"/>
      <c r="H2704" s="48">
        <f>[1]Source!AW2593</f>
        <v>1</v>
      </c>
      <c r="I2704" s="49">
        <f>[1]Source!P2592</f>
        <v>119720.51</v>
      </c>
      <c r="J2704" s="48">
        <f>IF([1]Source!BC2593&lt;&gt; 0, [1]Source!BC2593, 1)</f>
        <v>9.84</v>
      </c>
      <c r="K2704" s="49">
        <f>[1]Source!P2593</f>
        <v>666527.26</v>
      </c>
      <c r="L2704">
        <v>25800</v>
      </c>
      <c r="M2704" s="50">
        <f t="shared" ref="M2704" si="36">L2704*E2704</f>
        <v>797220</v>
      </c>
      <c r="N2704" s="59" t="s">
        <v>180</v>
      </c>
      <c r="Q2704">
        <f>[1]Source!X2592</f>
        <v>0</v>
      </c>
      <c r="R2704">
        <f>[1]Source!X2593</f>
        <v>0</v>
      </c>
      <c r="S2704">
        <f>[1]Source!Y2592</f>
        <v>0</v>
      </c>
      <c r="T2704">
        <f>[1]Source!Y2593</f>
        <v>0</v>
      </c>
      <c r="U2704">
        <f>ROUND((175/100)*ROUND([1]Source!R2592, 2), 2)</f>
        <v>0</v>
      </c>
      <c r="V2704">
        <f>ROUND((0/100)*ROUND([1]Source!R2593, 2), 2)</f>
        <v>0</v>
      </c>
      <c r="AC2704">
        <v>3</v>
      </c>
    </row>
    <row r="2705" spans="1:29" ht="13.8" hidden="1" x14ac:dyDescent="0.25">
      <c r="C2705" s="39" t="s">
        <v>49</v>
      </c>
      <c r="H2705" s="40">
        <f>I2704+0</f>
        <v>119720.51</v>
      </c>
      <c r="I2705" s="40"/>
      <c r="J2705" s="40">
        <f>K2704+0</f>
        <v>666527.26</v>
      </c>
      <c r="K2705" s="40"/>
      <c r="O2705" s="42">
        <f>I2704+0</f>
        <v>119720.51</v>
      </c>
      <c r="P2705" s="42">
        <f>K2704+0</f>
        <v>666527.26</v>
      </c>
    </row>
    <row r="2706" spans="1:29" hidden="1" x14ac:dyDescent="0.25"/>
    <row r="2707" spans="1:29" hidden="1" x14ac:dyDescent="0.25"/>
    <row r="2708" spans="1:29" ht="13.8" hidden="1" x14ac:dyDescent="0.25">
      <c r="A2708" s="44" t="str">
        <f>CONCATENATE("Итого по подразделу: ",IF([1]Source!G2595&lt;&gt;"Новый подраздел", [1]Source!G2595, ""))</f>
        <v>Итого по подразделу: ДВ-22-П Витраж учебного кабинета</v>
      </c>
      <c r="B2708" s="44"/>
      <c r="C2708" s="44"/>
      <c r="D2708" s="44"/>
      <c r="E2708" s="44"/>
      <c r="F2708" s="44"/>
      <c r="G2708" s="44"/>
      <c r="H2708" s="41">
        <f>SUM(O2662:O2707)</f>
        <v>124726.37</v>
      </c>
      <c r="I2708" s="45"/>
      <c r="J2708" s="41">
        <f>SUM(P2662:P2707)</f>
        <v>915896.81</v>
      </c>
      <c r="K2708" s="45"/>
    </row>
    <row r="2709" spans="1:29" hidden="1" x14ac:dyDescent="0.25">
      <c r="A2709" t="s">
        <v>55</v>
      </c>
      <c r="I2709">
        <f>SUM(W2662:W2708)</f>
        <v>0</v>
      </c>
      <c r="J2709">
        <f>SUM(X2662:X2708)</f>
        <v>0</v>
      </c>
    </row>
    <row r="2710" spans="1:29" hidden="1" x14ac:dyDescent="0.25">
      <c r="A2710" t="s">
        <v>56</v>
      </c>
      <c r="I2710">
        <f>SUM(Y2662:Y2709)</f>
        <v>0</v>
      </c>
      <c r="J2710">
        <f>SUM(Z2662:Z2709)</f>
        <v>0</v>
      </c>
    </row>
    <row r="2711" spans="1:29" hidden="1" x14ac:dyDescent="0.25"/>
    <row r="2712" spans="1:29" ht="16.8" hidden="1" x14ac:dyDescent="0.25">
      <c r="A2712" s="11" t="str">
        <f>CONCATENATE("Подраздел: ",IF([1]Source!G2625&lt;&gt;"Новый подраздел", [1]Source!G2625, ""))</f>
        <v>Подраздел: ДВ-23-П  Витраж учебного кабинета</v>
      </c>
      <c r="B2712" s="11"/>
      <c r="C2712" s="11"/>
      <c r="D2712" s="11"/>
      <c r="E2712" s="11"/>
      <c r="F2712" s="11"/>
      <c r="G2712" s="11"/>
      <c r="H2712" s="11"/>
      <c r="I2712" s="11"/>
      <c r="J2712" s="11"/>
      <c r="K2712" s="11"/>
    </row>
    <row r="2713" spans="1:29" ht="41.4" hidden="1" x14ac:dyDescent="0.25">
      <c r="A2713" s="27">
        <v>295</v>
      </c>
      <c r="B2713" s="27" t="str">
        <f>[1]Source!F2629</f>
        <v>3.70-55-2</v>
      </c>
      <c r="C2713" s="27" t="s">
        <v>365</v>
      </c>
      <c r="D2713" s="28" t="str">
        <f>[1]Source!H2629</f>
        <v>100 м2</v>
      </c>
      <c r="E2713" s="29">
        <f>[1]Source!I2629</f>
        <v>0.22900000000000001</v>
      </c>
      <c r="F2713" s="30"/>
      <c r="G2713" s="31"/>
      <c r="H2713" s="29"/>
      <c r="I2713" s="30"/>
      <c r="J2713" s="29"/>
      <c r="K2713" s="30"/>
      <c r="Q2713">
        <f>[1]Source!X2629</f>
        <v>862.44</v>
      </c>
      <c r="R2713">
        <f>[1]Source!X2630</f>
        <v>48598.77</v>
      </c>
      <c r="S2713">
        <f>[1]Source!Y2629</f>
        <v>544.16</v>
      </c>
      <c r="T2713">
        <f>[1]Source!Y2630</f>
        <v>30663.51</v>
      </c>
      <c r="U2713">
        <f>ROUND((175/100)*ROUND([1]Source!R2629, 2), 2)</f>
        <v>18.48</v>
      </c>
      <c r="V2713">
        <f>ROUND((0/100)*ROUND([1]Source!R2630, 2), 2)</f>
        <v>0</v>
      </c>
      <c r="AC2713">
        <v>0</v>
      </c>
    </row>
    <row r="2714" spans="1:29" hidden="1" x14ac:dyDescent="0.25">
      <c r="C2714" s="32" t="str">
        <f>"Объем: "&amp;[1]Source!I2629&amp;"=22,9/"&amp;"100"</f>
        <v>Объем: 0,229=22,9/100</v>
      </c>
    </row>
    <row r="2715" spans="1:29" ht="14.4" hidden="1" x14ac:dyDescent="0.25">
      <c r="A2715" s="27"/>
      <c r="B2715" s="27"/>
      <c r="C2715" s="27" t="s">
        <v>36</v>
      </c>
      <c r="D2715" s="28"/>
      <c r="E2715" s="29"/>
      <c r="F2715" s="30">
        <f>[1]Source!AO2629</f>
        <v>2958.13</v>
      </c>
      <c r="G2715" s="31" t="s">
        <v>37</v>
      </c>
      <c r="H2715" s="29">
        <f>[1]Source!AV2630</f>
        <v>1.087</v>
      </c>
      <c r="I2715" s="30">
        <f>[1]Source!S2629</f>
        <v>1016.16</v>
      </c>
      <c r="J2715" s="29">
        <f>IF([1]Source!BA2630&lt;&gt; 0, [1]Source!BA2630, 1)</f>
        <v>56.35</v>
      </c>
      <c r="K2715" s="30">
        <f>[1]Source!S2630</f>
        <v>57260.62</v>
      </c>
    </row>
    <row r="2716" spans="1:29" ht="14.4" hidden="1" x14ac:dyDescent="0.25">
      <c r="A2716" s="27"/>
      <c r="B2716" s="27"/>
      <c r="C2716" s="27" t="s">
        <v>38</v>
      </c>
      <c r="D2716" s="28"/>
      <c r="E2716" s="29"/>
      <c r="F2716" s="30">
        <f>[1]Source!AM2629</f>
        <v>243.71</v>
      </c>
      <c r="G2716" s="31" t="s">
        <v>39</v>
      </c>
      <c r="H2716" s="29">
        <f>[1]Source!AV2630</f>
        <v>1.087</v>
      </c>
      <c r="I2716" s="30">
        <f>[1]Source!Q2629</f>
        <v>91</v>
      </c>
      <c r="J2716" s="29">
        <f>IF([1]Source!BB2630&lt;&gt; 0, [1]Source!BB2630, 1)</f>
        <v>15.43</v>
      </c>
      <c r="K2716" s="30">
        <f>[1]Source!Q2630</f>
        <v>1404.13</v>
      </c>
    </row>
    <row r="2717" spans="1:29" ht="14.4" hidden="1" x14ac:dyDescent="0.25">
      <c r="A2717" s="27"/>
      <c r="B2717" s="27"/>
      <c r="C2717" s="27" t="s">
        <v>40</v>
      </c>
      <c r="D2717" s="28"/>
      <c r="E2717" s="29"/>
      <c r="F2717" s="30">
        <f>[1]Source!AN2629</f>
        <v>28.27</v>
      </c>
      <c r="G2717" s="31" t="s">
        <v>39</v>
      </c>
      <c r="H2717" s="29">
        <f>[1]Source!AV2630</f>
        <v>1.087</v>
      </c>
      <c r="I2717" s="33">
        <f>[1]Source!R2629</f>
        <v>10.56</v>
      </c>
      <c r="J2717" s="29">
        <f>IF([1]Source!BS2630&lt;&gt; 0, [1]Source!BS2630, 1)</f>
        <v>56.35</v>
      </c>
      <c r="K2717" s="33">
        <f>[1]Source!R2630</f>
        <v>595.05999999999995</v>
      </c>
    </row>
    <row r="2718" spans="1:29" ht="14.4" hidden="1" x14ac:dyDescent="0.25">
      <c r="A2718" s="27"/>
      <c r="B2718" s="27"/>
      <c r="C2718" s="27" t="s">
        <v>41</v>
      </c>
      <c r="D2718" s="28"/>
      <c r="E2718" s="29"/>
      <c r="F2718" s="30">
        <f>[1]Source!AL2629</f>
        <v>1577.27</v>
      </c>
      <c r="G2718" s="31"/>
      <c r="H2718" s="29">
        <f>[1]Source!AW2630</f>
        <v>1</v>
      </c>
      <c r="I2718" s="30">
        <f>[1]Source!P2629</f>
        <v>361.19</v>
      </c>
      <c r="J2718" s="29">
        <f>IF([1]Source!BC2630&lt;&gt; 0, [1]Source!BC2630, 1)</f>
        <v>4.66</v>
      </c>
      <c r="K2718" s="30">
        <f>[1]Source!P2630</f>
        <v>1683.15</v>
      </c>
    </row>
    <row r="2719" spans="1:29" ht="55.2" hidden="1" x14ac:dyDescent="0.25">
      <c r="A2719" s="27" t="s">
        <v>586</v>
      </c>
      <c r="B2719" s="27" t="str">
        <f>[1]Source!F2631</f>
        <v>1.7-1-105</v>
      </c>
      <c r="C2719" s="27" t="s">
        <v>576</v>
      </c>
      <c r="D2719" s="28" t="str">
        <f>[1]Source!H2631</f>
        <v>м</v>
      </c>
      <c r="E2719" s="29">
        <f>[1]Source!I2631</f>
        <v>9.2519999999999998E-3</v>
      </c>
      <c r="F2719" s="30">
        <f>[1]Source!AK2631</f>
        <v>15.96</v>
      </c>
      <c r="G2719" s="43" t="s">
        <v>54</v>
      </c>
      <c r="H2719" s="29">
        <f>[1]Source!AW2632</f>
        <v>1</v>
      </c>
      <c r="I2719" s="30">
        <f>[1]Source!O2631</f>
        <v>0.15</v>
      </c>
      <c r="J2719" s="29">
        <f>IF([1]Source!BC2632&lt;&gt; 0, [1]Source!BC2632, 1)</f>
        <v>10.82</v>
      </c>
      <c r="K2719" s="30">
        <f>[1]Source!O2632</f>
        <v>1.62</v>
      </c>
      <c r="Q2719">
        <f>[1]Source!X2631</f>
        <v>0</v>
      </c>
      <c r="R2719">
        <f>[1]Source!X2632</f>
        <v>0</v>
      </c>
      <c r="S2719">
        <f>[1]Source!Y2631</f>
        <v>0</v>
      </c>
      <c r="T2719">
        <f>[1]Source!Y2632</f>
        <v>0</v>
      </c>
      <c r="U2719">
        <f>ROUND((175/100)*ROUND([1]Source!R2631, 2), 2)</f>
        <v>0</v>
      </c>
      <c r="V2719">
        <f>ROUND((0/100)*ROUND([1]Source!R2632, 2), 2)</f>
        <v>0</v>
      </c>
      <c r="AC2719">
        <v>3</v>
      </c>
    </row>
    <row r="2720" spans="1:29" ht="14.4" hidden="1" x14ac:dyDescent="0.25">
      <c r="A2720" s="27"/>
      <c r="B2720" s="27"/>
      <c r="C2720" s="27" t="s">
        <v>42</v>
      </c>
      <c r="D2720" s="28" t="s">
        <v>43</v>
      </c>
      <c r="E2720" s="29">
        <f>[1]Source!BZ2630</f>
        <v>84</v>
      </c>
      <c r="F2720" s="30"/>
      <c r="G2720" s="31"/>
      <c r="H2720" s="29"/>
      <c r="I2720" s="30">
        <f>SUM(Q2713:Q2719)</f>
        <v>862.44</v>
      </c>
      <c r="J2720" s="29">
        <f>[1]Source!AT2630</f>
        <v>84</v>
      </c>
      <c r="K2720" s="30">
        <f>SUM(R2713:R2719)</f>
        <v>48598.77</v>
      </c>
    </row>
    <row r="2721" spans="1:29" ht="14.4" hidden="1" x14ac:dyDescent="0.25">
      <c r="A2721" s="27"/>
      <c r="B2721" s="27"/>
      <c r="C2721" s="27" t="s">
        <v>44</v>
      </c>
      <c r="D2721" s="28" t="s">
        <v>43</v>
      </c>
      <c r="E2721" s="29">
        <f>[1]Source!CA2630</f>
        <v>53</v>
      </c>
      <c r="F2721" s="30"/>
      <c r="G2721" s="31"/>
      <c r="H2721" s="29"/>
      <c r="I2721" s="30">
        <f>SUM(S2713:S2720)</f>
        <v>544.16</v>
      </c>
      <c r="J2721" s="29">
        <f>[1]Source!AU2630</f>
        <v>53</v>
      </c>
      <c r="K2721" s="30">
        <f>SUM(T2713:T2720)</f>
        <v>30663.51</v>
      </c>
    </row>
    <row r="2722" spans="1:29" ht="14.4" hidden="1" x14ac:dyDescent="0.25">
      <c r="A2722" s="34"/>
      <c r="B2722" s="34"/>
      <c r="C2722" s="34" t="s">
        <v>45</v>
      </c>
      <c r="D2722" s="35" t="s">
        <v>46</v>
      </c>
      <c r="E2722" s="36">
        <f>[1]Source!AQ2629</f>
        <v>183.77</v>
      </c>
      <c r="F2722" s="37"/>
      <c r="G2722" s="38" t="s">
        <v>37</v>
      </c>
      <c r="H2722" s="36">
        <f>[1]Source!AV2630</f>
        <v>1.087</v>
      </c>
      <c r="I2722" s="37">
        <f>[1]Source!U2629</f>
        <v>63.127519999800001</v>
      </c>
      <c r="J2722" s="36"/>
      <c r="K2722" s="37"/>
    </row>
    <row r="2723" spans="1:29" ht="13.8" hidden="1" x14ac:dyDescent="0.25">
      <c r="C2723" s="39" t="s">
        <v>47</v>
      </c>
      <c r="H2723" s="40">
        <f>I2715+I2716+I2718+I2720+I2721+SUM(I2719:I2719)-SUMIF(AC2719:AC2719, 5, I2719:I2719)-SUMIF(AC2719:AC2719, 6, I2719:I2719)</f>
        <v>2875.1</v>
      </c>
      <c r="I2723" s="40"/>
      <c r="J2723" s="40">
        <f>K2715+K2716+K2718+K2720+K2721+SUM(K2719:K2719)-SUMIF(AC2719:AC2719, 5, K2719:K2719)-SUMIF(AC2719:AC2719, 6, K2719:K2719)</f>
        <v>139611.79999999999</v>
      </c>
      <c r="K2723" s="40"/>
    </row>
    <row r="2724" spans="1:29" ht="13.8" hidden="1" x14ac:dyDescent="0.25">
      <c r="C2724" s="39" t="s">
        <v>48</v>
      </c>
      <c r="H2724" s="41">
        <f>SUMIF(AC2719:AC2719, 5, I2719:I2719)+SUMIF(AC2719:AC2719, 6, I2719:I2719)</f>
        <v>0</v>
      </c>
      <c r="I2724" s="41"/>
      <c r="J2724" s="41">
        <f>SUMIF(AC2719:AC2719, 5, K2719:K2719)+SUMIF(AC2719:AC2719, 6, K2719:K2719)</f>
        <v>0</v>
      </c>
      <c r="K2724" s="41"/>
    </row>
    <row r="2725" spans="1:29" ht="13.8" hidden="1" x14ac:dyDescent="0.25">
      <c r="C2725" s="39" t="s">
        <v>49</v>
      </c>
      <c r="H2725" s="41">
        <f>I2715+I2716+I2718+I2720+I2721+SUM(I2719:I2719)</f>
        <v>2875.1</v>
      </c>
      <c r="I2725" s="41"/>
      <c r="J2725" s="41">
        <f>K2715+K2716+K2718+K2720+K2721+SUM(K2719:K2719)</f>
        <v>139611.79999999999</v>
      </c>
      <c r="K2725" s="41"/>
      <c r="O2725" s="42">
        <f>I2715+I2716+I2718+I2720+I2721+SUM(I2719:I2719)</f>
        <v>2875.1</v>
      </c>
      <c r="P2725" s="42">
        <f>K2715+K2716+K2718+K2720+K2721+SUM(K2719:K2719)</f>
        <v>139611.79999999999</v>
      </c>
    </row>
    <row r="2726" spans="1:29" hidden="1" x14ac:dyDescent="0.25"/>
    <row r="2727" spans="1:29" ht="55.2" hidden="1" x14ac:dyDescent="0.25">
      <c r="A2727" s="27">
        <v>296</v>
      </c>
      <c r="B2727" s="27" t="str">
        <f>[1]Source!F2633</f>
        <v>3.70-55-8</v>
      </c>
      <c r="C2727" s="27" t="s">
        <v>577</v>
      </c>
      <c r="D2727" s="28" t="str">
        <f>[1]Source!H2633</f>
        <v>100 м2</v>
      </c>
      <c r="E2727" s="29">
        <f>[1]Source!I2633</f>
        <v>0.19750000000000001</v>
      </c>
      <c r="F2727" s="30"/>
      <c r="G2727" s="31"/>
      <c r="H2727" s="29"/>
      <c r="I2727" s="30"/>
      <c r="J2727" s="29"/>
      <c r="K2727" s="30"/>
      <c r="Q2727">
        <f>[1]Source!X2633</f>
        <v>214.16</v>
      </c>
      <c r="R2727">
        <f>[1]Source!X2634</f>
        <v>12067.8</v>
      </c>
      <c r="S2727">
        <f>[1]Source!Y2633</f>
        <v>135.12</v>
      </c>
      <c r="T2727">
        <f>[1]Source!Y2634</f>
        <v>7614.21</v>
      </c>
      <c r="U2727">
        <f>ROUND((175/100)*ROUND([1]Source!R2633, 2), 2)</f>
        <v>8.9600000000000009</v>
      </c>
      <c r="V2727">
        <f>ROUND((0/100)*ROUND([1]Source!R2634, 2), 2)</f>
        <v>0</v>
      </c>
      <c r="AC2727">
        <v>0</v>
      </c>
    </row>
    <row r="2728" spans="1:29" hidden="1" x14ac:dyDescent="0.25">
      <c r="C2728" s="32" t="str">
        <f>"Объем: "&amp;[1]Source!I2633&amp;"=(22,9-"&amp;"3,15)/"&amp;"100"</f>
        <v>Объем: 0,1975=(22,9-3,15)/100</v>
      </c>
    </row>
    <row r="2729" spans="1:29" ht="14.4" hidden="1" x14ac:dyDescent="0.25">
      <c r="A2729" s="27"/>
      <c r="B2729" s="27"/>
      <c r="C2729" s="27" t="s">
        <v>36</v>
      </c>
      <c r="D2729" s="28"/>
      <c r="E2729" s="29"/>
      <c r="F2729" s="30">
        <f>[1]Source!AO2633</f>
        <v>843.28</v>
      </c>
      <c r="G2729" s="31" t="s">
        <v>37</v>
      </c>
      <c r="H2729" s="29">
        <f>[1]Source!AV2634</f>
        <v>1.087</v>
      </c>
      <c r="I2729" s="30">
        <f>[1]Source!S2633</f>
        <v>249.83</v>
      </c>
      <c r="J2729" s="29">
        <f>IF([1]Source!BA2634&lt;&gt; 0, [1]Source!BA2634, 1)</f>
        <v>56.35</v>
      </c>
      <c r="K2729" s="30">
        <f>[1]Source!S2634</f>
        <v>14077.92</v>
      </c>
    </row>
    <row r="2730" spans="1:29" ht="14.4" hidden="1" x14ac:dyDescent="0.25">
      <c r="A2730" s="27"/>
      <c r="B2730" s="27"/>
      <c r="C2730" s="27" t="s">
        <v>38</v>
      </c>
      <c r="D2730" s="28"/>
      <c r="E2730" s="29"/>
      <c r="F2730" s="30">
        <f>[1]Source!AM2633</f>
        <v>112.46</v>
      </c>
      <c r="G2730" s="31" t="s">
        <v>39</v>
      </c>
      <c r="H2730" s="29">
        <f>[1]Source!AV2634</f>
        <v>1.087</v>
      </c>
      <c r="I2730" s="30">
        <f>[1]Source!Q2633</f>
        <v>36.21</v>
      </c>
      <c r="J2730" s="29">
        <f>IF([1]Source!BB2634&lt;&gt; 0, [1]Source!BB2634, 1)</f>
        <v>16.559999999999999</v>
      </c>
      <c r="K2730" s="30">
        <f>[1]Source!Q2634</f>
        <v>599.64</v>
      </c>
    </row>
    <row r="2731" spans="1:29" ht="14.4" hidden="1" x14ac:dyDescent="0.25">
      <c r="A2731" s="27"/>
      <c r="B2731" s="27"/>
      <c r="C2731" s="27" t="s">
        <v>40</v>
      </c>
      <c r="D2731" s="28"/>
      <c r="E2731" s="29"/>
      <c r="F2731" s="30">
        <f>[1]Source!AN2633</f>
        <v>15.9</v>
      </c>
      <c r="G2731" s="31" t="s">
        <v>39</v>
      </c>
      <c r="H2731" s="29">
        <f>[1]Source!AV2634</f>
        <v>1.087</v>
      </c>
      <c r="I2731" s="33">
        <f>[1]Source!R2633</f>
        <v>5.12</v>
      </c>
      <c r="J2731" s="29">
        <f>IF([1]Source!BS2634&lt;&gt; 0, [1]Source!BS2634, 1)</f>
        <v>56.35</v>
      </c>
      <c r="K2731" s="33">
        <f>[1]Source!R2634</f>
        <v>288.51</v>
      </c>
    </row>
    <row r="2732" spans="1:29" ht="14.4" hidden="1" x14ac:dyDescent="0.25">
      <c r="A2732" s="27"/>
      <c r="B2732" s="27"/>
      <c r="C2732" s="27" t="s">
        <v>41</v>
      </c>
      <c r="D2732" s="28"/>
      <c r="E2732" s="29"/>
      <c r="F2732" s="30">
        <f>[1]Source!AL2633</f>
        <v>11.79</v>
      </c>
      <c r="G2732" s="31"/>
      <c r="H2732" s="29">
        <f>[1]Source!AW2634</f>
        <v>1</v>
      </c>
      <c r="I2732" s="30">
        <f>[1]Source!P2633</f>
        <v>2.33</v>
      </c>
      <c r="J2732" s="29">
        <f>IF([1]Source!BC2634&lt;&gt; 0, [1]Source!BC2634, 1)</f>
        <v>3.95</v>
      </c>
      <c r="K2732" s="30">
        <f>[1]Source!P2634</f>
        <v>9.1999999999999993</v>
      </c>
    </row>
    <row r="2733" spans="1:29" ht="14.4" hidden="1" x14ac:dyDescent="0.25">
      <c r="A2733" s="27"/>
      <c r="B2733" s="27"/>
      <c r="C2733" s="27" t="s">
        <v>42</v>
      </c>
      <c r="D2733" s="28" t="s">
        <v>43</v>
      </c>
      <c r="E2733" s="29">
        <f>[1]Source!BZ2634</f>
        <v>84</v>
      </c>
      <c r="F2733" s="30"/>
      <c r="G2733" s="31"/>
      <c r="H2733" s="29"/>
      <c r="I2733" s="30">
        <f>SUM(Q2727:Q2732)</f>
        <v>214.16</v>
      </c>
      <c r="J2733" s="29">
        <f>[1]Source!AT2634</f>
        <v>84</v>
      </c>
      <c r="K2733" s="30">
        <f>SUM(R2727:R2732)</f>
        <v>12067.8</v>
      </c>
    </row>
    <row r="2734" spans="1:29" ht="14.4" hidden="1" x14ac:dyDescent="0.25">
      <c r="A2734" s="27"/>
      <c r="B2734" s="27"/>
      <c r="C2734" s="27" t="s">
        <v>44</v>
      </c>
      <c r="D2734" s="28" t="s">
        <v>43</v>
      </c>
      <c r="E2734" s="29">
        <f>[1]Source!CA2634</f>
        <v>53</v>
      </c>
      <c r="F2734" s="30"/>
      <c r="G2734" s="31"/>
      <c r="H2734" s="29"/>
      <c r="I2734" s="30">
        <f>SUM(S2727:S2733)</f>
        <v>135.12</v>
      </c>
      <c r="J2734" s="29">
        <f>[1]Source!AU2634</f>
        <v>53</v>
      </c>
      <c r="K2734" s="30">
        <f>SUM(T2727:T2733)</f>
        <v>7614.21</v>
      </c>
    </row>
    <row r="2735" spans="1:29" ht="14.4" hidden="1" x14ac:dyDescent="0.25">
      <c r="A2735" s="34"/>
      <c r="B2735" s="34"/>
      <c r="C2735" s="34" t="s">
        <v>45</v>
      </c>
      <c r="D2735" s="35" t="s">
        <v>46</v>
      </c>
      <c r="E2735" s="36">
        <f>[1]Source!AQ2633</f>
        <v>54.86</v>
      </c>
      <c r="F2735" s="37"/>
      <c r="G2735" s="38" t="s">
        <v>37</v>
      </c>
      <c r="H2735" s="36">
        <f>[1]Source!AV2634</f>
        <v>1.087</v>
      </c>
      <c r="I2735" s="37">
        <f>[1]Source!U2633</f>
        <v>16.252925090999998</v>
      </c>
      <c r="J2735" s="36"/>
      <c r="K2735" s="37"/>
    </row>
    <row r="2736" spans="1:29" ht="13.8" hidden="1" x14ac:dyDescent="0.25">
      <c r="C2736" s="39" t="s">
        <v>47</v>
      </c>
      <c r="H2736" s="40">
        <f>I2729+I2730+I2732+I2733+I2734+0-0-0</f>
        <v>637.65</v>
      </c>
      <c r="I2736" s="40"/>
      <c r="J2736" s="40">
        <f>K2729+K2730+K2732+K2733+K2734+0-0-0</f>
        <v>34368.769999999997</v>
      </c>
      <c r="K2736" s="40"/>
    </row>
    <row r="2737" spans="1:29" ht="13.8" hidden="1" x14ac:dyDescent="0.25">
      <c r="C2737" s="39" t="s">
        <v>48</v>
      </c>
      <c r="H2737" s="41">
        <f>0+0</f>
        <v>0</v>
      </c>
      <c r="I2737" s="41"/>
      <c r="J2737" s="41">
        <f>0+0</f>
        <v>0</v>
      </c>
      <c r="K2737" s="41"/>
    </row>
    <row r="2738" spans="1:29" ht="13.8" hidden="1" x14ac:dyDescent="0.25">
      <c r="C2738" s="39" t="s">
        <v>49</v>
      </c>
      <c r="H2738" s="41">
        <f>I2729+I2730+I2732+I2733+I2734+0</f>
        <v>637.65</v>
      </c>
      <c r="I2738" s="41"/>
      <c r="J2738" s="41">
        <f>K2729+K2730+K2732+K2733+K2734+0</f>
        <v>34368.769999999997</v>
      </c>
      <c r="K2738" s="41"/>
      <c r="O2738" s="42">
        <f>I2729+I2730+I2732+I2733+I2734+0</f>
        <v>637.65</v>
      </c>
      <c r="P2738" s="42">
        <f>K2729+K2730+K2732+K2733+K2734+0</f>
        <v>34368.769999999997</v>
      </c>
    </row>
    <row r="2739" spans="1:29" hidden="1" x14ac:dyDescent="0.25"/>
    <row r="2740" spans="1:29" ht="55.2" hidden="1" x14ac:dyDescent="0.25">
      <c r="A2740" s="27">
        <v>297</v>
      </c>
      <c r="B2740" s="27" t="str">
        <f>[1]Source!F2635</f>
        <v>3.70-55-10</v>
      </c>
      <c r="C2740" s="27" t="s">
        <v>570</v>
      </c>
      <c r="D2740" s="28" t="str">
        <f>[1]Source!H2635</f>
        <v>100 м2</v>
      </c>
      <c r="E2740" s="29">
        <f>[1]Source!I2635</f>
        <v>3.15E-2</v>
      </c>
      <c r="F2740" s="30"/>
      <c r="G2740" s="31"/>
      <c r="H2740" s="29"/>
      <c r="I2740" s="30"/>
      <c r="J2740" s="29"/>
      <c r="K2740" s="30"/>
      <c r="Q2740">
        <f>[1]Source!X2635</f>
        <v>79.510000000000005</v>
      </c>
      <c r="R2740">
        <f>[1]Source!X2636</f>
        <v>4480.17</v>
      </c>
      <c r="S2740">
        <f>[1]Source!Y2635</f>
        <v>50.16</v>
      </c>
      <c r="T2740">
        <f>[1]Source!Y2636</f>
        <v>2826.77</v>
      </c>
      <c r="U2740">
        <f>ROUND((175/100)*ROUND([1]Source!R2635, 2), 2)</f>
        <v>1.19</v>
      </c>
      <c r="V2740">
        <f>ROUND((0/100)*ROUND([1]Source!R2636, 2), 2)</f>
        <v>0</v>
      </c>
      <c r="AC2740">
        <v>0</v>
      </c>
    </row>
    <row r="2741" spans="1:29" hidden="1" x14ac:dyDescent="0.25">
      <c r="C2741" s="32" t="str">
        <f>"Объем: "&amp;[1]Source!I2635&amp;"=((1,5*"&amp;"2,1)*"&amp;"1)/"&amp;"100"</f>
        <v>Объем: 0,0315=((1,5*2,1)*1)/100</v>
      </c>
    </row>
    <row r="2742" spans="1:29" ht="14.4" hidden="1" x14ac:dyDescent="0.25">
      <c r="A2742" s="27"/>
      <c r="B2742" s="27"/>
      <c r="C2742" s="27" t="s">
        <v>36</v>
      </c>
      <c r="D2742" s="28"/>
      <c r="E2742" s="29"/>
      <c r="F2742" s="30">
        <f>[1]Source!AO2635</f>
        <v>1988.67</v>
      </c>
      <c r="G2742" s="31" t="s">
        <v>37</v>
      </c>
      <c r="H2742" s="29">
        <f>[1]Source!AV2636</f>
        <v>1.087</v>
      </c>
      <c r="I2742" s="30">
        <f>[1]Source!S2635</f>
        <v>93.97</v>
      </c>
      <c r="J2742" s="29">
        <f>IF([1]Source!BA2636&lt;&gt; 0, [1]Source!BA2636, 1)</f>
        <v>56.35</v>
      </c>
      <c r="K2742" s="30">
        <f>[1]Source!S2636</f>
        <v>5295.21</v>
      </c>
    </row>
    <row r="2743" spans="1:29" ht="14.4" hidden="1" x14ac:dyDescent="0.25">
      <c r="A2743" s="27"/>
      <c r="B2743" s="27"/>
      <c r="C2743" s="27" t="s">
        <v>38</v>
      </c>
      <c r="D2743" s="28"/>
      <c r="E2743" s="29"/>
      <c r="F2743" s="30">
        <f>[1]Source!AM2635</f>
        <v>97.6</v>
      </c>
      <c r="G2743" s="31" t="s">
        <v>39</v>
      </c>
      <c r="H2743" s="29">
        <f>[1]Source!AV2636</f>
        <v>1.087</v>
      </c>
      <c r="I2743" s="30">
        <f>[1]Source!Q2635</f>
        <v>5.01</v>
      </c>
      <c r="J2743" s="29">
        <f>IF([1]Source!BB2636&lt;&gt; 0, [1]Source!BB2636, 1)</f>
        <v>16.28</v>
      </c>
      <c r="K2743" s="30">
        <f>[1]Source!Q2636</f>
        <v>81.56</v>
      </c>
    </row>
    <row r="2744" spans="1:29" ht="14.4" hidden="1" x14ac:dyDescent="0.25">
      <c r="A2744" s="27"/>
      <c r="B2744" s="27"/>
      <c r="C2744" s="27" t="s">
        <v>40</v>
      </c>
      <c r="D2744" s="28"/>
      <c r="E2744" s="29"/>
      <c r="F2744" s="30">
        <f>[1]Source!AN2635</f>
        <v>13.25</v>
      </c>
      <c r="G2744" s="31" t="s">
        <v>39</v>
      </c>
      <c r="H2744" s="29">
        <f>[1]Source!AV2636</f>
        <v>1.087</v>
      </c>
      <c r="I2744" s="33">
        <f>[1]Source!R2635</f>
        <v>0.68</v>
      </c>
      <c r="J2744" s="29">
        <f>IF([1]Source!BS2636&lt;&gt; 0, [1]Source!BS2636, 1)</f>
        <v>56.35</v>
      </c>
      <c r="K2744" s="33">
        <f>[1]Source!R2636</f>
        <v>38.32</v>
      </c>
    </row>
    <row r="2745" spans="1:29" ht="14.4" hidden="1" x14ac:dyDescent="0.25">
      <c r="A2745" s="27"/>
      <c r="B2745" s="27"/>
      <c r="C2745" s="27" t="s">
        <v>41</v>
      </c>
      <c r="D2745" s="28"/>
      <c r="E2745" s="29"/>
      <c r="F2745" s="30">
        <f>[1]Source!AL2635</f>
        <v>55.75</v>
      </c>
      <c r="G2745" s="31"/>
      <c r="H2745" s="29">
        <f>[1]Source!AW2636</f>
        <v>1</v>
      </c>
      <c r="I2745" s="30">
        <f>[1]Source!P2635</f>
        <v>1.76</v>
      </c>
      <c r="J2745" s="29">
        <f>IF([1]Source!BC2636&lt;&gt; 0, [1]Source!BC2636, 1)</f>
        <v>6.65</v>
      </c>
      <c r="K2745" s="30">
        <f>[1]Source!P2636</f>
        <v>11.7</v>
      </c>
    </row>
    <row r="2746" spans="1:29" ht="14.4" hidden="1" x14ac:dyDescent="0.25">
      <c r="A2746" s="27"/>
      <c r="B2746" s="27"/>
      <c r="C2746" s="27" t="s">
        <v>42</v>
      </c>
      <c r="D2746" s="28" t="s">
        <v>43</v>
      </c>
      <c r="E2746" s="29">
        <f>[1]Source!BZ2636</f>
        <v>84</v>
      </c>
      <c r="F2746" s="30"/>
      <c r="G2746" s="31"/>
      <c r="H2746" s="29"/>
      <c r="I2746" s="30">
        <f>SUM(Q2740:Q2745)</f>
        <v>79.510000000000005</v>
      </c>
      <c r="J2746" s="29">
        <f>[1]Source!AT2636</f>
        <v>84</v>
      </c>
      <c r="K2746" s="30">
        <f>SUM(R2740:R2745)</f>
        <v>4480.17</v>
      </c>
    </row>
    <row r="2747" spans="1:29" ht="14.4" hidden="1" x14ac:dyDescent="0.25">
      <c r="A2747" s="27"/>
      <c r="B2747" s="27"/>
      <c r="C2747" s="27" t="s">
        <v>44</v>
      </c>
      <c r="D2747" s="28" t="s">
        <v>43</v>
      </c>
      <c r="E2747" s="29">
        <f>[1]Source!CA2636</f>
        <v>53</v>
      </c>
      <c r="F2747" s="30"/>
      <c r="G2747" s="31"/>
      <c r="H2747" s="29"/>
      <c r="I2747" s="30">
        <f>SUM(S2740:S2746)</f>
        <v>50.16</v>
      </c>
      <c r="J2747" s="29">
        <f>[1]Source!AU2636</f>
        <v>53</v>
      </c>
      <c r="K2747" s="30">
        <f>SUM(T2740:T2746)</f>
        <v>2826.77</v>
      </c>
    </row>
    <row r="2748" spans="1:29" ht="14.4" hidden="1" x14ac:dyDescent="0.25">
      <c r="A2748" s="34"/>
      <c r="B2748" s="34"/>
      <c r="C2748" s="34" t="s">
        <v>45</v>
      </c>
      <c r="D2748" s="35" t="s">
        <v>46</v>
      </c>
      <c r="E2748" s="36">
        <f>[1]Source!AQ2635</f>
        <v>113.3</v>
      </c>
      <c r="F2748" s="37"/>
      <c r="G2748" s="38" t="s">
        <v>37</v>
      </c>
      <c r="H2748" s="36">
        <f>[1]Source!AV2636</f>
        <v>1.087</v>
      </c>
      <c r="I2748" s="37">
        <f>[1]Source!U2635</f>
        <v>5.353639137</v>
      </c>
      <c r="J2748" s="36"/>
      <c r="K2748" s="37"/>
    </row>
    <row r="2749" spans="1:29" ht="13.8" hidden="1" x14ac:dyDescent="0.25">
      <c r="C2749" s="39" t="s">
        <v>47</v>
      </c>
      <c r="H2749" s="40">
        <f>I2742+I2743+I2745+I2746+I2747+0-0-0</f>
        <v>230.41</v>
      </c>
      <c r="I2749" s="40"/>
      <c r="J2749" s="40">
        <f>K2742+K2743+K2745+K2746+K2747+0-0-0</f>
        <v>12695.41</v>
      </c>
      <c r="K2749" s="40"/>
    </row>
    <row r="2750" spans="1:29" ht="13.8" hidden="1" x14ac:dyDescent="0.25">
      <c r="C2750" s="39" t="s">
        <v>48</v>
      </c>
      <c r="H2750" s="41">
        <f>0+0</f>
        <v>0</v>
      </c>
      <c r="I2750" s="41"/>
      <c r="J2750" s="41">
        <f>0+0</f>
        <v>0</v>
      </c>
      <c r="K2750" s="41"/>
    </row>
    <row r="2751" spans="1:29" ht="13.8" hidden="1" x14ac:dyDescent="0.25">
      <c r="C2751" s="39" t="s">
        <v>49</v>
      </c>
      <c r="H2751" s="41">
        <f>I2742+I2743+I2745+I2746+I2747+0</f>
        <v>230.41</v>
      </c>
      <c r="I2751" s="41"/>
      <c r="J2751" s="41">
        <f>K2742+K2743+K2745+K2746+K2747+0</f>
        <v>12695.41</v>
      </c>
      <c r="K2751" s="41"/>
      <c r="O2751" s="42">
        <f>I2742+I2743+I2745+I2746+I2747+0</f>
        <v>230.41</v>
      </c>
      <c r="P2751" s="42">
        <f>K2742+K2743+K2745+K2746+K2747+0</f>
        <v>12695.41</v>
      </c>
    </row>
    <row r="2752" spans="1:29" hidden="1" x14ac:dyDescent="0.25"/>
    <row r="2753" spans="1:29" ht="345" x14ac:dyDescent="0.25">
      <c r="A2753" s="53">
        <v>298</v>
      </c>
      <c r="B2753" s="53" t="str">
        <f>[1]Source!F2637</f>
        <v>КА-179</v>
      </c>
      <c r="C2753" s="53" t="s">
        <v>572</v>
      </c>
      <c r="D2753" s="54"/>
      <c r="E2753" s="55"/>
      <c r="F2753" s="30"/>
      <c r="G2753" s="31"/>
      <c r="H2753" s="29"/>
      <c r="I2753" s="30"/>
      <c r="J2753" s="29"/>
      <c r="K2753" s="56"/>
      <c r="M2753" s="50">
        <f t="shared" ref="M2753:M2754" si="37">L2753*E2753</f>
        <v>0</v>
      </c>
      <c r="N2753" s="59" t="s">
        <v>180</v>
      </c>
    </row>
    <row r="2754" spans="1:29" ht="261" x14ac:dyDescent="0.25">
      <c r="A2754" s="46"/>
      <c r="B2754" s="46"/>
      <c r="C2754" s="46" t="s">
        <v>578</v>
      </c>
      <c r="D2754" s="47" t="str">
        <f>[1]Source!H2637</f>
        <v>м2</v>
      </c>
      <c r="E2754" s="48">
        <f>[1]Source!I2637</f>
        <v>22.9</v>
      </c>
      <c r="F2754" s="49">
        <f>[1]Source!AL2637</f>
        <v>3874.45</v>
      </c>
      <c r="G2754" s="60"/>
      <c r="H2754" s="48">
        <f>[1]Source!AW2638</f>
        <v>1</v>
      </c>
      <c r="I2754" s="49">
        <f>[1]Source!P2637</f>
        <v>88724.91</v>
      </c>
      <c r="J2754" s="48">
        <f>IF([1]Source!BC2638&lt;&gt; 0, [1]Source!BC2638, 1)</f>
        <v>9.84</v>
      </c>
      <c r="K2754" s="49">
        <f>[1]Source!P2638</f>
        <v>493963.57</v>
      </c>
      <c r="L2754">
        <v>25800</v>
      </c>
      <c r="M2754" s="50">
        <f t="shared" si="37"/>
        <v>590820</v>
      </c>
      <c r="N2754" s="59" t="s">
        <v>180</v>
      </c>
      <c r="Q2754">
        <f>[1]Source!X2637</f>
        <v>0</v>
      </c>
      <c r="R2754">
        <f>[1]Source!X2638</f>
        <v>0</v>
      </c>
      <c r="S2754">
        <f>[1]Source!Y2637</f>
        <v>0</v>
      </c>
      <c r="T2754">
        <f>[1]Source!Y2638</f>
        <v>0</v>
      </c>
      <c r="U2754">
        <f>ROUND((175/100)*ROUND([1]Source!R2637, 2), 2)</f>
        <v>0</v>
      </c>
      <c r="V2754">
        <f>ROUND((0/100)*ROUND([1]Source!R2638, 2), 2)</f>
        <v>0</v>
      </c>
      <c r="AC2754">
        <v>3</v>
      </c>
    </row>
    <row r="2755" spans="1:29" ht="13.8" hidden="1" x14ac:dyDescent="0.25">
      <c r="C2755" s="39" t="s">
        <v>49</v>
      </c>
      <c r="H2755" s="40">
        <f>I2754+0</f>
        <v>88724.91</v>
      </c>
      <c r="I2755" s="40"/>
      <c r="J2755" s="40">
        <f>K2754+0</f>
        <v>493963.57</v>
      </c>
      <c r="K2755" s="40"/>
      <c r="O2755" s="42">
        <f>I2754+0</f>
        <v>88724.91</v>
      </c>
      <c r="P2755" s="42">
        <f>K2754+0</f>
        <v>493963.57</v>
      </c>
    </row>
    <row r="2756" spans="1:29" hidden="1" x14ac:dyDescent="0.25"/>
    <row r="2757" spans="1:29" hidden="1" x14ac:dyDescent="0.25"/>
    <row r="2758" spans="1:29" ht="13.8" hidden="1" x14ac:dyDescent="0.25">
      <c r="A2758" s="44" t="str">
        <f>CONCATENATE("Итого по подразделу: ",IF([1]Source!G2640&lt;&gt;"Новый подраздел", [1]Source!G2640, ""))</f>
        <v>Итого по подразделу: ДВ-23-П  Витраж учебного кабинета</v>
      </c>
      <c r="B2758" s="44"/>
      <c r="C2758" s="44"/>
      <c r="D2758" s="44"/>
      <c r="E2758" s="44"/>
      <c r="F2758" s="44"/>
      <c r="G2758" s="44"/>
      <c r="H2758" s="41">
        <f>SUM(O2712:O2757)</f>
        <v>92468.07</v>
      </c>
      <c r="I2758" s="45"/>
      <c r="J2758" s="41">
        <f>SUM(P2712:P2757)</f>
        <v>680639.55</v>
      </c>
      <c r="K2758" s="45"/>
    </row>
    <row r="2759" spans="1:29" hidden="1" x14ac:dyDescent="0.25">
      <c r="A2759" t="s">
        <v>55</v>
      </c>
      <c r="I2759">
        <f>SUM(W2712:W2758)</f>
        <v>0</v>
      </c>
      <c r="J2759">
        <f>SUM(X2712:X2758)</f>
        <v>0</v>
      </c>
    </row>
    <row r="2760" spans="1:29" hidden="1" x14ac:dyDescent="0.25">
      <c r="A2760" t="s">
        <v>56</v>
      </c>
      <c r="I2760">
        <f>SUM(Y2712:Y2759)</f>
        <v>0</v>
      </c>
      <c r="J2760">
        <f>SUM(Z2712:Z2759)</f>
        <v>0</v>
      </c>
    </row>
    <row r="2761" spans="1:29" hidden="1" x14ac:dyDescent="0.25"/>
    <row r="2762" spans="1:29" ht="16.8" hidden="1" x14ac:dyDescent="0.25">
      <c r="A2762" s="11" t="str">
        <f>CONCATENATE("Подраздел: ",IF([1]Source!G2670&lt;&gt;"Новый подраздел", [1]Source!G2670, ""))</f>
        <v>Подраздел: ДВ-24-П  Витраж учебного кабинета</v>
      </c>
      <c r="B2762" s="11"/>
      <c r="C2762" s="11"/>
      <c r="D2762" s="11"/>
      <c r="E2762" s="11"/>
      <c r="F2762" s="11"/>
      <c r="G2762" s="11"/>
      <c r="H2762" s="11"/>
      <c r="I2762" s="11"/>
      <c r="J2762" s="11"/>
      <c r="K2762" s="11"/>
    </row>
    <row r="2763" spans="1:29" ht="41.4" hidden="1" x14ac:dyDescent="0.25">
      <c r="A2763" s="27">
        <v>299</v>
      </c>
      <c r="B2763" s="27" t="str">
        <f>[1]Source!F2674</f>
        <v>3.70-55-2</v>
      </c>
      <c r="C2763" s="27" t="s">
        <v>365</v>
      </c>
      <c r="D2763" s="28" t="str">
        <f>[1]Source!H2674</f>
        <v>100 м2</v>
      </c>
      <c r="E2763" s="29">
        <f>[1]Source!I2674</f>
        <v>0.115</v>
      </c>
      <c r="F2763" s="30"/>
      <c r="G2763" s="31"/>
      <c r="H2763" s="29"/>
      <c r="I2763" s="30"/>
      <c r="J2763" s="29"/>
      <c r="K2763" s="30"/>
      <c r="Q2763">
        <f>[1]Source!X2674</f>
        <v>433.1</v>
      </c>
      <c r="R2763">
        <f>[1]Source!X2675</f>
        <v>24405.42</v>
      </c>
      <c r="S2763">
        <f>[1]Source!Y2674</f>
        <v>273.27</v>
      </c>
      <c r="T2763">
        <f>[1]Source!Y2675</f>
        <v>15398.66</v>
      </c>
      <c r="U2763">
        <f>ROUND((175/100)*ROUND([1]Source!R2674, 2), 2)</f>
        <v>9.2799999999999994</v>
      </c>
      <c r="V2763">
        <f>ROUND((0/100)*ROUND([1]Source!R2675, 2), 2)</f>
        <v>0</v>
      </c>
      <c r="AC2763">
        <v>0</v>
      </c>
    </row>
    <row r="2764" spans="1:29" hidden="1" x14ac:dyDescent="0.25">
      <c r="C2764" s="32" t="str">
        <f>"Объем: "&amp;[1]Source!I2674&amp;"=11,5/"&amp;"100"</f>
        <v>Объем: 0,115=11,5/100</v>
      </c>
    </row>
    <row r="2765" spans="1:29" ht="14.4" hidden="1" x14ac:dyDescent="0.25">
      <c r="A2765" s="27"/>
      <c r="B2765" s="27"/>
      <c r="C2765" s="27" t="s">
        <v>36</v>
      </c>
      <c r="D2765" s="28"/>
      <c r="E2765" s="29"/>
      <c r="F2765" s="30">
        <f>[1]Source!AO2674</f>
        <v>2958.13</v>
      </c>
      <c r="G2765" s="31" t="s">
        <v>37</v>
      </c>
      <c r="H2765" s="29">
        <f>[1]Source!AV2675</f>
        <v>1.087</v>
      </c>
      <c r="I2765" s="30">
        <f>[1]Source!S2674</f>
        <v>510.3</v>
      </c>
      <c r="J2765" s="29">
        <f>IF([1]Source!BA2675&lt;&gt; 0, [1]Source!BA2675, 1)</f>
        <v>56.35</v>
      </c>
      <c r="K2765" s="30">
        <f>[1]Source!S2675</f>
        <v>28755.41</v>
      </c>
    </row>
    <row r="2766" spans="1:29" ht="14.4" hidden="1" x14ac:dyDescent="0.25">
      <c r="A2766" s="27"/>
      <c r="B2766" s="27"/>
      <c r="C2766" s="27" t="s">
        <v>38</v>
      </c>
      <c r="D2766" s="28"/>
      <c r="E2766" s="29"/>
      <c r="F2766" s="30">
        <f>[1]Source!AM2674</f>
        <v>243.71</v>
      </c>
      <c r="G2766" s="31" t="s">
        <v>39</v>
      </c>
      <c r="H2766" s="29">
        <f>[1]Source!AV2675</f>
        <v>1.087</v>
      </c>
      <c r="I2766" s="30">
        <f>[1]Source!Q2674</f>
        <v>45.7</v>
      </c>
      <c r="J2766" s="29">
        <f>IF([1]Source!BB2675&lt;&gt; 0, [1]Source!BB2675, 1)</f>
        <v>15.43</v>
      </c>
      <c r="K2766" s="30">
        <f>[1]Source!Q2675</f>
        <v>705.15</v>
      </c>
    </row>
    <row r="2767" spans="1:29" ht="14.4" hidden="1" x14ac:dyDescent="0.25">
      <c r="A2767" s="27"/>
      <c r="B2767" s="27"/>
      <c r="C2767" s="27" t="s">
        <v>40</v>
      </c>
      <c r="D2767" s="28"/>
      <c r="E2767" s="29"/>
      <c r="F2767" s="30">
        <f>[1]Source!AN2674</f>
        <v>28.27</v>
      </c>
      <c r="G2767" s="31" t="s">
        <v>39</v>
      </c>
      <c r="H2767" s="29">
        <f>[1]Source!AV2675</f>
        <v>1.087</v>
      </c>
      <c r="I2767" s="33">
        <f>[1]Source!R2674</f>
        <v>5.3</v>
      </c>
      <c r="J2767" s="29">
        <f>IF([1]Source!BS2675&lt;&gt; 0, [1]Source!BS2675, 1)</f>
        <v>56.35</v>
      </c>
      <c r="K2767" s="33">
        <f>[1]Source!R2675</f>
        <v>298.66000000000003</v>
      </c>
    </row>
    <row r="2768" spans="1:29" ht="14.4" hidden="1" x14ac:dyDescent="0.25">
      <c r="A2768" s="27"/>
      <c r="B2768" s="27"/>
      <c r="C2768" s="27" t="s">
        <v>41</v>
      </c>
      <c r="D2768" s="28"/>
      <c r="E2768" s="29"/>
      <c r="F2768" s="30">
        <f>[1]Source!AL2674</f>
        <v>1577.27</v>
      </c>
      <c r="G2768" s="31"/>
      <c r="H2768" s="29">
        <f>[1]Source!AW2675</f>
        <v>1</v>
      </c>
      <c r="I2768" s="30">
        <f>[1]Source!P2674</f>
        <v>181.39</v>
      </c>
      <c r="J2768" s="29">
        <f>IF([1]Source!BC2675&lt;&gt; 0, [1]Source!BC2675, 1)</f>
        <v>4.66</v>
      </c>
      <c r="K2768" s="30">
        <f>[1]Source!P2675</f>
        <v>845.28</v>
      </c>
    </row>
    <row r="2769" spans="1:29" ht="55.2" hidden="1" x14ac:dyDescent="0.25">
      <c r="A2769" s="27" t="s">
        <v>587</v>
      </c>
      <c r="B2769" s="27" t="str">
        <f>[1]Source!F2676</f>
        <v>1.7-1-105</v>
      </c>
      <c r="C2769" s="27" t="s">
        <v>576</v>
      </c>
      <c r="D2769" s="28" t="str">
        <f>[1]Source!H2676</f>
        <v>м</v>
      </c>
      <c r="E2769" s="29">
        <f>[1]Source!I2676</f>
        <v>4.646E-3</v>
      </c>
      <c r="F2769" s="30">
        <f>[1]Source!AK2676</f>
        <v>15.96</v>
      </c>
      <c r="G2769" s="43" t="s">
        <v>54</v>
      </c>
      <c r="H2769" s="29">
        <f>[1]Source!AW2677</f>
        <v>1</v>
      </c>
      <c r="I2769" s="30">
        <f>[1]Source!O2676</f>
        <v>7.0000000000000007E-2</v>
      </c>
      <c r="J2769" s="29">
        <f>IF([1]Source!BC2677&lt;&gt; 0, [1]Source!BC2677, 1)</f>
        <v>10.82</v>
      </c>
      <c r="K2769" s="30">
        <f>[1]Source!O2677</f>
        <v>0.76</v>
      </c>
      <c r="Q2769">
        <f>[1]Source!X2676</f>
        <v>0</v>
      </c>
      <c r="R2769">
        <f>[1]Source!X2677</f>
        <v>0</v>
      </c>
      <c r="S2769">
        <f>[1]Source!Y2676</f>
        <v>0</v>
      </c>
      <c r="T2769">
        <f>[1]Source!Y2677</f>
        <v>0</v>
      </c>
      <c r="U2769">
        <f>ROUND((175/100)*ROUND([1]Source!R2676, 2), 2)</f>
        <v>0</v>
      </c>
      <c r="V2769">
        <f>ROUND((0/100)*ROUND([1]Source!R2677, 2), 2)</f>
        <v>0</v>
      </c>
      <c r="AC2769">
        <v>3</v>
      </c>
    </row>
    <row r="2770" spans="1:29" ht="14.4" hidden="1" x14ac:dyDescent="0.25">
      <c r="A2770" s="27"/>
      <c r="B2770" s="27"/>
      <c r="C2770" s="27" t="s">
        <v>42</v>
      </c>
      <c r="D2770" s="28" t="s">
        <v>43</v>
      </c>
      <c r="E2770" s="29">
        <f>[1]Source!BZ2675</f>
        <v>84</v>
      </c>
      <c r="F2770" s="30"/>
      <c r="G2770" s="31"/>
      <c r="H2770" s="29"/>
      <c r="I2770" s="30">
        <f>SUM(Q2763:Q2769)</f>
        <v>433.1</v>
      </c>
      <c r="J2770" s="29">
        <f>[1]Source!AT2675</f>
        <v>84</v>
      </c>
      <c r="K2770" s="30">
        <f>SUM(R2763:R2769)</f>
        <v>24405.42</v>
      </c>
    </row>
    <row r="2771" spans="1:29" ht="14.4" hidden="1" x14ac:dyDescent="0.25">
      <c r="A2771" s="27"/>
      <c r="B2771" s="27"/>
      <c r="C2771" s="27" t="s">
        <v>44</v>
      </c>
      <c r="D2771" s="28" t="s">
        <v>43</v>
      </c>
      <c r="E2771" s="29">
        <f>[1]Source!CA2675</f>
        <v>53</v>
      </c>
      <c r="F2771" s="30"/>
      <c r="G2771" s="31"/>
      <c r="H2771" s="29"/>
      <c r="I2771" s="30">
        <f>SUM(S2763:S2770)</f>
        <v>273.27</v>
      </c>
      <c r="J2771" s="29">
        <f>[1]Source!AU2675</f>
        <v>53</v>
      </c>
      <c r="K2771" s="30">
        <f>SUM(T2763:T2770)</f>
        <v>15398.66</v>
      </c>
    </row>
    <row r="2772" spans="1:29" ht="14.4" hidden="1" x14ac:dyDescent="0.25">
      <c r="A2772" s="34"/>
      <c r="B2772" s="34"/>
      <c r="C2772" s="34" t="s">
        <v>45</v>
      </c>
      <c r="D2772" s="35" t="s">
        <v>46</v>
      </c>
      <c r="E2772" s="36">
        <f>[1]Source!AQ2674</f>
        <v>183.77</v>
      </c>
      <c r="F2772" s="37"/>
      <c r="G2772" s="38" t="s">
        <v>37</v>
      </c>
      <c r="H2772" s="36">
        <f>[1]Source!AV2675</f>
        <v>1.087</v>
      </c>
      <c r="I2772" s="37">
        <f>[1]Source!U2674</f>
        <v>31.701593013</v>
      </c>
      <c r="J2772" s="36"/>
      <c r="K2772" s="37"/>
    </row>
    <row r="2773" spans="1:29" ht="13.8" hidden="1" x14ac:dyDescent="0.25">
      <c r="C2773" s="39" t="s">
        <v>47</v>
      </c>
      <c r="H2773" s="40">
        <f>I2765+I2766+I2768+I2770+I2771+SUM(I2769:I2769)-SUMIF(AC2769:AC2769, 5, I2769:I2769)-SUMIF(AC2769:AC2769, 6, I2769:I2769)</f>
        <v>1443.83</v>
      </c>
      <c r="I2773" s="40"/>
      <c r="J2773" s="40">
        <f>K2765+K2766+K2768+K2770+K2771+SUM(K2769:K2769)-SUMIF(AC2769:AC2769, 5, K2769:K2769)-SUMIF(AC2769:AC2769, 6, K2769:K2769)</f>
        <v>70110.679999999993</v>
      </c>
      <c r="K2773" s="40"/>
    </row>
    <row r="2774" spans="1:29" ht="13.8" hidden="1" x14ac:dyDescent="0.25">
      <c r="C2774" s="39" t="s">
        <v>48</v>
      </c>
      <c r="H2774" s="41">
        <f>SUMIF(AC2769:AC2769, 5, I2769:I2769)+SUMIF(AC2769:AC2769, 6, I2769:I2769)</f>
        <v>0</v>
      </c>
      <c r="I2774" s="41"/>
      <c r="J2774" s="41">
        <f>SUMIF(AC2769:AC2769, 5, K2769:K2769)+SUMIF(AC2769:AC2769, 6, K2769:K2769)</f>
        <v>0</v>
      </c>
      <c r="K2774" s="41"/>
    </row>
    <row r="2775" spans="1:29" ht="13.8" hidden="1" x14ac:dyDescent="0.25">
      <c r="C2775" s="39" t="s">
        <v>49</v>
      </c>
      <c r="H2775" s="41">
        <f>I2765+I2766+I2768+I2770+I2771+SUM(I2769:I2769)</f>
        <v>1443.83</v>
      </c>
      <c r="I2775" s="41"/>
      <c r="J2775" s="41">
        <f>K2765+K2766+K2768+K2770+K2771+SUM(K2769:K2769)</f>
        <v>70110.679999999993</v>
      </c>
      <c r="K2775" s="41"/>
      <c r="O2775" s="42">
        <f>I2765+I2766+I2768+I2770+I2771+SUM(I2769:I2769)</f>
        <v>1443.83</v>
      </c>
      <c r="P2775" s="42">
        <f>K2765+K2766+K2768+K2770+K2771+SUM(K2769:K2769)</f>
        <v>70110.679999999993</v>
      </c>
    </row>
    <row r="2776" spans="1:29" hidden="1" x14ac:dyDescent="0.25"/>
    <row r="2777" spans="1:29" ht="55.2" hidden="1" x14ac:dyDescent="0.25">
      <c r="A2777" s="27">
        <v>300</v>
      </c>
      <c r="B2777" s="27" t="str">
        <f>[1]Source!F2678</f>
        <v>3.70-55-8</v>
      </c>
      <c r="C2777" s="27" t="s">
        <v>577</v>
      </c>
      <c r="D2777" s="28" t="str">
        <f>[1]Source!H2678</f>
        <v>100 м2</v>
      </c>
      <c r="E2777" s="29">
        <f>[1]Source!I2678</f>
        <v>8.3500000000000005E-2</v>
      </c>
      <c r="F2777" s="30"/>
      <c r="G2777" s="31"/>
      <c r="H2777" s="29"/>
      <c r="I2777" s="30"/>
      <c r="J2777" s="29"/>
      <c r="K2777" s="30"/>
      <c r="Q2777">
        <f>[1]Source!X2678</f>
        <v>90.54</v>
      </c>
      <c r="R2777">
        <f>[1]Source!X2679</f>
        <v>5102.13</v>
      </c>
      <c r="S2777">
        <f>[1]Source!Y2678</f>
        <v>57.13</v>
      </c>
      <c r="T2777">
        <f>[1]Source!Y2679</f>
        <v>3219.2</v>
      </c>
      <c r="U2777">
        <f>ROUND((175/100)*ROUND([1]Source!R2678, 2), 2)</f>
        <v>3.78</v>
      </c>
      <c r="V2777">
        <f>ROUND((0/100)*ROUND([1]Source!R2679, 2), 2)</f>
        <v>0</v>
      </c>
      <c r="AC2777">
        <v>0</v>
      </c>
    </row>
    <row r="2778" spans="1:29" hidden="1" x14ac:dyDescent="0.25">
      <c r="C2778" s="32" t="str">
        <f>"Объем: "&amp;[1]Source!I2678&amp;"=(11,5-"&amp;"3,15)/"&amp;"100"</f>
        <v>Объем: 0,0835=(11,5-3,15)/100</v>
      </c>
    </row>
    <row r="2779" spans="1:29" ht="14.4" hidden="1" x14ac:dyDescent="0.25">
      <c r="A2779" s="27"/>
      <c r="B2779" s="27"/>
      <c r="C2779" s="27" t="s">
        <v>36</v>
      </c>
      <c r="D2779" s="28"/>
      <c r="E2779" s="29"/>
      <c r="F2779" s="30">
        <f>[1]Source!AO2678</f>
        <v>843.28</v>
      </c>
      <c r="G2779" s="31" t="s">
        <v>37</v>
      </c>
      <c r="H2779" s="29">
        <f>[1]Source!AV2679</f>
        <v>1.087</v>
      </c>
      <c r="I2779" s="30">
        <f>[1]Source!S2678</f>
        <v>105.63</v>
      </c>
      <c r="J2779" s="29">
        <f>IF([1]Source!BA2679&lt;&gt; 0, [1]Source!BA2679, 1)</f>
        <v>56.35</v>
      </c>
      <c r="K2779" s="30">
        <f>[1]Source!S2679</f>
        <v>5952.25</v>
      </c>
    </row>
    <row r="2780" spans="1:29" ht="14.4" hidden="1" x14ac:dyDescent="0.25">
      <c r="A2780" s="27"/>
      <c r="B2780" s="27"/>
      <c r="C2780" s="27" t="s">
        <v>38</v>
      </c>
      <c r="D2780" s="28"/>
      <c r="E2780" s="29"/>
      <c r="F2780" s="30">
        <f>[1]Source!AM2678</f>
        <v>112.46</v>
      </c>
      <c r="G2780" s="31" t="s">
        <v>39</v>
      </c>
      <c r="H2780" s="29">
        <f>[1]Source!AV2679</f>
        <v>1.087</v>
      </c>
      <c r="I2780" s="30">
        <f>[1]Source!Q2678</f>
        <v>15.31</v>
      </c>
      <c r="J2780" s="29">
        <f>IF([1]Source!BB2679&lt;&gt; 0, [1]Source!BB2679, 1)</f>
        <v>16.559999999999999</v>
      </c>
      <c r="K2780" s="30">
        <f>[1]Source!Q2679</f>
        <v>253.53</v>
      </c>
    </row>
    <row r="2781" spans="1:29" ht="14.4" hidden="1" x14ac:dyDescent="0.25">
      <c r="A2781" s="27"/>
      <c r="B2781" s="27"/>
      <c r="C2781" s="27" t="s">
        <v>40</v>
      </c>
      <c r="D2781" s="28"/>
      <c r="E2781" s="29"/>
      <c r="F2781" s="30">
        <f>[1]Source!AN2678</f>
        <v>15.9</v>
      </c>
      <c r="G2781" s="31" t="s">
        <v>39</v>
      </c>
      <c r="H2781" s="29">
        <f>[1]Source!AV2679</f>
        <v>1.087</v>
      </c>
      <c r="I2781" s="33">
        <f>[1]Source!R2678</f>
        <v>2.16</v>
      </c>
      <c r="J2781" s="29">
        <f>IF([1]Source!BS2679&lt;&gt; 0, [1]Source!BS2679, 1)</f>
        <v>56.35</v>
      </c>
      <c r="K2781" s="33">
        <f>[1]Source!R2679</f>
        <v>121.72</v>
      </c>
    </row>
    <row r="2782" spans="1:29" ht="14.4" hidden="1" x14ac:dyDescent="0.25">
      <c r="A2782" s="27"/>
      <c r="B2782" s="27"/>
      <c r="C2782" s="27" t="s">
        <v>41</v>
      </c>
      <c r="D2782" s="28"/>
      <c r="E2782" s="29"/>
      <c r="F2782" s="30">
        <f>[1]Source!AL2678</f>
        <v>11.79</v>
      </c>
      <c r="G2782" s="31"/>
      <c r="H2782" s="29">
        <f>[1]Source!AW2679</f>
        <v>1</v>
      </c>
      <c r="I2782" s="30">
        <f>[1]Source!P2678</f>
        <v>0.98</v>
      </c>
      <c r="J2782" s="29">
        <f>IF([1]Source!BC2679&lt;&gt; 0, [1]Source!BC2679, 1)</f>
        <v>3.95</v>
      </c>
      <c r="K2782" s="30">
        <f>[1]Source!P2679</f>
        <v>3.87</v>
      </c>
    </row>
    <row r="2783" spans="1:29" ht="14.4" hidden="1" x14ac:dyDescent="0.25">
      <c r="A2783" s="27"/>
      <c r="B2783" s="27"/>
      <c r="C2783" s="27" t="s">
        <v>42</v>
      </c>
      <c r="D2783" s="28" t="s">
        <v>43</v>
      </c>
      <c r="E2783" s="29">
        <f>[1]Source!BZ2679</f>
        <v>84</v>
      </c>
      <c r="F2783" s="30"/>
      <c r="G2783" s="31"/>
      <c r="H2783" s="29"/>
      <c r="I2783" s="30">
        <f>SUM(Q2777:Q2782)</f>
        <v>90.54</v>
      </c>
      <c r="J2783" s="29">
        <f>[1]Source!AT2679</f>
        <v>84</v>
      </c>
      <c r="K2783" s="30">
        <f>SUM(R2777:R2782)</f>
        <v>5102.13</v>
      </c>
    </row>
    <row r="2784" spans="1:29" ht="14.4" hidden="1" x14ac:dyDescent="0.25">
      <c r="A2784" s="27"/>
      <c r="B2784" s="27"/>
      <c r="C2784" s="27" t="s">
        <v>44</v>
      </c>
      <c r="D2784" s="28" t="s">
        <v>43</v>
      </c>
      <c r="E2784" s="29">
        <f>[1]Source!CA2679</f>
        <v>53</v>
      </c>
      <c r="F2784" s="30"/>
      <c r="G2784" s="31"/>
      <c r="H2784" s="29"/>
      <c r="I2784" s="30">
        <f>SUM(S2777:S2783)</f>
        <v>57.13</v>
      </c>
      <c r="J2784" s="29">
        <f>[1]Source!AU2679</f>
        <v>53</v>
      </c>
      <c r="K2784" s="30">
        <f>SUM(T2777:T2783)</f>
        <v>3219.2</v>
      </c>
    </row>
    <row r="2785" spans="1:29" ht="14.4" hidden="1" x14ac:dyDescent="0.25">
      <c r="A2785" s="34"/>
      <c r="B2785" s="34"/>
      <c r="C2785" s="34" t="s">
        <v>45</v>
      </c>
      <c r="D2785" s="35" t="s">
        <v>46</v>
      </c>
      <c r="E2785" s="36">
        <f>[1]Source!AQ2678</f>
        <v>54.86</v>
      </c>
      <c r="F2785" s="37"/>
      <c r="G2785" s="38" t="s">
        <v>37</v>
      </c>
      <c r="H2785" s="36">
        <f>[1]Source!AV2679</f>
        <v>1.087</v>
      </c>
      <c r="I2785" s="37">
        <f>[1]Source!U2678</f>
        <v>6.8714898485999996</v>
      </c>
      <c r="J2785" s="36"/>
      <c r="K2785" s="37"/>
    </row>
    <row r="2786" spans="1:29" ht="13.8" hidden="1" x14ac:dyDescent="0.25">
      <c r="C2786" s="39" t="s">
        <v>47</v>
      </c>
      <c r="H2786" s="40">
        <f>I2779+I2780+I2782+I2783+I2784+0-0-0</f>
        <v>269.59000000000003</v>
      </c>
      <c r="I2786" s="40"/>
      <c r="J2786" s="40">
        <f>K2779+K2780+K2782+K2783+K2784+0-0-0</f>
        <v>14530.98</v>
      </c>
      <c r="K2786" s="40"/>
    </row>
    <row r="2787" spans="1:29" ht="13.8" hidden="1" x14ac:dyDescent="0.25">
      <c r="C2787" s="39" t="s">
        <v>48</v>
      </c>
      <c r="H2787" s="41">
        <f>0+0</f>
        <v>0</v>
      </c>
      <c r="I2787" s="41"/>
      <c r="J2787" s="41">
        <f>0+0</f>
        <v>0</v>
      </c>
      <c r="K2787" s="41"/>
    </row>
    <row r="2788" spans="1:29" ht="13.8" hidden="1" x14ac:dyDescent="0.25">
      <c r="C2788" s="39" t="s">
        <v>49</v>
      </c>
      <c r="H2788" s="41">
        <f>I2779+I2780+I2782+I2783+I2784+0</f>
        <v>269.59000000000003</v>
      </c>
      <c r="I2788" s="41"/>
      <c r="J2788" s="41">
        <f>K2779+K2780+K2782+K2783+K2784+0</f>
        <v>14530.98</v>
      </c>
      <c r="K2788" s="41"/>
      <c r="O2788" s="42">
        <f>I2779+I2780+I2782+I2783+I2784+0</f>
        <v>269.59000000000003</v>
      </c>
      <c r="P2788" s="42">
        <f>K2779+K2780+K2782+K2783+K2784+0</f>
        <v>14530.98</v>
      </c>
    </row>
    <row r="2789" spans="1:29" hidden="1" x14ac:dyDescent="0.25"/>
    <row r="2790" spans="1:29" ht="55.2" hidden="1" x14ac:dyDescent="0.25">
      <c r="A2790" s="27">
        <v>301</v>
      </c>
      <c r="B2790" s="27" t="str">
        <f>[1]Source!F2680</f>
        <v>3.70-55-10</v>
      </c>
      <c r="C2790" s="27" t="s">
        <v>570</v>
      </c>
      <c r="D2790" s="28" t="str">
        <f>[1]Source!H2680</f>
        <v>100 м2</v>
      </c>
      <c r="E2790" s="29">
        <f>[1]Source!I2680</f>
        <v>3.15E-2</v>
      </c>
      <c r="F2790" s="30"/>
      <c r="G2790" s="31"/>
      <c r="H2790" s="29"/>
      <c r="I2790" s="30"/>
      <c r="J2790" s="29"/>
      <c r="K2790" s="30"/>
      <c r="Q2790">
        <f>[1]Source!X2680</f>
        <v>79.510000000000005</v>
      </c>
      <c r="R2790">
        <f>[1]Source!X2681</f>
        <v>4480.17</v>
      </c>
      <c r="S2790">
        <f>[1]Source!Y2680</f>
        <v>50.16</v>
      </c>
      <c r="T2790">
        <f>[1]Source!Y2681</f>
        <v>2826.77</v>
      </c>
      <c r="U2790">
        <f>ROUND((175/100)*ROUND([1]Source!R2680, 2), 2)</f>
        <v>1.19</v>
      </c>
      <c r="V2790">
        <f>ROUND((0/100)*ROUND([1]Source!R2681, 2), 2)</f>
        <v>0</v>
      </c>
      <c r="AC2790">
        <v>0</v>
      </c>
    </row>
    <row r="2791" spans="1:29" hidden="1" x14ac:dyDescent="0.25">
      <c r="C2791" s="32" t="str">
        <f>"Объем: "&amp;[1]Source!I2680&amp;"=(1,5*"&amp;"2,1)/"&amp;"100"</f>
        <v>Объем: 0,0315=(1,5*2,1)/100</v>
      </c>
    </row>
    <row r="2792" spans="1:29" ht="14.4" hidden="1" x14ac:dyDescent="0.25">
      <c r="A2792" s="27"/>
      <c r="B2792" s="27"/>
      <c r="C2792" s="27" t="s">
        <v>36</v>
      </c>
      <c r="D2792" s="28"/>
      <c r="E2792" s="29"/>
      <c r="F2792" s="30">
        <f>[1]Source!AO2680</f>
        <v>1988.67</v>
      </c>
      <c r="G2792" s="31" t="s">
        <v>37</v>
      </c>
      <c r="H2792" s="29">
        <f>[1]Source!AV2681</f>
        <v>1.087</v>
      </c>
      <c r="I2792" s="30">
        <f>[1]Source!S2680</f>
        <v>93.97</v>
      </c>
      <c r="J2792" s="29">
        <f>IF([1]Source!BA2681&lt;&gt; 0, [1]Source!BA2681, 1)</f>
        <v>56.35</v>
      </c>
      <c r="K2792" s="30">
        <f>[1]Source!S2681</f>
        <v>5295.21</v>
      </c>
    </row>
    <row r="2793" spans="1:29" ht="14.4" hidden="1" x14ac:dyDescent="0.25">
      <c r="A2793" s="27"/>
      <c r="B2793" s="27"/>
      <c r="C2793" s="27" t="s">
        <v>38</v>
      </c>
      <c r="D2793" s="28"/>
      <c r="E2793" s="29"/>
      <c r="F2793" s="30">
        <f>[1]Source!AM2680</f>
        <v>97.6</v>
      </c>
      <c r="G2793" s="31" t="s">
        <v>39</v>
      </c>
      <c r="H2793" s="29">
        <f>[1]Source!AV2681</f>
        <v>1.087</v>
      </c>
      <c r="I2793" s="30">
        <f>[1]Source!Q2680</f>
        <v>5.01</v>
      </c>
      <c r="J2793" s="29">
        <f>IF([1]Source!BB2681&lt;&gt; 0, [1]Source!BB2681, 1)</f>
        <v>16.28</v>
      </c>
      <c r="K2793" s="30">
        <f>[1]Source!Q2681</f>
        <v>81.56</v>
      </c>
    </row>
    <row r="2794" spans="1:29" ht="14.4" hidden="1" x14ac:dyDescent="0.25">
      <c r="A2794" s="27"/>
      <c r="B2794" s="27"/>
      <c r="C2794" s="27" t="s">
        <v>40</v>
      </c>
      <c r="D2794" s="28"/>
      <c r="E2794" s="29"/>
      <c r="F2794" s="30">
        <f>[1]Source!AN2680</f>
        <v>13.25</v>
      </c>
      <c r="G2794" s="31" t="s">
        <v>39</v>
      </c>
      <c r="H2794" s="29">
        <f>[1]Source!AV2681</f>
        <v>1.087</v>
      </c>
      <c r="I2794" s="33">
        <f>[1]Source!R2680</f>
        <v>0.68</v>
      </c>
      <c r="J2794" s="29">
        <f>IF([1]Source!BS2681&lt;&gt; 0, [1]Source!BS2681, 1)</f>
        <v>56.35</v>
      </c>
      <c r="K2794" s="33">
        <f>[1]Source!R2681</f>
        <v>38.32</v>
      </c>
    </row>
    <row r="2795" spans="1:29" ht="14.4" hidden="1" x14ac:dyDescent="0.25">
      <c r="A2795" s="27"/>
      <c r="B2795" s="27"/>
      <c r="C2795" s="27" t="s">
        <v>41</v>
      </c>
      <c r="D2795" s="28"/>
      <c r="E2795" s="29"/>
      <c r="F2795" s="30">
        <f>[1]Source!AL2680</f>
        <v>55.75</v>
      </c>
      <c r="G2795" s="31"/>
      <c r="H2795" s="29">
        <f>[1]Source!AW2681</f>
        <v>1</v>
      </c>
      <c r="I2795" s="30">
        <f>[1]Source!P2680</f>
        <v>1.76</v>
      </c>
      <c r="J2795" s="29">
        <f>IF([1]Source!BC2681&lt;&gt; 0, [1]Source!BC2681, 1)</f>
        <v>6.65</v>
      </c>
      <c r="K2795" s="30">
        <f>[1]Source!P2681</f>
        <v>11.7</v>
      </c>
    </row>
    <row r="2796" spans="1:29" ht="14.4" hidden="1" x14ac:dyDescent="0.25">
      <c r="A2796" s="27"/>
      <c r="B2796" s="27"/>
      <c r="C2796" s="27" t="s">
        <v>42</v>
      </c>
      <c r="D2796" s="28" t="s">
        <v>43</v>
      </c>
      <c r="E2796" s="29">
        <f>[1]Source!BZ2681</f>
        <v>84</v>
      </c>
      <c r="F2796" s="30"/>
      <c r="G2796" s="31"/>
      <c r="H2796" s="29"/>
      <c r="I2796" s="30">
        <f>SUM(Q2790:Q2795)</f>
        <v>79.510000000000005</v>
      </c>
      <c r="J2796" s="29">
        <f>[1]Source!AT2681</f>
        <v>84</v>
      </c>
      <c r="K2796" s="30">
        <f>SUM(R2790:R2795)</f>
        <v>4480.17</v>
      </c>
    </row>
    <row r="2797" spans="1:29" ht="14.4" hidden="1" x14ac:dyDescent="0.25">
      <c r="A2797" s="27"/>
      <c r="B2797" s="27"/>
      <c r="C2797" s="27" t="s">
        <v>44</v>
      </c>
      <c r="D2797" s="28" t="s">
        <v>43</v>
      </c>
      <c r="E2797" s="29">
        <f>[1]Source!CA2681</f>
        <v>53</v>
      </c>
      <c r="F2797" s="30"/>
      <c r="G2797" s="31"/>
      <c r="H2797" s="29"/>
      <c r="I2797" s="30">
        <f>SUM(S2790:S2796)</f>
        <v>50.16</v>
      </c>
      <c r="J2797" s="29">
        <f>[1]Source!AU2681</f>
        <v>53</v>
      </c>
      <c r="K2797" s="30">
        <f>SUM(T2790:T2796)</f>
        <v>2826.77</v>
      </c>
    </row>
    <row r="2798" spans="1:29" ht="14.4" hidden="1" x14ac:dyDescent="0.25">
      <c r="A2798" s="34"/>
      <c r="B2798" s="34"/>
      <c r="C2798" s="34" t="s">
        <v>45</v>
      </c>
      <c r="D2798" s="35" t="s">
        <v>46</v>
      </c>
      <c r="E2798" s="36">
        <f>[1]Source!AQ2680</f>
        <v>113.3</v>
      </c>
      <c r="F2798" s="37"/>
      <c r="G2798" s="38" t="s">
        <v>37</v>
      </c>
      <c r="H2798" s="36">
        <f>[1]Source!AV2681</f>
        <v>1.087</v>
      </c>
      <c r="I2798" s="37">
        <f>[1]Source!U2680</f>
        <v>5.353639137</v>
      </c>
      <c r="J2798" s="36"/>
      <c r="K2798" s="37"/>
    </row>
    <row r="2799" spans="1:29" ht="13.8" hidden="1" x14ac:dyDescent="0.25">
      <c r="C2799" s="39" t="s">
        <v>47</v>
      </c>
      <c r="H2799" s="40">
        <f>I2792+I2793+I2795+I2796+I2797+0-0-0</f>
        <v>230.41</v>
      </c>
      <c r="I2799" s="40"/>
      <c r="J2799" s="40">
        <f>K2792+K2793+K2795+K2796+K2797+0-0-0</f>
        <v>12695.41</v>
      </c>
      <c r="K2799" s="40"/>
    </row>
    <row r="2800" spans="1:29" ht="13.8" hidden="1" x14ac:dyDescent="0.25">
      <c r="C2800" s="39" t="s">
        <v>48</v>
      </c>
      <c r="H2800" s="41">
        <f>0+0</f>
        <v>0</v>
      </c>
      <c r="I2800" s="41"/>
      <c r="J2800" s="41">
        <f>0+0</f>
        <v>0</v>
      </c>
      <c r="K2800" s="41"/>
    </row>
    <row r="2801" spans="1:29" ht="13.8" hidden="1" x14ac:dyDescent="0.25">
      <c r="C2801" s="39" t="s">
        <v>49</v>
      </c>
      <c r="H2801" s="41">
        <f>I2792+I2793+I2795+I2796+I2797+0</f>
        <v>230.41</v>
      </c>
      <c r="I2801" s="41"/>
      <c r="J2801" s="41">
        <f>K2792+K2793+K2795+K2796+K2797+0</f>
        <v>12695.41</v>
      </c>
      <c r="K2801" s="41"/>
      <c r="O2801" s="42">
        <f>I2792+I2793+I2795+I2796+I2797+0</f>
        <v>230.41</v>
      </c>
      <c r="P2801" s="42">
        <f>K2792+K2793+K2795+K2796+K2797+0</f>
        <v>12695.41</v>
      </c>
    </row>
    <row r="2802" spans="1:29" hidden="1" x14ac:dyDescent="0.25"/>
    <row r="2803" spans="1:29" ht="345" x14ac:dyDescent="0.25">
      <c r="A2803" s="53">
        <v>302</v>
      </c>
      <c r="B2803" s="53" t="str">
        <f>[1]Source!F2682</f>
        <v>КА-179</v>
      </c>
      <c r="C2803" s="53" t="s">
        <v>581</v>
      </c>
      <c r="D2803" s="54"/>
      <c r="E2803" s="55"/>
      <c r="F2803" s="30"/>
      <c r="G2803" s="31"/>
      <c r="H2803" s="29"/>
      <c r="I2803" s="30"/>
      <c r="J2803" s="29"/>
      <c r="K2803" s="56"/>
      <c r="M2803" s="50">
        <f t="shared" ref="M2803:M2804" si="38">L2803*E2803</f>
        <v>0</v>
      </c>
      <c r="N2803" s="59" t="s">
        <v>180</v>
      </c>
    </row>
    <row r="2804" spans="1:29" ht="261" x14ac:dyDescent="0.25">
      <c r="A2804" s="46"/>
      <c r="B2804" s="46"/>
      <c r="C2804" s="46" t="s">
        <v>578</v>
      </c>
      <c r="D2804" s="47" t="str">
        <f>[1]Source!H2682</f>
        <v>м2</v>
      </c>
      <c r="E2804" s="48">
        <f>[1]Source!I2682</f>
        <v>11.5</v>
      </c>
      <c r="F2804" s="49">
        <f>[1]Source!AL2682</f>
        <v>3874.45</v>
      </c>
      <c r="G2804" s="60"/>
      <c r="H2804" s="48">
        <f>[1]Source!AW2683</f>
        <v>1</v>
      </c>
      <c r="I2804" s="49">
        <f>[1]Source!P2682</f>
        <v>44556.18</v>
      </c>
      <c r="J2804" s="48">
        <f>IF([1]Source!BC2683&lt;&gt; 0, [1]Source!BC2683, 1)</f>
        <v>9.84</v>
      </c>
      <c r="K2804" s="49">
        <f>[1]Source!P2683</f>
        <v>248060.3</v>
      </c>
      <c r="L2804">
        <v>25800</v>
      </c>
      <c r="M2804" s="50">
        <f t="shared" si="38"/>
        <v>296700</v>
      </c>
      <c r="N2804" s="59" t="s">
        <v>180</v>
      </c>
      <c r="Q2804">
        <f>[1]Source!X2682</f>
        <v>0</v>
      </c>
      <c r="R2804">
        <f>[1]Source!X2683</f>
        <v>0</v>
      </c>
      <c r="S2804">
        <f>[1]Source!Y2682</f>
        <v>0</v>
      </c>
      <c r="T2804">
        <f>[1]Source!Y2683</f>
        <v>0</v>
      </c>
      <c r="U2804">
        <f>ROUND((175/100)*ROUND([1]Source!R2682, 2), 2)</f>
        <v>0</v>
      </c>
      <c r="V2804">
        <f>ROUND((0/100)*ROUND([1]Source!R2683, 2), 2)</f>
        <v>0</v>
      </c>
      <c r="AC2804">
        <v>3</v>
      </c>
    </row>
    <row r="2805" spans="1:29" ht="13.8" hidden="1" x14ac:dyDescent="0.25">
      <c r="C2805" s="39" t="s">
        <v>49</v>
      </c>
      <c r="H2805" s="40">
        <f>I2804+0</f>
        <v>44556.18</v>
      </c>
      <c r="I2805" s="40"/>
      <c r="J2805" s="40">
        <f>K2804+0</f>
        <v>248060.3</v>
      </c>
      <c r="K2805" s="40"/>
      <c r="O2805" s="42">
        <f>I2804+0</f>
        <v>44556.18</v>
      </c>
      <c r="P2805" s="42">
        <f>K2804+0</f>
        <v>248060.3</v>
      </c>
    </row>
    <row r="2806" spans="1:29" hidden="1" x14ac:dyDescent="0.25"/>
    <row r="2807" spans="1:29" hidden="1" x14ac:dyDescent="0.25"/>
    <row r="2808" spans="1:29" ht="13.8" hidden="1" x14ac:dyDescent="0.25">
      <c r="A2808" s="44" t="str">
        <f>CONCATENATE("Итого по подразделу: ",IF([1]Source!G2685&lt;&gt;"Новый подраздел", [1]Source!G2685, ""))</f>
        <v>Итого по подразделу: ДВ-24-П  Витраж учебного кабинета</v>
      </c>
      <c r="B2808" s="44"/>
      <c r="C2808" s="44"/>
      <c r="D2808" s="44"/>
      <c r="E2808" s="44"/>
      <c r="F2808" s="44"/>
      <c r="G2808" s="44"/>
      <c r="H2808" s="41">
        <f>SUM(O2762:O2807)</f>
        <v>46500.01</v>
      </c>
      <c r="I2808" s="45"/>
      <c r="J2808" s="41">
        <f>SUM(P2762:P2807)</f>
        <v>345397.37</v>
      </c>
      <c r="K2808" s="45"/>
    </row>
    <row r="2809" spans="1:29" hidden="1" x14ac:dyDescent="0.25">
      <c r="A2809" t="s">
        <v>55</v>
      </c>
      <c r="I2809">
        <f>SUM(W2762:W2808)</f>
        <v>0</v>
      </c>
      <c r="J2809">
        <f>SUM(X2762:X2808)</f>
        <v>0</v>
      </c>
    </row>
    <row r="2810" spans="1:29" hidden="1" x14ac:dyDescent="0.25">
      <c r="A2810" t="s">
        <v>56</v>
      </c>
      <c r="I2810">
        <f>SUM(Y2762:Y2809)</f>
        <v>0</v>
      </c>
      <c r="J2810">
        <f>SUM(Z2762:Z2809)</f>
        <v>0</v>
      </c>
    </row>
    <row r="2811" spans="1:29" hidden="1" x14ac:dyDescent="0.25"/>
    <row r="2812" spans="1:29" ht="16.8" hidden="1" x14ac:dyDescent="0.25">
      <c r="A2812" s="11" t="str">
        <f>CONCATENATE("Подраздел: ",IF([1]Source!G2715&lt;&gt;"Новый подраздел", [1]Source!G2715, ""))</f>
        <v>Подраздел: ДВ-25-П Витраж учебного кабинета (3 шт)</v>
      </c>
      <c r="B2812" s="11"/>
      <c r="C2812" s="11"/>
      <c r="D2812" s="11"/>
      <c r="E2812" s="11"/>
      <c r="F2812" s="11"/>
      <c r="G2812" s="11"/>
      <c r="H2812" s="11"/>
      <c r="I2812" s="11"/>
      <c r="J2812" s="11"/>
      <c r="K2812" s="11"/>
    </row>
    <row r="2813" spans="1:29" ht="41.4" hidden="1" x14ac:dyDescent="0.25">
      <c r="A2813" s="27">
        <v>303</v>
      </c>
      <c r="B2813" s="27" t="str">
        <f>[1]Source!F2719</f>
        <v>3.70-55-2</v>
      </c>
      <c r="C2813" s="27" t="s">
        <v>365</v>
      </c>
      <c r="D2813" s="28" t="str">
        <f>[1]Source!H2719</f>
        <v>100 м2</v>
      </c>
      <c r="E2813" s="29">
        <f>[1]Source!I2719</f>
        <v>0.39300000000000002</v>
      </c>
      <c r="F2813" s="30"/>
      <c r="G2813" s="31"/>
      <c r="H2813" s="29"/>
      <c r="I2813" s="30"/>
      <c r="J2813" s="29"/>
      <c r="K2813" s="30"/>
      <c r="Q2813">
        <f>[1]Source!X2719</f>
        <v>1480.09</v>
      </c>
      <c r="R2813">
        <f>[1]Source!X2720</f>
        <v>83402.98</v>
      </c>
      <c r="S2813">
        <f>[1]Source!Y2719</f>
        <v>933.87</v>
      </c>
      <c r="T2813">
        <f>[1]Source!Y2720</f>
        <v>52623.31</v>
      </c>
      <c r="U2813">
        <f>ROUND((175/100)*ROUND([1]Source!R2719, 2), 2)</f>
        <v>31.71</v>
      </c>
      <c r="V2813">
        <f>ROUND((0/100)*ROUND([1]Source!R2720, 2), 2)</f>
        <v>0</v>
      </c>
      <c r="AC2813">
        <v>0</v>
      </c>
    </row>
    <row r="2814" spans="1:29" hidden="1" x14ac:dyDescent="0.25">
      <c r="C2814" s="32" t="str">
        <f>"Объем: "&amp;[1]Source!I2719&amp;"=39,3/"&amp;"100"</f>
        <v>Объем: 0,393=39,3/100</v>
      </c>
    </row>
    <row r="2815" spans="1:29" ht="14.4" hidden="1" x14ac:dyDescent="0.25">
      <c r="A2815" s="27"/>
      <c r="B2815" s="27"/>
      <c r="C2815" s="27" t="s">
        <v>36</v>
      </c>
      <c r="D2815" s="28"/>
      <c r="E2815" s="29"/>
      <c r="F2815" s="30">
        <f>[1]Source!AO2719</f>
        <v>2958.13</v>
      </c>
      <c r="G2815" s="31" t="s">
        <v>37</v>
      </c>
      <c r="H2815" s="29">
        <f>[1]Source!AV2720</f>
        <v>1.087</v>
      </c>
      <c r="I2815" s="30">
        <f>[1]Source!S2719</f>
        <v>1743.89</v>
      </c>
      <c r="J2815" s="29">
        <f>IF([1]Source!BA2720&lt;&gt; 0, [1]Source!BA2720, 1)</f>
        <v>56.35</v>
      </c>
      <c r="K2815" s="30">
        <f>[1]Source!S2720</f>
        <v>98268.2</v>
      </c>
    </row>
    <row r="2816" spans="1:29" ht="14.4" hidden="1" x14ac:dyDescent="0.25">
      <c r="A2816" s="27"/>
      <c r="B2816" s="27"/>
      <c r="C2816" s="27" t="s">
        <v>38</v>
      </c>
      <c r="D2816" s="28"/>
      <c r="E2816" s="29"/>
      <c r="F2816" s="30">
        <f>[1]Source!AM2719</f>
        <v>243.71</v>
      </c>
      <c r="G2816" s="31" t="s">
        <v>39</v>
      </c>
      <c r="H2816" s="29">
        <f>[1]Source!AV2720</f>
        <v>1.087</v>
      </c>
      <c r="I2816" s="30">
        <f>[1]Source!Q2719</f>
        <v>156.16999999999999</v>
      </c>
      <c r="J2816" s="29">
        <f>IF([1]Source!BB2720&lt;&gt; 0, [1]Source!BB2720, 1)</f>
        <v>15.43</v>
      </c>
      <c r="K2816" s="30">
        <f>[1]Source!Q2720</f>
        <v>2409.6999999999998</v>
      </c>
    </row>
    <row r="2817" spans="1:29" ht="14.4" hidden="1" x14ac:dyDescent="0.25">
      <c r="A2817" s="27"/>
      <c r="B2817" s="27"/>
      <c r="C2817" s="27" t="s">
        <v>40</v>
      </c>
      <c r="D2817" s="28"/>
      <c r="E2817" s="29"/>
      <c r="F2817" s="30">
        <f>[1]Source!AN2719</f>
        <v>28.27</v>
      </c>
      <c r="G2817" s="31" t="s">
        <v>39</v>
      </c>
      <c r="H2817" s="29">
        <f>[1]Source!AV2720</f>
        <v>1.087</v>
      </c>
      <c r="I2817" s="33">
        <f>[1]Source!R2719</f>
        <v>18.12</v>
      </c>
      <c r="J2817" s="29">
        <f>IF([1]Source!BS2720&lt;&gt; 0, [1]Source!BS2720, 1)</f>
        <v>56.35</v>
      </c>
      <c r="K2817" s="33">
        <f>[1]Source!R2720</f>
        <v>1021.06</v>
      </c>
    </row>
    <row r="2818" spans="1:29" ht="14.4" hidden="1" x14ac:dyDescent="0.25">
      <c r="A2818" s="27"/>
      <c r="B2818" s="27"/>
      <c r="C2818" s="27" t="s">
        <v>41</v>
      </c>
      <c r="D2818" s="28"/>
      <c r="E2818" s="29"/>
      <c r="F2818" s="30">
        <f>[1]Source!AL2719</f>
        <v>1577.27</v>
      </c>
      <c r="G2818" s="31"/>
      <c r="H2818" s="29">
        <f>[1]Source!AW2720</f>
        <v>1</v>
      </c>
      <c r="I2818" s="30">
        <f>[1]Source!P2719</f>
        <v>619.87</v>
      </c>
      <c r="J2818" s="29">
        <f>IF([1]Source!BC2720&lt;&gt; 0, [1]Source!BC2720, 1)</f>
        <v>4.66</v>
      </c>
      <c r="K2818" s="30">
        <f>[1]Source!P2720</f>
        <v>2888.59</v>
      </c>
    </row>
    <row r="2819" spans="1:29" ht="55.2" hidden="1" x14ac:dyDescent="0.25">
      <c r="A2819" s="27" t="s">
        <v>588</v>
      </c>
      <c r="B2819" s="27" t="str">
        <f>[1]Source!F2721</f>
        <v>1.7-1-105</v>
      </c>
      <c r="C2819" s="27" t="s">
        <v>576</v>
      </c>
      <c r="D2819" s="28" t="str">
        <f>[1]Source!H2721</f>
        <v>м</v>
      </c>
      <c r="E2819" s="29">
        <f>[1]Source!I2721</f>
        <v>1.5876999999999999E-2</v>
      </c>
      <c r="F2819" s="30">
        <f>[1]Source!AK2721</f>
        <v>15.96</v>
      </c>
      <c r="G2819" s="43" t="s">
        <v>54</v>
      </c>
      <c r="H2819" s="29">
        <f>[1]Source!AW2722</f>
        <v>1</v>
      </c>
      <c r="I2819" s="30">
        <f>[1]Source!O2721</f>
        <v>0.25</v>
      </c>
      <c r="J2819" s="29">
        <f>IF([1]Source!BC2722&lt;&gt; 0, [1]Source!BC2722, 1)</f>
        <v>10.82</v>
      </c>
      <c r="K2819" s="30">
        <f>[1]Source!O2722</f>
        <v>2.71</v>
      </c>
      <c r="Q2819">
        <f>[1]Source!X2721</f>
        <v>0</v>
      </c>
      <c r="R2819">
        <f>[1]Source!X2722</f>
        <v>0</v>
      </c>
      <c r="S2819">
        <f>[1]Source!Y2721</f>
        <v>0</v>
      </c>
      <c r="T2819">
        <f>[1]Source!Y2722</f>
        <v>0</v>
      </c>
      <c r="U2819">
        <f>ROUND((175/100)*ROUND([1]Source!R2721, 2), 2)</f>
        <v>0</v>
      </c>
      <c r="V2819">
        <f>ROUND((0/100)*ROUND([1]Source!R2722, 2), 2)</f>
        <v>0</v>
      </c>
      <c r="AC2819">
        <v>3</v>
      </c>
    </row>
    <row r="2820" spans="1:29" ht="14.4" hidden="1" x14ac:dyDescent="0.25">
      <c r="A2820" s="27"/>
      <c r="B2820" s="27"/>
      <c r="C2820" s="27" t="s">
        <v>42</v>
      </c>
      <c r="D2820" s="28" t="s">
        <v>43</v>
      </c>
      <c r="E2820" s="29">
        <f>[1]Source!BZ2720</f>
        <v>84</v>
      </c>
      <c r="F2820" s="30"/>
      <c r="G2820" s="31"/>
      <c r="H2820" s="29"/>
      <c r="I2820" s="30">
        <f>SUM(Q2813:Q2819)</f>
        <v>1480.09</v>
      </c>
      <c r="J2820" s="29">
        <f>[1]Source!AT2720</f>
        <v>84</v>
      </c>
      <c r="K2820" s="30">
        <f>SUM(R2813:R2819)</f>
        <v>83402.98</v>
      </c>
    </row>
    <row r="2821" spans="1:29" ht="14.4" hidden="1" x14ac:dyDescent="0.25">
      <c r="A2821" s="27"/>
      <c r="B2821" s="27"/>
      <c r="C2821" s="27" t="s">
        <v>44</v>
      </c>
      <c r="D2821" s="28" t="s">
        <v>43</v>
      </c>
      <c r="E2821" s="29">
        <f>[1]Source!CA2720</f>
        <v>53</v>
      </c>
      <c r="F2821" s="30"/>
      <c r="G2821" s="31"/>
      <c r="H2821" s="29"/>
      <c r="I2821" s="30">
        <f>SUM(S2813:S2820)</f>
        <v>933.87</v>
      </c>
      <c r="J2821" s="29">
        <f>[1]Source!AU2720</f>
        <v>53</v>
      </c>
      <c r="K2821" s="30">
        <f>SUM(T2813:T2820)</f>
        <v>52623.31</v>
      </c>
    </row>
    <row r="2822" spans="1:29" ht="14.4" hidden="1" x14ac:dyDescent="0.25">
      <c r="A2822" s="34"/>
      <c r="B2822" s="34"/>
      <c r="C2822" s="34" t="s">
        <v>45</v>
      </c>
      <c r="D2822" s="35" t="s">
        <v>46</v>
      </c>
      <c r="E2822" s="36">
        <f>[1]Source!AQ2719</f>
        <v>183.77</v>
      </c>
      <c r="F2822" s="37"/>
      <c r="G2822" s="38" t="s">
        <v>37</v>
      </c>
      <c r="H2822" s="36">
        <f>[1]Source!AV2720</f>
        <v>1.087</v>
      </c>
      <c r="I2822" s="37">
        <f>[1]Source!U2719</f>
        <v>108.33674829659999</v>
      </c>
      <c r="J2822" s="36"/>
      <c r="K2822" s="37"/>
    </row>
    <row r="2823" spans="1:29" ht="13.8" hidden="1" x14ac:dyDescent="0.25">
      <c r="C2823" s="39" t="s">
        <v>47</v>
      </c>
      <c r="H2823" s="40">
        <f>I2815+I2816+I2818+I2820+I2821+SUM(I2819:I2819)-SUMIF(AC2819:AC2819, 5, I2819:I2819)-SUMIF(AC2819:AC2819, 6, I2819:I2819)</f>
        <v>4934.1400000000003</v>
      </c>
      <c r="I2823" s="40"/>
      <c r="J2823" s="40">
        <f>K2815+K2816+K2818+K2820+K2821+SUM(K2819:K2819)-SUMIF(AC2819:AC2819, 5, K2819:K2819)-SUMIF(AC2819:AC2819, 6, K2819:K2819)</f>
        <v>239595.48999999996</v>
      </c>
      <c r="K2823" s="40"/>
    </row>
    <row r="2824" spans="1:29" ht="13.8" hidden="1" x14ac:dyDescent="0.25">
      <c r="C2824" s="39" t="s">
        <v>48</v>
      </c>
      <c r="H2824" s="41">
        <f>SUMIF(AC2819:AC2819, 5, I2819:I2819)+SUMIF(AC2819:AC2819, 6, I2819:I2819)</f>
        <v>0</v>
      </c>
      <c r="I2824" s="41"/>
      <c r="J2824" s="41">
        <f>SUMIF(AC2819:AC2819, 5, K2819:K2819)+SUMIF(AC2819:AC2819, 6, K2819:K2819)</f>
        <v>0</v>
      </c>
      <c r="K2824" s="41"/>
    </row>
    <row r="2825" spans="1:29" ht="13.8" hidden="1" x14ac:dyDescent="0.25">
      <c r="C2825" s="39" t="s">
        <v>49</v>
      </c>
      <c r="H2825" s="41">
        <f>I2815+I2816+I2818+I2820+I2821+SUM(I2819:I2819)</f>
        <v>4934.1400000000003</v>
      </c>
      <c r="I2825" s="41"/>
      <c r="J2825" s="41">
        <f>K2815+K2816+K2818+K2820+K2821+SUM(K2819:K2819)</f>
        <v>239595.48999999996</v>
      </c>
      <c r="K2825" s="41"/>
      <c r="O2825" s="42">
        <f>I2815+I2816+I2818+I2820+I2821+SUM(I2819:I2819)</f>
        <v>4934.1400000000003</v>
      </c>
      <c r="P2825" s="42">
        <f>K2815+K2816+K2818+K2820+K2821+SUM(K2819:K2819)</f>
        <v>239595.48999999996</v>
      </c>
    </row>
    <row r="2826" spans="1:29" hidden="1" x14ac:dyDescent="0.25"/>
    <row r="2827" spans="1:29" ht="55.2" hidden="1" x14ac:dyDescent="0.25">
      <c r="A2827" s="27">
        <v>304</v>
      </c>
      <c r="B2827" s="27" t="str">
        <f>[1]Source!F2723</f>
        <v>3.70-55-8</v>
      </c>
      <c r="C2827" s="27" t="s">
        <v>577</v>
      </c>
      <c r="D2827" s="28" t="str">
        <f>[1]Source!H2723</f>
        <v>100 м2</v>
      </c>
      <c r="E2827" s="29">
        <f>[1]Source!I2723</f>
        <v>0.29849999999999999</v>
      </c>
      <c r="F2827" s="30"/>
      <c r="G2827" s="31"/>
      <c r="H2827" s="29"/>
      <c r="I2827" s="30"/>
      <c r="J2827" s="29"/>
      <c r="K2827" s="30"/>
      <c r="Q2827">
        <f>[1]Source!X2723</f>
        <v>323.68</v>
      </c>
      <c r="R2827">
        <f>[1]Source!X2724</f>
        <v>18239.21</v>
      </c>
      <c r="S2827">
        <f>[1]Source!Y2723</f>
        <v>204.22</v>
      </c>
      <c r="T2827">
        <f>[1]Source!Y2724</f>
        <v>11508.08</v>
      </c>
      <c r="U2827">
        <f>ROUND((175/100)*ROUND([1]Source!R2723, 2), 2)</f>
        <v>13.55</v>
      </c>
      <c r="V2827">
        <f>ROUND((0/100)*ROUND([1]Source!R2724, 2), 2)</f>
        <v>0</v>
      </c>
      <c r="AC2827">
        <v>0</v>
      </c>
    </row>
    <row r="2828" spans="1:29" hidden="1" x14ac:dyDescent="0.25">
      <c r="C2828" s="32" t="str">
        <f>"Объем: "&amp;[1]Source!I2723&amp;"=(39,3-"&amp;"9,45)/"&amp;"100"</f>
        <v>Объем: 0,2985=(39,3-9,45)/100</v>
      </c>
    </row>
    <row r="2829" spans="1:29" ht="14.4" hidden="1" x14ac:dyDescent="0.25">
      <c r="A2829" s="27"/>
      <c r="B2829" s="27"/>
      <c r="C2829" s="27" t="s">
        <v>36</v>
      </c>
      <c r="D2829" s="28"/>
      <c r="E2829" s="29"/>
      <c r="F2829" s="30">
        <f>[1]Source!AO2723</f>
        <v>843.28</v>
      </c>
      <c r="G2829" s="31" t="s">
        <v>37</v>
      </c>
      <c r="H2829" s="29">
        <f>[1]Source!AV2724</f>
        <v>1.087</v>
      </c>
      <c r="I2829" s="30">
        <f>[1]Source!S2723</f>
        <v>377.59</v>
      </c>
      <c r="J2829" s="29">
        <f>IF([1]Source!BA2724&lt;&gt; 0, [1]Source!BA2724, 1)</f>
        <v>56.35</v>
      </c>
      <c r="K2829" s="30">
        <f>[1]Source!S2724</f>
        <v>21277.200000000001</v>
      </c>
    </row>
    <row r="2830" spans="1:29" ht="14.4" hidden="1" x14ac:dyDescent="0.25">
      <c r="A2830" s="27"/>
      <c r="B2830" s="27"/>
      <c r="C2830" s="27" t="s">
        <v>38</v>
      </c>
      <c r="D2830" s="28"/>
      <c r="E2830" s="29"/>
      <c r="F2830" s="30">
        <f>[1]Source!AM2723</f>
        <v>112.46</v>
      </c>
      <c r="G2830" s="31" t="s">
        <v>39</v>
      </c>
      <c r="H2830" s="29">
        <f>[1]Source!AV2724</f>
        <v>1.087</v>
      </c>
      <c r="I2830" s="30">
        <f>[1]Source!Q2723</f>
        <v>54.73</v>
      </c>
      <c r="J2830" s="29">
        <f>IF([1]Source!BB2724&lt;&gt; 0, [1]Source!BB2724, 1)</f>
        <v>16.559999999999999</v>
      </c>
      <c r="K2830" s="30">
        <f>[1]Source!Q2724</f>
        <v>906.33</v>
      </c>
    </row>
    <row r="2831" spans="1:29" ht="14.4" hidden="1" x14ac:dyDescent="0.25">
      <c r="A2831" s="27"/>
      <c r="B2831" s="27"/>
      <c r="C2831" s="27" t="s">
        <v>40</v>
      </c>
      <c r="D2831" s="28"/>
      <c r="E2831" s="29"/>
      <c r="F2831" s="30">
        <f>[1]Source!AN2723</f>
        <v>15.9</v>
      </c>
      <c r="G2831" s="31" t="s">
        <v>39</v>
      </c>
      <c r="H2831" s="29">
        <f>[1]Source!AV2724</f>
        <v>1.087</v>
      </c>
      <c r="I2831" s="33">
        <f>[1]Source!R2723</f>
        <v>7.74</v>
      </c>
      <c r="J2831" s="29">
        <f>IF([1]Source!BS2724&lt;&gt; 0, [1]Source!BS2724, 1)</f>
        <v>56.35</v>
      </c>
      <c r="K2831" s="33">
        <f>[1]Source!R2724</f>
        <v>436.15</v>
      </c>
    </row>
    <row r="2832" spans="1:29" ht="14.4" hidden="1" x14ac:dyDescent="0.25">
      <c r="A2832" s="27"/>
      <c r="B2832" s="27"/>
      <c r="C2832" s="27" t="s">
        <v>41</v>
      </c>
      <c r="D2832" s="28"/>
      <c r="E2832" s="29"/>
      <c r="F2832" s="30">
        <f>[1]Source!AL2723</f>
        <v>11.79</v>
      </c>
      <c r="G2832" s="31"/>
      <c r="H2832" s="29">
        <f>[1]Source!AW2724</f>
        <v>1</v>
      </c>
      <c r="I2832" s="30">
        <f>[1]Source!P2723</f>
        <v>3.52</v>
      </c>
      <c r="J2832" s="29">
        <f>IF([1]Source!BC2724&lt;&gt; 0, [1]Source!BC2724, 1)</f>
        <v>3.95</v>
      </c>
      <c r="K2832" s="30">
        <f>[1]Source!P2724</f>
        <v>13.9</v>
      </c>
    </row>
    <row r="2833" spans="1:29" ht="14.4" hidden="1" x14ac:dyDescent="0.25">
      <c r="A2833" s="27"/>
      <c r="B2833" s="27"/>
      <c r="C2833" s="27" t="s">
        <v>42</v>
      </c>
      <c r="D2833" s="28" t="s">
        <v>43</v>
      </c>
      <c r="E2833" s="29">
        <f>[1]Source!BZ2724</f>
        <v>84</v>
      </c>
      <c r="F2833" s="30"/>
      <c r="G2833" s="31"/>
      <c r="H2833" s="29"/>
      <c r="I2833" s="30">
        <f>SUM(Q2827:Q2832)</f>
        <v>323.68</v>
      </c>
      <c r="J2833" s="29">
        <f>[1]Source!AT2724</f>
        <v>84</v>
      </c>
      <c r="K2833" s="30">
        <f>SUM(R2827:R2832)</f>
        <v>18239.21</v>
      </c>
    </row>
    <row r="2834" spans="1:29" ht="14.4" hidden="1" x14ac:dyDescent="0.25">
      <c r="A2834" s="27"/>
      <c r="B2834" s="27"/>
      <c r="C2834" s="27" t="s">
        <v>44</v>
      </c>
      <c r="D2834" s="28" t="s">
        <v>43</v>
      </c>
      <c r="E2834" s="29">
        <f>[1]Source!CA2724</f>
        <v>53</v>
      </c>
      <c r="F2834" s="30"/>
      <c r="G2834" s="31"/>
      <c r="H2834" s="29"/>
      <c r="I2834" s="30">
        <f>SUM(S2827:S2833)</f>
        <v>204.22</v>
      </c>
      <c r="J2834" s="29">
        <f>[1]Source!AU2724</f>
        <v>53</v>
      </c>
      <c r="K2834" s="30">
        <f>SUM(T2827:T2833)</f>
        <v>11508.08</v>
      </c>
    </row>
    <row r="2835" spans="1:29" ht="14.4" hidden="1" x14ac:dyDescent="0.25">
      <c r="A2835" s="34"/>
      <c r="B2835" s="34"/>
      <c r="C2835" s="34" t="s">
        <v>45</v>
      </c>
      <c r="D2835" s="35" t="s">
        <v>46</v>
      </c>
      <c r="E2835" s="36">
        <f>[1]Source!AQ2723</f>
        <v>54.86</v>
      </c>
      <c r="F2835" s="37"/>
      <c r="G2835" s="38" t="s">
        <v>37</v>
      </c>
      <c r="H2835" s="36">
        <f>[1]Source!AV2724</f>
        <v>1.087</v>
      </c>
      <c r="I2835" s="37">
        <f>[1]Source!U2723</f>
        <v>24.564547542599996</v>
      </c>
      <c r="J2835" s="36"/>
      <c r="K2835" s="37"/>
    </row>
    <row r="2836" spans="1:29" ht="13.8" hidden="1" x14ac:dyDescent="0.25">
      <c r="C2836" s="39" t="s">
        <v>47</v>
      </c>
      <c r="H2836" s="40">
        <f>I2829+I2830+I2832+I2833+I2834+0-0-0</f>
        <v>963.74</v>
      </c>
      <c r="I2836" s="40"/>
      <c r="J2836" s="40">
        <f>K2829+K2830+K2832+K2833+K2834+0-0-0</f>
        <v>51944.72</v>
      </c>
      <c r="K2836" s="40"/>
    </row>
    <row r="2837" spans="1:29" ht="13.8" hidden="1" x14ac:dyDescent="0.25">
      <c r="C2837" s="39" t="s">
        <v>48</v>
      </c>
      <c r="H2837" s="41">
        <f>0+0</f>
        <v>0</v>
      </c>
      <c r="I2837" s="41"/>
      <c r="J2837" s="41">
        <f>0+0</f>
        <v>0</v>
      </c>
      <c r="K2837" s="41"/>
    </row>
    <row r="2838" spans="1:29" ht="13.8" hidden="1" x14ac:dyDescent="0.25">
      <c r="C2838" s="39" t="s">
        <v>49</v>
      </c>
      <c r="H2838" s="41">
        <f>I2829+I2830+I2832+I2833+I2834+0</f>
        <v>963.74</v>
      </c>
      <c r="I2838" s="41"/>
      <c r="J2838" s="41">
        <f>K2829+K2830+K2832+K2833+K2834+0</f>
        <v>51944.72</v>
      </c>
      <c r="K2838" s="41"/>
      <c r="O2838" s="42">
        <f>I2829+I2830+I2832+I2833+I2834+0</f>
        <v>963.74</v>
      </c>
      <c r="P2838" s="42">
        <f>K2829+K2830+K2832+K2833+K2834+0</f>
        <v>51944.72</v>
      </c>
    </row>
    <row r="2839" spans="1:29" hidden="1" x14ac:dyDescent="0.25"/>
    <row r="2840" spans="1:29" ht="55.2" hidden="1" x14ac:dyDescent="0.25">
      <c r="A2840" s="27">
        <v>305</v>
      </c>
      <c r="B2840" s="27" t="str">
        <f>[1]Source!F2725</f>
        <v>3.70-55-10</v>
      </c>
      <c r="C2840" s="27" t="s">
        <v>570</v>
      </c>
      <c r="D2840" s="28" t="str">
        <f>[1]Source!H2725</f>
        <v>100 м2</v>
      </c>
      <c r="E2840" s="29">
        <f>[1]Source!I2725</f>
        <v>9.4500000000000001E-2</v>
      </c>
      <c r="F2840" s="30"/>
      <c r="G2840" s="31"/>
      <c r="H2840" s="29"/>
      <c r="I2840" s="30"/>
      <c r="J2840" s="29"/>
      <c r="K2840" s="30"/>
      <c r="Q2840">
        <f>[1]Source!X2725</f>
        <v>238.52</v>
      </c>
      <c r="R2840">
        <f>[1]Source!X2726</f>
        <v>13440.49</v>
      </c>
      <c r="S2840">
        <f>[1]Source!Y2725</f>
        <v>150.49</v>
      </c>
      <c r="T2840">
        <f>[1]Source!Y2726</f>
        <v>8480.31</v>
      </c>
      <c r="U2840">
        <f>ROUND((175/100)*ROUND([1]Source!R2725, 2), 2)</f>
        <v>3.57</v>
      </c>
      <c r="V2840">
        <f>ROUND((0/100)*ROUND([1]Source!R2726, 2), 2)</f>
        <v>0</v>
      </c>
      <c r="AC2840">
        <v>0</v>
      </c>
    </row>
    <row r="2841" spans="1:29" hidden="1" x14ac:dyDescent="0.25">
      <c r="C2841" s="32" t="str">
        <f>"Объем: "&amp;[1]Source!I2725&amp;"=((1,5*"&amp;"2,1)*"&amp;"3)/"&amp;"100"</f>
        <v>Объем: 0,0945=((1,5*2,1)*3)/100</v>
      </c>
    </row>
    <row r="2842" spans="1:29" ht="14.4" hidden="1" x14ac:dyDescent="0.25">
      <c r="A2842" s="27"/>
      <c r="B2842" s="27"/>
      <c r="C2842" s="27" t="s">
        <v>36</v>
      </c>
      <c r="D2842" s="28"/>
      <c r="E2842" s="29"/>
      <c r="F2842" s="30">
        <f>[1]Source!AO2725</f>
        <v>1988.67</v>
      </c>
      <c r="G2842" s="31" t="s">
        <v>37</v>
      </c>
      <c r="H2842" s="29">
        <f>[1]Source!AV2726</f>
        <v>1.087</v>
      </c>
      <c r="I2842" s="30">
        <f>[1]Source!S2725</f>
        <v>281.91000000000003</v>
      </c>
      <c r="J2842" s="29">
        <f>IF([1]Source!BA2726&lt;&gt; 0, [1]Source!BA2726, 1)</f>
        <v>56.35</v>
      </c>
      <c r="K2842" s="30">
        <f>[1]Source!S2726</f>
        <v>15885.63</v>
      </c>
    </row>
    <row r="2843" spans="1:29" ht="14.4" hidden="1" x14ac:dyDescent="0.25">
      <c r="A2843" s="27"/>
      <c r="B2843" s="27"/>
      <c r="C2843" s="27" t="s">
        <v>38</v>
      </c>
      <c r="D2843" s="28"/>
      <c r="E2843" s="29"/>
      <c r="F2843" s="30">
        <f>[1]Source!AM2725</f>
        <v>97.6</v>
      </c>
      <c r="G2843" s="31" t="s">
        <v>39</v>
      </c>
      <c r="H2843" s="29">
        <f>[1]Source!AV2726</f>
        <v>1.087</v>
      </c>
      <c r="I2843" s="30">
        <f>[1]Source!Q2725</f>
        <v>15.04</v>
      </c>
      <c r="J2843" s="29">
        <f>IF([1]Source!BB2726&lt;&gt; 0, [1]Source!BB2726, 1)</f>
        <v>16.28</v>
      </c>
      <c r="K2843" s="30">
        <f>[1]Source!Q2726</f>
        <v>244.85</v>
      </c>
    </row>
    <row r="2844" spans="1:29" ht="14.4" hidden="1" x14ac:dyDescent="0.25">
      <c r="A2844" s="27"/>
      <c r="B2844" s="27"/>
      <c r="C2844" s="27" t="s">
        <v>40</v>
      </c>
      <c r="D2844" s="28"/>
      <c r="E2844" s="29"/>
      <c r="F2844" s="30">
        <f>[1]Source!AN2725</f>
        <v>13.25</v>
      </c>
      <c r="G2844" s="31" t="s">
        <v>39</v>
      </c>
      <c r="H2844" s="29">
        <f>[1]Source!AV2726</f>
        <v>1.087</v>
      </c>
      <c r="I2844" s="33">
        <f>[1]Source!R2725</f>
        <v>2.04</v>
      </c>
      <c r="J2844" s="29">
        <f>IF([1]Source!BS2726&lt;&gt; 0, [1]Source!BS2726, 1)</f>
        <v>56.35</v>
      </c>
      <c r="K2844" s="33">
        <f>[1]Source!R2726</f>
        <v>114.95</v>
      </c>
    </row>
    <row r="2845" spans="1:29" ht="14.4" hidden="1" x14ac:dyDescent="0.25">
      <c r="A2845" s="27"/>
      <c r="B2845" s="27"/>
      <c r="C2845" s="27" t="s">
        <v>41</v>
      </c>
      <c r="D2845" s="28"/>
      <c r="E2845" s="29"/>
      <c r="F2845" s="30">
        <f>[1]Source!AL2725</f>
        <v>55.75</v>
      </c>
      <c r="G2845" s="31"/>
      <c r="H2845" s="29">
        <f>[1]Source!AW2726</f>
        <v>1</v>
      </c>
      <c r="I2845" s="30">
        <f>[1]Source!P2725</f>
        <v>5.27</v>
      </c>
      <c r="J2845" s="29">
        <f>IF([1]Source!BC2726&lt;&gt; 0, [1]Source!BC2726, 1)</f>
        <v>6.65</v>
      </c>
      <c r="K2845" s="30">
        <f>[1]Source!P2726</f>
        <v>35.049999999999997</v>
      </c>
    </row>
    <row r="2846" spans="1:29" ht="14.4" hidden="1" x14ac:dyDescent="0.25">
      <c r="A2846" s="27"/>
      <c r="B2846" s="27"/>
      <c r="C2846" s="27" t="s">
        <v>42</v>
      </c>
      <c r="D2846" s="28" t="s">
        <v>43</v>
      </c>
      <c r="E2846" s="29">
        <f>[1]Source!BZ2726</f>
        <v>84</v>
      </c>
      <c r="F2846" s="30"/>
      <c r="G2846" s="31"/>
      <c r="H2846" s="29"/>
      <c r="I2846" s="30">
        <f>SUM(Q2840:Q2845)</f>
        <v>238.52</v>
      </c>
      <c r="J2846" s="29">
        <f>[1]Source!AT2726</f>
        <v>84</v>
      </c>
      <c r="K2846" s="30">
        <f>SUM(R2840:R2845)</f>
        <v>13440.49</v>
      </c>
    </row>
    <row r="2847" spans="1:29" ht="14.4" hidden="1" x14ac:dyDescent="0.25">
      <c r="A2847" s="27"/>
      <c r="B2847" s="27"/>
      <c r="C2847" s="27" t="s">
        <v>44</v>
      </c>
      <c r="D2847" s="28" t="s">
        <v>43</v>
      </c>
      <c r="E2847" s="29">
        <f>[1]Source!CA2726</f>
        <v>53</v>
      </c>
      <c r="F2847" s="30"/>
      <c r="G2847" s="31"/>
      <c r="H2847" s="29"/>
      <c r="I2847" s="30">
        <f>SUM(S2840:S2846)</f>
        <v>150.49</v>
      </c>
      <c r="J2847" s="29">
        <f>[1]Source!AU2726</f>
        <v>53</v>
      </c>
      <c r="K2847" s="30">
        <f>SUM(T2840:T2846)</f>
        <v>8480.31</v>
      </c>
    </row>
    <row r="2848" spans="1:29" ht="14.4" hidden="1" x14ac:dyDescent="0.25">
      <c r="A2848" s="34"/>
      <c r="B2848" s="34"/>
      <c r="C2848" s="34" t="s">
        <v>45</v>
      </c>
      <c r="D2848" s="35" t="s">
        <v>46</v>
      </c>
      <c r="E2848" s="36">
        <f>[1]Source!AQ2725</f>
        <v>113.3</v>
      </c>
      <c r="F2848" s="37"/>
      <c r="G2848" s="38" t="s">
        <v>37</v>
      </c>
      <c r="H2848" s="36">
        <f>[1]Source!AV2726</f>
        <v>1.087</v>
      </c>
      <c r="I2848" s="37">
        <f>[1]Source!U2725</f>
        <v>16.060917410999998</v>
      </c>
      <c r="J2848" s="36"/>
      <c r="K2848" s="37"/>
    </row>
    <row r="2849" spans="1:29" ht="13.8" hidden="1" x14ac:dyDescent="0.25">
      <c r="C2849" s="39" t="s">
        <v>47</v>
      </c>
      <c r="H2849" s="40">
        <f>I2842+I2843+I2845+I2846+I2847+0-0-0</f>
        <v>691.23</v>
      </c>
      <c r="I2849" s="40"/>
      <c r="J2849" s="40">
        <f>K2842+K2843+K2845+K2846+K2847+0-0-0</f>
        <v>38086.329999999994</v>
      </c>
      <c r="K2849" s="40"/>
    </row>
    <row r="2850" spans="1:29" ht="13.8" hidden="1" x14ac:dyDescent="0.25">
      <c r="C2850" s="39" t="s">
        <v>48</v>
      </c>
      <c r="H2850" s="41">
        <f>0+0</f>
        <v>0</v>
      </c>
      <c r="I2850" s="41"/>
      <c r="J2850" s="41">
        <f>0+0</f>
        <v>0</v>
      </c>
      <c r="K2850" s="41"/>
    </row>
    <row r="2851" spans="1:29" ht="13.8" hidden="1" x14ac:dyDescent="0.25">
      <c r="C2851" s="39" t="s">
        <v>49</v>
      </c>
      <c r="H2851" s="41">
        <f>I2842+I2843+I2845+I2846+I2847+0</f>
        <v>691.23</v>
      </c>
      <c r="I2851" s="41"/>
      <c r="J2851" s="41">
        <f>K2842+K2843+K2845+K2846+K2847+0</f>
        <v>38086.329999999994</v>
      </c>
      <c r="K2851" s="41"/>
      <c r="O2851" s="42">
        <f>I2842+I2843+I2845+I2846+I2847+0</f>
        <v>691.23</v>
      </c>
      <c r="P2851" s="42">
        <f>K2842+K2843+K2845+K2846+K2847+0</f>
        <v>38086.329999999994</v>
      </c>
    </row>
    <row r="2852" spans="1:29" hidden="1" x14ac:dyDescent="0.25"/>
    <row r="2853" spans="1:29" ht="345" x14ac:dyDescent="0.25">
      <c r="A2853" s="53">
        <v>306</v>
      </c>
      <c r="B2853" s="53" t="str">
        <f>[1]Source!F2727</f>
        <v>КА-179</v>
      </c>
      <c r="C2853" s="53" t="s">
        <v>572</v>
      </c>
      <c r="D2853" s="54"/>
      <c r="E2853" s="55"/>
      <c r="F2853" s="30"/>
      <c r="G2853" s="31"/>
      <c r="H2853" s="29"/>
      <c r="I2853" s="30"/>
      <c r="J2853" s="29"/>
      <c r="K2853" s="56"/>
      <c r="M2853" s="50">
        <f t="shared" ref="M2853:M2854" si="39">L2853*E2853</f>
        <v>0</v>
      </c>
      <c r="N2853" s="59" t="s">
        <v>180</v>
      </c>
    </row>
    <row r="2854" spans="1:29" ht="261" x14ac:dyDescent="0.25">
      <c r="A2854" s="46"/>
      <c r="B2854" s="46"/>
      <c r="C2854" s="46" t="s">
        <v>578</v>
      </c>
      <c r="D2854" s="47" t="str">
        <f>[1]Source!H2727</f>
        <v>м2</v>
      </c>
      <c r="E2854" s="48">
        <f>[1]Source!I2727</f>
        <v>39.299999999999997</v>
      </c>
      <c r="F2854" s="49">
        <f>[1]Source!AL2727</f>
        <v>3874.45</v>
      </c>
      <c r="G2854" s="60"/>
      <c r="H2854" s="48">
        <f>[1]Source!AW2728</f>
        <v>1</v>
      </c>
      <c r="I2854" s="49">
        <f>[1]Source!P2727</f>
        <v>152265.89000000001</v>
      </c>
      <c r="J2854" s="48">
        <f>IF([1]Source!BC2728&lt;&gt; 0, [1]Source!BC2728, 1)</f>
        <v>9.84</v>
      </c>
      <c r="K2854" s="49">
        <f>[1]Source!P2728</f>
        <v>847719.15</v>
      </c>
      <c r="L2854">
        <v>25800</v>
      </c>
      <c r="M2854" s="50">
        <f t="shared" si="39"/>
        <v>1013939.9999999999</v>
      </c>
      <c r="N2854" s="59" t="s">
        <v>180</v>
      </c>
      <c r="Q2854">
        <f>[1]Source!X2727</f>
        <v>0</v>
      </c>
      <c r="R2854">
        <f>[1]Source!X2728</f>
        <v>0</v>
      </c>
      <c r="S2854">
        <f>[1]Source!Y2727</f>
        <v>0</v>
      </c>
      <c r="T2854">
        <f>[1]Source!Y2728</f>
        <v>0</v>
      </c>
      <c r="U2854">
        <f>ROUND((175/100)*ROUND([1]Source!R2727, 2), 2)</f>
        <v>0</v>
      </c>
      <c r="V2854">
        <f>ROUND((0/100)*ROUND([1]Source!R2728, 2), 2)</f>
        <v>0</v>
      </c>
      <c r="AC2854">
        <v>3</v>
      </c>
    </row>
    <row r="2855" spans="1:29" ht="13.8" hidden="1" x14ac:dyDescent="0.25">
      <c r="C2855" s="39" t="s">
        <v>49</v>
      </c>
      <c r="H2855" s="40">
        <f>I2854+0</f>
        <v>152265.89000000001</v>
      </c>
      <c r="I2855" s="40"/>
      <c r="J2855" s="40">
        <f>K2854+0</f>
        <v>847719.15</v>
      </c>
      <c r="K2855" s="40"/>
      <c r="O2855" s="42">
        <f>I2854+0</f>
        <v>152265.89000000001</v>
      </c>
      <c r="P2855" s="42">
        <f>K2854+0</f>
        <v>847719.15</v>
      </c>
    </row>
    <row r="2856" spans="1:29" hidden="1" x14ac:dyDescent="0.25"/>
    <row r="2857" spans="1:29" hidden="1" x14ac:dyDescent="0.25"/>
    <row r="2858" spans="1:29" ht="13.8" hidden="1" x14ac:dyDescent="0.25">
      <c r="A2858" s="44" t="str">
        <f>CONCATENATE("Итого по подразделу: ",IF([1]Source!G2730&lt;&gt;"Новый подраздел", [1]Source!G2730, ""))</f>
        <v>Итого по подразделу: ДВ-25-П Витраж учебного кабинета (3 шт)</v>
      </c>
      <c r="B2858" s="44"/>
      <c r="C2858" s="44"/>
      <c r="D2858" s="44"/>
      <c r="E2858" s="44"/>
      <c r="F2858" s="44"/>
      <c r="G2858" s="44"/>
      <c r="H2858" s="41">
        <f>SUM(O2812:O2857)</f>
        <v>158855</v>
      </c>
      <c r="I2858" s="45"/>
      <c r="J2858" s="41">
        <f>SUM(P2812:P2857)</f>
        <v>1177345.69</v>
      </c>
      <c r="K2858" s="45"/>
    </row>
    <row r="2859" spans="1:29" hidden="1" x14ac:dyDescent="0.25">
      <c r="A2859" t="s">
        <v>55</v>
      </c>
      <c r="I2859">
        <f>SUM(W2812:W2858)</f>
        <v>0</v>
      </c>
      <c r="J2859">
        <f>SUM(X2812:X2858)</f>
        <v>0</v>
      </c>
    </row>
    <row r="2860" spans="1:29" hidden="1" x14ac:dyDescent="0.25">
      <c r="A2860" t="s">
        <v>56</v>
      </c>
      <c r="I2860">
        <f>SUM(Y2812:Y2859)</f>
        <v>0</v>
      </c>
      <c r="J2860">
        <f>SUM(Z2812:Z2859)</f>
        <v>0</v>
      </c>
    </row>
    <row r="2861" spans="1:29" hidden="1" x14ac:dyDescent="0.25"/>
    <row r="2862" spans="1:29" ht="16.8" hidden="1" x14ac:dyDescent="0.25">
      <c r="A2862" s="11" t="str">
        <f>CONCATENATE("Подраздел: ",IF([1]Source!G2760&lt;&gt;"Новый подраздел", [1]Source!G2760, ""))</f>
        <v>Подраздел: ДВ-26-Л Витраж учебного кабинета</v>
      </c>
      <c r="B2862" s="11"/>
      <c r="C2862" s="11"/>
      <c r="D2862" s="11"/>
      <c r="E2862" s="11"/>
      <c r="F2862" s="11"/>
      <c r="G2862" s="11"/>
      <c r="H2862" s="11"/>
      <c r="I2862" s="11"/>
      <c r="J2862" s="11"/>
      <c r="K2862" s="11"/>
    </row>
    <row r="2863" spans="1:29" ht="41.4" hidden="1" x14ac:dyDescent="0.25">
      <c r="A2863" s="27">
        <v>307</v>
      </c>
      <c r="B2863" s="27" t="str">
        <f>[1]Source!F2764</f>
        <v>3.70-55-2</v>
      </c>
      <c r="C2863" s="27" t="s">
        <v>365</v>
      </c>
      <c r="D2863" s="28" t="str">
        <f>[1]Source!H2764</f>
        <v>100 м2</v>
      </c>
      <c r="E2863" s="29">
        <f>[1]Source!I2764</f>
        <v>0.15</v>
      </c>
      <c r="F2863" s="30"/>
      <c r="G2863" s="31"/>
      <c r="H2863" s="29"/>
      <c r="I2863" s="30"/>
      <c r="J2863" s="29"/>
      <c r="K2863" s="30"/>
      <c r="Q2863">
        <f>[1]Source!X2764</f>
        <v>564.91999999999996</v>
      </c>
      <c r="R2863">
        <f>[1]Source!X2765</f>
        <v>31833.06</v>
      </c>
      <c r="S2863">
        <f>[1]Source!Y2764</f>
        <v>356.44</v>
      </c>
      <c r="T2863">
        <f>[1]Source!Y2765</f>
        <v>20085.150000000001</v>
      </c>
      <c r="U2863">
        <f>ROUND((175/100)*ROUND([1]Source!R2764, 2), 2)</f>
        <v>12.09</v>
      </c>
      <c r="V2863">
        <f>ROUND((0/100)*ROUND([1]Source!R2765, 2), 2)</f>
        <v>0</v>
      </c>
      <c r="AC2863">
        <v>0</v>
      </c>
    </row>
    <row r="2864" spans="1:29" hidden="1" x14ac:dyDescent="0.25">
      <c r="C2864" s="32" t="str">
        <f>"Объем: "&amp;[1]Source!I2764&amp;"=15/"&amp;"100"</f>
        <v>Объем: 0,15=15/100</v>
      </c>
    </row>
    <row r="2865" spans="1:29" ht="14.4" hidden="1" x14ac:dyDescent="0.25">
      <c r="A2865" s="27"/>
      <c r="B2865" s="27"/>
      <c r="C2865" s="27" t="s">
        <v>36</v>
      </c>
      <c r="D2865" s="28"/>
      <c r="E2865" s="29"/>
      <c r="F2865" s="30">
        <f>[1]Source!AO2764</f>
        <v>2958.13</v>
      </c>
      <c r="G2865" s="31" t="s">
        <v>37</v>
      </c>
      <c r="H2865" s="29">
        <f>[1]Source!AV2765</f>
        <v>1.087</v>
      </c>
      <c r="I2865" s="30">
        <f>[1]Source!S2764</f>
        <v>665.61</v>
      </c>
      <c r="J2865" s="29">
        <f>IF([1]Source!BA2765&lt;&gt; 0, [1]Source!BA2765, 1)</f>
        <v>56.35</v>
      </c>
      <c r="K2865" s="30">
        <f>[1]Source!S2765</f>
        <v>37507.120000000003</v>
      </c>
    </row>
    <row r="2866" spans="1:29" ht="14.4" hidden="1" x14ac:dyDescent="0.25">
      <c r="A2866" s="27"/>
      <c r="B2866" s="27"/>
      <c r="C2866" s="27" t="s">
        <v>38</v>
      </c>
      <c r="D2866" s="28"/>
      <c r="E2866" s="29"/>
      <c r="F2866" s="30">
        <f>[1]Source!AM2764</f>
        <v>243.71</v>
      </c>
      <c r="G2866" s="31" t="s">
        <v>39</v>
      </c>
      <c r="H2866" s="29">
        <f>[1]Source!AV2765</f>
        <v>1.087</v>
      </c>
      <c r="I2866" s="30">
        <f>[1]Source!Q2764</f>
        <v>59.61</v>
      </c>
      <c r="J2866" s="29">
        <f>IF([1]Source!BB2765&lt;&gt; 0, [1]Source!BB2765, 1)</f>
        <v>15.43</v>
      </c>
      <c r="K2866" s="30">
        <f>[1]Source!Q2765</f>
        <v>919.78</v>
      </c>
    </row>
    <row r="2867" spans="1:29" ht="14.4" hidden="1" x14ac:dyDescent="0.25">
      <c r="A2867" s="27"/>
      <c r="B2867" s="27"/>
      <c r="C2867" s="27" t="s">
        <v>40</v>
      </c>
      <c r="D2867" s="28"/>
      <c r="E2867" s="29"/>
      <c r="F2867" s="30">
        <f>[1]Source!AN2764</f>
        <v>28.27</v>
      </c>
      <c r="G2867" s="31" t="s">
        <v>39</v>
      </c>
      <c r="H2867" s="29">
        <f>[1]Source!AV2765</f>
        <v>1.087</v>
      </c>
      <c r="I2867" s="33">
        <f>[1]Source!R2764</f>
        <v>6.91</v>
      </c>
      <c r="J2867" s="29">
        <f>IF([1]Source!BS2765&lt;&gt; 0, [1]Source!BS2765, 1)</f>
        <v>56.35</v>
      </c>
      <c r="K2867" s="33">
        <f>[1]Source!R2765</f>
        <v>389.38</v>
      </c>
    </row>
    <row r="2868" spans="1:29" ht="14.4" hidden="1" x14ac:dyDescent="0.25">
      <c r="A2868" s="27"/>
      <c r="B2868" s="27"/>
      <c r="C2868" s="27" t="s">
        <v>41</v>
      </c>
      <c r="D2868" s="28"/>
      <c r="E2868" s="29"/>
      <c r="F2868" s="30">
        <f>[1]Source!AL2764</f>
        <v>1577.27</v>
      </c>
      <c r="G2868" s="31"/>
      <c r="H2868" s="29">
        <f>[1]Source!AW2765</f>
        <v>1</v>
      </c>
      <c r="I2868" s="30">
        <f>[1]Source!P2764</f>
        <v>236.59</v>
      </c>
      <c r="J2868" s="29">
        <f>IF([1]Source!BC2765&lt;&gt; 0, [1]Source!BC2765, 1)</f>
        <v>4.66</v>
      </c>
      <c r="K2868" s="30">
        <f>[1]Source!P2765</f>
        <v>1102.51</v>
      </c>
    </row>
    <row r="2869" spans="1:29" ht="55.2" hidden="1" x14ac:dyDescent="0.25">
      <c r="A2869" s="27" t="s">
        <v>589</v>
      </c>
      <c r="B2869" s="27" t="str">
        <f>[1]Source!F2766</f>
        <v>1.7-1-105</v>
      </c>
      <c r="C2869" s="27" t="s">
        <v>576</v>
      </c>
      <c r="D2869" s="28" t="str">
        <f>[1]Source!H2766</f>
        <v>м</v>
      </c>
      <c r="E2869" s="29">
        <f>[1]Source!I2766</f>
        <v>6.0600000000000003E-3</v>
      </c>
      <c r="F2869" s="30">
        <f>[1]Source!AK2766</f>
        <v>15.96</v>
      </c>
      <c r="G2869" s="43" t="s">
        <v>54</v>
      </c>
      <c r="H2869" s="29">
        <f>[1]Source!AW2767</f>
        <v>1</v>
      </c>
      <c r="I2869" s="30">
        <f>[1]Source!O2766</f>
        <v>0.1</v>
      </c>
      <c r="J2869" s="29">
        <f>IF([1]Source!BC2767&lt;&gt; 0, [1]Source!BC2767, 1)</f>
        <v>10.82</v>
      </c>
      <c r="K2869" s="30">
        <f>[1]Source!O2767</f>
        <v>1.08</v>
      </c>
      <c r="Q2869">
        <f>[1]Source!X2766</f>
        <v>0</v>
      </c>
      <c r="R2869">
        <f>[1]Source!X2767</f>
        <v>0</v>
      </c>
      <c r="S2869">
        <f>[1]Source!Y2766</f>
        <v>0</v>
      </c>
      <c r="T2869">
        <f>[1]Source!Y2767</f>
        <v>0</v>
      </c>
      <c r="U2869">
        <f>ROUND((175/100)*ROUND([1]Source!R2766, 2), 2)</f>
        <v>0</v>
      </c>
      <c r="V2869">
        <f>ROUND((0/100)*ROUND([1]Source!R2767, 2), 2)</f>
        <v>0</v>
      </c>
      <c r="AC2869">
        <v>3</v>
      </c>
    </row>
    <row r="2870" spans="1:29" ht="14.4" hidden="1" x14ac:dyDescent="0.25">
      <c r="A2870" s="27"/>
      <c r="B2870" s="27"/>
      <c r="C2870" s="27" t="s">
        <v>42</v>
      </c>
      <c r="D2870" s="28" t="s">
        <v>43</v>
      </c>
      <c r="E2870" s="29">
        <f>[1]Source!BZ2765</f>
        <v>84</v>
      </c>
      <c r="F2870" s="30"/>
      <c r="G2870" s="31"/>
      <c r="H2870" s="29"/>
      <c r="I2870" s="30">
        <f>SUM(Q2863:Q2869)</f>
        <v>564.91999999999996</v>
      </c>
      <c r="J2870" s="29">
        <f>[1]Source!AT2765</f>
        <v>84</v>
      </c>
      <c r="K2870" s="30">
        <f>SUM(R2863:R2869)</f>
        <v>31833.06</v>
      </c>
    </row>
    <row r="2871" spans="1:29" ht="14.4" hidden="1" x14ac:dyDescent="0.25">
      <c r="A2871" s="27"/>
      <c r="B2871" s="27"/>
      <c r="C2871" s="27" t="s">
        <v>44</v>
      </c>
      <c r="D2871" s="28" t="s">
        <v>43</v>
      </c>
      <c r="E2871" s="29">
        <f>[1]Source!CA2765</f>
        <v>53</v>
      </c>
      <c r="F2871" s="30"/>
      <c r="G2871" s="31"/>
      <c r="H2871" s="29"/>
      <c r="I2871" s="30">
        <f>SUM(S2863:S2870)</f>
        <v>356.44</v>
      </c>
      <c r="J2871" s="29">
        <f>[1]Source!AU2765</f>
        <v>53</v>
      </c>
      <c r="K2871" s="30">
        <f>SUM(T2863:T2870)</f>
        <v>20085.150000000001</v>
      </c>
    </row>
    <row r="2872" spans="1:29" ht="14.4" hidden="1" x14ac:dyDescent="0.25">
      <c r="A2872" s="34"/>
      <c r="B2872" s="34"/>
      <c r="C2872" s="34" t="s">
        <v>45</v>
      </c>
      <c r="D2872" s="35" t="s">
        <v>46</v>
      </c>
      <c r="E2872" s="36">
        <f>[1]Source!AQ2764</f>
        <v>183.77</v>
      </c>
      <c r="F2872" s="37"/>
      <c r="G2872" s="38" t="s">
        <v>37</v>
      </c>
      <c r="H2872" s="36">
        <f>[1]Source!AV2765</f>
        <v>1.087</v>
      </c>
      <c r="I2872" s="37">
        <f>[1]Source!U2764</f>
        <v>41.349903929999996</v>
      </c>
      <c r="J2872" s="36"/>
      <c r="K2872" s="37"/>
    </row>
    <row r="2873" spans="1:29" ht="13.8" hidden="1" x14ac:dyDescent="0.25">
      <c r="C2873" s="39" t="s">
        <v>47</v>
      </c>
      <c r="H2873" s="40">
        <f>I2865+I2866+I2868+I2870+I2871+SUM(I2869:I2869)-SUMIF(AC2869:AC2869, 5, I2869:I2869)-SUMIF(AC2869:AC2869, 6, I2869:I2869)</f>
        <v>1883.27</v>
      </c>
      <c r="I2873" s="40"/>
      <c r="J2873" s="40">
        <f>K2865+K2866+K2868+K2870+K2871+SUM(K2869:K2869)-SUMIF(AC2869:AC2869, 5, K2869:K2869)-SUMIF(AC2869:AC2869, 6, K2869:K2869)</f>
        <v>91448.7</v>
      </c>
      <c r="K2873" s="40"/>
    </row>
    <row r="2874" spans="1:29" ht="13.8" hidden="1" x14ac:dyDescent="0.25">
      <c r="C2874" s="39" t="s">
        <v>48</v>
      </c>
      <c r="H2874" s="41">
        <f>SUMIF(AC2869:AC2869, 5, I2869:I2869)+SUMIF(AC2869:AC2869, 6, I2869:I2869)</f>
        <v>0</v>
      </c>
      <c r="I2874" s="41"/>
      <c r="J2874" s="41">
        <f>SUMIF(AC2869:AC2869, 5, K2869:K2869)+SUMIF(AC2869:AC2869, 6, K2869:K2869)</f>
        <v>0</v>
      </c>
      <c r="K2874" s="41"/>
    </row>
    <row r="2875" spans="1:29" ht="13.8" hidden="1" x14ac:dyDescent="0.25">
      <c r="C2875" s="39" t="s">
        <v>49</v>
      </c>
      <c r="H2875" s="41">
        <f>I2865+I2866+I2868+I2870+I2871+SUM(I2869:I2869)</f>
        <v>1883.27</v>
      </c>
      <c r="I2875" s="41"/>
      <c r="J2875" s="41">
        <f>K2865+K2866+K2868+K2870+K2871+SUM(K2869:K2869)</f>
        <v>91448.7</v>
      </c>
      <c r="K2875" s="41"/>
      <c r="O2875" s="42">
        <f>I2865+I2866+I2868+I2870+I2871+SUM(I2869:I2869)</f>
        <v>1883.27</v>
      </c>
      <c r="P2875" s="42">
        <f>K2865+K2866+K2868+K2870+K2871+SUM(K2869:K2869)</f>
        <v>91448.7</v>
      </c>
    </row>
    <row r="2876" spans="1:29" hidden="1" x14ac:dyDescent="0.25"/>
    <row r="2877" spans="1:29" ht="55.2" hidden="1" x14ac:dyDescent="0.25">
      <c r="A2877" s="27">
        <v>308</v>
      </c>
      <c r="B2877" s="27" t="str">
        <f>[1]Source!F2768</f>
        <v>3.70-55-8</v>
      </c>
      <c r="C2877" s="27" t="s">
        <v>577</v>
      </c>
      <c r="D2877" s="28" t="str">
        <f>[1]Source!H2768</f>
        <v>100 м2</v>
      </c>
      <c r="E2877" s="29">
        <f>[1]Source!I2768</f>
        <v>0.11849999999999999</v>
      </c>
      <c r="F2877" s="30"/>
      <c r="G2877" s="31"/>
      <c r="H2877" s="29"/>
      <c r="I2877" s="30"/>
      <c r="J2877" s="29"/>
      <c r="K2877" s="30"/>
      <c r="Q2877">
        <f>[1]Source!X2768</f>
        <v>128.49</v>
      </c>
      <c r="R2877">
        <f>[1]Source!X2769</f>
        <v>7240.68</v>
      </c>
      <c r="S2877">
        <f>[1]Source!Y2768</f>
        <v>81.069999999999993</v>
      </c>
      <c r="T2877">
        <f>[1]Source!Y2769</f>
        <v>4568.53</v>
      </c>
      <c r="U2877">
        <f>ROUND((175/100)*ROUND([1]Source!R2768, 2), 2)</f>
        <v>5.37</v>
      </c>
      <c r="V2877">
        <f>ROUND((0/100)*ROUND([1]Source!R2769, 2), 2)</f>
        <v>0</v>
      </c>
      <c r="AC2877">
        <v>0</v>
      </c>
    </row>
    <row r="2878" spans="1:29" hidden="1" x14ac:dyDescent="0.25">
      <c r="C2878" s="32" t="str">
        <f>"Объем: "&amp;[1]Source!I2768&amp;"=(15-"&amp;"3,15)/"&amp;"100"</f>
        <v>Объем: 0,1185=(15-3,15)/100</v>
      </c>
    </row>
    <row r="2879" spans="1:29" ht="14.4" hidden="1" x14ac:dyDescent="0.25">
      <c r="A2879" s="27"/>
      <c r="B2879" s="27"/>
      <c r="C2879" s="27" t="s">
        <v>36</v>
      </c>
      <c r="D2879" s="28"/>
      <c r="E2879" s="29"/>
      <c r="F2879" s="30">
        <f>[1]Source!AO2768</f>
        <v>843.28</v>
      </c>
      <c r="G2879" s="31" t="s">
        <v>37</v>
      </c>
      <c r="H2879" s="29">
        <f>[1]Source!AV2769</f>
        <v>1.087</v>
      </c>
      <c r="I2879" s="30">
        <f>[1]Source!S2768</f>
        <v>149.9</v>
      </c>
      <c r="J2879" s="29">
        <f>IF([1]Source!BA2769&lt;&gt; 0, [1]Source!BA2769, 1)</f>
        <v>56.35</v>
      </c>
      <c r="K2879" s="30">
        <f>[1]Source!S2769</f>
        <v>8446.8700000000008</v>
      </c>
    </row>
    <row r="2880" spans="1:29" ht="14.4" hidden="1" x14ac:dyDescent="0.25">
      <c r="A2880" s="27"/>
      <c r="B2880" s="27"/>
      <c r="C2880" s="27" t="s">
        <v>38</v>
      </c>
      <c r="D2880" s="28"/>
      <c r="E2880" s="29"/>
      <c r="F2880" s="30">
        <f>[1]Source!AM2768</f>
        <v>112.46</v>
      </c>
      <c r="G2880" s="31" t="s">
        <v>39</v>
      </c>
      <c r="H2880" s="29">
        <f>[1]Source!AV2769</f>
        <v>1.087</v>
      </c>
      <c r="I2880" s="30">
        <f>[1]Source!Q2768</f>
        <v>21.73</v>
      </c>
      <c r="J2880" s="29">
        <f>IF([1]Source!BB2769&lt;&gt; 0, [1]Source!BB2769, 1)</f>
        <v>16.559999999999999</v>
      </c>
      <c r="K2880" s="30">
        <f>[1]Source!Q2769</f>
        <v>359.85</v>
      </c>
    </row>
    <row r="2881" spans="1:29" ht="14.4" hidden="1" x14ac:dyDescent="0.25">
      <c r="A2881" s="27"/>
      <c r="B2881" s="27"/>
      <c r="C2881" s="27" t="s">
        <v>40</v>
      </c>
      <c r="D2881" s="28"/>
      <c r="E2881" s="29"/>
      <c r="F2881" s="30">
        <f>[1]Source!AN2768</f>
        <v>15.9</v>
      </c>
      <c r="G2881" s="31" t="s">
        <v>39</v>
      </c>
      <c r="H2881" s="29">
        <f>[1]Source!AV2769</f>
        <v>1.087</v>
      </c>
      <c r="I2881" s="33">
        <f>[1]Source!R2768</f>
        <v>3.07</v>
      </c>
      <c r="J2881" s="29">
        <f>IF([1]Source!BS2769&lt;&gt; 0, [1]Source!BS2769, 1)</f>
        <v>56.35</v>
      </c>
      <c r="K2881" s="33">
        <f>[1]Source!R2769</f>
        <v>172.99</v>
      </c>
    </row>
    <row r="2882" spans="1:29" ht="14.4" hidden="1" x14ac:dyDescent="0.25">
      <c r="A2882" s="27"/>
      <c r="B2882" s="27"/>
      <c r="C2882" s="27" t="s">
        <v>41</v>
      </c>
      <c r="D2882" s="28"/>
      <c r="E2882" s="29"/>
      <c r="F2882" s="30">
        <f>[1]Source!AL2768</f>
        <v>11.79</v>
      </c>
      <c r="G2882" s="31"/>
      <c r="H2882" s="29">
        <f>[1]Source!AW2769</f>
        <v>1</v>
      </c>
      <c r="I2882" s="30">
        <f>[1]Source!P2768</f>
        <v>1.4</v>
      </c>
      <c r="J2882" s="29">
        <f>IF([1]Source!BC2769&lt;&gt; 0, [1]Source!BC2769, 1)</f>
        <v>3.95</v>
      </c>
      <c r="K2882" s="30">
        <f>[1]Source!P2769</f>
        <v>5.53</v>
      </c>
    </row>
    <row r="2883" spans="1:29" ht="14.4" hidden="1" x14ac:dyDescent="0.25">
      <c r="A2883" s="27"/>
      <c r="B2883" s="27"/>
      <c r="C2883" s="27" t="s">
        <v>42</v>
      </c>
      <c r="D2883" s="28" t="s">
        <v>43</v>
      </c>
      <c r="E2883" s="29">
        <f>[1]Source!BZ2769</f>
        <v>84</v>
      </c>
      <c r="F2883" s="30"/>
      <c r="G2883" s="31"/>
      <c r="H2883" s="29"/>
      <c r="I2883" s="30">
        <f>SUM(Q2877:Q2882)</f>
        <v>128.49</v>
      </c>
      <c r="J2883" s="29">
        <f>[1]Source!AT2769</f>
        <v>84</v>
      </c>
      <c r="K2883" s="30">
        <f>SUM(R2877:R2882)</f>
        <v>7240.68</v>
      </c>
    </row>
    <row r="2884" spans="1:29" ht="14.4" hidden="1" x14ac:dyDescent="0.25">
      <c r="A2884" s="27"/>
      <c r="B2884" s="27"/>
      <c r="C2884" s="27" t="s">
        <v>44</v>
      </c>
      <c r="D2884" s="28" t="s">
        <v>43</v>
      </c>
      <c r="E2884" s="29">
        <f>[1]Source!CA2769</f>
        <v>53</v>
      </c>
      <c r="F2884" s="30"/>
      <c r="G2884" s="31"/>
      <c r="H2884" s="29"/>
      <c r="I2884" s="30">
        <f>SUM(S2877:S2883)</f>
        <v>81.069999999999993</v>
      </c>
      <c r="J2884" s="29">
        <f>[1]Source!AU2769</f>
        <v>53</v>
      </c>
      <c r="K2884" s="30">
        <f>SUM(T2877:T2883)</f>
        <v>4568.53</v>
      </c>
    </row>
    <row r="2885" spans="1:29" ht="14.4" hidden="1" x14ac:dyDescent="0.25">
      <c r="A2885" s="34"/>
      <c r="B2885" s="34"/>
      <c r="C2885" s="34" t="s">
        <v>45</v>
      </c>
      <c r="D2885" s="35" t="s">
        <v>46</v>
      </c>
      <c r="E2885" s="36">
        <f>[1]Source!AQ2768</f>
        <v>54.86</v>
      </c>
      <c r="F2885" s="37"/>
      <c r="G2885" s="38" t="s">
        <v>37</v>
      </c>
      <c r="H2885" s="36">
        <f>[1]Source!AV2769</f>
        <v>1.087</v>
      </c>
      <c r="I2885" s="37">
        <f>[1]Source!U2768</f>
        <v>9.7517550545999985</v>
      </c>
      <c r="J2885" s="36"/>
      <c r="K2885" s="37"/>
    </row>
    <row r="2886" spans="1:29" ht="13.8" hidden="1" x14ac:dyDescent="0.25">
      <c r="C2886" s="39" t="s">
        <v>47</v>
      </c>
      <c r="H2886" s="40">
        <f>I2879+I2880+I2882+I2883+I2884+0-0-0</f>
        <v>382.59</v>
      </c>
      <c r="I2886" s="40"/>
      <c r="J2886" s="40">
        <f>K2879+K2880+K2882+K2883+K2884+0-0-0</f>
        <v>20621.460000000003</v>
      </c>
      <c r="K2886" s="40"/>
    </row>
    <row r="2887" spans="1:29" ht="13.8" hidden="1" x14ac:dyDescent="0.25">
      <c r="C2887" s="39" t="s">
        <v>48</v>
      </c>
      <c r="H2887" s="41">
        <f>0+0</f>
        <v>0</v>
      </c>
      <c r="I2887" s="41"/>
      <c r="J2887" s="41">
        <f>0+0</f>
        <v>0</v>
      </c>
      <c r="K2887" s="41"/>
    </row>
    <row r="2888" spans="1:29" ht="13.8" hidden="1" x14ac:dyDescent="0.25">
      <c r="C2888" s="39" t="s">
        <v>49</v>
      </c>
      <c r="H2888" s="41">
        <f>I2879+I2880+I2882+I2883+I2884+0</f>
        <v>382.59</v>
      </c>
      <c r="I2888" s="41"/>
      <c r="J2888" s="41">
        <f>K2879+K2880+K2882+K2883+K2884+0</f>
        <v>20621.460000000003</v>
      </c>
      <c r="K2888" s="41"/>
      <c r="O2888" s="42">
        <f>I2879+I2880+I2882+I2883+I2884+0</f>
        <v>382.59</v>
      </c>
      <c r="P2888" s="42">
        <f>K2879+K2880+K2882+K2883+K2884+0</f>
        <v>20621.460000000003</v>
      </c>
    </row>
    <row r="2889" spans="1:29" hidden="1" x14ac:dyDescent="0.25"/>
    <row r="2890" spans="1:29" ht="55.2" hidden="1" x14ac:dyDescent="0.25">
      <c r="A2890" s="27">
        <v>309</v>
      </c>
      <c r="B2890" s="27" t="str">
        <f>[1]Source!F2770</f>
        <v>3.70-55-10</v>
      </c>
      <c r="C2890" s="27" t="s">
        <v>570</v>
      </c>
      <c r="D2890" s="28" t="str">
        <f>[1]Source!H2770</f>
        <v>100 м2</v>
      </c>
      <c r="E2890" s="29">
        <f>[1]Source!I2770</f>
        <v>3.15E-2</v>
      </c>
      <c r="F2890" s="30"/>
      <c r="G2890" s="31"/>
      <c r="H2890" s="29"/>
      <c r="I2890" s="30"/>
      <c r="J2890" s="29"/>
      <c r="K2890" s="30"/>
      <c r="Q2890">
        <f>[1]Source!X2770</f>
        <v>79.510000000000005</v>
      </c>
      <c r="R2890">
        <f>[1]Source!X2771</f>
        <v>4480.17</v>
      </c>
      <c r="S2890">
        <f>[1]Source!Y2770</f>
        <v>50.16</v>
      </c>
      <c r="T2890">
        <f>[1]Source!Y2771</f>
        <v>2826.77</v>
      </c>
      <c r="U2890">
        <f>ROUND((175/100)*ROUND([1]Source!R2770, 2), 2)</f>
        <v>1.19</v>
      </c>
      <c r="V2890">
        <f>ROUND((0/100)*ROUND([1]Source!R2771, 2), 2)</f>
        <v>0</v>
      </c>
      <c r="AC2890">
        <v>0</v>
      </c>
    </row>
    <row r="2891" spans="1:29" hidden="1" x14ac:dyDescent="0.25">
      <c r="C2891" s="32" t="str">
        <f>"Объем: "&amp;[1]Source!I2770&amp;"=(1,5*"&amp;"2,1)/"&amp;"100"</f>
        <v>Объем: 0,0315=(1,5*2,1)/100</v>
      </c>
    </row>
    <row r="2892" spans="1:29" ht="14.4" hidden="1" x14ac:dyDescent="0.25">
      <c r="A2892" s="27"/>
      <c r="B2892" s="27"/>
      <c r="C2892" s="27" t="s">
        <v>36</v>
      </c>
      <c r="D2892" s="28"/>
      <c r="E2892" s="29"/>
      <c r="F2892" s="30">
        <f>[1]Source!AO2770</f>
        <v>1988.67</v>
      </c>
      <c r="G2892" s="31" t="s">
        <v>37</v>
      </c>
      <c r="H2892" s="29">
        <f>[1]Source!AV2771</f>
        <v>1.087</v>
      </c>
      <c r="I2892" s="30">
        <f>[1]Source!S2770</f>
        <v>93.97</v>
      </c>
      <c r="J2892" s="29">
        <f>IF([1]Source!BA2771&lt;&gt; 0, [1]Source!BA2771, 1)</f>
        <v>56.35</v>
      </c>
      <c r="K2892" s="30">
        <f>[1]Source!S2771</f>
        <v>5295.21</v>
      </c>
    </row>
    <row r="2893" spans="1:29" ht="14.4" hidden="1" x14ac:dyDescent="0.25">
      <c r="A2893" s="27"/>
      <c r="B2893" s="27"/>
      <c r="C2893" s="27" t="s">
        <v>38</v>
      </c>
      <c r="D2893" s="28"/>
      <c r="E2893" s="29"/>
      <c r="F2893" s="30">
        <f>[1]Source!AM2770</f>
        <v>97.6</v>
      </c>
      <c r="G2893" s="31" t="s">
        <v>39</v>
      </c>
      <c r="H2893" s="29">
        <f>[1]Source!AV2771</f>
        <v>1.087</v>
      </c>
      <c r="I2893" s="30">
        <f>[1]Source!Q2770</f>
        <v>5.01</v>
      </c>
      <c r="J2893" s="29">
        <f>IF([1]Source!BB2771&lt;&gt; 0, [1]Source!BB2771, 1)</f>
        <v>16.28</v>
      </c>
      <c r="K2893" s="30">
        <f>[1]Source!Q2771</f>
        <v>81.56</v>
      </c>
    </row>
    <row r="2894" spans="1:29" ht="14.4" hidden="1" x14ac:dyDescent="0.25">
      <c r="A2894" s="27"/>
      <c r="B2894" s="27"/>
      <c r="C2894" s="27" t="s">
        <v>40</v>
      </c>
      <c r="D2894" s="28"/>
      <c r="E2894" s="29"/>
      <c r="F2894" s="30">
        <f>[1]Source!AN2770</f>
        <v>13.25</v>
      </c>
      <c r="G2894" s="31" t="s">
        <v>39</v>
      </c>
      <c r="H2894" s="29">
        <f>[1]Source!AV2771</f>
        <v>1.087</v>
      </c>
      <c r="I2894" s="33">
        <f>[1]Source!R2770</f>
        <v>0.68</v>
      </c>
      <c r="J2894" s="29">
        <f>IF([1]Source!BS2771&lt;&gt; 0, [1]Source!BS2771, 1)</f>
        <v>56.35</v>
      </c>
      <c r="K2894" s="33">
        <f>[1]Source!R2771</f>
        <v>38.32</v>
      </c>
    </row>
    <row r="2895" spans="1:29" ht="14.4" hidden="1" x14ac:dyDescent="0.25">
      <c r="A2895" s="27"/>
      <c r="B2895" s="27"/>
      <c r="C2895" s="27" t="s">
        <v>41</v>
      </c>
      <c r="D2895" s="28"/>
      <c r="E2895" s="29"/>
      <c r="F2895" s="30">
        <f>[1]Source!AL2770</f>
        <v>55.75</v>
      </c>
      <c r="G2895" s="31"/>
      <c r="H2895" s="29">
        <f>[1]Source!AW2771</f>
        <v>1</v>
      </c>
      <c r="I2895" s="30">
        <f>[1]Source!P2770</f>
        <v>1.76</v>
      </c>
      <c r="J2895" s="29">
        <f>IF([1]Source!BC2771&lt;&gt; 0, [1]Source!BC2771, 1)</f>
        <v>6.65</v>
      </c>
      <c r="K2895" s="30">
        <f>[1]Source!P2771</f>
        <v>11.7</v>
      </c>
    </row>
    <row r="2896" spans="1:29" ht="14.4" hidden="1" x14ac:dyDescent="0.25">
      <c r="A2896" s="27"/>
      <c r="B2896" s="27"/>
      <c r="C2896" s="27" t="s">
        <v>42</v>
      </c>
      <c r="D2896" s="28" t="s">
        <v>43</v>
      </c>
      <c r="E2896" s="29">
        <f>[1]Source!BZ2771</f>
        <v>84</v>
      </c>
      <c r="F2896" s="30"/>
      <c r="G2896" s="31"/>
      <c r="H2896" s="29"/>
      <c r="I2896" s="30">
        <f>SUM(Q2890:Q2895)</f>
        <v>79.510000000000005</v>
      </c>
      <c r="J2896" s="29">
        <f>[1]Source!AT2771</f>
        <v>84</v>
      </c>
      <c r="K2896" s="30">
        <f>SUM(R2890:R2895)</f>
        <v>4480.17</v>
      </c>
    </row>
    <row r="2897" spans="1:29" ht="14.4" hidden="1" x14ac:dyDescent="0.25">
      <c r="A2897" s="27"/>
      <c r="B2897" s="27"/>
      <c r="C2897" s="27" t="s">
        <v>44</v>
      </c>
      <c r="D2897" s="28" t="s">
        <v>43</v>
      </c>
      <c r="E2897" s="29">
        <f>[1]Source!CA2771</f>
        <v>53</v>
      </c>
      <c r="F2897" s="30"/>
      <c r="G2897" s="31"/>
      <c r="H2897" s="29"/>
      <c r="I2897" s="30">
        <f>SUM(S2890:S2896)</f>
        <v>50.16</v>
      </c>
      <c r="J2897" s="29">
        <f>[1]Source!AU2771</f>
        <v>53</v>
      </c>
      <c r="K2897" s="30">
        <f>SUM(T2890:T2896)</f>
        <v>2826.77</v>
      </c>
    </row>
    <row r="2898" spans="1:29" ht="14.4" hidden="1" x14ac:dyDescent="0.25">
      <c r="A2898" s="34"/>
      <c r="B2898" s="34"/>
      <c r="C2898" s="34" t="s">
        <v>45</v>
      </c>
      <c r="D2898" s="35" t="s">
        <v>46</v>
      </c>
      <c r="E2898" s="36">
        <f>[1]Source!AQ2770</f>
        <v>113.3</v>
      </c>
      <c r="F2898" s="37"/>
      <c r="G2898" s="38" t="s">
        <v>37</v>
      </c>
      <c r="H2898" s="36">
        <f>[1]Source!AV2771</f>
        <v>1.087</v>
      </c>
      <c r="I2898" s="37">
        <f>[1]Source!U2770</f>
        <v>5.353639137</v>
      </c>
      <c r="J2898" s="36"/>
      <c r="K2898" s="37"/>
    </row>
    <row r="2899" spans="1:29" ht="13.8" hidden="1" x14ac:dyDescent="0.25">
      <c r="C2899" s="39" t="s">
        <v>47</v>
      </c>
      <c r="H2899" s="40">
        <f>I2892+I2893+I2895+I2896+I2897+0-0-0</f>
        <v>230.41</v>
      </c>
      <c r="I2899" s="40"/>
      <c r="J2899" s="40">
        <f>K2892+K2893+K2895+K2896+K2897+0-0-0</f>
        <v>12695.41</v>
      </c>
      <c r="K2899" s="40"/>
    </row>
    <row r="2900" spans="1:29" ht="13.8" hidden="1" x14ac:dyDescent="0.25">
      <c r="C2900" s="39" t="s">
        <v>48</v>
      </c>
      <c r="H2900" s="41">
        <f>0+0</f>
        <v>0</v>
      </c>
      <c r="I2900" s="41"/>
      <c r="J2900" s="41">
        <f>0+0</f>
        <v>0</v>
      </c>
      <c r="K2900" s="41"/>
    </row>
    <row r="2901" spans="1:29" ht="13.8" hidden="1" x14ac:dyDescent="0.25">
      <c r="C2901" s="39" t="s">
        <v>49</v>
      </c>
      <c r="H2901" s="41">
        <f>I2892+I2893+I2895+I2896+I2897+0</f>
        <v>230.41</v>
      </c>
      <c r="I2901" s="41"/>
      <c r="J2901" s="41">
        <f>K2892+K2893+K2895+K2896+K2897+0</f>
        <v>12695.41</v>
      </c>
      <c r="K2901" s="41"/>
      <c r="O2901" s="42">
        <f>I2892+I2893+I2895+I2896+I2897+0</f>
        <v>230.41</v>
      </c>
      <c r="P2901" s="42">
        <f>K2892+K2893+K2895+K2896+K2897+0</f>
        <v>12695.41</v>
      </c>
    </row>
    <row r="2902" spans="1:29" hidden="1" x14ac:dyDescent="0.25"/>
    <row r="2903" spans="1:29" ht="345" x14ac:dyDescent="0.25">
      <c r="A2903" s="53">
        <v>310</v>
      </c>
      <c r="B2903" s="53" t="str">
        <f>[1]Source!F2772</f>
        <v>КА-179</v>
      </c>
      <c r="C2903" s="53" t="s">
        <v>572</v>
      </c>
      <c r="D2903" s="54"/>
      <c r="E2903" s="55"/>
      <c r="F2903" s="30"/>
      <c r="G2903" s="31"/>
      <c r="H2903" s="29"/>
      <c r="I2903" s="30"/>
      <c r="J2903" s="29"/>
      <c r="K2903" s="56"/>
      <c r="M2903" s="50">
        <f t="shared" ref="M2903:M2904" si="40">L2903*E2903</f>
        <v>0</v>
      </c>
      <c r="N2903" s="59" t="s">
        <v>180</v>
      </c>
    </row>
    <row r="2904" spans="1:29" ht="261" x14ac:dyDescent="0.25">
      <c r="A2904" s="46"/>
      <c r="B2904" s="46"/>
      <c r="C2904" s="46" t="s">
        <v>578</v>
      </c>
      <c r="D2904" s="47" t="str">
        <f>[1]Source!H2772</f>
        <v>м2</v>
      </c>
      <c r="E2904" s="48">
        <f>[1]Source!I2772</f>
        <v>15</v>
      </c>
      <c r="F2904" s="49">
        <f>[1]Source!AL2772</f>
        <v>3874.45</v>
      </c>
      <c r="G2904" s="60"/>
      <c r="H2904" s="48">
        <f>[1]Source!AW2773</f>
        <v>1</v>
      </c>
      <c r="I2904" s="49">
        <f>[1]Source!P2772</f>
        <v>58116.75</v>
      </c>
      <c r="J2904" s="48">
        <f>IF([1]Source!BC2773&lt;&gt; 0, [1]Source!BC2773, 1)</f>
        <v>9.84</v>
      </c>
      <c r="K2904" s="49">
        <f>[1]Source!P2773</f>
        <v>323556.90999999997</v>
      </c>
      <c r="L2904">
        <v>25800</v>
      </c>
      <c r="M2904" s="50">
        <f t="shared" si="40"/>
        <v>387000</v>
      </c>
      <c r="N2904" s="59" t="s">
        <v>180</v>
      </c>
      <c r="Q2904">
        <f>[1]Source!X2772</f>
        <v>0</v>
      </c>
      <c r="R2904">
        <f>[1]Source!X2773</f>
        <v>0</v>
      </c>
      <c r="S2904">
        <f>[1]Source!Y2772</f>
        <v>0</v>
      </c>
      <c r="T2904">
        <f>[1]Source!Y2773</f>
        <v>0</v>
      </c>
      <c r="U2904">
        <f>ROUND((175/100)*ROUND([1]Source!R2772, 2), 2)</f>
        <v>0</v>
      </c>
      <c r="V2904">
        <f>ROUND((0/100)*ROUND([1]Source!R2773, 2), 2)</f>
        <v>0</v>
      </c>
      <c r="AC2904">
        <v>3</v>
      </c>
    </row>
    <row r="2905" spans="1:29" ht="13.8" hidden="1" x14ac:dyDescent="0.25">
      <c r="C2905" s="39" t="s">
        <v>49</v>
      </c>
      <c r="H2905" s="40">
        <f>I2904+0</f>
        <v>58116.75</v>
      </c>
      <c r="I2905" s="40"/>
      <c r="J2905" s="40">
        <f>K2904+0</f>
        <v>323556.90999999997</v>
      </c>
      <c r="K2905" s="40"/>
      <c r="O2905" s="42">
        <f>I2904+0</f>
        <v>58116.75</v>
      </c>
      <c r="P2905" s="42">
        <f>K2904+0</f>
        <v>323556.90999999997</v>
      </c>
    </row>
    <row r="2906" spans="1:29" hidden="1" x14ac:dyDescent="0.25"/>
    <row r="2907" spans="1:29" hidden="1" x14ac:dyDescent="0.25"/>
    <row r="2908" spans="1:29" ht="13.8" hidden="1" x14ac:dyDescent="0.25">
      <c r="A2908" s="44" t="str">
        <f>CONCATENATE("Итого по подразделу: ",IF([1]Source!G2775&lt;&gt;"Новый подраздел", [1]Source!G2775, ""))</f>
        <v>Итого по подразделу: ДВ-26-Л Витраж учебного кабинета</v>
      </c>
      <c r="B2908" s="44"/>
      <c r="C2908" s="44"/>
      <c r="D2908" s="44"/>
      <c r="E2908" s="44"/>
      <c r="F2908" s="44"/>
      <c r="G2908" s="44"/>
      <c r="H2908" s="41">
        <f>SUM(O2862:O2907)</f>
        <v>60613.02</v>
      </c>
      <c r="I2908" s="45"/>
      <c r="J2908" s="41">
        <f>SUM(P2862:P2907)</f>
        <v>448322.48</v>
      </c>
      <c r="K2908" s="45"/>
    </row>
    <row r="2909" spans="1:29" hidden="1" x14ac:dyDescent="0.25">
      <c r="A2909" t="s">
        <v>55</v>
      </c>
      <c r="I2909">
        <f>SUM(W2862:W2908)</f>
        <v>0</v>
      </c>
      <c r="J2909">
        <f>SUM(X2862:X2908)</f>
        <v>0</v>
      </c>
    </row>
    <row r="2910" spans="1:29" hidden="1" x14ac:dyDescent="0.25">
      <c r="A2910" t="s">
        <v>56</v>
      </c>
      <c r="I2910">
        <f>SUM(Y2862:Y2909)</f>
        <v>0</v>
      </c>
      <c r="J2910">
        <f>SUM(Z2862:Z2909)</f>
        <v>0</v>
      </c>
    </row>
    <row r="2911" spans="1:29" hidden="1" x14ac:dyDescent="0.25"/>
    <row r="2912" spans="1:29" ht="16.8" hidden="1" x14ac:dyDescent="0.25">
      <c r="A2912" s="11" t="str">
        <f>CONCATENATE("Подраздел: ",IF([1]Source!G2805&lt;&gt;"Новый подраздел", [1]Source!G2805, ""))</f>
        <v>Подраздел: ДВ-27-П Витраж учебного кабинета, 4 шт</v>
      </c>
      <c r="B2912" s="11"/>
      <c r="C2912" s="11"/>
      <c r="D2912" s="11"/>
      <c r="E2912" s="11"/>
      <c r="F2912" s="11"/>
      <c r="G2912" s="11"/>
      <c r="H2912" s="11"/>
      <c r="I2912" s="11"/>
      <c r="J2912" s="11"/>
      <c r="K2912" s="11"/>
    </row>
    <row r="2913" spans="1:29" ht="41.4" hidden="1" x14ac:dyDescent="0.25">
      <c r="A2913" s="27">
        <v>311</v>
      </c>
      <c r="B2913" s="27" t="str">
        <f>[1]Source!F2809</f>
        <v>3.70-55-2</v>
      </c>
      <c r="C2913" s="27" t="s">
        <v>365</v>
      </c>
      <c r="D2913" s="28" t="str">
        <f>[1]Source!H2809</f>
        <v>100 м2</v>
      </c>
      <c r="E2913" s="29">
        <f>[1]Source!I2809</f>
        <v>0.59899999999999998</v>
      </c>
      <c r="F2913" s="30"/>
      <c r="G2913" s="31"/>
      <c r="H2913" s="29"/>
      <c r="I2913" s="30"/>
      <c r="J2913" s="29"/>
      <c r="K2913" s="30"/>
      <c r="Q2913">
        <f>[1]Source!X2809</f>
        <v>2255.9</v>
      </c>
      <c r="R2913">
        <f>[1]Source!X2810</f>
        <v>127120.19</v>
      </c>
      <c r="S2913">
        <f>[1]Source!Y2809</f>
        <v>1423.37</v>
      </c>
      <c r="T2913">
        <f>[1]Source!Y2810</f>
        <v>80206.789999999994</v>
      </c>
      <c r="U2913">
        <f>ROUND((175/100)*ROUND([1]Source!R2809, 2), 2)</f>
        <v>48.32</v>
      </c>
      <c r="V2913">
        <f>ROUND((0/100)*ROUND([1]Source!R2810, 2), 2)</f>
        <v>0</v>
      </c>
      <c r="AC2913">
        <v>0</v>
      </c>
    </row>
    <row r="2914" spans="1:29" hidden="1" x14ac:dyDescent="0.25">
      <c r="C2914" s="32" t="str">
        <f>"Объем: "&amp;[1]Source!I2809&amp;"=59,9/"&amp;"100"</f>
        <v>Объем: 0,599=59,9/100</v>
      </c>
    </row>
    <row r="2915" spans="1:29" ht="14.4" hidden="1" x14ac:dyDescent="0.25">
      <c r="A2915" s="27"/>
      <c r="B2915" s="27"/>
      <c r="C2915" s="27" t="s">
        <v>36</v>
      </c>
      <c r="D2915" s="28"/>
      <c r="E2915" s="29"/>
      <c r="F2915" s="30">
        <f>[1]Source!AO2809</f>
        <v>2958.13</v>
      </c>
      <c r="G2915" s="31" t="s">
        <v>37</v>
      </c>
      <c r="H2915" s="29">
        <f>[1]Source!AV2810</f>
        <v>1.087</v>
      </c>
      <c r="I2915" s="30">
        <f>[1]Source!S2809</f>
        <v>2657.99</v>
      </c>
      <c r="J2915" s="29">
        <f>IF([1]Source!BA2810&lt;&gt; 0, [1]Source!BA2810, 1)</f>
        <v>56.35</v>
      </c>
      <c r="K2915" s="30">
        <f>[1]Source!S2810</f>
        <v>149777.74</v>
      </c>
    </row>
    <row r="2916" spans="1:29" ht="14.4" hidden="1" x14ac:dyDescent="0.25">
      <c r="A2916" s="27"/>
      <c r="B2916" s="27"/>
      <c r="C2916" s="27" t="s">
        <v>38</v>
      </c>
      <c r="D2916" s="28"/>
      <c r="E2916" s="29"/>
      <c r="F2916" s="30">
        <f>[1]Source!AM2809</f>
        <v>243.71</v>
      </c>
      <c r="G2916" s="31" t="s">
        <v>39</v>
      </c>
      <c r="H2916" s="29">
        <f>[1]Source!AV2810</f>
        <v>1.087</v>
      </c>
      <c r="I2916" s="30">
        <f>[1]Source!Q2809</f>
        <v>238.02</v>
      </c>
      <c r="J2916" s="29">
        <f>IF([1]Source!BB2810&lt;&gt; 0, [1]Source!BB2810, 1)</f>
        <v>15.43</v>
      </c>
      <c r="K2916" s="30">
        <f>[1]Source!Q2810</f>
        <v>3672.65</v>
      </c>
    </row>
    <row r="2917" spans="1:29" ht="14.4" hidden="1" x14ac:dyDescent="0.25">
      <c r="A2917" s="27"/>
      <c r="B2917" s="27"/>
      <c r="C2917" s="27" t="s">
        <v>40</v>
      </c>
      <c r="D2917" s="28"/>
      <c r="E2917" s="29"/>
      <c r="F2917" s="30">
        <f>[1]Source!AN2809</f>
        <v>28.27</v>
      </c>
      <c r="G2917" s="31" t="s">
        <v>39</v>
      </c>
      <c r="H2917" s="29">
        <f>[1]Source!AV2810</f>
        <v>1.087</v>
      </c>
      <c r="I2917" s="33">
        <f>[1]Source!R2809</f>
        <v>27.61</v>
      </c>
      <c r="J2917" s="29">
        <f>IF([1]Source!BS2810&lt;&gt; 0, [1]Source!BS2810, 1)</f>
        <v>56.35</v>
      </c>
      <c r="K2917" s="33">
        <f>[1]Source!R2810</f>
        <v>1555.82</v>
      </c>
    </row>
    <row r="2918" spans="1:29" ht="14.4" hidden="1" x14ac:dyDescent="0.25">
      <c r="A2918" s="27"/>
      <c r="B2918" s="27"/>
      <c r="C2918" s="27" t="s">
        <v>41</v>
      </c>
      <c r="D2918" s="28"/>
      <c r="E2918" s="29"/>
      <c r="F2918" s="30">
        <f>[1]Source!AL2809</f>
        <v>1577.27</v>
      </c>
      <c r="G2918" s="31"/>
      <c r="H2918" s="29">
        <f>[1]Source!AW2810</f>
        <v>1</v>
      </c>
      <c r="I2918" s="30">
        <f>[1]Source!P2809</f>
        <v>944.78</v>
      </c>
      <c r="J2918" s="29">
        <f>IF([1]Source!BC2810&lt;&gt; 0, [1]Source!BC2810, 1)</f>
        <v>4.66</v>
      </c>
      <c r="K2918" s="30">
        <f>[1]Source!P2810</f>
        <v>4402.67</v>
      </c>
    </row>
    <row r="2919" spans="1:29" ht="55.2" hidden="1" x14ac:dyDescent="0.25">
      <c r="A2919" s="27" t="s">
        <v>590</v>
      </c>
      <c r="B2919" s="27" t="str">
        <f>[1]Source!F2811</f>
        <v>1.7-1-105</v>
      </c>
      <c r="C2919" s="27" t="s">
        <v>576</v>
      </c>
      <c r="D2919" s="28" t="str">
        <f>[1]Source!H2811</f>
        <v>м</v>
      </c>
      <c r="E2919" s="29">
        <f>[1]Source!I2811</f>
        <v>2.4199999999999999E-2</v>
      </c>
      <c r="F2919" s="30">
        <f>[1]Source!AK2811</f>
        <v>15.96</v>
      </c>
      <c r="G2919" s="43" t="s">
        <v>54</v>
      </c>
      <c r="H2919" s="29">
        <f>[1]Source!AW2812</f>
        <v>1</v>
      </c>
      <c r="I2919" s="30">
        <f>[1]Source!O2811</f>
        <v>0.39</v>
      </c>
      <c r="J2919" s="29">
        <f>IF([1]Source!BC2812&lt;&gt; 0, [1]Source!BC2812, 1)</f>
        <v>10.82</v>
      </c>
      <c r="K2919" s="30">
        <f>[1]Source!O2812</f>
        <v>4.22</v>
      </c>
      <c r="Q2919">
        <f>[1]Source!X2811</f>
        <v>0</v>
      </c>
      <c r="R2919">
        <f>[1]Source!X2812</f>
        <v>0</v>
      </c>
      <c r="S2919">
        <f>[1]Source!Y2811</f>
        <v>0</v>
      </c>
      <c r="T2919">
        <f>[1]Source!Y2812</f>
        <v>0</v>
      </c>
      <c r="U2919">
        <f>ROUND((175/100)*ROUND([1]Source!R2811, 2), 2)</f>
        <v>0</v>
      </c>
      <c r="V2919">
        <f>ROUND((0/100)*ROUND([1]Source!R2812, 2), 2)</f>
        <v>0</v>
      </c>
      <c r="AC2919">
        <v>3</v>
      </c>
    </row>
    <row r="2920" spans="1:29" ht="14.4" hidden="1" x14ac:dyDescent="0.25">
      <c r="A2920" s="27"/>
      <c r="B2920" s="27"/>
      <c r="C2920" s="27" t="s">
        <v>42</v>
      </c>
      <c r="D2920" s="28" t="s">
        <v>43</v>
      </c>
      <c r="E2920" s="29">
        <f>[1]Source!BZ2810</f>
        <v>84</v>
      </c>
      <c r="F2920" s="30"/>
      <c r="G2920" s="31"/>
      <c r="H2920" s="29"/>
      <c r="I2920" s="30">
        <f>SUM(Q2913:Q2919)</f>
        <v>2255.9</v>
      </c>
      <c r="J2920" s="29">
        <f>[1]Source!AT2810</f>
        <v>84</v>
      </c>
      <c r="K2920" s="30">
        <f>SUM(R2913:R2919)</f>
        <v>127120.19</v>
      </c>
    </row>
    <row r="2921" spans="1:29" ht="14.4" hidden="1" x14ac:dyDescent="0.25">
      <c r="A2921" s="27"/>
      <c r="B2921" s="27"/>
      <c r="C2921" s="27" t="s">
        <v>44</v>
      </c>
      <c r="D2921" s="28" t="s">
        <v>43</v>
      </c>
      <c r="E2921" s="29">
        <f>[1]Source!CA2810</f>
        <v>53</v>
      </c>
      <c r="F2921" s="30"/>
      <c r="G2921" s="31"/>
      <c r="H2921" s="29"/>
      <c r="I2921" s="30">
        <f>SUM(S2913:S2920)</f>
        <v>1423.37</v>
      </c>
      <c r="J2921" s="29">
        <f>[1]Source!AU2810</f>
        <v>53</v>
      </c>
      <c r="K2921" s="30">
        <f>SUM(T2913:T2920)</f>
        <v>80206.789999999994</v>
      </c>
    </row>
    <row r="2922" spans="1:29" ht="14.4" hidden="1" x14ac:dyDescent="0.25">
      <c r="A2922" s="34"/>
      <c r="B2922" s="34"/>
      <c r="C2922" s="34" t="s">
        <v>45</v>
      </c>
      <c r="D2922" s="35" t="s">
        <v>46</v>
      </c>
      <c r="E2922" s="36">
        <f>[1]Source!AQ2809</f>
        <v>183.77</v>
      </c>
      <c r="F2922" s="37"/>
      <c r="G2922" s="38" t="s">
        <v>37</v>
      </c>
      <c r="H2922" s="36">
        <f>[1]Source!AV2810</f>
        <v>1.087</v>
      </c>
      <c r="I2922" s="37">
        <f>[1]Source!U2809</f>
        <v>165.12394969379997</v>
      </c>
      <c r="J2922" s="36"/>
      <c r="K2922" s="37"/>
    </row>
    <row r="2923" spans="1:29" ht="13.8" hidden="1" x14ac:dyDescent="0.25">
      <c r="C2923" s="39" t="s">
        <v>47</v>
      </c>
      <c r="H2923" s="40">
        <f>I2915+I2916+I2918+I2920+I2921+SUM(I2919:I2919)-SUMIF(AC2919:AC2919, 5, I2919:I2919)-SUMIF(AC2919:AC2919, 6, I2919:I2919)</f>
        <v>7520.4500000000007</v>
      </c>
      <c r="I2923" s="40"/>
      <c r="J2923" s="40">
        <f>K2915+K2916+K2918+K2920+K2921+SUM(K2919:K2919)-SUMIF(AC2919:AC2919, 5, K2919:K2919)-SUMIF(AC2919:AC2919, 6, K2919:K2919)</f>
        <v>365184.25999999995</v>
      </c>
      <c r="K2923" s="40"/>
    </row>
    <row r="2924" spans="1:29" ht="13.8" hidden="1" x14ac:dyDescent="0.25">
      <c r="C2924" s="39" t="s">
        <v>48</v>
      </c>
      <c r="H2924" s="41">
        <f>SUMIF(AC2919:AC2919, 5, I2919:I2919)+SUMIF(AC2919:AC2919, 6, I2919:I2919)</f>
        <v>0</v>
      </c>
      <c r="I2924" s="41"/>
      <c r="J2924" s="41">
        <f>SUMIF(AC2919:AC2919, 5, K2919:K2919)+SUMIF(AC2919:AC2919, 6, K2919:K2919)</f>
        <v>0</v>
      </c>
      <c r="K2924" s="41"/>
    </row>
    <row r="2925" spans="1:29" ht="13.8" hidden="1" x14ac:dyDescent="0.25">
      <c r="C2925" s="39" t="s">
        <v>49</v>
      </c>
      <c r="H2925" s="41">
        <f>I2915+I2916+I2918+I2920+I2921+SUM(I2919:I2919)</f>
        <v>7520.4500000000007</v>
      </c>
      <c r="I2925" s="41"/>
      <c r="J2925" s="41">
        <f>K2915+K2916+K2918+K2920+K2921+SUM(K2919:K2919)</f>
        <v>365184.25999999995</v>
      </c>
      <c r="K2925" s="41"/>
      <c r="O2925" s="42">
        <f>I2915+I2916+I2918+I2920+I2921+SUM(I2919:I2919)</f>
        <v>7520.4500000000007</v>
      </c>
      <c r="P2925" s="42">
        <f>K2915+K2916+K2918+K2920+K2921+SUM(K2919:K2919)</f>
        <v>365184.25999999995</v>
      </c>
    </row>
    <row r="2926" spans="1:29" hidden="1" x14ac:dyDescent="0.25"/>
    <row r="2927" spans="1:29" ht="55.2" hidden="1" x14ac:dyDescent="0.25">
      <c r="A2927" s="27">
        <v>312</v>
      </c>
      <c r="B2927" s="27" t="str">
        <f>[1]Source!F2813</f>
        <v>3.70-55-8</v>
      </c>
      <c r="C2927" s="27" t="s">
        <v>577</v>
      </c>
      <c r="D2927" s="28" t="str">
        <f>[1]Source!H2813</f>
        <v>100 м2</v>
      </c>
      <c r="E2927" s="29">
        <f>[1]Source!I2813</f>
        <v>0.47299999999999998</v>
      </c>
      <c r="F2927" s="30"/>
      <c r="G2927" s="31"/>
      <c r="H2927" s="29"/>
      <c r="I2927" s="30"/>
      <c r="J2927" s="29"/>
      <c r="K2927" s="30"/>
      <c r="Q2927">
        <f>[1]Source!X2813</f>
        <v>512.9</v>
      </c>
      <c r="R2927">
        <f>[1]Source!X2814</f>
        <v>28901.67</v>
      </c>
      <c r="S2927">
        <f>[1]Source!Y2813</f>
        <v>323.61</v>
      </c>
      <c r="T2927">
        <f>[1]Source!Y2814</f>
        <v>18235.580000000002</v>
      </c>
      <c r="U2927">
        <f>ROUND((175/100)*ROUND([1]Source!R2813, 2), 2)</f>
        <v>21.46</v>
      </c>
      <c r="V2927">
        <f>ROUND((0/100)*ROUND([1]Source!R2814, 2), 2)</f>
        <v>0</v>
      </c>
      <c r="AC2927">
        <v>0</v>
      </c>
    </row>
    <row r="2928" spans="1:29" hidden="1" x14ac:dyDescent="0.25">
      <c r="C2928" s="32" t="str">
        <f>"Объем: "&amp;[1]Source!I2813&amp;"=(59,9-"&amp;"12,6)/"&amp;"100"</f>
        <v>Объем: 0,473=(59,9-12,6)/100</v>
      </c>
    </row>
    <row r="2929" spans="1:29" ht="14.4" hidden="1" x14ac:dyDescent="0.25">
      <c r="A2929" s="27"/>
      <c r="B2929" s="27"/>
      <c r="C2929" s="27" t="s">
        <v>36</v>
      </c>
      <c r="D2929" s="28"/>
      <c r="E2929" s="29"/>
      <c r="F2929" s="30">
        <f>[1]Source!AO2813</f>
        <v>843.28</v>
      </c>
      <c r="G2929" s="31" t="s">
        <v>37</v>
      </c>
      <c r="H2929" s="29">
        <f>[1]Source!AV2814</f>
        <v>1.087</v>
      </c>
      <c r="I2929" s="30">
        <f>[1]Source!S2813</f>
        <v>598.33000000000004</v>
      </c>
      <c r="J2929" s="29">
        <f>IF([1]Source!BA2814&lt;&gt; 0, [1]Source!BA2814, 1)</f>
        <v>56.35</v>
      </c>
      <c r="K2929" s="30">
        <f>[1]Source!S2814</f>
        <v>33715.9</v>
      </c>
    </row>
    <row r="2930" spans="1:29" ht="14.4" hidden="1" x14ac:dyDescent="0.25">
      <c r="A2930" s="27"/>
      <c r="B2930" s="27"/>
      <c r="C2930" s="27" t="s">
        <v>38</v>
      </c>
      <c r="D2930" s="28"/>
      <c r="E2930" s="29"/>
      <c r="F2930" s="30">
        <f>[1]Source!AM2813</f>
        <v>112.46</v>
      </c>
      <c r="G2930" s="31" t="s">
        <v>39</v>
      </c>
      <c r="H2930" s="29">
        <f>[1]Source!AV2814</f>
        <v>1.087</v>
      </c>
      <c r="I2930" s="30">
        <f>[1]Source!Q2813</f>
        <v>86.73</v>
      </c>
      <c r="J2930" s="29">
        <f>IF([1]Source!BB2814&lt;&gt; 0, [1]Source!BB2814, 1)</f>
        <v>16.559999999999999</v>
      </c>
      <c r="K2930" s="30">
        <f>[1]Source!Q2814</f>
        <v>1436.25</v>
      </c>
    </row>
    <row r="2931" spans="1:29" ht="14.4" hidden="1" x14ac:dyDescent="0.25">
      <c r="A2931" s="27"/>
      <c r="B2931" s="27"/>
      <c r="C2931" s="27" t="s">
        <v>40</v>
      </c>
      <c r="D2931" s="28"/>
      <c r="E2931" s="29"/>
      <c r="F2931" s="30">
        <f>[1]Source!AN2813</f>
        <v>15.9</v>
      </c>
      <c r="G2931" s="31" t="s">
        <v>39</v>
      </c>
      <c r="H2931" s="29">
        <f>[1]Source!AV2814</f>
        <v>1.087</v>
      </c>
      <c r="I2931" s="33">
        <f>[1]Source!R2813</f>
        <v>12.26</v>
      </c>
      <c r="J2931" s="29">
        <f>IF([1]Source!BS2814&lt;&gt; 0, [1]Source!BS2814, 1)</f>
        <v>56.35</v>
      </c>
      <c r="K2931" s="33">
        <f>[1]Source!R2814</f>
        <v>690.85</v>
      </c>
    </row>
    <row r="2932" spans="1:29" ht="14.4" hidden="1" x14ac:dyDescent="0.25">
      <c r="A2932" s="27"/>
      <c r="B2932" s="27"/>
      <c r="C2932" s="27" t="s">
        <v>41</v>
      </c>
      <c r="D2932" s="28"/>
      <c r="E2932" s="29"/>
      <c r="F2932" s="30">
        <f>[1]Source!AL2813</f>
        <v>11.79</v>
      </c>
      <c r="G2932" s="31"/>
      <c r="H2932" s="29">
        <f>[1]Source!AW2814</f>
        <v>1</v>
      </c>
      <c r="I2932" s="30">
        <f>[1]Source!P2813</f>
        <v>5.58</v>
      </c>
      <c r="J2932" s="29">
        <f>IF([1]Source!BC2814&lt;&gt; 0, [1]Source!BC2814, 1)</f>
        <v>3.95</v>
      </c>
      <c r="K2932" s="30">
        <f>[1]Source!P2814</f>
        <v>22.04</v>
      </c>
    </row>
    <row r="2933" spans="1:29" ht="14.4" hidden="1" x14ac:dyDescent="0.25">
      <c r="A2933" s="27"/>
      <c r="B2933" s="27"/>
      <c r="C2933" s="27" t="s">
        <v>42</v>
      </c>
      <c r="D2933" s="28" t="s">
        <v>43</v>
      </c>
      <c r="E2933" s="29">
        <f>[1]Source!BZ2814</f>
        <v>84</v>
      </c>
      <c r="F2933" s="30"/>
      <c r="G2933" s="31"/>
      <c r="H2933" s="29"/>
      <c r="I2933" s="30">
        <f>SUM(Q2927:Q2932)</f>
        <v>512.9</v>
      </c>
      <c r="J2933" s="29">
        <f>[1]Source!AT2814</f>
        <v>84</v>
      </c>
      <c r="K2933" s="30">
        <f>SUM(R2927:R2932)</f>
        <v>28901.67</v>
      </c>
    </row>
    <row r="2934" spans="1:29" ht="14.4" hidden="1" x14ac:dyDescent="0.25">
      <c r="A2934" s="27"/>
      <c r="B2934" s="27"/>
      <c r="C2934" s="27" t="s">
        <v>44</v>
      </c>
      <c r="D2934" s="28" t="s">
        <v>43</v>
      </c>
      <c r="E2934" s="29">
        <f>[1]Source!CA2814</f>
        <v>53</v>
      </c>
      <c r="F2934" s="30"/>
      <c r="G2934" s="31"/>
      <c r="H2934" s="29"/>
      <c r="I2934" s="30">
        <f>SUM(S2927:S2933)</f>
        <v>323.61</v>
      </c>
      <c r="J2934" s="29">
        <f>[1]Source!AU2814</f>
        <v>53</v>
      </c>
      <c r="K2934" s="30">
        <f>SUM(T2927:T2933)</f>
        <v>18235.580000000002</v>
      </c>
    </row>
    <row r="2935" spans="1:29" ht="14.4" hidden="1" x14ac:dyDescent="0.25">
      <c r="A2935" s="34"/>
      <c r="B2935" s="34"/>
      <c r="C2935" s="34" t="s">
        <v>45</v>
      </c>
      <c r="D2935" s="35" t="s">
        <v>46</v>
      </c>
      <c r="E2935" s="36">
        <f>[1]Source!AQ2813</f>
        <v>54.86</v>
      </c>
      <c r="F2935" s="37"/>
      <c r="G2935" s="38" t="s">
        <v>37</v>
      </c>
      <c r="H2935" s="36">
        <f>[1]Source!AV2814</f>
        <v>1.087</v>
      </c>
      <c r="I2935" s="37">
        <f>[1]Source!U2813</f>
        <v>38.924726926799991</v>
      </c>
      <c r="J2935" s="36"/>
      <c r="K2935" s="37"/>
    </row>
    <row r="2936" spans="1:29" ht="13.8" hidden="1" x14ac:dyDescent="0.25">
      <c r="C2936" s="39" t="s">
        <v>47</v>
      </c>
      <c r="H2936" s="40">
        <f>I2929+I2930+I2932+I2933+I2934+0-0-0</f>
        <v>1527.15</v>
      </c>
      <c r="I2936" s="40"/>
      <c r="J2936" s="40">
        <f>K2929+K2930+K2932+K2933+K2934+0-0-0</f>
        <v>82311.44</v>
      </c>
      <c r="K2936" s="40"/>
    </row>
    <row r="2937" spans="1:29" ht="13.8" hidden="1" x14ac:dyDescent="0.25">
      <c r="C2937" s="39" t="s">
        <v>48</v>
      </c>
      <c r="H2937" s="41">
        <f>0+0</f>
        <v>0</v>
      </c>
      <c r="I2937" s="41"/>
      <c r="J2937" s="41">
        <f>0+0</f>
        <v>0</v>
      </c>
      <c r="K2937" s="41"/>
    </row>
    <row r="2938" spans="1:29" ht="13.8" hidden="1" x14ac:dyDescent="0.25">
      <c r="C2938" s="39" t="s">
        <v>49</v>
      </c>
      <c r="H2938" s="41">
        <f>I2929+I2930+I2932+I2933+I2934+0</f>
        <v>1527.15</v>
      </c>
      <c r="I2938" s="41"/>
      <c r="J2938" s="41">
        <f>K2929+K2930+K2932+K2933+K2934+0</f>
        <v>82311.44</v>
      </c>
      <c r="K2938" s="41"/>
      <c r="O2938" s="42">
        <f>I2929+I2930+I2932+I2933+I2934+0</f>
        <v>1527.15</v>
      </c>
      <c r="P2938" s="42">
        <f>K2929+K2930+K2932+K2933+K2934+0</f>
        <v>82311.44</v>
      </c>
    </row>
    <row r="2939" spans="1:29" hidden="1" x14ac:dyDescent="0.25"/>
    <row r="2940" spans="1:29" ht="55.2" hidden="1" x14ac:dyDescent="0.25">
      <c r="A2940" s="27">
        <v>313</v>
      </c>
      <c r="B2940" s="27" t="str">
        <f>[1]Source!F2815</f>
        <v>3.70-55-10</v>
      </c>
      <c r="C2940" s="27" t="s">
        <v>570</v>
      </c>
      <c r="D2940" s="28" t="str">
        <f>[1]Source!H2815</f>
        <v>100 м2</v>
      </c>
      <c r="E2940" s="29">
        <f>[1]Source!I2815</f>
        <v>0.126</v>
      </c>
      <c r="F2940" s="30"/>
      <c r="G2940" s="31"/>
      <c r="H2940" s="29"/>
      <c r="I2940" s="30"/>
      <c r="J2940" s="29"/>
      <c r="K2940" s="30"/>
      <c r="Q2940">
        <f>[1]Source!X2815</f>
        <v>318.02</v>
      </c>
      <c r="R2940">
        <f>[1]Source!X2816</f>
        <v>17920.169999999998</v>
      </c>
      <c r="S2940">
        <f>[1]Source!Y2815</f>
        <v>200.65</v>
      </c>
      <c r="T2940">
        <f>[1]Source!Y2816</f>
        <v>11306.78</v>
      </c>
      <c r="U2940">
        <f>ROUND((175/100)*ROUND([1]Source!R2815, 2), 2)</f>
        <v>4.76</v>
      </c>
      <c r="V2940">
        <f>ROUND((0/100)*ROUND([1]Source!R2816, 2), 2)</f>
        <v>0</v>
      </c>
      <c r="AC2940">
        <v>0</v>
      </c>
    </row>
    <row r="2941" spans="1:29" hidden="1" x14ac:dyDescent="0.25">
      <c r="C2941" s="32" t="str">
        <f>"Объем: "&amp;[1]Source!I2815&amp;"=(1,5*"&amp;"2,1)*"&amp;"4/"&amp;"100"</f>
        <v>Объем: 0,126=(1,5*2,1)*4/100</v>
      </c>
    </row>
    <row r="2942" spans="1:29" ht="14.4" hidden="1" x14ac:dyDescent="0.25">
      <c r="A2942" s="27"/>
      <c r="B2942" s="27"/>
      <c r="C2942" s="27" t="s">
        <v>36</v>
      </c>
      <c r="D2942" s="28"/>
      <c r="E2942" s="29"/>
      <c r="F2942" s="30">
        <f>[1]Source!AO2815</f>
        <v>1988.67</v>
      </c>
      <c r="G2942" s="31" t="s">
        <v>37</v>
      </c>
      <c r="H2942" s="29">
        <f>[1]Source!AV2816</f>
        <v>1.087</v>
      </c>
      <c r="I2942" s="30">
        <f>[1]Source!S2815</f>
        <v>375.87</v>
      </c>
      <c r="J2942" s="29">
        <f>IF([1]Source!BA2816&lt;&gt; 0, [1]Source!BA2816, 1)</f>
        <v>56.35</v>
      </c>
      <c r="K2942" s="30">
        <f>[1]Source!S2816</f>
        <v>21180.27</v>
      </c>
    </row>
    <row r="2943" spans="1:29" ht="14.4" hidden="1" x14ac:dyDescent="0.25">
      <c r="A2943" s="27"/>
      <c r="B2943" s="27"/>
      <c r="C2943" s="27" t="s">
        <v>38</v>
      </c>
      <c r="D2943" s="28"/>
      <c r="E2943" s="29"/>
      <c r="F2943" s="30">
        <f>[1]Source!AM2815</f>
        <v>97.6</v>
      </c>
      <c r="G2943" s="31" t="s">
        <v>39</v>
      </c>
      <c r="H2943" s="29">
        <f>[1]Source!AV2816</f>
        <v>1.087</v>
      </c>
      <c r="I2943" s="30">
        <f>[1]Source!Q2815</f>
        <v>20.05</v>
      </c>
      <c r="J2943" s="29">
        <f>IF([1]Source!BB2816&lt;&gt; 0, [1]Source!BB2816, 1)</f>
        <v>16.28</v>
      </c>
      <c r="K2943" s="30">
        <f>[1]Source!Q2816</f>
        <v>326.41000000000003</v>
      </c>
    </row>
    <row r="2944" spans="1:29" ht="14.4" hidden="1" x14ac:dyDescent="0.25">
      <c r="A2944" s="27"/>
      <c r="B2944" s="27"/>
      <c r="C2944" s="27" t="s">
        <v>40</v>
      </c>
      <c r="D2944" s="28"/>
      <c r="E2944" s="29"/>
      <c r="F2944" s="30">
        <f>[1]Source!AN2815</f>
        <v>13.25</v>
      </c>
      <c r="G2944" s="31" t="s">
        <v>39</v>
      </c>
      <c r="H2944" s="29">
        <f>[1]Source!AV2816</f>
        <v>1.087</v>
      </c>
      <c r="I2944" s="33">
        <f>[1]Source!R2815</f>
        <v>2.72</v>
      </c>
      <c r="J2944" s="29">
        <f>IF([1]Source!BS2816&lt;&gt; 0, [1]Source!BS2816, 1)</f>
        <v>56.35</v>
      </c>
      <c r="K2944" s="33">
        <f>[1]Source!R2816</f>
        <v>153.27000000000001</v>
      </c>
    </row>
    <row r="2945" spans="1:29" ht="14.4" hidden="1" x14ac:dyDescent="0.25">
      <c r="A2945" s="27"/>
      <c r="B2945" s="27"/>
      <c r="C2945" s="27" t="s">
        <v>41</v>
      </c>
      <c r="D2945" s="28"/>
      <c r="E2945" s="29"/>
      <c r="F2945" s="30">
        <f>[1]Source!AL2815</f>
        <v>55.75</v>
      </c>
      <c r="G2945" s="31"/>
      <c r="H2945" s="29">
        <f>[1]Source!AW2816</f>
        <v>1</v>
      </c>
      <c r="I2945" s="30">
        <f>[1]Source!P2815</f>
        <v>7.02</v>
      </c>
      <c r="J2945" s="29">
        <f>IF([1]Source!BC2816&lt;&gt; 0, [1]Source!BC2816, 1)</f>
        <v>6.65</v>
      </c>
      <c r="K2945" s="30">
        <f>[1]Source!P2816</f>
        <v>46.68</v>
      </c>
    </row>
    <row r="2946" spans="1:29" ht="14.4" hidden="1" x14ac:dyDescent="0.25">
      <c r="A2946" s="27"/>
      <c r="B2946" s="27"/>
      <c r="C2946" s="27" t="s">
        <v>42</v>
      </c>
      <c r="D2946" s="28" t="s">
        <v>43</v>
      </c>
      <c r="E2946" s="29">
        <f>[1]Source!BZ2816</f>
        <v>84</v>
      </c>
      <c r="F2946" s="30"/>
      <c r="G2946" s="31"/>
      <c r="H2946" s="29"/>
      <c r="I2946" s="30">
        <f>SUM(Q2940:Q2945)</f>
        <v>318.02</v>
      </c>
      <c r="J2946" s="29">
        <f>[1]Source!AT2816</f>
        <v>84</v>
      </c>
      <c r="K2946" s="30">
        <f>SUM(R2940:R2945)</f>
        <v>17920.169999999998</v>
      </c>
    </row>
    <row r="2947" spans="1:29" ht="14.4" hidden="1" x14ac:dyDescent="0.25">
      <c r="A2947" s="27"/>
      <c r="B2947" s="27"/>
      <c r="C2947" s="27" t="s">
        <v>44</v>
      </c>
      <c r="D2947" s="28" t="s">
        <v>43</v>
      </c>
      <c r="E2947" s="29">
        <f>[1]Source!CA2816</f>
        <v>53</v>
      </c>
      <c r="F2947" s="30"/>
      <c r="G2947" s="31"/>
      <c r="H2947" s="29"/>
      <c r="I2947" s="30">
        <f>SUM(S2940:S2946)</f>
        <v>200.65</v>
      </c>
      <c r="J2947" s="29">
        <f>[1]Source!AU2816</f>
        <v>53</v>
      </c>
      <c r="K2947" s="30">
        <f>SUM(T2940:T2946)</f>
        <v>11306.78</v>
      </c>
    </row>
    <row r="2948" spans="1:29" ht="14.4" hidden="1" x14ac:dyDescent="0.25">
      <c r="A2948" s="34"/>
      <c r="B2948" s="34"/>
      <c r="C2948" s="34" t="s">
        <v>45</v>
      </c>
      <c r="D2948" s="35" t="s">
        <v>46</v>
      </c>
      <c r="E2948" s="36">
        <f>[1]Source!AQ2815</f>
        <v>113.3</v>
      </c>
      <c r="F2948" s="37"/>
      <c r="G2948" s="38" t="s">
        <v>37</v>
      </c>
      <c r="H2948" s="36">
        <f>[1]Source!AV2816</f>
        <v>1.087</v>
      </c>
      <c r="I2948" s="37">
        <f>[1]Source!U2815</f>
        <v>21.414556548</v>
      </c>
      <c r="J2948" s="36"/>
      <c r="K2948" s="37"/>
    </row>
    <row r="2949" spans="1:29" ht="13.8" hidden="1" x14ac:dyDescent="0.25">
      <c r="C2949" s="39" t="s">
        <v>47</v>
      </c>
      <c r="H2949" s="40">
        <f>I2942+I2943+I2945+I2946+I2947+0-0-0</f>
        <v>921.61</v>
      </c>
      <c r="I2949" s="40"/>
      <c r="J2949" s="40">
        <f>K2942+K2943+K2945+K2946+K2947+0-0-0</f>
        <v>50780.31</v>
      </c>
      <c r="K2949" s="40"/>
    </row>
    <row r="2950" spans="1:29" ht="13.8" hidden="1" x14ac:dyDescent="0.25">
      <c r="C2950" s="39" t="s">
        <v>48</v>
      </c>
      <c r="H2950" s="41">
        <f>0+0</f>
        <v>0</v>
      </c>
      <c r="I2950" s="41"/>
      <c r="J2950" s="41">
        <f>0+0</f>
        <v>0</v>
      </c>
      <c r="K2950" s="41"/>
    </row>
    <row r="2951" spans="1:29" ht="13.8" hidden="1" x14ac:dyDescent="0.25">
      <c r="C2951" s="39" t="s">
        <v>49</v>
      </c>
      <c r="H2951" s="41">
        <f>I2942+I2943+I2945+I2946+I2947+0</f>
        <v>921.61</v>
      </c>
      <c r="I2951" s="41"/>
      <c r="J2951" s="41">
        <f>K2942+K2943+K2945+K2946+K2947+0</f>
        <v>50780.31</v>
      </c>
      <c r="K2951" s="41"/>
      <c r="O2951" s="42">
        <f>I2942+I2943+I2945+I2946+I2947+0</f>
        <v>921.61</v>
      </c>
      <c r="P2951" s="42">
        <f>K2942+K2943+K2945+K2946+K2947+0</f>
        <v>50780.31</v>
      </c>
    </row>
    <row r="2952" spans="1:29" hidden="1" x14ac:dyDescent="0.25"/>
    <row r="2953" spans="1:29" ht="345" x14ac:dyDescent="0.25">
      <c r="A2953" s="53">
        <v>314</v>
      </c>
      <c r="B2953" s="53" t="str">
        <f>[1]Source!F2817</f>
        <v>КА-179</v>
      </c>
      <c r="C2953" s="53" t="s">
        <v>581</v>
      </c>
      <c r="D2953" s="54"/>
      <c r="E2953" s="55"/>
      <c r="F2953" s="30"/>
      <c r="G2953" s="31"/>
      <c r="H2953" s="29"/>
      <c r="I2953" s="30"/>
      <c r="J2953" s="29"/>
      <c r="K2953" s="56"/>
      <c r="M2953" s="50">
        <f t="shared" ref="M2953:M2954" si="41">L2953*E2953</f>
        <v>0</v>
      </c>
      <c r="N2953" s="59" t="s">
        <v>180</v>
      </c>
    </row>
    <row r="2954" spans="1:29" ht="261" x14ac:dyDescent="0.25">
      <c r="A2954" s="46"/>
      <c r="B2954" s="46"/>
      <c r="C2954" s="46" t="s">
        <v>578</v>
      </c>
      <c r="D2954" s="47" t="str">
        <f>[1]Source!H2817</f>
        <v>м2</v>
      </c>
      <c r="E2954" s="48">
        <f>[1]Source!I2817</f>
        <v>59.9</v>
      </c>
      <c r="F2954" s="49">
        <f>[1]Source!AL2817</f>
        <v>3874.45</v>
      </c>
      <c r="G2954" s="60"/>
      <c r="H2954" s="48">
        <f>[1]Source!AW2818</f>
        <v>1</v>
      </c>
      <c r="I2954" s="49">
        <f>[1]Source!P2817</f>
        <v>232079.56</v>
      </c>
      <c r="J2954" s="48">
        <f>IF([1]Source!BC2818&lt;&gt; 0, [1]Source!BC2818, 1)</f>
        <v>9.84</v>
      </c>
      <c r="K2954" s="49">
        <f>[1]Source!P2818</f>
        <v>1292070.6200000001</v>
      </c>
      <c r="L2954">
        <v>25800</v>
      </c>
      <c r="M2954" s="50">
        <f t="shared" si="41"/>
        <v>1545420</v>
      </c>
      <c r="N2954" s="59" t="s">
        <v>180</v>
      </c>
      <c r="Q2954">
        <f>[1]Source!X2817</f>
        <v>0</v>
      </c>
      <c r="R2954">
        <f>[1]Source!X2818</f>
        <v>0</v>
      </c>
      <c r="S2954">
        <f>[1]Source!Y2817</f>
        <v>0</v>
      </c>
      <c r="T2954">
        <f>[1]Source!Y2818</f>
        <v>0</v>
      </c>
      <c r="U2954">
        <f>ROUND((175/100)*ROUND([1]Source!R2817, 2), 2)</f>
        <v>0</v>
      </c>
      <c r="V2954">
        <f>ROUND((0/100)*ROUND([1]Source!R2818, 2), 2)</f>
        <v>0</v>
      </c>
      <c r="AC2954">
        <v>3</v>
      </c>
    </row>
    <row r="2955" spans="1:29" ht="13.8" hidden="1" x14ac:dyDescent="0.25">
      <c r="C2955" s="39" t="s">
        <v>49</v>
      </c>
      <c r="H2955" s="40">
        <f>I2954+0</f>
        <v>232079.56</v>
      </c>
      <c r="I2955" s="40"/>
      <c r="J2955" s="40">
        <f>K2954+0</f>
        <v>1292070.6200000001</v>
      </c>
      <c r="K2955" s="40"/>
      <c r="O2955" s="42">
        <f>I2954+0</f>
        <v>232079.56</v>
      </c>
      <c r="P2955" s="42">
        <f>K2954+0</f>
        <v>1292070.6200000001</v>
      </c>
    </row>
    <row r="2956" spans="1:29" hidden="1" x14ac:dyDescent="0.25"/>
    <row r="2957" spans="1:29" hidden="1" x14ac:dyDescent="0.25"/>
    <row r="2958" spans="1:29" ht="13.8" hidden="1" x14ac:dyDescent="0.25">
      <c r="A2958" s="44" t="str">
        <f>CONCATENATE("Итого по подразделу: ",IF([1]Source!G2820&lt;&gt;"Новый подраздел", [1]Source!G2820, ""))</f>
        <v>Итого по подразделу: ДВ-27-П Витраж учебного кабинета, 4 шт</v>
      </c>
      <c r="B2958" s="44"/>
      <c r="C2958" s="44"/>
      <c r="D2958" s="44"/>
      <c r="E2958" s="44"/>
      <c r="F2958" s="44"/>
      <c r="G2958" s="44"/>
      <c r="H2958" s="41">
        <f>SUM(O2912:O2957)</f>
        <v>242048.77</v>
      </c>
      <c r="I2958" s="45"/>
      <c r="J2958" s="41">
        <f>SUM(P2912:P2957)</f>
        <v>1790346.6300000001</v>
      </c>
      <c r="K2958" s="45"/>
    </row>
    <row r="2959" spans="1:29" hidden="1" x14ac:dyDescent="0.25">
      <c r="A2959" t="s">
        <v>55</v>
      </c>
      <c r="I2959">
        <f>SUM(W2912:W2958)</f>
        <v>0</v>
      </c>
      <c r="J2959">
        <f>SUM(X2912:X2958)</f>
        <v>0</v>
      </c>
    </row>
    <row r="2960" spans="1:29" hidden="1" x14ac:dyDescent="0.25">
      <c r="A2960" t="s">
        <v>56</v>
      </c>
      <c r="I2960">
        <f>SUM(Y2912:Y2959)</f>
        <v>0</v>
      </c>
      <c r="J2960">
        <f>SUM(Z2912:Z2959)</f>
        <v>0</v>
      </c>
    </row>
    <row r="2961" spans="1:29" hidden="1" x14ac:dyDescent="0.25"/>
    <row r="2962" spans="1:29" ht="16.8" hidden="1" x14ac:dyDescent="0.25">
      <c r="A2962" s="11" t="str">
        <f>CONCATENATE("Подраздел: ",IF([1]Source!G2850&lt;&gt;"Новый подраздел", [1]Source!G2850, ""))</f>
        <v>Подраздел: ДВ-28л-Л Витраж разделяющий коридор</v>
      </c>
      <c r="B2962" s="11"/>
      <c r="C2962" s="11"/>
      <c r="D2962" s="11"/>
      <c r="E2962" s="11"/>
      <c r="F2962" s="11"/>
      <c r="G2962" s="11"/>
      <c r="H2962" s="11"/>
      <c r="I2962" s="11"/>
      <c r="J2962" s="11"/>
      <c r="K2962" s="11"/>
    </row>
    <row r="2963" spans="1:29" ht="41.4" hidden="1" x14ac:dyDescent="0.25">
      <c r="A2963" s="27">
        <v>315</v>
      </c>
      <c r="B2963" s="27" t="str">
        <f>[1]Source!F2854</f>
        <v>3.70-55-2</v>
      </c>
      <c r="C2963" s="27" t="s">
        <v>365</v>
      </c>
      <c r="D2963" s="28" t="str">
        <f>[1]Source!H2854</f>
        <v>100 м2</v>
      </c>
      <c r="E2963" s="29">
        <f>[1]Source!I2854</f>
        <v>0.152</v>
      </c>
      <c r="F2963" s="30"/>
      <c r="G2963" s="31"/>
      <c r="H2963" s="29"/>
      <c r="I2963" s="30"/>
      <c r="J2963" s="29"/>
      <c r="K2963" s="30"/>
      <c r="Q2963">
        <f>[1]Source!X2854</f>
        <v>572.45000000000005</v>
      </c>
      <c r="R2963">
        <f>[1]Source!X2855</f>
        <v>32257.65</v>
      </c>
      <c r="S2963">
        <f>[1]Source!Y2854</f>
        <v>361.19</v>
      </c>
      <c r="T2963">
        <f>[1]Source!Y2855</f>
        <v>20353.04</v>
      </c>
      <c r="U2963">
        <f>ROUND((175/100)*ROUND([1]Source!R2854, 2), 2)</f>
        <v>12.27</v>
      </c>
      <c r="V2963">
        <f>ROUND((0/100)*ROUND([1]Source!R2855, 2), 2)</f>
        <v>0</v>
      </c>
      <c r="AC2963">
        <v>0</v>
      </c>
    </row>
    <row r="2964" spans="1:29" hidden="1" x14ac:dyDescent="0.25">
      <c r="C2964" s="32" t="str">
        <f>"Объем: "&amp;[1]Source!I2854&amp;"=15,2/"&amp;"100"</f>
        <v>Объем: 0,152=15,2/100</v>
      </c>
    </row>
    <row r="2965" spans="1:29" ht="14.4" hidden="1" x14ac:dyDescent="0.25">
      <c r="A2965" s="27"/>
      <c r="B2965" s="27"/>
      <c r="C2965" s="27" t="s">
        <v>36</v>
      </c>
      <c r="D2965" s="28"/>
      <c r="E2965" s="29"/>
      <c r="F2965" s="30">
        <f>[1]Source!AO2854</f>
        <v>2958.13</v>
      </c>
      <c r="G2965" s="31" t="s">
        <v>37</v>
      </c>
      <c r="H2965" s="29">
        <f>[1]Source!AV2855</f>
        <v>1.087</v>
      </c>
      <c r="I2965" s="30">
        <f>[1]Source!S2854</f>
        <v>674.48</v>
      </c>
      <c r="J2965" s="29">
        <f>IF([1]Source!BA2855&lt;&gt; 0, [1]Source!BA2855, 1)</f>
        <v>56.35</v>
      </c>
      <c r="K2965" s="30">
        <f>[1]Source!S2855</f>
        <v>38006.949999999997</v>
      </c>
    </row>
    <row r="2966" spans="1:29" ht="14.4" hidden="1" x14ac:dyDescent="0.25">
      <c r="A2966" s="27"/>
      <c r="B2966" s="27"/>
      <c r="C2966" s="27" t="s">
        <v>38</v>
      </c>
      <c r="D2966" s="28"/>
      <c r="E2966" s="29"/>
      <c r="F2966" s="30">
        <f>[1]Source!AM2854</f>
        <v>243.71</v>
      </c>
      <c r="G2966" s="31" t="s">
        <v>39</v>
      </c>
      <c r="H2966" s="29">
        <f>[1]Source!AV2855</f>
        <v>1.087</v>
      </c>
      <c r="I2966" s="30">
        <f>[1]Source!Q2854</f>
        <v>60.4</v>
      </c>
      <c r="J2966" s="29">
        <f>IF([1]Source!BB2855&lt;&gt; 0, [1]Source!BB2855, 1)</f>
        <v>15.43</v>
      </c>
      <c r="K2966" s="30">
        <f>[1]Source!Q2855</f>
        <v>931.97</v>
      </c>
    </row>
    <row r="2967" spans="1:29" ht="14.4" hidden="1" x14ac:dyDescent="0.25">
      <c r="A2967" s="27"/>
      <c r="B2967" s="27"/>
      <c r="C2967" s="27" t="s">
        <v>40</v>
      </c>
      <c r="D2967" s="28"/>
      <c r="E2967" s="29"/>
      <c r="F2967" s="30">
        <f>[1]Source!AN2854</f>
        <v>28.27</v>
      </c>
      <c r="G2967" s="31" t="s">
        <v>39</v>
      </c>
      <c r="H2967" s="29">
        <f>[1]Source!AV2855</f>
        <v>1.087</v>
      </c>
      <c r="I2967" s="33">
        <f>[1]Source!R2854</f>
        <v>7.01</v>
      </c>
      <c r="J2967" s="29">
        <f>IF([1]Source!BS2855&lt;&gt; 0, [1]Source!BS2855, 1)</f>
        <v>56.35</v>
      </c>
      <c r="K2967" s="33">
        <f>[1]Source!R2855</f>
        <v>395.01</v>
      </c>
    </row>
    <row r="2968" spans="1:29" ht="14.4" hidden="1" x14ac:dyDescent="0.25">
      <c r="A2968" s="27"/>
      <c r="B2968" s="27"/>
      <c r="C2968" s="27" t="s">
        <v>41</v>
      </c>
      <c r="D2968" s="28"/>
      <c r="E2968" s="29"/>
      <c r="F2968" s="30">
        <f>[1]Source!AL2854</f>
        <v>1577.27</v>
      </c>
      <c r="G2968" s="31"/>
      <c r="H2968" s="29">
        <f>[1]Source!AW2855</f>
        <v>1</v>
      </c>
      <c r="I2968" s="30">
        <f>[1]Source!P2854</f>
        <v>239.75</v>
      </c>
      <c r="J2968" s="29">
        <f>IF([1]Source!BC2855&lt;&gt; 0, [1]Source!BC2855, 1)</f>
        <v>4.66</v>
      </c>
      <c r="K2968" s="30">
        <f>[1]Source!P2855</f>
        <v>1117.24</v>
      </c>
    </row>
    <row r="2969" spans="1:29" ht="55.2" hidden="1" x14ac:dyDescent="0.25">
      <c r="A2969" s="27" t="s">
        <v>591</v>
      </c>
      <c r="B2969" s="27" t="str">
        <f>[1]Source!F2856</f>
        <v>1.7-1-105</v>
      </c>
      <c r="C2969" s="27" t="s">
        <v>576</v>
      </c>
      <c r="D2969" s="28" t="str">
        <f>[1]Source!H2856</f>
        <v>м</v>
      </c>
      <c r="E2969" s="29">
        <f>[1]Source!I2856</f>
        <v>6.1409999999999998E-3</v>
      </c>
      <c r="F2969" s="30">
        <f>[1]Source!AK2856</f>
        <v>15.96</v>
      </c>
      <c r="G2969" s="43" t="s">
        <v>54</v>
      </c>
      <c r="H2969" s="29">
        <f>[1]Source!AW2857</f>
        <v>1</v>
      </c>
      <c r="I2969" s="30">
        <f>[1]Source!O2856</f>
        <v>0.1</v>
      </c>
      <c r="J2969" s="29">
        <f>IF([1]Source!BC2857&lt;&gt; 0, [1]Source!BC2857, 1)</f>
        <v>10.82</v>
      </c>
      <c r="K2969" s="30">
        <f>[1]Source!O2857</f>
        <v>1.08</v>
      </c>
      <c r="Q2969">
        <f>[1]Source!X2856</f>
        <v>0</v>
      </c>
      <c r="R2969">
        <f>[1]Source!X2857</f>
        <v>0</v>
      </c>
      <c r="S2969">
        <f>[1]Source!Y2856</f>
        <v>0</v>
      </c>
      <c r="T2969">
        <f>[1]Source!Y2857</f>
        <v>0</v>
      </c>
      <c r="U2969">
        <f>ROUND((175/100)*ROUND([1]Source!R2856, 2), 2)</f>
        <v>0</v>
      </c>
      <c r="V2969">
        <f>ROUND((0/100)*ROUND([1]Source!R2857, 2), 2)</f>
        <v>0</v>
      </c>
      <c r="AC2969">
        <v>3</v>
      </c>
    </row>
    <row r="2970" spans="1:29" ht="14.4" hidden="1" x14ac:dyDescent="0.25">
      <c r="A2970" s="27"/>
      <c r="B2970" s="27"/>
      <c r="C2970" s="27" t="s">
        <v>42</v>
      </c>
      <c r="D2970" s="28" t="s">
        <v>43</v>
      </c>
      <c r="E2970" s="29">
        <f>[1]Source!BZ2855</f>
        <v>84</v>
      </c>
      <c r="F2970" s="30"/>
      <c r="G2970" s="31"/>
      <c r="H2970" s="29"/>
      <c r="I2970" s="30">
        <f>SUM(Q2963:Q2969)</f>
        <v>572.45000000000005</v>
      </c>
      <c r="J2970" s="29">
        <f>[1]Source!AT2855</f>
        <v>84</v>
      </c>
      <c r="K2970" s="30">
        <f>SUM(R2963:R2969)</f>
        <v>32257.65</v>
      </c>
    </row>
    <row r="2971" spans="1:29" ht="14.4" hidden="1" x14ac:dyDescent="0.25">
      <c r="A2971" s="27"/>
      <c r="B2971" s="27"/>
      <c r="C2971" s="27" t="s">
        <v>44</v>
      </c>
      <c r="D2971" s="28" t="s">
        <v>43</v>
      </c>
      <c r="E2971" s="29">
        <f>[1]Source!CA2855</f>
        <v>53</v>
      </c>
      <c r="F2971" s="30"/>
      <c r="G2971" s="31"/>
      <c r="H2971" s="29"/>
      <c r="I2971" s="30">
        <f>SUM(S2963:S2970)</f>
        <v>361.19</v>
      </c>
      <c r="J2971" s="29">
        <f>[1]Source!AU2855</f>
        <v>53</v>
      </c>
      <c r="K2971" s="30">
        <f>SUM(T2963:T2970)</f>
        <v>20353.04</v>
      </c>
    </row>
    <row r="2972" spans="1:29" ht="14.4" hidden="1" x14ac:dyDescent="0.25">
      <c r="A2972" s="34"/>
      <c r="B2972" s="34"/>
      <c r="C2972" s="34" t="s">
        <v>45</v>
      </c>
      <c r="D2972" s="35" t="s">
        <v>46</v>
      </c>
      <c r="E2972" s="36">
        <f>[1]Source!AQ2854</f>
        <v>183.77</v>
      </c>
      <c r="F2972" s="37"/>
      <c r="G2972" s="38" t="s">
        <v>37</v>
      </c>
      <c r="H2972" s="36">
        <f>[1]Source!AV2855</f>
        <v>1.087</v>
      </c>
      <c r="I2972" s="37">
        <f>[1]Source!U2854</f>
        <v>41.901235982399996</v>
      </c>
      <c r="J2972" s="36"/>
      <c r="K2972" s="37"/>
    </row>
    <row r="2973" spans="1:29" ht="13.8" hidden="1" x14ac:dyDescent="0.25">
      <c r="C2973" s="39" t="s">
        <v>47</v>
      </c>
      <c r="H2973" s="40">
        <f>I2965+I2966+I2968+I2970+I2971+SUM(I2969:I2969)-SUMIF(AC2969:AC2969, 5, I2969:I2969)-SUMIF(AC2969:AC2969, 6, I2969:I2969)</f>
        <v>1908.37</v>
      </c>
      <c r="I2973" s="40"/>
      <c r="J2973" s="40">
        <f>K2965+K2966+K2968+K2970+K2971+SUM(K2969:K2969)-SUMIF(AC2969:AC2969, 5, K2969:K2969)-SUMIF(AC2969:AC2969, 6, K2969:K2969)</f>
        <v>92667.930000000008</v>
      </c>
      <c r="K2973" s="40"/>
    </row>
    <row r="2974" spans="1:29" ht="13.8" hidden="1" x14ac:dyDescent="0.25">
      <c r="C2974" s="39" t="s">
        <v>48</v>
      </c>
      <c r="H2974" s="41">
        <f>SUMIF(AC2969:AC2969, 5, I2969:I2969)+SUMIF(AC2969:AC2969, 6, I2969:I2969)</f>
        <v>0</v>
      </c>
      <c r="I2974" s="41"/>
      <c r="J2974" s="41">
        <f>SUMIF(AC2969:AC2969, 5, K2969:K2969)+SUMIF(AC2969:AC2969, 6, K2969:K2969)</f>
        <v>0</v>
      </c>
      <c r="K2974" s="41"/>
    </row>
    <row r="2975" spans="1:29" ht="13.8" hidden="1" x14ac:dyDescent="0.25">
      <c r="C2975" s="39" t="s">
        <v>49</v>
      </c>
      <c r="H2975" s="41">
        <f>I2965+I2966+I2968+I2970+I2971+SUM(I2969:I2969)</f>
        <v>1908.37</v>
      </c>
      <c r="I2975" s="41"/>
      <c r="J2975" s="41">
        <f>K2965+K2966+K2968+K2970+K2971+SUM(K2969:K2969)</f>
        <v>92667.930000000008</v>
      </c>
      <c r="K2975" s="41"/>
      <c r="O2975" s="42">
        <f>I2965+I2966+I2968+I2970+I2971+SUM(I2969:I2969)</f>
        <v>1908.37</v>
      </c>
      <c r="P2975" s="42">
        <f>K2965+K2966+K2968+K2970+K2971+SUM(K2969:K2969)</f>
        <v>92667.930000000008</v>
      </c>
    </row>
    <row r="2976" spans="1:29" hidden="1" x14ac:dyDescent="0.25"/>
    <row r="2977" spans="1:29" ht="55.2" hidden="1" x14ac:dyDescent="0.25">
      <c r="A2977" s="27">
        <v>316</v>
      </c>
      <c r="B2977" s="27" t="str">
        <f>[1]Source!F2858</f>
        <v>3.70-55-8</v>
      </c>
      <c r="C2977" s="27" t="s">
        <v>577</v>
      </c>
      <c r="D2977" s="28" t="str">
        <f>[1]Source!H2858</f>
        <v>100 м2</v>
      </c>
      <c r="E2977" s="29">
        <f>[1]Source!I2858</f>
        <v>0.1205</v>
      </c>
      <c r="F2977" s="30"/>
      <c r="G2977" s="31"/>
      <c r="H2977" s="29"/>
      <c r="I2977" s="30"/>
      <c r="J2977" s="29"/>
      <c r="K2977" s="30"/>
      <c r="Q2977">
        <f>[1]Source!X2858</f>
        <v>130.66</v>
      </c>
      <c r="R2977">
        <f>[1]Source!X2859</f>
        <v>7362.8</v>
      </c>
      <c r="S2977">
        <f>[1]Source!Y2858</f>
        <v>82.44</v>
      </c>
      <c r="T2977">
        <f>[1]Source!Y2859</f>
        <v>4645.58</v>
      </c>
      <c r="U2977">
        <f>ROUND((175/100)*ROUND([1]Source!R2858, 2), 2)</f>
        <v>5.46</v>
      </c>
      <c r="V2977">
        <f>ROUND((0/100)*ROUND([1]Source!R2859, 2), 2)</f>
        <v>0</v>
      </c>
      <c r="AC2977">
        <v>0</v>
      </c>
    </row>
    <row r="2978" spans="1:29" hidden="1" x14ac:dyDescent="0.25">
      <c r="C2978" s="32" t="str">
        <f>"Объем: "&amp;[1]Source!I2858&amp;"=(15,2-"&amp;"3,15)/"&amp;"100"</f>
        <v>Объем: 0,1205=(15,2-3,15)/100</v>
      </c>
    </row>
    <row r="2979" spans="1:29" ht="14.4" hidden="1" x14ac:dyDescent="0.25">
      <c r="A2979" s="27"/>
      <c r="B2979" s="27"/>
      <c r="C2979" s="27" t="s">
        <v>36</v>
      </c>
      <c r="D2979" s="28"/>
      <c r="E2979" s="29"/>
      <c r="F2979" s="30">
        <f>[1]Source!AO2858</f>
        <v>843.28</v>
      </c>
      <c r="G2979" s="31" t="s">
        <v>37</v>
      </c>
      <c r="H2979" s="29">
        <f>[1]Source!AV2859</f>
        <v>1.087</v>
      </c>
      <c r="I2979" s="30">
        <f>[1]Source!S2858</f>
        <v>152.43</v>
      </c>
      <c r="J2979" s="29">
        <f>IF([1]Source!BA2859&lt;&gt; 0, [1]Source!BA2859, 1)</f>
        <v>56.35</v>
      </c>
      <c r="K2979" s="30">
        <f>[1]Source!S2859</f>
        <v>8589.43</v>
      </c>
    </row>
    <row r="2980" spans="1:29" ht="14.4" hidden="1" x14ac:dyDescent="0.25">
      <c r="A2980" s="27"/>
      <c r="B2980" s="27"/>
      <c r="C2980" s="27" t="s">
        <v>38</v>
      </c>
      <c r="D2980" s="28"/>
      <c r="E2980" s="29"/>
      <c r="F2980" s="30">
        <f>[1]Source!AM2858</f>
        <v>112.46</v>
      </c>
      <c r="G2980" s="31" t="s">
        <v>39</v>
      </c>
      <c r="H2980" s="29">
        <f>[1]Source!AV2859</f>
        <v>1.087</v>
      </c>
      <c r="I2980" s="30">
        <f>[1]Source!Q2858</f>
        <v>22.1</v>
      </c>
      <c r="J2980" s="29">
        <f>IF([1]Source!BB2859&lt;&gt; 0, [1]Source!BB2859, 1)</f>
        <v>16.559999999999999</v>
      </c>
      <c r="K2980" s="30">
        <f>[1]Source!Q2859</f>
        <v>365.98</v>
      </c>
    </row>
    <row r="2981" spans="1:29" ht="14.4" hidden="1" x14ac:dyDescent="0.25">
      <c r="A2981" s="27"/>
      <c r="B2981" s="27"/>
      <c r="C2981" s="27" t="s">
        <v>40</v>
      </c>
      <c r="D2981" s="28"/>
      <c r="E2981" s="29"/>
      <c r="F2981" s="30">
        <f>[1]Source!AN2858</f>
        <v>15.9</v>
      </c>
      <c r="G2981" s="31" t="s">
        <v>39</v>
      </c>
      <c r="H2981" s="29">
        <f>[1]Source!AV2859</f>
        <v>1.087</v>
      </c>
      <c r="I2981" s="33">
        <f>[1]Source!R2858</f>
        <v>3.12</v>
      </c>
      <c r="J2981" s="29">
        <f>IF([1]Source!BS2859&lt;&gt; 0, [1]Source!BS2859, 1)</f>
        <v>56.35</v>
      </c>
      <c r="K2981" s="33">
        <f>[1]Source!R2859</f>
        <v>175.81</v>
      </c>
    </row>
    <row r="2982" spans="1:29" ht="14.4" hidden="1" x14ac:dyDescent="0.25">
      <c r="A2982" s="27"/>
      <c r="B2982" s="27"/>
      <c r="C2982" s="27" t="s">
        <v>41</v>
      </c>
      <c r="D2982" s="28"/>
      <c r="E2982" s="29"/>
      <c r="F2982" s="30">
        <f>[1]Source!AL2858</f>
        <v>11.79</v>
      </c>
      <c r="G2982" s="31"/>
      <c r="H2982" s="29">
        <f>[1]Source!AW2859</f>
        <v>1</v>
      </c>
      <c r="I2982" s="30">
        <f>[1]Source!P2858</f>
        <v>1.42</v>
      </c>
      <c r="J2982" s="29">
        <f>IF([1]Source!BC2859&lt;&gt; 0, [1]Source!BC2859, 1)</f>
        <v>3.95</v>
      </c>
      <c r="K2982" s="30">
        <f>[1]Source!P2859</f>
        <v>5.61</v>
      </c>
    </row>
    <row r="2983" spans="1:29" ht="14.4" hidden="1" x14ac:dyDescent="0.25">
      <c r="A2983" s="27"/>
      <c r="B2983" s="27"/>
      <c r="C2983" s="27" t="s">
        <v>42</v>
      </c>
      <c r="D2983" s="28" t="s">
        <v>43</v>
      </c>
      <c r="E2983" s="29">
        <f>[1]Source!BZ2859</f>
        <v>84</v>
      </c>
      <c r="F2983" s="30"/>
      <c r="G2983" s="31"/>
      <c r="H2983" s="29"/>
      <c r="I2983" s="30">
        <f>SUM(Q2977:Q2982)</f>
        <v>130.66</v>
      </c>
      <c r="J2983" s="29">
        <f>[1]Source!AT2859</f>
        <v>84</v>
      </c>
      <c r="K2983" s="30">
        <f>SUM(R2977:R2982)</f>
        <v>7362.8</v>
      </c>
    </row>
    <row r="2984" spans="1:29" ht="14.4" hidden="1" x14ac:dyDescent="0.25">
      <c r="A2984" s="27"/>
      <c r="B2984" s="27"/>
      <c r="C2984" s="27" t="s">
        <v>44</v>
      </c>
      <c r="D2984" s="28" t="s">
        <v>43</v>
      </c>
      <c r="E2984" s="29">
        <f>[1]Source!CA2859</f>
        <v>53</v>
      </c>
      <c r="F2984" s="30"/>
      <c r="G2984" s="31"/>
      <c r="H2984" s="29"/>
      <c r="I2984" s="30">
        <f>SUM(S2977:S2983)</f>
        <v>82.44</v>
      </c>
      <c r="J2984" s="29">
        <f>[1]Source!AU2859</f>
        <v>53</v>
      </c>
      <c r="K2984" s="30">
        <f>SUM(T2977:T2983)</f>
        <v>4645.58</v>
      </c>
    </row>
    <row r="2985" spans="1:29" ht="14.4" hidden="1" x14ac:dyDescent="0.25">
      <c r="A2985" s="34"/>
      <c r="B2985" s="34"/>
      <c r="C2985" s="34" t="s">
        <v>45</v>
      </c>
      <c r="D2985" s="35" t="s">
        <v>46</v>
      </c>
      <c r="E2985" s="36">
        <f>[1]Source!AQ2858</f>
        <v>54.86</v>
      </c>
      <c r="F2985" s="37"/>
      <c r="G2985" s="38" t="s">
        <v>37</v>
      </c>
      <c r="H2985" s="36">
        <f>[1]Source!AV2859</f>
        <v>1.087</v>
      </c>
      <c r="I2985" s="37">
        <f>[1]Source!U2858</f>
        <v>9.9163416377999987</v>
      </c>
      <c r="J2985" s="36"/>
      <c r="K2985" s="37"/>
    </row>
    <row r="2986" spans="1:29" ht="13.8" hidden="1" x14ac:dyDescent="0.25">
      <c r="C2986" s="39" t="s">
        <v>47</v>
      </c>
      <c r="H2986" s="40">
        <f>I2979+I2980+I2982+I2983+I2984+0-0-0</f>
        <v>389.05</v>
      </c>
      <c r="I2986" s="40"/>
      <c r="J2986" s="40">
        <f>K2979+K2980+K2982+K2983+K2984+0-0-0</f>
        <v>20969.400000000001</v>
      </c>
      <c r="K2986" s="40"/>
    </row>
    <row r="2987" spans="1:29" ht="13.8" hidden="1" x14ac:dyDescent="0.25">
      <c r="C2987" s="39" t="s">
        <v>48</v>
      </c>
      <c r="H2987" s="41">
        <f>0+0</f>
        <v>0</v>
      </c>
      <c r="I2987" s="41"/>
      <c r="J2987" s="41">
        <f>0+0</f>
        <v>0</v>
      </c>
      <c r="K2987" s="41"/>
    </row>
    <row r="2988" spans="1:29" ht="13.8" hidden="1" x14ac:dyDescent="0.25">
      <c r="C2988" s="39" t="s">
        <v>49</v>
      </c>
      <c r="H2988" s="41">
        <f>I2979+I2980+I2982+I2983+I2984+0</f>
        <v>389.05</v>
      </c>
      <c r="I2988" s="41"/>
      <c r="J2988" s="41">
        <f>K2979+K2980+K2982+K2983+K2984+0</f>
        <v>20969.400000000001</v>
      </c>
      <c r="K2988" s="41"/>
      <c r="O2988" s="42">
        <f>I2979+I2980+I2982+I2983+I2984+0</f>
        <v>389.05</v>
      </c>
      <c r="P2988" s="42">
        <f>K2979+K2980+K2982+K2983+K2984+0</f>
        <v>20969.400000000001</v>
      </c>
    </row>
    <row r="2989" spans="1:29" hidden="1" x14ac:dyDescent="0.25"/>
    <row r="2990" spans="1:29" ht="55.2" hidden="1" x14ac:dyDescent="0.25">
      <c r="A2990" s="27">
        <v>317</v>
      </c>
      <c r="B2990" s="27" t="str">
        <f>[1]Source!F2860</f>
        <v>3.70-55-10</v>
      </c>
      <c r="C2990" s="27" t="s">
        <v>570</v>
      </c>
      <c r="D2990" s="28" t="str">
        <f>[1]Source!H2860</f>
        <v>100 м2</v>
      </c>
      <c r="E2990" s="29">
        <f>[1]Source!I2860</f>
        <v>3.15E-2</v>
      </c>
      <c r="F2990" s="30"/>
      <c r="G2990" s="31"/>
      <c r="H2990" s="29"/>
      <c r="I2990" s="30"/>
      <c r="J2990" s="29"/>
      <c r="K2990" s="30"/>
      <c r="Q2990">
        <f>[1]Source!X2860</f>
        <v>79.510000000000005</v>
      </c>
      <c r="R2990">
        <f>[1]Source!X2861</f>
        <v>4480.17</v>
      </c>
      <c r="S2990">
        <f>[1]Source!Y2860</f>
        <v>50.16</v>
      </c>
      <c r="T2990">
        <f>[1]Source!Y2861</f>
        <v>2826.77</v>
      </c>
      <c r="U2990">
        <f>ROUND((175/100)*ROUND([1]Source!R2860, 2), 2)</f>
        <v>1.19</v>
      </c>
      <c r="V2990">
        <f>ROUND((0/100)*ROUND([1]Source!R2861, 2), 2)</f>
        <v>0</v>
      </c>
      <c r="AC2990">
        <v>0</v>
      </c>
    </row>
    <row r="2991" spans="1:29" hidden="1" x14ac:dyDescent="0.25">
      <c r="C2991" s="32" t="str">
        <f>"Объем: "&amp;[1]Source!I2860&amp;"=((1,5*"&amp;"2,1))/"&amp;"100"</f>
        <v>Объем: 0,0315=((1,5*2,1))/100</v>
      </c>
    </row>
    <row r="2992" spans="1:29" ht="14.4" hidden="1" x14ac:dyDescent="0.25">
      <c r="A2992" s="27"/>
      <c r="B2992" s="27"/>
      <c r="C2992" s="27" t="s">
        <v>36</v>
      </c>
      <c r="D2992" s="28"/>
      <c r="E2992" s="29"/>
      <c r="F2992" s="30">
        <f>[1]Source!AO2860</f>
        <v>1988.67</v>
      </c>
      <c r="G2992" s="31" t="s">
        <v>37</v>
      </c>
      <c r="H2992" s="29">
        <f>[1]Source!AV2861</f>
        <v>1.087</v>
      </c>
      <c r="I2992" s="30">
        <f>[1]Source!S2860</f>
        <v>93.97</v>
      </c>
      <c r="J2992" s="29">
        <f>IF([1]Source!BA2861&lt;&gt; 0, [1]Source!BA2861, 1)</f>
        <v>56.35</v>
      </c>
      <c r="K2992" s="30">
        <f>[1]Source!S2861</f>
        <v>5295.21</v>
      </c>
    </row>
    <row r="2993" spans="1:29" ht="14.4" hidden="1" x14ac:dyDescent="0.25">
      <c r="A2993" s="27"/>
      <c r="B2993" s="27"/>
      <c r="C2993" s="27" t="s">
        <v>38</v>
      </c>
      <c r="D2993" s="28"/>
      <c r="E2993" s="29"/>
      <c r="F2993" s="30">
        <f>[1]Source!AM2860</f>
        <v>97.6</v>
      </c>
      <c r="G2993" s="31" t="s">
        <v>39</v>
      </c>
      <c r="H2993" s="29">
        <f>[1]Source!AV2861</f>
        <v>1.087</v>
      </c>
      <c r="I2993" s="30">
        <f>[1]Source!Q2860</f>
        <v>5.01</v>
      </c>
      <c r="J2993" s="29">
        <f>IF([1]Source!BB2861&lt;&gt; 0, [1]Source!BB2861, 1)</f>
        <v>16.28</v>
      </c>
      <c r="K2993" s="30">
        <f>[1]Source!Q2861</f>
        <v>81.56</v>
      </c>
    </row>
    <row r="2994" spans="1:29" ht="14.4" hidden="1" x14ac:dyDescent="0.25">
      <c r="A2994" s="27"/>
      <c r="B2994" s="27"/>
      <c r="C2994" s="27" t="s">
        <v>40</v>
      </c>
      <c r="D2994" s="28"/>
      <c r="E2994" s="29"/>
      <c r="F2994" s="30">
        <f>[1]Source!AN2860</f>
        <v>13.25</v>
      </c>
      <c r="G2994" s="31" t="s">
        <v>39</v>
      </c>
      <c r="H2994" s="29">
        <f>[1]Source!AV2861</f>
        <v>1.087</v>
      </c>
      <c r="I2994" s="33">
        <f>[1]Source!R2860</f>
        <v>0.68</v>
      </c>
      <c r="J2994" s="29">
        <f>IF([1]Source!BS2861&lt;&gt; 0, [1]Source!BS2861, 1)</f>
        <v>56.35</v>
      </c>
      <c r="K2994" s="33">
        <f>[1]Source!R2861</f>
        <v>38.32</v>
      </c>
    </row>
    <row r="2995" spans="1:29" ht="14.4" hidden="1" x14ac:dyDescent="0.25">
      <c r="A2995" s="27"/>
      <c r="B2995" s="27"/>
      <c r="C2995" s="27" t="s">
        <v>41</v>
      </c>
      <c r="D2995" s="28"/>
      <c r="E2995" s="29"/>
      <c r="F2995" s="30">
        <f>[1]Source!AL2860</f>
        <v>55.75</v>
      </c>
      <c r="G2995" s="31"/>
      <c r="H2995" s="29">
        <f>[1]Source!AW2861</f>
        <v>1</v>
      </c>
      <c r="I2995" s="30">
        <f>[1]Source!P2860</f>
        <v>1.76</v>
      </c>
      <c r="J2995" s="29">
        <f>IF([1]Source!BC2861&lt;&gt; 0, [1]Source!BC2861, 1)</f>
        <v>6.65</v>
      </c>
      <c r="K2995" s="30">
        <f>[1]Source!P2861</f>
        <v>11.7</v>
      </c>
    </row>
    <row r="2996" spans="1:29" ht="14.4" hidden="1" x14ac:dyDescent="0.25">
      <c r="A2996" s="27"/>
      <c r="B2996" s="27"/>
      <c r="C2996" s="27" t="s">
        <v>42</v>
      </c>
      <c r="D2996" s="28" t="s">
        <v>43</v>
      </c>
      <c r="E2996" s="29">
        <f>[1]Source!BZ2861</f>
        <v>84</v>
      </c>
      <c r="F2996" s="30"/>
      <c r="G2996" s="31"/>
      <c r="H2996" s="29"/>
      <c r="I2996" s="30">
        <f>SUM(Q2990:Q2995)</f>
        <v>79.510000000000005</v>
      </c>
      <c r="J2996" s="29">
        <f>[1]Source!AT2861</f>
        <v>84</v>
      </c>
      <c r="K2996" s="30">
        <f>SUM(R2990:R2995)</f>
        <v>4480.17</v>
      </c>
    </row>
    <row r="2997" spans="1:29" ht="14.4" hidden="1" x14ac:dyDescent="0.25">
      <c r="A2997" s="27"/>
      <c r="B2997" s="27"/>
      <c r="C2997" s="27" t="s">
        <v>44</v>
      </c>
      <c r="D2997" s="28" t="s">
        <v>43</v>
      </c>
      <c r="E2997" s="29">
        <f>[1]Source!CA2861</f>
        <v>53</v>
      </c>
      <c r="F2997" s="30"/>
      <c r="G2997" s="31"/>
      <c r="H2997" s="29"/>
      <c r="I2997" s="30">
        <f>SUM(S2990:S2996)</f>
        <v>50.16</v>
      </c>
      <c r="J2997" s="29">
        <f>[1]Source!AU2861</f>
        <v>53</v>
      </c>
      <c r="K2997" s="30">
        <f>SUM(T2990:T2996)</f>
        <v>2826.77</v>
      </c>
    </row>
    <row r="2998" spans="1:29" ht="14.4" hidden="1" x14ac:dyDescent="0.25">
      <c r="A2998" s="34"/>
      <c r="B2998" s="34"/>
      <c r="C2998" s="34" t="s">
        <v>45</v>
      </c>
      <c r="D2998" s="35" t="s">
        <v>46</v>
      </c>
      <c r="E2998" s="36">
        <f>[1]Source!AQ2860</f>
        <v>113.3</v>
      </c>
      <c r="F2998" s="37"/>
      <c r="G2998" s="38" t="s">
        <v>37</v>
      </c>
      <c r="H2998" s="36">
        <f>[1]Source!AV2861</f>
        <v>1.087</v>
      </c>
      <c r="I2998" s="37">
        <f>[1]Source!U2860</f>
        <v>5.353639137</v>
      </c>
      <c r="J2998" s="36"/>
      <c r="K2998" s="37"/>
    </row>
    <row r="2999" spans="1:29" ht="13.8" hidden="1" x14ac:dyDescent="0.25">
      <c r="C2999" s="39" t="s">
        <v>47</v>
      </c>
      <c r="H2999" s="40">
        <f>I2992+I2993+I2995+I2996+I2997+0-0-0</f>
        <v>230.41</v>
      </c>
      <c r="I2999" s="40"/>
      <c r="J2999" s="40">
        <f>K2992+K2993+K2995+K2996+K2997+0-0-0</f>
        <v>12695.41</v>
      </c>
      <c r="K2999" s="40"/>
    </row>
    <row r="3000" spans="1:29" ht="13.8" hidden="1" x14ac:dyDescent="0.25">
      <c r="C3000" s="39" t="s">
        <v>48</v>
      </c>
      <c r="H3000" s="41">
        <f>0+0</f>
        <v>0</v>
      </c>
      <c r="I3000" s="41"/>
      <c r="J3000" s="41">
        <f>0+0</f>
        <v>0</v>
      </c>
      <c r="K3000" s="41"/>
    </row>
    <row r="3001" spans="1:29" ht="13.8" hidden="1" x14ac:dyDescent="0.25">
      <c r="C3001" s="39" t="s">
        <v>49</v>
      </c>
      <c r="H3001" s="41">
        <f>I2992+I2993+I2995+I2996+I2997+0</f>
        <v>230.41</v>
      </c>
      <c r="I3001" s="41"/>
      <c r="J3001" s="41">
        <f>K2992+K2993+K2995+K2996+K2997+0</f>
        <v>12695.41</v>
      </c>
      <c r="K3001" s="41"/>
      <c r="O3001" s="42">
        <f>I2992+I2993+I2995+I2996+I2997+0</f>
        <v>230.41</v>
      </c>
      <c r="P3001" s="42">
        <f>K2992+K2993+K2995+K2996+K2997+0</f>
        <v>12695.41</v>
      </c>
    </row>
    <row r="3002" spans="1:29" hidden="1" x14ac:dyDescent="0.25"/>
    <row r="3003" spans="1:29" ht="345" x14ac:dyDescent="0.25">
      <c r="A3003" s="53">
        <v>318</v>
      </c>
      <c r="B3003" s="53" t="str">
        <f>[1]Source!F2862</f>
        <v>КА-179</v>
      </c>
      <c r="C3003" s="53" t="s">
        <v>581</v>
      </c>
      <c r="D3003" s="54"/>
      <c r="E3003" s="55"/>
      <c r="F3003" s="30"/>
      <c r="G3003" s="31"/>
      <c r="H3003" s="29"/>
      <c r="I3003" s="30"/>
      <c r="J3003" s="29"/>
      <c r="K3003" s="56"/>
      <c r="M3003" s="50">
        <f t="shared" ref="M3003:M3004" si="42">L3003*E3003</f>
        <v>0</v>
      </c>
      <c r="N3003" s="59" t="s">
        <v>180</v>
      </c>
    </row>
    <row r="3004" spans="1:29" ht="261" x14ac:dyDescent="0.25">
      <c r="A3004" s="46"/>
      <c r="B3004" s="46"/>
      <c r="C3004" s="46" t="s">
        <v>592</v>
      </c>
      <c r="D3004" s="47" t="str">
        <f>[1]Source!H2862</f>
        <v>м2</v>
      </c>
      <c r="E3004" s="48">
        <f>[1]Source!I2862</f>
        <v>15.2</v>
      </c>
      <c r="F3004" s="49">
        <f>[1]Source!AL2862</f>
        <v>3874.45</v>
      </c>
      <c r="G3004" s="60"/>
      <c r="H3004" s="48">
        <f>[1]Source!AW2863</f>
        <v>1</v>
      </c>
      <c r="I3004" s="49">
        <f>[1]Source!P2862</f>
        <v>58891.64</v>
      </c>
      <c r="J3004" s="48">
        <f>IF([1]Source!BC2863&lt;&gt; 0, [1]Source!BC2863, 1)</f>
        <v>9.84</v>
      </c>
      <c r="K3004" s="49">
        <f>[1]Source!P2863</f>
        <v>327870.96000000002</v>
      </c>
      <c r="L3004">
        <v>25800</v>
      </c>
      <c r="M3004" s="50">
        <f t="shared" si="42"/>
        <v>392160</v>
      </c>
      <c r="N3004" s="59" t="s">
        <v>180</v>
      </c>
      <c r="Q3004">
        <f>[1]Source!X2862</f>
        <v>0</v>
      </c>
      <c r="R3004">
        <f>[1]Source!X2863</f>
        <v>0</v>
      </c>
      <c r="S3004">
        <f>[1]Source!Y2862</f>
        <v>0</v>
      </c>
      <c r="T3004">
        <f>[1]Source!Y2863</f>
        <v>0</v>
      </c>
      <c r="U3004">
        <f>ROUND((175/100)*ROUND([1]Source!R2862, 2), 2)</f>
        <v>0</v>
      </c>
      <c r="V3004">
        <f>ROUND((0/100)*ROUND([1]Source!R2863, 2), 2)</f>
        <v>0</v>
      </c>
      <c r="AC3004">
        <v>3</v>
      </c>
    </row>
    <row r="3005" spans="1:29" ht="13.8" hidden="1" x14ac:dyDescent="0.25">
      <c r="C3005" s="39" t="s">
        <v>49</v>
      </c>
      <c r="H3005" s="40">
        <f>I3004+0</f>
        <v>58891.64</v>
      </c>
      <c r="I3005" s="40"/>
      <c r="J3005" s="40">
        <f>K3004+0</f>
        <v>327870.96000000002</v>
      </c>
      <c r="K3005" s="40"/>
      <c r="O3005" s="42">
        <f>I3004+0</f>
        <v>58891.64</v>
      </c>
      <c r="P3005" s="42">
        <f>K3004+0</f>
        <v>327870.96000000002</v>
      </c>
    </row>
    <row r="3006" spans="1:29" hidden="1" x14ac:dyDescent="0.25"/>
    <row r="3007" spans="1:29" hidden="1" x14ac:dyDescent="0.25"/>
    <row r="3008" spans="1:29" ht="13.8" hidden="1" x14ac:dyDescent="0.25">
      <c r="A3008" s="44" t="str">
        <f>CONCATENATE("Итого по подразделу: ",IF([1]Source!G2865&lt;&gt;"Новый подраздел", [1]Source!G2865, ""))</f>
        <v>Итого по подразделу: ДВ-28л-Л Витраж разделяющий коридор</v>
      </c>
      <c r="B3008" s="44"/>
      <c r="C3008" s="44"/>
      <c r="D3008" s="44"/>
      <c r="E3008" s="44"/>
      <c r="F3008" s="44"/>
      <c r="G3008" s="44"/>
      <c r="H3008" s="41">
        <f>SUM(O2962:O3007)</f>
        <v>61419.47</v>
      </c>
      <c r="I3008" s="45"/>
      <c r="J3008" s="41">
        <f>SUM(P2962:P3007)</f>
        <v>454203.70000000007</v>
      </c>
      <c r="K3008" s="45"/>
    </row>
    <row r="3009" spans="1:29" hidden="1" x14ac:dyDescent="0.25">
      <c r="A3009" t="s">
        <v>55</v>
      </c>
      <c r="I3009">
        <f>SUM(W2962:W3008)</f>
        <v>0</v>
      </c>
      <c r="J3009">
        <f>SUM(X2962:X3008)</f>
        <v>0</v>
      </c>
    </row>
    <row r="3010" spans="1:29" hidden="1" x14ac:dyDescent="0.25">
      <c r="A3010" t="s">
        <v>56</v>
      </c>
      <c r="I3010">
        <f>SUM(Y2962:Y3009)</f>
        <v>0</v>
      </c>
      <c r="J3010">
        <f>SUM(Z2962:Z3009)</f>
        <v>0</v>
      </c>
    </row>
    <row r="3011" spans="1:29" hidden="1" x14ac:dyDescent="0.25"/>
    <row r="3012" spans="1:29" ht="16.8" hidden="1" x14ac:dyDescent="0.25">
      <c r="A3012" s="11" t="str">
        <f>CONCATENATE("Подраздел: ",IF([1]Source!G2895&lt;&gt;"Новый подраздел", [1]Source!G2895, ""))</f>
        <v>Подраздел: вв-1 Витраж тамбура</v>
      </c>
      <c r="B3012" s="11"/>
      <c r="C3012" s="11"/>
      <c r="D3012" s="11"/>
      <c r="E3012" s="11"/>
      <c r="F3012" s="11"/>
      <c r="G3012" s="11"/>
      <c r="H3012" s="11"/>
      <c r="I3012" s="11"/>
      <c r="J3012" s="11"/>
      <c r="K3012" s="11"/>
    </row>
    <row r="3013" spans="1:29" ht="41.4" hidden="1" x14ac:dyDescent="0.25">
      <c r="A3013" s="27">
        <v>319</v>
      </c>
      <c r="B3013" s="27" t="str">
        <f>[1]Source!F2899</f>
        <v>3.70-55-2</v>
      </c>
      <c r="C3013" s="27" t="s">
        <v>365</v>
      </c>
      <c r="D3013" s="28" t="str">
        <f>[1]Source!H2899</f>
        <v>100 м2</v>
      </c>
      <c r="E3013" s="29">
        <f>[1]Source!I2899</f>
        <v>0.252</v>
      </c>
      <c r="F3013" s="30"/>
      <c r="G3013" s="31"/>
      <c r="H3013" s="29"/>
      <c r="I3013" s="30"/>
      <c r="J3013" s="29"/>
      <c r="K3013" s="30"/>
      <c r="Q3013">
        <f>[1]Source!X2899</f>
        <v>949.07</v>
      </c>
      <c r="R3013">
        <f>[1]Source!X2900</f>
        <v>53479.85</v>
      </c>
      <c r="S3013">
        <f>[1]Source!Y2899</f>
        <v>598.82000000000005</v>
      </c>
      <c r="T3013">
        <f>[1]Source!Y2900</f>
        <v>33743.24</v>
      </c>
      <c r="U3013">
        <f>ROUND((175/100)*ROUND([1]Source!R2899, 2), 2)</f>
        <v>20.34</v>
      </c>
      <c r="V3013">
        <f>ROUND((0/100)*ROUND([1]Source!R2900, 2), 2)</f>
        <v>0</v>
      </c>
      <c r="AC3013">
        <v>0</v>
      </c>
    </row>
    <row r="3014" spans="1:29" hidden="1" x14ac:dyDescent="0.25">
      <c r="C3014" s="32" t="str">
        <f>"Объем: "&amp;[1]Source!I2899&amp;"=25,2/"&amp;"100"</f>
        <v>Объем: 0,252=25,2/100</v>
      </c>
    </row>
    <row r="3015" spans="1:29" ht="14.4" hidden="1" x14ac:dyDescent="0.25">
      <c r="A3015" s="27"/>
      <c r="B3015" s="27"/>
      <c r="C3015" s="27" t="s">
        <v>36</v>
      </c>
      <c r="D3015" s="28"/>
      <c r="E3015" s="29"/>
      <c r="F3015" s="30">
        <f>[1]Source!AO2899</f>
        <v>2958.13</v>
      </c>
      <c r="G3015" s="31" t="s">
        <v>37</v>
      </c>
      <c r="H3015" s="29">
        <f>[1]Source!AV2900</f>
        <v>1.087</v>
      </c>
      <c r="I3015" s="30">
        <f>[1]Source!S2899</f>
        <v>1118.22</v>
      </c>
      <c r="J3015" s="29">
        <f>IF([1]Source!BA2900&lt;&gt; 0, [1]Source!BA2900, 1)</f>
        <v>56.35</v>
      </c>
      <c r="K3015" s="30">
        <f>[1]Source!S2900</f>
        <v>63011.7</v>
      </c>
    </row>
    <row r="3016" spans="1:29" ht="14.4" hidden="1" x14ac:dyDescent="0.25">
      <c r="A3016" s="27"/>
      <c r="B3016" s="27"/>
      <c r="C3016" s="27" t="s">
        <v>38</v>
      </c>
      <c r="D3016" s="28"/>
      <c r="E3016" s="29"/>
      <c r="F3016" s="30">
        <f>[1]Source!AM2899</f>
        <v>243.71</v>
      </c>
      <c r="G3016" s="31" t="s">
        <v>39</v>
      </c>
      <c r="H3016" s="29">
        <f>[1]Source!AV2900</f>
        <v>1.087</v>
      </c>
      <c r="I3016" s="30">
        <f>[1]Source!Q2899</f>
        <v>100.14</v>
      </c>
      <c r="J3016" s="29">
        <f>IF([1]Source!BB2900&lt;&gt; 0, [1]Source!BB2900, 1)</f>
        <v>15.43</v>
      </c>
      <c r="K3016" s="30">
        <f>[1]Source!Q2900</f>
        <v>1545.16</v>
      </c>
    </row>
    <row r="3017" spans="1:29" ht="14.4" hidden="1" x14ac:dyDescent="0.25">
      <c r="A3017" s="27"/>
      <c r="B3017" s="27"/>
      <c r="C3017" s="27" t="s">
        <v>40</v>
      </c>
      <c r="D3017" s="28"/>
      <c r="E3017" s="29"/>
      <c r="F3017" s="30">
        <f>[1]Source!AN2899</f>
        <v>28.27</v>
      </c>
      <c r="G3017" s="31" t="s">
        <v>39</v>
      </c>
      <c r="H3017" s="29">
        <f>[1]Source!AV2900</f>
        <v>1.087</v>
      </c>
      <c r="I3017" s="33">
        <f>[1]Source!R2899</f>
        <v>11.62</v>
      </c>
      <c r="J3017" s="29">
        <f>IF([1]Source!BS2900&lt;&gt; 0, [1]Source!BS2900, 1)</f>
        <v>56.35</v>
      </c>
      <c r="K3017" s="33">
        <f>[1]Source!R2900</f>
        <v>654.79</v>
      </c>
    </row>
    <row r="3018" spans="1:29" ht="14.4" hidden="1" x14ac:dyDescent="0.25">
      <c r="A3018" s="27"/>
      <c r="B3018" s="27"/>
      <c r="C3018" s="27" t="s">
        <v>41</v>
      </c>
      <c r="D3018" s="28"/>
      <c r="E3018" s="29"/>
      <c r="F3018" s="30">
        <f>[1]Source!AL2899</f>
        <v>1577.27</v>
      </c>
      <c r="G3018" s="31"/>
      <c r="H3018" s="29">
        <f>[1]Source!AW2900</f>
        <v>1</v>
      </c>
      <c r="I3018" s="30">
        <f>[1]Source!P2899</f>
        <v>397.47</v>
      </c>
      <c r="J3018" s="29">
        <f>IF([1]Source!BC2900&lt;&gt; 0, [1]Source!BC2900, 1)</f>
        <v>4.66</v>
      </c>
      <c r="K3018" s="30">
        <f>[1]Source!P2900</f>
        <v>1852.21</v>
      </c>
    </row>
    <row r="3019" spans="1:29" ht="55.2" hidden="1" x14ac:dyDescent="0.25">
      <c r="A3019" s="27" t="s">
        <v>593</v>
      </c>
      <c r="B3019" s="27" t="str">
        <f>[1]Source!F2901</f>
        <v>1.7-1-105</v>
      </c>
      <c r="C3019" s="27" t="s">
        <v>576</v>
      </c>
      <c r="D3019" s="28" t="str">
        <f>[1]Source!H2901</f>
        <v>м</v>
      </c>
      <c r="E3019" s="29">
        <f>[1]Source!I2901</f>
        <v>1.0181000000000001E-2</v>
      </c>
      <c r="F3019" s="30">
        <f>[1]Source!AK2901</f>
        <v>15.96</v>
      </c>
      <c r="G3019" s="43" t="s">
        <v>54</v>
      </c>
      <c r="H3019" s="29">
        <f>[1]Source!AW2902</f>
        <v>1</v>
      </c>
      <c r="I3019" s="30">
        <f>[1]Source!O2901</f>
        <v>0.16</v>
      </c>
      <c r="J3019" s="29">
        <f>IF([1]Source!BC2902&lt;&gt; 0, [1]Source!BC2902, 1)</f>
        <v>10.82</v>
      </c>
      <c r="K3019" s="30">
        <f>[1]Source!O2902</f>
        <v>1.73</v>
      </c>
      <c r="Q3019">
        <f>[1]Source!X2901</f>
        <v>0</v>
      </c>
      <c r="R3019">
        <f>[1]Source!X2902</f>
        <v>0</v>
      </c>
      <c r="S3019">
        <f>[1]Source!Y2901</f>
        <v>0</v>
      </c>
      <c r="T3019">
        <f>[1]Source!Y2902</f>
        <v>0</v>
      </c>
      <c r="U3019">
        <f>ROUND((175/100)*ROUND([1]Source!R2901, 2), 2)</f>
        <v>0</v>
      </c>
      <c r="V3019">
        <f>ROUND((0/100)*ROUND([1]Source!R2902, 2), 2)</f>
        <v>0</v>
      </c>
      <c r="AC3019">
        <v>3</v>
      </c>
    </row>
    <row r="3020" spans="1:29" ht="14.4" hidden="1" x14ac:dyDescent="0.25">
      <c r="A3020" s="27"/>
      <c r="B3020" s="27"/>
      <c r="C3020" s="27" t="s">
        <v>42</v>
      </c>
      <c r="D3020" s="28" t="s">
        <v>43</v>
      </c>
      <c r="E3020" s="29">
        <f>[1]Source!BZ2900</f>
        <v>84</v>
      </c>
      <c r="F3020" s="30"/>
      <c r="G3020" s="31"/>
      <c r="H3020" s="29"/>
      <c r="I3020" s="30">
        <f>SUM(Q3013:Q3019)</f>
        <v>949.07</v>
      </c>
      <c r="J3020" s="29">
        <f>[1]Source!AT2900</f>
        <v>84</v>
      </c>
      <c r="K3020" s="30">
        <f>SUM(R3013:R3019)</f>
        <v>53479.85</v>
      </c>
    </row>
    <row r="3021" spans="1:29" ht="14.4" hidden="1" x14ac:dyDescent="0.25">
      <c r="A3021" s="27"/>
      <c r="B3021" s="27"/>
      <c r="C3021" s="27" t="s">
        <v>44</v>
      </c>
      <c r="D3021" s="28" t="s">
        <v>43</v>
      </c>
      <c r="E3021" s="29">
        <f>[1]Source!CA2900</f>
        <v>53</v>
      </c>
      <c r="F3021" s="30"/>
      <c r="G3021" s="31"/>
      <c r="H3021" s="29"/>
      <c r="I3021" s="30">
        <f>SUM(S3013:S3020)</f>
        <v>598.82000000000005</v>
      </c>
      <c r="J3021" s="29">
        <f>[1]Source!AU2900</f>
        <v>53</v>
      </c>
      <c r="K3021" s="30">
        <f>SUM(T3013:T3020)</f>
        <v>33743.24</v>
      </c>
    </row>
    <row r="3022" spans="1:29" ht="14.4" hidden="1" x14ac:dyDescent="0.25">
      <c r="A3022" s="34"/>
      <c r="B3022" s="34"/>
      <c r="C3022" s="34" t="s">
        <v>45</v>
      </c>
      <c r="D3022" s="35" t="s">
        <v>46</v>
      </c>
      <c r="E3022" s="36">
        <f>[1]Source!AQ2899</f>
        <v>183.77</v>
      </c>
      <c r="F3022" s="37"/>
      <c r="G3022" s="38" t="s">
        <v>37</v>
      </c>
      <c r="H3022" s="36">
        <f>[1]Source!AV2900</f>
        <v>1.087</v>
      </c>
      <c r="I3022" s="37">
        <f>[1]Source!U2899</f>
        <v>69.467838602399993</v>
      </c>
      <c r="J3022" s="36"/>
      <c r="K3022" s="37"/>
    </row>
    <row r="3023" spans="1:29" ht="13.8" hidden="1" x14ac:dyDescent="0.25">
      <c r="C3023" s="39" t="s">
        <v>47</v>
      </c>
      <c r="H3023" s="40">
        <f>I3015+I3016+I3018+I3020+I3021+SUM(I3019:I3019)-SUMIF(AC3019:AC3019, 5, I3019:I3019)-SUMIF(AC3019:AC3019, 6, I3019:I3019)</f>
        <v>3163.88</v>
      </c>
      <c r="I3023" s="40"/>
      <c r="J3023" s="40">
        <f>K3015+K3016+K3018+K3020+K3021+SUM(K3019:K3019)-SUMIF(AC3019:AC3019, 5, K3019:K3019)-SUMIF(AC3019:AC3019, 6, K3019:K3019)</f>
        <v>153633.89000000001</v>
      </c>
      <c r="K3023" s="40"/>
    </row>
    <row r="3024" spans="1:29" ht="13.8" hidden="1" x14ac:dyDescent="0.25">
      <c r="C3024" s="39" t="s">
        <v>48</v>
      </c>
      <c r="H3024" s="41">
        <f>SUMIF(AC3019:AC3019, 5, I3019:I3019)+SUMIF(AC3019:AC3019, 6, I3019:I3019)</f>
        <v>0</v>
      </c>
      <c r="I3024" s="41"/>
      <c r="J3024" s="41">
        <f>SUMIF(AC3019:AC3019, 5, K3019:K3019)+SUMIF(AC3019:AC3019, 6, K3019:K3019)</f>
        <v>0</v>
      </c>
      <c r="K3024" s="41"/>
    </row>
    <row r="3025" spans="1:29" ht="13.8" hidden="1" x14ac:dyDescent="0.25">
      <c r="C3025" s="39" t="s">
        <v>49</v>
      </c>
      <c r="H3025" s="41">
        <f>I3015+I3016+I3018+I3020+I3021+SUM(I3019:I3019)</f>
        <v>3163.88</v>
      </c>
      <c r="I3025" s="41"/>
      <c r="J3025" s="41">
        <f>K3015+K3016+K3018+K3020+K3021+SUM(K3019:K3019)</f>
        <v>153633.89000000001</v>
      </c>
      <c r="K3025" s="41"/>
      <c r="O3025" s="42">
        <f>I3015+I3016+I3018+I3020+I3021+SUM(I3019:I3019)</f>
        <v>3163.88</v>
      </c>
      <c r="P3025" s="42">
        <f>K3015+K3016+K3018+K3020+K3021+SUM(K3019:K3019)</f>
        <v>153633.89000000001</v>
      </c>
    </row>
    <row r="3026" spans="1:29" hidden="1" x14ac:dyDescent="0.25"/>
    <row r="3027" spans="1:29" ht="55.2" hidden="1" x14ac:dyDescent="0.25">
      <c r="A3027" s="27">
        <v>320</v>
      </c>
      <c r="B3027" s="27" t="str">
        <f>[1]Source!F2903</f>
        <v>3.70-55-8</v>
      </c>
      <c r="C3027" s="27" t="s">
        <v>577</v>
      </c>
      <c r="D3027" s="28" t="str">
        <f>[1]Source!H2903</f>
        <v>100 м2</v>
      </c>
      <c r="E3027" s="29">
        <f>[1]Source!I2903</f>
        <v>0.2205</v>
      </c>
      <c r="F3027" s="30"/>
      <c r="G3027" s="31"/>
      <c r="H3027" s="29"/>
      <c r="I3027" s="30"/>
      <c r="J3027" s="29"/>
      <c r="K3027" s="30"/>
      <c r="Q3027">
        <f>[1]Source!X2903</f>
        <v>239.11</v>
      </c>
      <c r="R3027">
        <f>[1]Source!X2904</f>
        <v>13473.63</v>
      </c>
      <c r="S3027">
        <f>[1]Source!Y2903</f>
        <v>150.86000000000001</v>
      </c>
      <c r="T3027">
        <f>[1]Source!Y2904</f>
        <v>8501.2199999999993</v>
      </c>
      <c r="U3027">
        <f>ROUND((175/100)*ROUND([1]Source!R2903, 2), 2)</f>
        <v>10.01</v>
      </c>
      <c r="V3027">
        <f>ROUND((0/100)*ROUND([1]Source!R2904, 2), 2)</f>
        <v>0</v>
      </c>
      <c r="AC3027">
        <v>0</v>
      </c>
    </row>
    <row r="3028" spans="1:29" hidden="1" x14ac:dyDescent="0.25">
      <c r="C3028" s="32" t="str">
        <f>"Объем: "&amp;[1]Source!I2903&amp;"=(25,2-"&amp;"3,15)/"&amp;"100"</f>
        <v>Объем: 0,2205=(25,2-3,15)/100</v>
      </c>
    </row>
    <row r="3029" spans="1:29" ht="14.4" hidden="1" x14ac:dyDescent="0.25">
      <c r="A3029" s="27"/>
      <c r="B3029" s="27"/>
      <c r="C3029" s="27" t="s">
        <v>36</v>
      </c>
      <c r="D3029" s="28"/>
      <c r="E3029" s="29"/>
      <c r="F3029" s="30">
        <f>[1]Source!AO2903</f>
        <v>843.28</v>
      </c>
      <c r="G3029" s="31" t="s">
        <v>37</v>
      </c>
      <c r="H3029" s="29">
        <f>[1]Source!AV2904</f>
        <v>1.087</v>
      </c>
      <c r="I3029" s="30">
        <f>[1]Source!S2903</f>
        <v>278.93</v>
      </c>
      <c r="J3029" s="29">
        <f>IF([1]Source!BA2904&lt;&gt; 0, [1]Source!BA2904, 1)</f>
        <v>56.35</v>
      </c>
      <c r="K3029" s="30">
        <f>[1]Source!S2904</f>
        <v>15717.71</v>
      </c>
    </row>
    <row r="3030" spans="1:29" ht="14.4" hidden="1" x14ac:dyDescent="0.25">
      <c r="A3030" s="27"/>
      <c r="B3030" s="27"/>
      <c r="C3030" s="27" t="s">
        <v>38</v>
      </c>
      <c r="D3030" s="28"/>
      <c r="E3030" s="29"/>
      <c r="F3030" s="30">
        <f>[1]Source!AM2903</f>
        <v>112.46</v>
      </c>
      <c r="G3030" s="31" t="s">
        <v>39</v>
      </c>
      <c r="H3030" s="29">
        <f>[1]Source!AV2904</f>
        <v>1.087</v>
      </c>
      <c r="I3030" s="30">
        <f>[1]Source!Q2903</f>
        <v>40.43</v>
      </c>
      <c r="J3030" s="29">
        <f>IF([1]Source!BB2904&lt;&gt; 0, [1]Source!BB2904, 1)</f>
        <v>16.559999999999999</v>
      </c>
      <c r="K3030" s="30">
        <f>[1]Source!Q2904</f>
        <v>669.52</v>
      </c>
    </row>
    <row r="3031" spans="1:29" ht="14.4" hidden="1" x14ac:dyDescent="0.25">
      <c r="A3031" s="27"/>
      <c r="B3031" s="27"/>
      <c r="C3031" s="27" t="s">
        <v>40</v>
      </c>
      <c r="D3031" s="28"/>
      <c r="E3031" s="29"/>
      <c r="F3031" s="30">
        <f>[1]Source!AN2903</f>
        <v>15.9</v>
      </c>
      <c r="G3031" s="31" t="s">
        <v>39</v>
      </c>
      <c r="H3031" s="29">
        <f>[1]Source!AV2904</f>
        <v>1.087</v>
      </c>
      <c r="I3031" s="33">
        <f>[1]Source!R2903</f>
        <v>5.72</v>
      </c>
      <c r="J3031" s="29">
        <f>IF([1]Source!BS2904&lt;&gt; 0, [1]Source!BS2904, 1)</f>
        <v>56.35</v>
      </c>
      <c r="K3031" s="33">
        <f>[1]Source!R2904</f>
        <v>322.32</v>
      </c>
    </row>
    <row r="3032" spans="1:29" ht="14.4" hidden="1" x14ac:dyDescent="0.25">
      <c r="A3032" s="27"/>
      <c r="B3032" s="27"/>
      <c r="C3032" s="27" t="s">
        <v>41</v>
      </c>
      <c r="D3032" s="28"/>
      <c r="E3032" s="29"/>
      <c r="F3032" s="30">
        <f>[1]Source!AL2903</f>
        <v>11.79</v>
      </c>
      <c r="G3032" s="31"/>
      <c r="H3032" s="29">
        <f>[1]Source!AW2904</f>
        <v>1</v>
      </c>
      <c r="I3032" s="30">
        <f>[1]Source!P2903</f>
        <v>2.6</v>
      </c>
      <c r="J3032" s="29">
        <f>IF([1]Source!BC2904&lt;&gt; 0, [1]Source!BC2904, 1)</f>
        <v>3.95</v>
      </c>
      <c r="K3032" s="30">
        <f>[1]Source!P2904</f>
        <v>10.27</v>
      </c>
    </row>
    <row r="3033" spans="1:29" ht="14.4" hidden="1" x14ac:dyDescent="0.25">
      <c r="A3033" s="27"/>
      <c r="B3033" s="27"/>
      <c r="C3033" s="27" t="s">
        <v>42</v>
      </c>
      <c r="D3033" s="28" t="s">
        <v>43</v>
      </c>
      <c r="E3033" s="29">
        <f>[1]Source!BZ2904</f>
        <v>84</v>
      </c>
      <c r="F3033" s="30"/>
      <c r="G3033" s="31"/>
      <c r="H3033" s="29"/>
      <c r="I3033" s="30">
        <f>SUM(Q3027:Q3032)</f>
        <v>239.11</v>
      </c>
      <c r="J3033" s="29">
        <f>[1]Source!AT2904</f>
        <v>84</v>
      </c>
      <c r="K3033" s="30">
        <f>SUM(R3027:R3032)</f>
        <v>13473.63</v>
      </c>
    </row>
    <row r="3034" spans="1:29" ht="14.4" hidden="1" x14ac:dyDescent="0.25">
      <c r="A3034" s="27"/>
      <c r="B3034" s="27"/>
      <c r="C3034" s="27" t="s">
        <v>44</v>
      </c>
      <c r="D3034" s="28" t="s">
        <v>43</v>
      </c>
      <c r="E3034" s="29">
        <f>[1]Source!CA2904</f>
        <v>53</v>
      </c>
      <c r="F3034" s="30"/>
      <c r="G3034" s="31"/>
      <c r="H3034" s="29"/>
      <c r="I3034" s="30">
        <f>SUM(S3027:S3033)</f>
        <v>150.86000000000001</v>
      </c>
      <c r="J3034" s="29">
        <f>[1]Source!AU2904</f>
        <v>53</v>
      </c>
      <c r="K3034" s="30">
        <f>SUM(T3027:T3033)</f>
        <v>8501.2199999999993</v>
      </c>
    </row>
    <row r="3035" spans="1:29" ht="14.4" hidden="1" x14ac:dyDescent="0.25">
      <c r="A3035" s="34"/>
      <c r="B3035" s="34"/>
      <c r="C3035" s="34" t="s">
        <v>45</v>
      </c>
      <c r="D3035" s="35" t="s">
        <v>46</v>
      </c>
      <c r="E3035" s="36">
        <f>[1]Source!AQ2903</f>
        <v>54.86</v>
      </c>
      <c r="F3035" s="37"/>
      <c r="G3035" s="38" t="s">
        <v>37</v>
      </c>
      <c r="H3035" s="36">
        <f>[1]Source!AV2904</f>
        <v>1.087</v>
      </c>
      <c r="I3035" s="37">
        <f>[1]Source!U2903</f>
        <v>18.145670797799998</v>
      </c>
      <c r="J3035" s="36"/>
      <c r="K3035" s="37"/>
    </row>
    <row r="3036" spans="1:29" ht="13.8" hidden="1" x14ac:dyDescent="0.25">
      <c r="C3036" s="39" t="s">
        <v>47</v>
      </c>
      <c r="H3036" s="40">
        <f>I3029+I3030+I3032+I3033+I3034+0-0-0</f>
        <v>711.93000000000006</v>
      </c>
      <c r="I3036" s="40"/>
      <c r="J3036" s="40">
        <f>K3029+K3030+K3032+K3033+K3034+0-0-0</f>
        <v>38372.35</v>
      </c>
      <c r="K3036" s="40"/>
    </row>
    <row r="3037" spans="1:29" ht="13.8" hidden="1" x14ac:dyDescent="0.25">
      <c r="C3037" s="39" t="s">
        <v>48</v>
      </c>
      <c r="H3037" s="41">
        <f>0+0</f>
        <v>0</v>
      </c>
      <c r="I3037" s="41"/>
      <c r="J3037" s="41">
        <f>0+0</f>
        <v>0</v>
      </c>
      <c r="K3037" s="41"/>
    </row>
    <row r="3038" spans="1:29" ht="13.8" hidden="1" x14ac:dyDescent="0.25">
      <c r="C3038" s="39" t="s">
        <v>49</v>
      </c>
      <c r="H3038" s="41">
        <f>I3029+I3030+I3032+I3033+I3034+0</f>
        <v>711.93000000000006</v>
      </c>
      <c r="I3038" s="41"/>
      <c r="J3038" s="41">
        <f>K3029+K3030+K3032+K3033+K3034+0</f>
        <v>38372.35</v>
      </c>
      <c r="K3038" s="41"/>
      <c r="O3038" s="42">
        <f>I3029+I3030+I3032+I3033+I3034+0</f>
        <v>711.93000000000006</v>
      </c>
      <c r="P3038" s="42">
        <f>K3029+K3030+K3032+K3033+K3034+0</f>
        <v>38372.35</v>
      </c>
    </row>
    <row r="3039" spans="1:29" hidden="1" x14ac:dyDescent="0.25"/>
    <row r="3040" spans="1:29" ht="55.2" hidden="1" x14ac:dyDescent="0.25">
      <c r="A3040" s="27">
        <v>321</v>
      </c>
      <c r="B3040" s="27" t="str">
        <f>[1]Source!F2905</f>
        <v>3.70-55-10</v>
      </c>
      <c r="C3040" s="27" t="s">
        <v>570</v>
      </c>
      <c r="D3040" s="28" t="str">
        <f>[1]Source!H2905</f>
        <v>100 м2</v>
      </c>
      <c r="E3040" s="29">
        <f>[1]Source!I2905</f>
        <v>3.15E-2</v>
      </c>
      <c r="F3040" s="30"/>
      <c r="G3040" s="31"/>
      <c r="H3040" s="29"/>
      <c r="I3040" s="30"/>
      <c r="J3040" s="29"/>
      <c r="K3040" s="30"/>
      <c r="Q3040">
        <f>[1]Source!X2905</f>
        <v>79.510000000000005</v>
      </c>
      <c r="R3040">
        <f>[1]Source!X2906</f>
        <v>4480.17</v>
      </c>
      <c r="S3040">
        <f>[1]Source!Y2905</f>
        <v>50.16</v>
      </c>
      <c r="T3040">
        <f>[1]Source!Y2906</f>
        <v>2826.77</v>
      </c>
      <c r="U3040">
        <f>ROUND((175/100)*ROUND([1]Source!R2905, 2), 2)</f>
        <v>1.19</v>
      </c>
      <c r="V3040">
        <f>ROUND((0/100)*ROUND([1]Source!R2906, 2), 2)</f>
        <v>0</v>
      </c>
      <c r="AC3040">
        <v>0</v>
      </c>
    </row>
    <row r="3041" spans="1:29" hidden="1" x14ac:dyDescent="0.25">
      <c r="C3041" s="32" t="str">
        <f>"Объем: "&amp;[1]Source!I2905&amp;"=(1,5*"&amp;"2,1)/"&amp;"100"</f>
        <v>Объем: 0,0315=(1,5*2,1)/100</v>
      </c>
    </row>
    <row r="3042" spans="1:29" ht="14.4" hidden="1" x14ac:dyDescent="0.25">
      <c r="A3042" s="27"/>
      <c r="B3042" s="27"/>
      <c r="C3042" s="27" t="s">
        <v>36</v>
      </c>
      <c r="D3042" s="28"/>
      <c r="E3042" s="29"/>
      <c r="F3042" s="30">
        <f>[1]Source!AO2905</f>
        <v>1988.67</v>
      </c>
      <c r="G3042" s="31" t="s">
        <v>37</v>
      </c>
      <c r="H3042" s="29">
        <f>[1]Source!AV2906</f>
        <v>1.087</v>
      </c>
      <c r="I3042" s="30">
        <f>[1]Source!S2905</f>
        <v>93.97</v>
      </c>
      <c r="J3042" s="29">
        <f>IF([1]Source!BA2906&lt;&gt; 0, [1]Source!BA2906, 1)</f>
        <v>56.35</v>
      </c>
      <c r="K3042" s="30">
        <f>[1]Source!S2906</f>
        <v>5295.21</v>
      </c>
    </row>
    <row r="3043" spans="1:29" ht="14.4" hidden="1" x14ac:dyDescent="0.25">
      <c r="A3043" s="27"/>
      <c r="B3043" s="27"/>
      <c r="C3043" s="27" t="s">
        <v>38</v>
      </c>
      <c r="D3043" s="28"/>
      <c r="E3043" s="29"/>
      <c r="F3043" s="30">
        <f>[1]Source!AM2905</f>
        <v>97.6</v>
      </c>
      <c r="G3043" s="31" t="s">
        <v>39</v>
      </c>
      <c r="H3043" s="29">
        <f>[1]Source!AV2906</f>
        <v>1.087</v>
      </c>
      <c r="I3043" s="30">
        <f>[1]Source!Q2905</f>
        <v>5.01</v>
      </c>
      <c r="J3043" s="29">
        <f>IF([1]Source!BB2906&lt;&gt; 0, [1]Source!BB2906, 1)</f>
        <v>16.28</v>
      </c>
      <c r="K3043" s="30">
        <f>[1]Source!Q2906</f>
        <v>81.56</v>
      </c>
    </row>
    <row r="3044" spans="1:29" ht="14.4" hidden="1" x14ac:dyDescent="0.25">
      <c r="A3044" s="27"/>
      <c r="B3044" s="27"/>
      <c r="C3044" s="27" t="s">
        <v>40</v>
      </c>
      <c r="D3044" s="28"/>
      <c r="E3044" s="29"/>
      <c r="F3044" s="30">
        <f>[1]Source!AN2905</f>
        <v>13.25</v>
      </c>
      <c r="G3044" s="31" t="s">
        <v>39</v>
      </c>
      <c r="H3044" s="29">
        <f>[1]Source!AV2906</f>
        <v>1.087</v>
      </c>
      <c r="I3044" s="33">
        <f>[1]Source!R2905</f>
        <v>0.68</v>
      </c>
      <c r="J3044" s="29">
        <f>IF([1]Source!BS2906&lt;&gt; 0, [1]Source!BS2906, 1)</f>
        <v>56.35</v>
      </c>
      <c r="K3044" s="33">
        <f>[1]Source!R2906</f>
        <v>38.32</v>
      </c>
    </row>
    <row r="3045" spans="1:29" ht="14.4" hidden="1" x14ac:dyDescent="0.25">
      <c r="A3045" s="27"/>
      <c r="B3045" s="27"/>
      <c r="C3045" s="27" t="s">
        <v>41</v>
      </c>
      <c r="D3045" s="28"/>
      <c r="E3045" s="29"/>
      <c r="F3045" s="30">
        <f>[1]Source!AL2905</f>
        <v>55.75</v>
      </c>
      <c r="G3045" s="31"/>
      <c r="H3045" s="29">
        <f>[1]Source!AW2906</f>
        <v>1</v>
      </c>
      <c r="I3045" s="30">
        <f>[1]Source!P2905</f>
        <v>1.76</v>
      </c>
      <c r="J3045" s="29">
        <f>IF([1]Source!BC2906&lt;&gt; 0, [1]Source!BC2906, 1)</f>
        <v>6.65</v>
      </c>
      <c r="K3045" s="30">
        <f>[1]Source!P2906</f>
        <v>11.7</v>
      </c>
    </row>
    <row r="3046" spans="1:29" ht="14.4" hidden="1" x14ac:dyDescent="0.25">
      <c r="A3046" s="27"/>
      <c r="B3046" s="27"/>
      <c r="C3046" s="27" t="s">
        <v>42</v>
      </c>
      <c r="D3046" s="28" t="s">
        <v>43</v>
      </c>
      <c r="E3046" s="29">
        <f>[1]Source!BZ2906</f>
        <v>84</v>
      </c>
      <c r="F3046" s="30"/>
      <c r="G3046" s="31"/>
      <c r="H3046" s="29"/>
      <c r="I3046" s="30">
        <f>SUM(Q3040:Q3045)</f>
        <v>79.510000000000005</v>
      </c>
      <c r="J3046" s="29">
        <f>[1]Source!AT2906</f>
        <v>84</v>
      </c>
      <c r="K3046" s="30">
        <f>SUM(R3040:R3045)</f>
        <v>4480.17</v>
      </c>
    </row>
    <row r="3047" spans="1:29" ht="14.4" hidden="1" x14ac:dyDescent="0.25">
      <c r="A3047" s="27"/>
      <c r="B3047" s="27"/>
      <c r="C3047" s="27" t="s">
        <v>44</v>
      </c>
      <c r="D3047" s="28" t="s">
        <v>43</v>
      </c>
      <c r="E3047" s="29">
        <f>[1]Source!CA2906</f>
        <v>53</v>
      </c>
      <c r="F3047" s="30"/>
      <c r="G3047" s="31"/>
      <c r="H3047" s="29"/>
      <c r="I3047" s="30">
        <f>SUM(S3040:S3046)</f>
        <v>50.16</v>
      </c>
      <c r="J3047" s="29">
        <f>[1]Source!AU2906</f>
        <v>53</v>
      </c>
      <c r="K3047" s="30">
        <f>SUM(T3040:T3046)</f>
        <v>2826.77</v>
      </c>
    </row>
    <row r="3048" spans="1:29" ht="14.4" hidden="1" x14ac:dyDescent="0.25">
      <c r="A3048" s="34"/>
      <c r="B3048" s="34"/>
      <c r="C3048" s="34" t="s">
        <v>45</v>
      </c>
      <c r="D3048" s="35" t="s">
        <v>46</v>
      </c>
      <c r="E3048" s="36">
        <f>[1]Source!AQ2905</f>
        <v>113.3</v>
      </c>
      <c r="F3048" s="37"/>
      <c r="G3048" s="38" t="s">
        <v>37</v>
      </c>
      <c r="H3048" s="36">
        <f>[1]Source!AV2906</f>
        <v>1.087</v>
      </c>
      <c r="I3048" s="37">
        <f>[1]Source!U2905</f>
        <v>5.353639137</v>
      </c>
      <c r="J3048" s="36"/>
      <c r="K3048" s="37"/>
    </row>
    <row r="3049" spans="1:29" ht="13.8" hidden="1" x14ac:dyDescent="0.25">
      <c r="C3049" s="39" t="s">
        <v>47</v>
      </c>
      <c r="H3049" s="40">
        <f>I3042+I3043+I3045+I3046+I3047+0-0-0</f>
        <v>230.41</v>
      </c>
      <c r="I3049" s="40"/>
      <c r="J3049" s="40">
        <f>K3042+K3043+K3045+K3046+K3047+0-0-0</f>
        <v>12695.41</v>
      </c>
      <c r="K3049" s="40"/>
    </row>
    <row r="3050" spans="1:29" ht="13.8" hidden="1" x14ac:dyDescent="0.25">
      <c r="C3050" s="39" t="s">
        <v>48</v>
      </c>
      <c r="H3050" s="41">
        <f>0+0</f>
        <v>0</v>
      </c>
      <c r="I3050" s="41"/>
      <c r="J3050" s="41">
        <f>0+0</f>
        <v>0</v>
      </c>
      <c r="K3050" s="41"/>
    </row>
    <row r="3051" spans="1:29" ht="13.8" hidden="1" x14ac:dyDescent="0.25">
      <c r="C3051" s="39" t="s">
        <v>49</v>
      </c>
      <c r="H3051" s="41">
        <f>I3042+I3043+I3045+I3046+I3047+0</f>
        <v>230.41</v>
      </c>
      <c r="I3051" s="41"/>
      <c r="J3051" s="41">
        <f>K3042+K3043+K3045+K3046+K3047+0</f>
        <v>12695.41</v>
      </c>
      <c r="K3051" s="41"/>
      <c r="O3051" s="42">
        <f>I3042+I3043+I3045+I3046+I3047+0</f>
        <v>230.41</v>
      </c>
      <c r="P3051" s="42">
        <f>K3042+K3043+K3045+K3046+K3047+0</f>
        <v>12695.41</v>
      </c>
    </row>
    <row r="3052" spans="1:29" hidden="1" x14ac:dyDescent="0.25"/>
    <row r="3053" spans="1:29" ht="331.2" x14ac:dyDescent="0.25">
      <c r="A3053" s="53">
        <v>322</v>
      </c>
      <c r="B3053" s="53" t="str">
        <f>[1]Source!F2907</f>
        <v>КА-179</v>
      </c>
      <c r="C3053" s="53" t="s">
        <v>594</v>
      </c>
      <c r="D3053" s="54"/>
      <c r="E3053" s="55"/>
      <c r="F3053" s="30"/>
      <c r="G3053" s="31"/>
      <c r="H3053" s="29"/>
      <c r="I3053" s="30"/>
      <c r="J3053" s="29"/>
      <c r="K3053" s="56"/>
      <c r="M3053" s="50">
        <f t="shared" ref="M3053:M3054" si="43">L3053*E3053</f>
        <v>0</v>
      </c>
      <c r="N3053" s="59" t="s">
        <v>180</v>
      </c>
    </row>
    <row r="3054" spans="1:29" ht="219.6" x14ac:dyDescent="0.25">
      <c r="A3054" s="46"/>
      <c r="B3054" s="46"/>
      <c r="C3054" s="46" t="s">
        <v>595</v>
      </c>
      <c r="D3054" s="47" t="str">
        <f>[1]Source!H2907</f>
        <v>м2</v>
      </c>
      <c r="E3054" s="48">
        <f>[1]Source!I2907</f>
        <v>25.2</v>
      </c>
      <c r="F3054" s="49">
        <f>[1]Source!AL2907</f>
        <v>3874.45</v>
      </c>
      <c r="G3054" s="60"/>
      <c r="H3054" s="48">
        <f>[1]Source!AW2908</f>
        <v>1</v>
      </c>
      <c r="I3054" s="49">
        <f>[1]Source!P2907</f>
        <v>97636.14</v>
      </c>
      <c r="J3054" s="48">
        <f>IF([1]Source!BC2908&lt;&gt; 0, [1]Source!BC2908, 1)</f>
        <v>9.84</v>
      </c>
      <c r="K3054" s="49">
        <f>[1]Source!P2908</f>
        <v>543575.56999999995</v>
      </c>
      <c r="L3054">
        <v>25800</v>
      </c>
      <c r="M3054" s="50">
        <f t="shared" si="43"/>
        <v>650160</v>
      </c>
      <c r="N3054" s="59" t="s">
        <v>180</v>
      </c>
      <c r="Q3054">
        <f>[1]Source!X2907</f>
        <v>0</v>
      </c>
      <c r="R3054">
        <f>[1]Source!X2908</f>
        <v>0</v>
      </c>
      <c r="S3054">
        <f>[1]Source!Y2907</f>
        <v>0</v>
      </c>
      <c r="T3054">
        <f>[1]Source!Y2908</f>
        <v>0</v>
      </c>
      <c r="U3054">
        <f>ROUND((175/100)*ROUND([1]Source!R2907, 2), 2)</f>
        <v>0</v>
      </c>
      <c r="V3054">
        <f>ROUND((0/100)*ROUND([1]Source!R2908, 2), 2)</f>
        <v>0</v>
      </c>
      <c r="AC3054">
        <v>3</v>
      </c>
    </row>
    <row r="3055" spans="1:29" ht="13.8" hidden="1" x14ac:dyDescent="0.25">
      <c r="C3055" s="39" t="s">
        <v>49</v>
      </c>
      <c r="H3055" s="40">
        <f>I3054+0</f>
        <v>97636.14</v>
      </c>
      <c r="I3055" s="40"/>
      <c r="J3055" s="40">
        <f>K3054+0</f>
        <v>543575.56999999995</v>
      </c>
      <c r="K3055" s="40"/>
      <c r="O3055" s="42">
        <f>I3054+0</f>
        <v>97636.14</v>
      </c>
      <c r="P3055" s="42">
        <f>K3054+0</f>
        <v>543575.56999999995</v>
      </c>
    </row>
    <row r="3056" spans="1:29" hidden="1" x14ac:dyDescent="0.25"/>
    <row r="3057" spans="1:29" ht="41.4" hidden="1" x14ac:dyDescent="0.25">
      <c r="A3057" s="27">
        <v>323</v>
      </c>
      <c r="B3057" s="27" t="str">
        <f>[1]Source!F2909</f>
        <v>3.70-434-1</v>
      </c>
      <c r="C3057" s="27" t="s">
        <v>426</v>
      </c>
      <c r="D3057" s="28" t="str">
        <f>[1]Source!H2909</f>
        <v>100 шт.</v>
      </c>
      <c r="E3057" s="29">
        <f>[1]Source!I2909</f>
        <v>0.19</v>
      </c>
      <c r="F3057" s="30"/>
      <c r="G3057" s="31"/>
      <c r="H3057" s="29"/>
      <c r="I3057" s="30"/>
      <c r="J3057" s="29"/>
      <c r="K3057" s="30"/>
      <c r="Q3057">
        <f>[1]Source!X2909</f>
        <v>46.82</v>
      </c>
      <c r="R3057">
        <f>[1]Source!X2910</f>
        <v>2638.4</v>
      </c>
      <c r="S3057">
        <f>[1]Source!Y2909</f>
        <v>29.54</v>
      </c>
      <c r="T3057">
        <f>[1]Source!Y2910</f>
        <v>1664.7</v>
      </c>
      <c r="U3057">
        <f>ROUND((175/100)*ROUND([1]Source!R2909, 2), 2)</f>
        <v>1.23</v>
      </c>
      <c r="V3057">
        <f>ROUND((0/100)*ROUND([1]Source!R2910, 2), 2)</f>
        <v>0</v>
      </c>
      <c r="AC3057">
        <v>0</v>
      </c>
    </row>
    <row r="3058" spans="1:29" hidden="1" x14ac:dyDescent="0.25">
      <c r="C3058" s="32" t="str">
        <f>"Объем: "&amp;[1]Source!I2909&amp;"=19/"&amp;"100"</f>
        <v>Объем: 0,19=19/100</v>
      </c>
    </row>
    <row r="3059" spans="1:29" ht="14.4" hidden="1" x14ac:dyDescent="0.25">
      <c r="A3059" s="27"/>
      <c r="B3059" s="27"/>
      <c r="C3059" s="27" t="s">
        <v>36</v>
      </c>
      <c r="D3059" s="28"/>
      <c r="E3059" s="29"/>
      <c r="F3059" s="30">
        <f>[1]Source!AO2909</f>
        <v>193.13</v>
      </c>
      <c r="G3059" s="31" t="s">
        <v>37</v>
      </c>
      <c r="H3059" s="29">
        <f>[1]Source!AV2910</f>
        <v>1.087</v>
      </c>
      <c r="I3059" s="30">
        <f>[1]Source!S2909</f>
        <v>55.04</v>
      </c>
      <c r="J3059" s="29">
        <f>IF([1]Source!BA2910&lt;&gt; 0, [1]Source!BA2910, 1)</f>
        <v>56.35</v>
      </c>
      <c r="K3059" s="30">
        <f>[1]Source!S2910</f>
        <v>3101.5</v>
      </c>
    </row>
    <row r="3060" spans="1:29" ht="14.4" hidden="1" x14ac:dyDescent="0.25">
      <c r="A3060" s="27"/>
      <c r="B3060" s="27"/>
      <c r="C3060" s="27" t="s">
        <v>38</v>
      </c>
      <c r="D3060" s="28"/>
      <c r="E3060" s="29"/>
      <c r="F3060" s="30">
        <f>[1]Source!AM2909</f>
        <v>18.690000000000001</v>
      </c>
      <c r="G3060" s="31" t="s">
        <v>39</v>
      </c>
      <c r="H3060" s="29">
        <f>[1]Source!AV2910</f>
        <v>1.087</v>
      </c>
      <c r="I3060" s="30">
        <f>[1]Source!Q2909</f>
        <v>5.79</v>
      </c>
      <c r="J3060" s="29">
        <f>IF([1]Source!BB2910&lt;&gt; 0, [1]Source!BB2910, 1)</f>
        <v>15.58</v>
      </c>
      <c r="K3060" s="30">
        <f>[1]Source!Q2910</f>
        <v>90.21</v>
      </c>
    </row>
    <row r="3061" spans="1:29" ht="14.4" hidden="1" x14ac:dyDescent="0.25">
      <c r="A3061" s="27"/>
      <c r="B3061" s="27"/>
      <c r="C3061" s="27" t="s">
        <v>40</v>
      </c>
      <c r="D3061" s="28"/>
      <c r="E3061" s="29"/>
      <c r="F3061" s="30">
        <f>[1]Source!AN2909</f>
        <v>2.27</v>
      </c>
      <c r="G3061" s="31" t="s">
        <v>39</v>
      </c>
      <c r="H3061" s="29">
        <f>[1]Source!AV2910</f>
        <v>1.087</v>
      </c>
      <c r="I3061" s="33">
        <f>[1]Source!R2909</f>
        <v>0.7</v>
      </c>
      <c r="J3061" s="29">
        <f>IF([1]Source!BS2910&lt;&gt; 0, [1]Source!BS2910, 1)</f>
        <v>56.35</v>
      </c>
      <c r="K3061" s="33">
        <f>[1]Source!R2910</f>
        <v>39.450000000000003</v>
      </c>
    </row>
    <row r="3062" spans="1:29" ht="14.4" hidden="1" x14ac:dyDescent="0.25">
      <c r="A3062" s="27"/>
      <c r="B3062" s="27"/>
      <c r="C3062" s="27" t="s">
        <v>41</v>
      </c>
      <c r="D3062" s="28"/>
      <c r="E3062" s="29"/>
      <c r="F3062" s="30">
        <f>[1]Source!AL2909</f>
        <v>132.34</v>
      </c>
      <c r="G3062" s="31"/>
      <c r="H3062" s="29">
        <f>[1]Source!AW2910</f>
        <v>1</v>
      </c>
      <c r="I3062" s="30">
        <f>[1]Source!P2909</f>
        <v>25.14</v>
      </c>
      <c r="J3062" s="29">
        <f>IF([1]Source!BC2910&lt;&gt; 0, [1]Source!BC2910, 1)</f>
        <v>3.46</v>
      </c>
      <c r="K3062" s="30">
        <f>[1]Source!P2910</f>
        <v>86.98</v>
      </c>
    </row>
    <row r="3063" spans="1:29" ht="27.6" hidden="1" x14ac:dyDescent="0.25">
      <c r="A3063" s="27" t="s">
        <v>596</v>
      </c>
      <c r="B3063" s="27" t="str">
        <f>[1]Source!F2911</f>
        <v>1.8-1-75</v>
      </c>
      <c r="C3063" s="27" t="s">
        <v>428</v>
      </c>
      <c r="D3063" s="28" t="str">
        <f>[1]Source!H2911</f>
        <v>шт.</v>
      </c>
      <c r="E3063" s="29">
        <f>[1]Source!I2911</f>
        <v>19</v>
      </c>
      <c r="F3063" s="30">
        <f>[1]Source!AK2911</f>
        <v>272.63</v>
      </c>
      <c r="G3063" s="43" t="s">
        <v>54</v>
      </c>
      <c r="H3063" s="29">
        <f>[1]Source!AW2912</f>
        <v>1</v>
      </c>
      <c r="I3063" s="30">
        <f>[1]Source!O2911</f>
        <v>5179.97</v>
      </c>
      <c r="J3063" s="29">
        <f>IF([1]Source!BC2912&lt;&gt; 0, [1]Source!BC2912, 1)</f>
        <v>11.5</v>
      </c>
      <c r="K3063" s="30">
        <f>[1]Source!O2912</f>
        <v>59569.66</v>
      </c>
      <c r="Q3063">
        <f>[1]Source!X2911</f>
        <v>0</v>
      </c>
      <c r="R3063">
        <f>[1]Source!X2912</f>
        <v>0</v>
      </c>
      <c r="S3063">
        <f>[1]Source!Y2911</f>
        <v>0</v>
      </c>
      <c r="T3063">
        <f>[1]Source!Y2912</f>
        <v>0</v>
      </c>
      <c r="U3063">
        <f>ROUND((175/100)*ROUND([1]Source!R2911, 2), 2)</f>
        <v>0</v>
      </c>
      <c r="V3063">
        <f>ROUND((0/100)*ROUND([1]Source!R2912, 2), 2)</f>
        <v>0</v>
      </c>
      <c r="AC3063">
        <v>3</v>
      </c>
    </row>
    <row r="3064" spans="1:29" ht="14.4" hidden="1" x14ac:dyDescent="0.25">
      <c r="A3064" s="27"/>
      <c r="B3064" s="27"/>
      <c r="C3064" s="27" t="s">
        <v>42</v>
      </c>
      <c r="D3064" s="28" t="s">
        <v>43</v>
      </c>
      <c r="E3064" s="29">
        <f>[1]Source!BZ2910</f>
        <v>84</v>
      </c>
      <c r="F3064" s="30"/>
      <c r="G3064" s="31"/>
      <c r="H3064" s="29"/>
      <c r="I3064" s="30">
        <f>SUM(Q3057:Q3063)</f>
        <v>46.82</v>
      </c>
      <c r="J3064" s="29">
        <f>[1]Source!AT2910</f>
        <v>84</v>
      </c>
      <c r="K3064" s="30">
        <f>SUM(R3057:R3063)</f>
        <v>2638.4</v>
      </c>
    </row>
    <row r="3065" spans="1:29" ht="14.4" hidden="1" x14ac:dyDescent="0.25">
      <c r="A3065" s="27"/>
      <c r="B3065" s="27"/>
      <c r="C3065" s="27" t="s">
        <v>44</v>
      </c>
      <c r="D3065" s="28" t="s">
        <v>43</v>
      </c>
      <c r="E3065" s="29">
        <f>[1]Source!CA2910</f>
        <v>53</v>
      </c>
      <c r="F3065" s="30"/>
      <c r="G3065" s="31"/>
      <c r="H3065" s="29"/>
      <c r="I3065" s="30">
        <f>SUM(S3057:S3064)</f>
        <v>29.54</v>
      </c>
      <c r="J3065" s="29">
        <f>[1]Source!AU2910</f>
        <v>53</v>
      </c>
      <c r="K3065" s="30">
        <f>SUM(T3057:T3064)</f>
        <v>1664.7</v>
      </c>
    </row>
    <row r="3066" spans="1:29" ht="14.4" hidden="1" x14ac:dyDescent="0.25">
      <c r="A3066" s="34"/>
      <c r="B3066" s="34"/>
      <c r="C3066" s="34" t="s">
        <v>45</v>
      </c>
      <c r="D3066" s="35" t="s">
        <v>46</v>
      </c>
      <c r="E3066" s="36">
        <f>[1]Source!AQ2909</f>
        <v>11.57</v>
      </c>
      <c r="F3066" s="37"/>
      <c r="G3066" s="38" t="s">
        <v>37</v>
      </c>
      <c r="H3066" s="36">
        <f>[1]Source!AV2910</f>
        <v>1.087</v>
      </c>
      <c r="I3066" s="37">
        <f>[1]Source!U2909</f>
        <v>3.2975818979999998</v>
      </c>
      <c r="J3066" s="36"/>
      <c r="K3066" s="37"/>
    </row>
    <row r="3067" spans="1:29" ht="13.8" hidden="1" x14ac:dyDescent="0.25">
      <c r="C3067" s="39" t="s">
        <v>47</v>
      </c>
      <c r="H3067" s="40">
        <f>I3059+I3060+I3062+I3064+I3065+SUM(I3063:I3063)-SUMIF(AC3063:AC3063, 5, I3063:I3063)-SUMIF(AC3063:AC3063, 6, I3063:I3063)</f>
        <v>5342.3</v>
      </c>
      <c r="I3067" s="40"/>
      <c r="J3067" s="40">
        <f>K3059+K3060+K3062+K3064+K3065+SUM(K3063:K3063)-SUMIF(AC3063:AC3063, 5, K3063:K3063)-SUMIF(AC3063:AC3063, 6, K3063:K3063)</f>
        <v>67151.45</v>
      </c>
      <c r="K3067" s="40"/>
    </row>
    <row r="3068" spans="1:29" ht="13.8" hidden="1" x14ac:dyDescent="0.25">
      <c r="C3068" s="39" t="s">
        <v>48</v>
      </c>
      <c r="H3068" s="41">
        <f>SUMIF(AC3063:AC3063, 5, I3063:I3063)+SUMIF(AC3063:AC3063, 6, I3063:I3063)</f>
        <v>0</v>
      </c>
      <c r="I3068" s="41"/>
      <c r="J3068" s="41">
        <f>SUMIF(AC3063:AC3063, 5, K3063:K3063)+SUMIF(AC3063:AC3063, 6, K3063:K3063)</f>
        <v>0</v>
      </c>
      <c r="K3068" s="41"/>
    </row>
    <row r="3069" spans="1:29" ht="13.8" hidden="1" x14ac:dyDescent="0.25">
      <c r="C3069" s="39" t="s">
        <v>49</v>
      </c>
      <c r="H3069" s="41">
        <f>I3059+I3060+I3062+I3064+I3065+SUM(I3063:I3063)</f>
        <v>5342.3</v>
      </c>
      <c r="I3069" s="41"/>
      <c r="J3069" s="41">
        <f>K3059+K3060+K3062+K3064+K3065+SUM(K3063:K3063)</f>
        <v>67151.45</v>
      </c>
      <c r="K3069" s="41"/>
      <c r="O3069" s="42">
        <f>I3059+I3060+I3062+I3064+I3065+SUM(I3063:I3063)</f>
        <v>5342.3</v>
      </c>
      <c r="P3069" s="42">
        <f>K3059+K3060+K3062+K3064+K3065+SUM(K3063:K3063)</f>
        <v>67151.45</v>
      </c>
    </row>
    <row r="3070" spans="1:29" hidden="1" x14ac:dyDescent="0.25"/>
    <row r="3071" spans="1:29" hidden="1" x14ac:dyDescent="0.25"/>
    <row r="3072" spans="1:29" ht="13.8" hidden="1" x14ac:dyDescent="0.25">
      <c r="A3072" s="44" t="str">
        <f>CONCATENATE("Итого по подразделу: ",IF([1]Source!G2914&lt;&gt;"Новый подраздел", [1]Source!G2914, ""))</f>
        <v>Итого по подразделу: вв-1 Витраж тамбура</v>
      </c>
      <c r="B3072" s="44"/>
      <c r="C3072" s="44"/>
      <c r="D3072" s="44"/>
      <c r="E3072" s="44"/>
      <c r="F3072" s="44"/>
      <c r="G3072" s="44"/>
      <c r="H3072" s="41">
        <f>SUM(O3012:O3071)</f>
        <v>107084.66</v>
      </c>
      <c r="I3072" s="45"/>
      <c r="J3072" s="41">
        <f>SUM(P3012:P3071)</f>
        <v>815428.66999999993</v>
      </c>
      <c r="K3072" s="45"/>
    </row>
    <row r="3073" spans="1:29" hidden="1" x14ac:dyDescent="0.25">
      <c r="A3073" t="s">
        <v>55</v>
      </c>
      <c r="I3073">
        <f>SUM(W3012:W3072)</f>
        <v>0</v>
      </c>
      <c r="J3073">
        <f>SUM(X3012:X3072)</f>
        <v>0</v>
      </c>
    </row>
    <row r="3074" spans="1:29" hidden="1" x14ac:dyDescent="0.25">
      <c r="A3074" t="s">
        <v>56</v>
      </c>
      <c r="I3074">
        <f>SUM(Y3012:Y3073)</f>
        <v>0</v>
      </c>
      <c r="J3074">
        <f>SUM(Z3012:Z3073)</f>
        <v>0</v>
      </c>
    </row>
    <row r="3075" spans="1:29" hidden="1" x14ac:dyDescent="0.25"/>
    <row r="3076" spans="1:29" ht="13.8" hidden="1" x14ac:dyDescent="0.25">
      <c r="A3076" s="44" t="str">
        <f>CONCATENATE("Итого по разделу: ",IF([1]Source!G2944&lt;&gt;"Новый раздел", [1]Source!G2944, ""))</f>
        <v>Итого по разделу: Витражи</v>
      </c>
      <c r="B3076" s="44"/>
      <c r="C3076" s="44"/>
      <c r="D3076" s="44"/>
      <c r="E3076" s="44"/>
      <c r="F3076" s="44"/>
      <c r="G3076" s="44"/>
      <c r="H3076" s="41">
        <f>SUM(O2437:O3075)</f>
        <v>1109265.7200000002</v>
      </c>
      <c r="I3076" s="45"/>
      <c r="J3076" s="41">
        <f>SUM(P2437:P3075)</f>
        <v>8246565.9700000007</v>
      </c>
      <c r="K3076" s="45"/>
    </row>
    <row r="3077" spans="1:29" hidden="1" x14ac:dyDescent="0.25">
      <c r="A3077" t="s">
        <v>55</v>
      </c>
      <c r="I3077">
        <f>SUM(W2437:W3076)</f>
        <v>0</v>
      </c>
      <c r="J3077">
        <f>SUM(X2437:X3076)</f>
        <v>0</v>
      </c>
    </row>
    <row r="3078" spans="1:29" hidden="1" x14ac:dyDescent="0.25">
      <c r="A3078" t="s">
        <v>56</v>
      </c>
      <c r="I3078">
        <f>SUM(Y2437:Y3077)</f>
        <v>0</v>
      </c>
      <c r="J3078">
        <f>SUM(Z2437:Z3077)</f>
        <v>0</v>
      </c>
    </row>
    <row r="3079" spans="1:29" hidden="1" x14ac:dyDescent="0.25"/>
    <row r="3080" spans="1:29" ht="16.8" hidden="1" x14ac:dyDescent="0.25">
      <c r="A3080" s="11" t="str">
        <f>CONCATENATE("Раздел: ",IF([1]Source!G2974&lt;&gt;"Новый раздел", [1]Source!G2974, ""))</f>
        <v>Раздел: Заполнение внутренних технических ниш</v>
      </c>
      <c r="B3080" s="11"/>
      <c r="C3080" s="11"/>
      <c r="D3080" s="11"/>
      <c r="E3080" s="11"/>
      <c r="F3080" s="11"/>
      <c r="G3080" s="11"/>
      <c r="H3080" s="11"/>
      <c r="I3080" s="11"/>
      <c r="J3080" s="11"/>
      <c r="K3080" s="11"/>
    </row>
    <row r="3081" spans="1:29" ht="41.4" hidden="1" x14ac:dyDescent="0.25">
      <c r="A3081" s="27">
        <v>324</v>
      </c>
      <c r="B3081" s="27" t="str">
        <f>[1]Source!F2978</f>
        <v>3.9-74-2</v>
      </c>
      <c r="C3081" s="27" t="s">
        <v>545</v>
      </c>
      <c r="D3081" s="28" t="str">
        <f>[1]Source!H2978</f>
        <v>10 шт.</v>
      </c>
      <c r="E3081" s="29">
        <f>[1]Source!I2978</f>
        <v>2.2000000000000002</v>
      </c>
      <c r="F3081" s="30"/>
      <c r="G3081" s="31"/>
      <c r="H3081" s="29"/>
      <c r="I3081" s="30"/>
      <c r="J3081" s="29"/>
      <c r="K3081" s="30"/>
      <c r="Q3081">
        <f>[1]Source!X2978</f>
        <v>785.2</v>
      </c>
      <c r="R3081">
        <f>[1]Source!X2979</f>
        <v>44245.93</v>
      </c>
      <c r="S3081">
        <f>[1]Source!Y2978</f>
        <v>495.42</v>
      </c>
      <c r="T3081">
        <f>[1]Source!Y2979</f>
        <v>27917.08</v>
      </c>
      <c r="U3081">
        <f>ROUND((175/100)*ROUND([1]Source!R2978, 2), 2)</f>
        <v>154.49</v>
      </c>
      <c r="V3081">
        <f>ROUND((0/100)*ROUND([1]Source!R2979, 2), 2)</f>
        <v>0</v>
      </c>
      <c r="AC3081">
        <v>0</v>
      </c>
    </row>
    <row r="3082" spans="1:29" hidden="1" x14ac:dyDescent="0.25">
      <c r="C3082" s="32" t="str">
        <f>"Объем: "&amp;[1]Source!I2978&amp;"=22/"&amp;"10"</f>
        <v>Объем: 2,2=22/10</v>
      </c>
    </row>
    <row r="3083" spans="1:29" ht="14.4" hidden="1" x14ac:dyDescent="0.25">
      <c r="A3083" s="27"/>
      <c r="B3083" s="27"/>
      <c r="C3083" s="27" t="s">
        <v>36</v>
      </c>
      <c r="D3083" s="28"/>
      <c r="E3083" s="29"/>
      <c r="F3083" s="30">
        <f>[1]Source!AO2978</f>
        <v>256.5</v>
      </c>
      <c r="G3083" s="31" t="s">
        <v>37</v>
      </c>
      <c r="H3083" s="29">
        <f>[1]Source!AV2979</f>
        <v>1.087</v>
      </c>
      <c r="I3083" s="30">
        <f>[1]Source!S2978</f>
        <v>846.48</v>
      </c>
      <c r="J3083" s="29">
        <f>IF([1]Source!BA2979&lt;&gt; 0, [1]Source!BA2979, 1)</f>
        <v>56.35</v>
      </c>
      <c r="K3083" s="30">
        <f>[1]Source!S2979</f>
        <v>47699.15</v>
      </c>
    </row>
    <row r="3084" spans="1:29" ht="14.4" hidden="1" x14ac:dyDescent="0.25">
      <c r="A3084" s="27"/>
      <c r="B3084" s="27"/>
      <c r="C3084" s="27" t="s">
        <v>38</v>
      </c>
      <c r="D3084" s="28"/>
      <c r="E3084" s="29"/>
      <c r="F3084" s="30">
        <f>[1]Source!AM2978</f>
        <v>162.97999999999999</v>
      </c>
      <c r="G3084" s="31" t="s">
        <v>39</v>
      </c>
      <c r="H3084" s="29">
        <f>[1]Source!AV2979</f>
        <v>1.087</v>
      </c>
      <c r="I3084" s="30">
        <f>[1]Source!Q2978</f>
        <v>584.63</v>
      </c>
      <c r="J3084" s="29">
        <f>IF([1]Source!BB2979&lt;&gt; 0, [1]Source!BB2979, 1)</f>
        <v>17.03</v>
      </c>
      <c r="K3084" s="30">
        <f>[1]Source!Q2979</f>
        <v>9956.25</v>
      </c>
    </row>
    <row r="3085" spans="1:29" ht="14.4" hidden="1" x14ac:dyDescent="0.25">
      <c r="A3085" s="27"/>
      <c r="B3085" s="27"/>
      <c r="C3085" s="27" t="s">
        <v>40</v>
      </c>
      <c r="D3085" s="28"/>
      <c r="E3085" s="29"/>
      <c r="F3085" s="30">
        <f>[1]Source!AN2978</f>
        <v>24.61</v>
      </c>
      <c r="G3085" s="31" t="s">
        <v>39</v>
      </c>
      <c r="H3085" s="29">
        <f>[1]Source!AV2979</f>
        <v>1.087</v>
      </c>
      <c r="I3085" s="33">
        <f>[1]Source!R2978</f>
        <v>88.28</v>
      </c>
      <c r="J3085" s="29">
        <f>IF([1]Source!BS2979&lt;&gt; 0, [1]Source!BS2979, 1)</f>
        <v>56.35</v>
      </c>
      <c r="K3085" s="33">
        <f>[1]Source!R2979</f>
        <v>4974.58</v>
      </c>
    </row>
    <row r="3086" spans="1:29" ht="14.4" hidden="1" x14ac:dyDescent="0.25">
      <c r="A3086" s="27"/>
      <c r="B3086" s="27"/>
      <c r="C3086" s="27" t="s">
        <v>41</v>
      </c>
      <c r="D3086" s="28"/>
      <c r="E3086" s="29"/>
      <c r="F3086" s="30">
        <f>[1]Source!AL2978</f>
        <v>649.57000000000005</v>
      </c>
      <c r="G3086" s="31"/>
      <c r="H3086" s="29">
        <f>[1]Source!AW2979</f>
        <v>1</v>
      </c>
      <c r="I3086" s="30">
        <f>[1]Source!P2978</f>
        <v>1429.05</v>
      </c>
      <c r="J3086" s="29">
        <f>IF([1]Source!BC2979&lt;&gt; 0, [1]Source!BC2979, 1)</f>
        <v>6.39</v>
      </c>
      <c r="K3086" s="30">
        <f>[1]Source!P2979</f>
        <v>9131.6299999999992</v>
      </c>
    </row>
    <row r="3087" spans="1:29" ht="14.4" hidden="1" x14ac:dyDescent="0.25">
      <c r="A3087" s="27"/>
      <c r="B3087" s="27"/>
      <c r="C3087" s="27" t="s">
        <v>42</v>
      </c>
      <c r="D3087" s="28" t="s">
        <v>43</v>
      </c>
      <c r="E3087" s="29">
        <f>[1]Source!BZ2979</f>
        <v>84</v>
      </c>
      <c r="F3087" s="30"/>
      <c r="G3087" s="31"/>
      <c r="H3087" s="29"/>
      <c r="I3087" s="30">
        <f>SUM(Q3081:Q3086)</f>
        <v>785.2</v>
      </c>
      <c r="J3087" s="29">
        <f>[1]Source!AT2979</f>
        <v>84</v>
      </c>
      <c r="K3087" s="30">
        <f>SUM(R3081:R3086)</f>
        <v>44245.93</v>
      </c>
    </row>
    <row r="3088" spans="1:29" ht="14.4" hidden="1" x14ac:dyDescent="0.25">
      <c r="A3088" s="27"/>
      <c r="B3088" s="27"/>
      <c r="C3088" s="27" t="s">
        <v>44</v>
      </c>
      <c r="D3088" s="28" t="s">
        <v>43</v>
      </c>
      <c r="E3088" s="29">
        <f>[1]Source!CA2979</f>
        <v>53</v>
      </c>
      <c r="F3088" s="30"/>
      <c r="G3088" s="31"/>
      <c r="H3088" s="29"/>
      <c r="I3088" s="30">
        <f>SUM(S3081:S3087)</f>
        <v>495.42</v>
      </c>
      <c r="J3088" s="29">
        <f>[1]Source!AU2979</f>
        <v>53</v>
      </c>
      <c r="K3088" s="30">
        <f>SUM(T3081:T3087)</f>
        <v>27917.08</v>
      </c>
    </row>
    <row r="3089" spans="1:29" ht="14.4" hidden="1" x14ac:dyDescent="0.25">
      <c r="A3089" s="34"/>
      <c r="B3089" s="34"/>
      <c r="C3089" s="34" t="s">
        <v>45</v>
      </c>
      <c r="D3089" s="35" t="s">
        <v>46</v>
      </c>
      <c r="E3089" s="36">
        <f>[1]Source!AQ2978</f>
        <v>23.3</v>
      </c>
      <c r="F3089" s="37"/>
      <c r="G3089" s="38" t="s">
        <v>37</v>
      </c>
      <c r="H3089" s="36">
        <f>[1]Source!AV2979</f>
        <v>1.087</v>
      </c>
      <c r="I3089" s="37">
        <f>[1]Source!U2978</f>
        <v>76.893075600000003</v>
      </c>
      <c r="J3089" s="36"/>
      <c r="K3089" s="37"/>
    </row>
    <row r="3090" spans="1:29" ht="13.8" hidden="1" x14ac:dyDescent="0.25">
      <c r="C3090" s="39" t="s">
        <v>47</v>
      </c>
      <c r="H3090" s="40">
        <f>I3083+I3084+I3086+I3087+I3088+0-0-0</f>
        <v>4140.78</v>
      </c>
      <c r="I3090" s="40"/>
      <c r="J3090" s="40">
        <f>K3083+K3084+K3086+K3087+K3088+0-0-0</f>
        <v>138950.03999999998</v>
      </c>
      <c r="K3090" s="40"/>
    </row>
    <row r="3091" spans="1:29" ht="13.8" hidden="1" x14ac:dyDescent="0.25">
      <c r="C3091" s="39" t="s">
        <v>48</v>
      </c>
      <c r="H3091" s="41">
        <f>0+0</f>
        <v>0</v>
      </c>
      <c r="I3091" s="41"/>
      <c r="J3091" s="41">
        <f>0+0</f>
        <v>0</v>
      </c>
      <c r="K3091" s="41"/>
    </row>
    <row r="3092" spans="1:29" ht="13.8" hidden="1" x14ac:dyDescent="0.25">
      <c r="C3092" s="39" t="s">
        <v>49</v>
      </c>
      <c r="H3092" s="41">
        <f>I3083+I3084+I3086+I3087+I3088+0</f>
        <v>4140.78</v>
      </c>
      <c r="I3092" s="41"/>
      <c r="J3092" s="41">
        <f>K3083+K3084+K3086+K3087+K3088+0</f>
        <v>138950.03999999998</v>
      </c>
      <c r="K3092" s="41"/>
      <c r="O3092" s="42">
        <f>I3083+I3084+I3086+I3087+I3088+0</f>
        <v>4140.78</v>
      </c>
      <c r="P3092" s="42">
        <f>K3083+K3084+K3086+K3087+K3088+0</f>
        <v>138950.03999999998</v>
      </c>
    </row>
    <row r="3093" spans="1:29" hidden="1" x14ac:dyDescent="0.25"/>
    <row r="3094" spans="1:29" ht="110.4" hidden="1" x14ac:dyDescent="0.25">
      <c r="A3094" s="34">
        <v>325</v>
      </c>
      <c r="B3094" s="34" t="str">
        <f>[1]Source!F2980</f>
        <v>1.7-2-88</v>
      </c>
      <c r="C3094" s="34" t="s">
        <v>597</v>
      </c>
      <c r="D3094" s="35" t="str">
        <f>[1]Source!H2980</f>
        <v>т</v>
      </c>
      <c r="E3094" s="36">
        <f>[1]Source!I2980</f>
        <v>9.9000000000000005E-2</v>
      </c>
      <c r="F3094" s="37">
        <f>[1]Source!AL2980</f>
        <v>45723.72</v>
      </c>
      <c r="G3094" s="38"/>
      <c r="H3094" s="36">
        <f>[1]Source!AW2981</f>
        <v>1</v>
      </c>
      <c r="I3094" s="37">
        <f>[1]Source!P2980</f>
        <v>4526.6499999999996</v>
      </c>
      <c r="J3094" s="36">
        <f>IF([1]Source!BC2981&lt;&gt; 0, [1]Source!BC2981, 1)</f>
        <v>3.28</v>
      </c>
      <c r="K3094" s="37">
        <f>[1]Source!P2981</f>
        <v>14847.41</v>
      </c>
      <c r="Q3094">
        <f>[1]Source!X2980</f>
        <v>0</v>
      </c>
      <c r="R3094">
        <f>[1]Source!X2981</f>
        <v>0</v>
      </c>
      <c r="S3094">
        <f>[1]Source!Y2980</f>
        <v>0</v>
      </c>
      <c r="T3094">
        <f>[1]Source!Y2981</f>
        <v>0</v>
      </c>
      <c r="U3094">
        <f>ROUND((175/100)*ROUND([1]Source!R2980, 2), 2)</f>
        <v>0</v>
      </c>
      <c r="V3094">
        <f>ROUND((0/100)*ROUND([1]Source!R2981, 2), 2)</f>
        <v>0</v>
      </c>
      <c r="AC3094">
        <v>3</v>
      </c>
    </row>
    <row r="3095" spans="1:29" ht="13.8" hidden="1" x14ac:dyDescent="0.25">
      <c r="C3095" s="39" t="s">
        <v>49</v>
      </c>
      <c r="H3095" s="40">
        <f>I3094+0</f>
        <v>4526.6499999999996</v>
      </c>
      <c r="I3095" s="40"/>
      <c r="J3095" s="40">
        <f>K3094+0</f>
        <v>14847.41</v>
      </c>
      <c r="K3095" s="40"/>
      <c r="O3095" s="42">
        <f>I3094+0</f>
        <v>4526.6499999999996</v>
      </c>
      <c r="P3095" s="42">
        <f>K3094+0</f>
        <v>14847.41</v>
      </c>
    </row>
    <row r="3096" spans="1:29" hidden="1" x14ac:dyDescent="0.25"/>
    <row r="3097" spans="1:29" ht="110.4" hidden="1" x14ac:dyDescent="0.25">
      <c r="A3097" s="34">
        <v>326</v>
      </c>
      <c r="B3097" s="34" t="str">
        <f>[1]Source!F2982</f>
        <v>1.7-2-100</v>
      </c>
      <c r="C3097" s="34" t="s">
        <v>598</v>
      </c>
      <c r="D3097" s="35" t="str">
        <f>[1]Source!H2982</f>
        <v>т</v>
      </c>
      <c r="E3097" s="36">
        <f>[1]Source!I2982</f>
        <v>2.226</v>
      </c>
      <c r="F3097" s="37">
        <f>[1]Source!AL2982</f>
        <v>46892.28</v>
      </c>
      <c r="G3097" s="38"/>
      <c r="H3097" s="36">
        <f>[1]Source!AW2983</f>
        <v>1</v>
      </c>
      <c r="I3097" s="37">
        <f>[1]Source!P2982</f>
        <v>104382.22</v>
      </c>
      <c r="J3097" s="36">
        <f>IF([1]Source!BC2983&lt;&gt; 0, [1]Source!BC2983, 1)</f>
        <v>2.93</v>
      </c>
      <c r="K3097" s="37">
        <f>[1]Source!P2983</f>
        <v>305839.90000000002</v>
      </c>
      <c r="Q3097">
        <f>[1]Source!X2982</f>
        <v>0</v>
      </c>
      <c r="R3097">
        <f>[1]Source!X2983</f>
        <v>0</v>
      </c>
      <c r="S3097">
        <f>[1]Source!Y2982</f>
        <v>0</v>
      </c>
      <c r="T3097">
        <f>[1]Source!Y2983</f>
        <v>0</v>
      </c>
      <c r="U3097">
        <f>ROUND((175/100)*ROUND([1]Source!R2982, 2), 2)</f>
        <v>0</v>
      </c>
      <c r="V3097">
        <f>ROUND((0/100)*ROUND([1]Source!R2983, 2), 2)</f>
        <v>0</v>
      </c>
      <c r="AC3097">
        <v>3</v>
      </c>
    </row>
    <row r="3098" spans="1:29" ht="13.8" hidden="1" x14ac:dyDescent="0.25">
      <c r="C3098" s="39" t="s">
        <v>49</v>
      </c>
      <c r="H3098" s="40">
        <f>I3097+0</f>
        <v>104382.22</v>
      </c>
      <c r="I3098" s="40"/>
      <c r="J3098" s="40">
        <f>K3097+0</f>
        <v>305839.90000000002</v>
      </c>
      <c r="K3098" s="40"/>
      <c r="O3098" s="42">
        <f>I3097+0</f>
        <v>104382.22</v>
      </c>
      <c r="P3098" s="42">
        <f>K3097+0</f>
        <v>305839.90000000002</v>
      </c>
    </row>
    <row r="3099" spans="1:29" hidden="1" x14ac:dyDescent="0.25"/>
    <row r="3100" spans="1:29" ht="110.4" hidden="1" x14ac:dyDescent="0.25">
      <c r="A3100" s="27">
        <v>327</v>
      </c>
      <c r="B3100" s="27" t="str">
        <f>[1]Source!F2984</f>
        <v>1.7-2-100</v>
      </c>
      <c r="C3100" s="27" t="s">
        <v>599</v>
      </c>
      <c r="D3100" s="28" t="str">
        <f>[1]Source!H2984</f>
        <v>т</v>
      </c>
      <c r="E3100" s="29">
        <f>[1]Source!I2984</f>
        <v>0.318</v>
      </c>
      <c r="F3100" s="30">
        <f>[1]Source!AL2984</f>
        <v>46892.28</v>
      </c>
      <c r="G3100" s="31"/>
      <c r="H3100" s="29">
        <f>[1]Source!AW2985</f>
        <v>1</v>
      </c>
      <c r="I3100" s="30">
        <f>[1]Source!P2984</f>
        <v>14911.75</v>
      </c>
      <c r="J3100" s="29">
        <f>IF([1]Source!BC2985&lt;&gt; 0, [1]Source!BC2985, 1)</f>
        <v>2.93</v>
      </c>
      <c r="K3100" s="30">
        <f>[1]Source!P2985</f>
        <v>43691.43</v>
      </c>
      <c r="Q3100">
        <f>[1]Source!X2984</f>
        <v>0</v>
      </c>
      <c r="R3100">
        <f>[1]Source!X2985</f>
        <v>0</v>
      </c>
      <c r="S3100">
        <f>[1]Source!Y2984</f>
        <v>0</v>
      </c>
      <c r="T3100">
        <f>[1]Source!Y2985</f>
        <v>0</v>
      </c>
      <c r="U3100">
        <f>ROUND((175/100)*ROUND([1]Source!R2984, 2), 2)</f>
        <v>0</v>
      </c>
      <c r="V3100">
        <f>ROUND((0/100)*ROUND([1]Source!R2985, 2), 2)</f>
        <v>0</v>
      </c>
      <c r="AC3100">
        <v>3</v>
      </c>
    </row>
    <row r="3101" spans="1:29" hidden="1" x14ac:dyDescent="0.25">
      <c r="A3101" s="57"/>
      <c r="B3101" s="57"/>
      <c r="C3101" s="58" t="str">
        <f>"Объем: "&amp;[1]Source!I2984&amp;"=(159*"&amp;"2)/"&amp;"1000"</f>
        <v>Объем: 0,318=(159*2)/1000</v>
      </c>
      <c r="D3101" s="57"/>
      <c r="E3101" s="57"/>
      <c r="F3101" s="57"/>
      <c r="G3101" s="57"/>
      <c r="H3101" s="57"/>
      <c r="I3101" s="57"/>
      <c r="J3101" s="57"/>
      <c r="K3101" s="57"/>
    </row>
    <row r="3102" spans="1:29" ht="13.8" hidden="1" x14ac:dyDescent="0.25">
      <c r="C3102" s="39" t="s">
        <v>49</v>
      </c>
      <c r="H3102" s="40">
        <f>I3100+0</f>
        <v>14911.75</v>
      </c>
      <c r="I3102" s="40"/>
      <c r="J3102" s="40">
        <f>K3100+0</f>
        <v>43691.43</v>
      </c>
      <c r="K3102" s="40"/>
      <c r="O3102" s="42">
        <f>I3100+0</f>
        <v>14911.75</v>
      </c>
      <c r="P3102" s="42">
        <f>K3100+0</f>
        <v>43691.43</v>
      </c>
    </row>
    <row r="3103" spans="1:29" hidden="1" x14ac:dyDescent="0.25"/>
    <row r="3104" spans="1:29" ht="110.4" hidden="1" x14ac:dyDescent="0.25">
      <c r="A3104" s="27">
        <v>328</v>
      </c>
      <c r="B3104" s="27" t="str">
        <f>[1]Source!F2986</f>
        <v>1.7-2-88</v>
      </c>
      <c r="C3104" s="27" t="s">
        <v>600</v>
      </c>
      <c r="D3104" s="28" t="str">
        <f>[1]Source!H2986</f>
        <v>т</v>
      </c>
      <c r="E3104" s="29">
        <f>[1]Source!I2986</f>
        <v>0.495</v>
      </c>
      <c r="F3104" s="30">
        <f>[1]Source!AL2986</f>
        <v>45723.72</v>
      </c>
      <c r="G3104" s="31"/>
      <c r="H3104" s="29">
        <f>[1]Source!AW2987</f>
        <v>1</v>
      </c>
      <c r="I3104" s="30">
        <f>[1]Source!P2986</f>
        <v>22633.24</v>
      </c>
      <c r="J3104" s="29">
        <f>IF([1]Source!BC2987&lt;&gt; 0, [1]Source!BC2987, 1)</f>
        <v>3.28</v>
      </c>
      <c r="K3104" s="30">
        <f>[1]Source!P2987</f>
        <v>74237.03</v>
      </c>
      <c r="Q3104">
        <f>[1]Source!X2986</f>
        <v>0</v>
      </c>
      <c r="R3104">
        <f>[1]Source!X2987</f>
        <v>0</v>
      </c>
      <c r="S3104">
        <f>[1]Source!Y2986</f>
        <v>0</v>
      </c>
      <c r="T3104">
        <f>[1]Source!Y2987</f>
        <v>0</v>
      </c>
      <c r="U3104">
        <f>ROUND((175/100)*ROUND([1]Source!R2986, 2), 2)</f>
        <v>0</v>
      </c>
      <c r="V3104">
        <f>ROUND((0/100)*ROUND([1]Source!R2987, 2), 2)</f>
        <v>0</v>
      </c>
      <c r="AC3104">
        <v>3</v>
      </c>
    </row>
    <row r="3105" spans="1:29" hidden="1" x14ac:dyDescent="0.25">
      <c r="A3105" s="57"/>
      <c r="B3105" s="57"/>
      <c r="C3105" s="58" t="str">
        <f>"Объем: "&amp;[1]Source!I2986&amp;"=(99*"&amp;"5)/"&amp;"1000"</f>
        <v>Объем: 0,495=(99*5)/1000</v>
      </c>
      <c r="D3105" s="57"/>
      <c r="E3105" s="57"/>
      <c r="F3105" s="57"/>
      <c r="G3105" s="57"/>
      <c r="H3105" s="57"/>
      <c r="I3105" s="57"/>
      <c r="J3105" s="57"/>
      <c r="K3105" s="57"/>
    </row>
    <row r="3106" spans="1:29" ht="13.8" hidden="1" x14ac:dyDescent="0.25">
      <c r="C3106" s="39" t="s">
        <v>49</v>
      </c>
      <c r="H3106" s="40">
        <f>I3104+0</f>
        <v>22633.24</v>
      </c>
      <c r="I3106" s="40"/>
      <c r="J3106" s="40">
        <f>K3104+0</f>
        <v>74237.03</v>
      </c>
      <c r="K3106" s="40"/>
      <c r="O3106" s="42">
        <f>I3104+0</f>
        <v>22633.24</v>
      </c>
      <c r="P3106" s="42">
        <f>K3104+0</f>
        <v>74237.03</v>
      </c>
    </row>
    <row r="3107" spans="1:29" hidden="1" x14ac:dyDescent="0.25"/>
    <row r="3108" spans="1:29" hidden="1" x14ac:dyDescent="0.25"/>
    <row r="3109" spans="1:29" ht="13.8" hidden="1" x14ac:dyDescent="0.25">
      <c r="A3109" s="44" t="str">
        <f>CONCATENATE("Итого по разделу: ",IF([1]Source!G2989&lt;&gt;"Новый раздел", [1]Source!G2989, ""))</f>
        <v>Итого по разделу: Заполнение внутренних технических ниш</v>
      </c>
      <c r="B3109" s="44"/>
      <c r="C3109" s="44"/>
      <c r="D3109" s="44"/>
      <c r="E3109" s="44"/>
      <c r="F3109" s="44"/>
      <c r="G3109" s="44"/>
      <c r="H3109" s="41">
        <f>SUM(O3080:O3108)</f>
        <v>150594.63999999998</v>
      </c>
      <c r="I3109" s="45"/>
      <c r="J3109" s="41">
        <f>SUM(P3080:P3108)</f>
        <v>577565.80999999994</v>
      </c>
      <c r="K3109" s="45"/>
    </row>
    <row r="3110" spans="1:29" hidden="1" x14ac:dyDescent="0.25">
      <c r="A3110" t="s">
        <v>55</v>
      </c>
      <c r="I3110">
        <f>SUM(W3080:W3109)</f>
        <v>0</v>
      </c>
      <c r="J3110">
        <f>SUM(X3080:X3109)</f>
        <v>0</v>
      </c>
    </row>
    <row r="3111" spans="1:29" hidden="1" x14ac:dyDescent="0.25">
      <c r="A3111" t="s">
        <v>56</v>
      </c>
      <c r="I3111">
        <f>SUM(Y3080:Y3110)</f>
        <v>0</v>
      </c>
      <c r="J3111">
        <f>SUM(Z3080:Z3110)</f>
        <v>0</v>
      </c>
    </row>
    <row r="3112" spans="1:29" hidden="1" x14ac:dyDescent="0.25"/>
    <row r="3113" spans="1:29" ht="16.8" hidden="1" x14ac:dyDescent="0.25">
      <c r="A3113" s="11" t="str">
        <f>CONCATENATE("Раздел: ",IF([1]Source!G3019&lt;&gt;"Новый раздел", [1]Source!G3019, ""))</f>
        <v>Раздел: Лючки ревизионные</v>
      </c>
      <c r="B3113" s="11"/>
      <c r="C3113" s="11"/>
      <c r="D3113" s="11"/>
      <c r="E3113" s="11"/>
      <c r="F3113" s="11"/>
      <c r="G3113" s="11"/>
      <c r="H3113" s="11"/>
      <c r="I3113" s="11"/>
      <c r="J3113" s="11"/>
      <c r="K3113" s="11"/>
    </row>
    <row r="3114" spans="1:29" ht="27.6" hidden="1" x14ac:dyDescent="0.25">
      <c r="A3114" s="27">
        <v>329</v>
      </c>
      <c r="B3114" s="27" t="str">
        <f>[1]Source!F3023</f>
        <v>3.20-26-7</v>
      </c>
      <c r="C3114" s="27" t="s">
        <v>601</v>
      </c>
      <c r="D3114" s="28" t="str">
        <f>[1]Source!H3023</f>
        <v>1  ШТ.</v>
      </c>
      <c r="E3114" s="29">
        <f>[1]Source!I3023</f>
        <v>35</v>
      </c>
      <c r="F3114" s="30"/>
      <c r="G3114" s="31"/>
      <c r="H3114" s="29"/>
      <c r="I3114" s="30"/>
      <c r="J3114" s="29"/>
      <c r="K3114" s="30"/>
      <c r="Q3114">
        <f>[1]Source!X3023</f>
        <v>964.72</v>
      </c>
      <c r="R3114">
        <f>[1]Source!X3024</f>
        <v>54361.71</v>
      </c>
      <c r="S3114">
        <f>[1]Source!Y3023</f>
        <v>539.89</v>
      </c>
      <c r="T3114">
        <f>[1]Source!Y3024</f>
        <v>30422.61</v>
      </c>
      <c r="U3114">
        <f>ROUND((175/100)*ROUND([1]Source!R3023, 2), 2)</f>
        <v>49.02</v>
      </c>
      <c r="V3114">
        <f>ROUND((0/100)*ROUND([1]Source!R3024, 2), 2)</f>
        <v>0</v>
      </c>
      <c r="AC3114">
        <v>0</v>
      </c>
    </row>
    <row r="3115" spans="1:29" ht="14.4" hidden="1" x14ac:dyDescent="0.25">
      <c r="A3115" s="27"/>
      <c r="B3115" s="27"/>
      <c r="C3115" s="27" t="s">
        <v>36</v>
      </c>
      <c r="D3115" s="28"/>
      <c r="E3115" s="29"/>
      <c r="F3115" s="30">
        <f>[1]Source!AO3023</f>
        <v>16.63</v>
      </c>
      <c r="G3115" s="31" t="s">
        <v>37</v>
      </c>
      <c r="H3115" s="29">
        <f>[1]Source!AV3024</f>
        <v>1.0669999999999999</v>
      </c>
      <c r="I3115" s="30">
        <f>[1]Source!S3023</f>
        <v>857.05</v>
      </c>
      <c r="J3115" s="29">
        <f>IF([1]Source!BA3024&lt;&gt; 0, [1]Source!BA3024, 1)</f>
        <v>56.35</v>
      </c>
      <c r="K3115" s="30">
        <f>[1]Source!S3024</f>
        <v>48294.77</v>
      </c>
    </row>
    <row r="3116" spans="1:29" ht="14.4" hidden="1" x14ac:dyDescent="0.25">
      <c r="A3116" s="27"/>
      <c r="B3116" s="27"/>
      <c r="C3116" s="27" t="s">
        <v>38</v>
      </c>
      <c r="D3116" s="28"/>
      <c r="E3116" s="29"/>
      <c r="F3116" s="30">
        <f>[1]Source!AM3023</f>
        <v>6.81</v>
      </c>
      <c r="G3116" s="31" t="s">
        <v>39</v>
      </c>
      <c r="H3116" s="29">
        <f>[1]Source!AV3024</f>
        <v>1.0669999999999999</v>
      </c>
      <c r="I3116" s="30">
        <f>[1]Source!Q3023</f>
        <v>381.48</v>
      </c>
      <c r="J3116" s="29">
        <f>IF([1]Source!BB3024&lt;&gt; 0, [1]Source!BB3024, 1)</f>
        <v>15.22</v>
      </c>
      <c r="K3116" s="30">
        <f>[1]Source!Q3024</f>
        <v>5806.13</v>
      </c>
    </row>
    <row r="3117" spans="1:29" ht="14.4" hidden="1" x14ac:dyDescent="0.25">
      <c r="A3117" s="27"/>
      <c r="B3117" s="27"/>
      <c r="C3117" s="27" t="s">
        <v>40</v>
      </c>
      <c r="D3117" s="28"/>
      <c r="E3117" s="29"/>
      <c r="F3117" s="30">
        <f>[1]Source!AN3023</f>
        <v>0.5</v>
      </c>
      <c r="G3117" s="31" t="s">
        <v>39</v>
      </c>
      <c r="H3117" s="29">
        <f>[1]Source!AV3024</f>
        <v>1.0669999999999999</v>
      </c>
      <c r="I3117" s="33">
        <f>[1]Source!R3023</f>
        <v>28.01</v>
      </c>
      <c r="J3117" s="29">
        <f>IF([1]Source!BS3024&lt;&gt; 0, [1]Source!BS3024, 1)</f>
        <v>56.35</v>
      </c>
      <c r="K3117" s="33">
        <f>[1]Source!R3024</f>
        <v>1578.36</v>
      </c>
    </row>
    <row r="3118" spans="1:29" ht="14.4" hidden="1" x14ac:dyDescent="0.25">
      <c r="A3118" s="27"/>
      <c r="B3118" s="27"/>
      <c r="C3118" s="27" t="s">
        <v>41</v>
      </c>
      <c r="D3118" s="28"/>
      <c r="E3118" s="29"/>
      <c r="F3118" s="30">
        <f>[1]Source!AL3023</f>
        <v>38.159999999999997</v>
      </c>
      <c r="G3118" s="31"/>
      <c r="H3118" s="29">
        <f>[1]Source!AW3024</f>
        <v>1</v>
      </c>
      <c r="I3118" s="30">
        <f>[1]Source!P3023</f>
        <v>1335.6</v>
      </c>
      <c r="J3118" s="29">
        <f>IF([1]Source!BC3024&lt;&gt; 0, [1]Source!BC3024, 1)</f>
        <v>7.88</v>
      </c>
      <c r="K3118" s="30">
        <f>[1]Source!P3024</f>
        <v>10524.53</v>
      </c>
    </row>
    <row r="3119" spans="1:29" ht="14.4" hidden="1" x14ac:dyDescent="0.25">
      <c r="A3119" s="27"/>
      <c r="B3119" s="27"/>
      <c r="C3119" s="27" t="s">
        <v>42</v>
      </c>
      <c r="D3119" s="28" t="s">
        <v>43</v>
      </c>
      <c r="E3119" s="29">
        <f>[1]Source!BZ3024</f>
        <v>109</v>
      </c>
      <c r="F3119" s="30"/>
      <c r="G3119" s="31"/>
      <c r="H3119" s="29"/>
      <c r="I3119" s="30">
        <f>SUM(Q3114:Q3118)</f>
        <v>964.72</v>
      </c>
      <c r="J3119" s="29">
        <f>[1]Source!AT3024</f>
        <v>109</v>
      </c>
      <c r="K3119" s="30">
        <f>SUM(R3114:R3118)</f>
        <v>54361.71</v>
      </c>
    </row>
    <row r="3120" spans="1:29" ht="14.4" hidden="1" x14ac:dyDescent="0.25">
      <c r="A3120" s="27"/>
      <c r="B3120" s="27"/>
      <c r="C3120" s="27" t="s">
        <v>44</v>
      </c>
      <c r="D3120" s="28" t="s">
        <v>43</v>
      </c>
      <c r="E3120" s="29">
        <f>[1]Source!CA3024</f>
        <v>61</v>
      </c>
      <c r="F3120" s="30"/>
      <c r="G3120" s="31"/>
      <c r="H3120" s="29"/>
      <c r="I3120" s="30">
        <f>SUM(S3114:S3119)</f>
        <v>539.89</v>
      </c>
      <c r="J3120" s="29">
        <f>[1]Source!AU3024</f>
        <v>61</v>
      </c>
      <c r="K3120" s="30">
        <f>SUM(T3114:T3119)</f>
        <v>30422.61</v>
      </c>
    </row>
    <row r="3121" spans="1:29" ht="14.4" hidden="1" x14ac:dyDescent="0.25">
      <c r="A3121" s="34"/>
      <c r="B3121" s="34"/>
      <c r="C3121" s="34" t="s">
        <v>45</v>
      </c>
      <c r="D3121" s="35" t="s">
        <v>46</v>
      </c>
      <c r="E3121" s="36">
        <f>[1]Source!AQ3023</f>
        <v>1.26</v>
      </c>
      <c r="F3121" s="37"/>
      <c r="G3121" s="38" t="s">
        <v>37</v>
      </c>
      <c r="H3121" s="36">
        <f>[1]Source!AV3024</f>
        <v>1.0669999999999999</v>
      </c>
      <c r="I3121" s="37">
        <f>[1]Source!U3023</f>
        <v>64.935485999999983</v>
      </c>
      <c r="J3121" s="36"/>
      <c r="K3121" s="37"/>
    </row>
    <row r="3122" spans="1:29" ht="13.8" hidden="1" x14ac:dyDescent="0.25">
      <c r="C3122" s="39" t="s">
        <v>47</v>
      </c>
      <c r="H3122" s="40">
        <f>I3115+I3116+I3118+I3119+I3120+0-0-0</f>
        <v>4078.7400000000002</v>
      </c>
      <c r="I3122" s="40"/>
      <c r="J3122" s="40">
        <f>K3115+K3116+K3118+K3119+K3120+0-0-0</f>
        <v>149409.75</v>
      </c>
      <c r="K3122" s="40"/>
    </row>
    <row r="3123" spans="1:29" ht="13.8" hidden="1" x14ac:dyDescent="0.25">
      <c r="C3123" s="39" t="s">
        <v>48</v>
      </c>
      <c r="H3123" s="41">
        <f>0+0</f>
        <v>0</v>
      </c>
      <c r="I3123" s="41"/>
      <c r="J3123" s="41">
        <f>0+0</f>
        <v>0</v>
      </c>
      <c r="K3123" s="41"/>
    </row>
    <row r="3124" spans="1:29" ht="13.8" hidden="1" x14ac:dyDescent="0.25">
      <c r="C3124" s="39" t="s">
        <v>49</v>
      </c>
      <c r="H3124" s="41">
        <f>I3115+I3116+I3118+I3119+I3120+0</f>
        <v>4078.7400000000002</v>
      </c>
      <c r="I3124" s="41"/>
      <c r="J3124" s="41">
        <f>K3115+K3116+K3118+K3119+K3120+0</f>
        <v>149409.75</v>
      </c>
      <c r="K3124" s="41"/>
      <c r="O3124" s="42">
        <f>I3115+I3116+I3118+I3119+I3120+0</f>
        <v>4078.7400000000002</v>
      </c>
      <c r="P3124" s="42">
        <f>K3115+K3116+K3118+K3119+K3120+0</f>
        <v>149409.75</v>
      </c>
    </row>
    <row r="3125" spans="1:29" hidden="1" x14ac:dyDescent="0.25"/>
    <row r="3126" spans="1:29" ht="40.799999999999997" x14ac:dyDescent="0.25">
      <c r="A3126" s="46">
        <v>330</v>
      </c>
      <c r="B3126" s="46" t="str">
        <f>[1]Source!F3025</f>
        <v>КА 203</v>
      </c>
      <c r="C3126" s="46" t="s">
        <v>602</v>
      </c>
      <c r="D3126" s="47" t="str">
        <f>[1]Source!H3025</f>
        <v>ШТ</v>
      </c>
      <c r="E3126" s="48">
        <f>[1]Source!I3025</f>
        <v>35</v>
      </c>
      <c r="F3126" s="37">
        <f>[1]Source!AL3025</f>
        <v>612.6</v>
      </c>
      <c r="G3126" s="38"/>
      <c r="H3126" s="36">
        <f>[1]Source!AW3026</f>
        <v>1</v>
      </c>
      <c r="I3126" s="37">
        <f>[1]Source!P3025</f>
        <v>21441</v>
      </c>
      <c r="J3126" s="36">
        <f>IF([1]Source!BC3026&lt;&gt; 0, [1]Source!BC3026, 1)</f>
        <v>9.84</v>
      </c>
      <c r="K3126" s="49">
        <f>[1]Source!P3026</f>
        <v>210979.44</v>
      </c>
      <c r="L3126">
        <v>7210</v>
      </c>
      <c r="M3126" s="50">
        <f>L3126*E3126</f>
        <v>252350</v>
      </c>
      <c r="N3126" s="59" t="s">
        <v>180</v>
      </c>
      <c r="Q3126">
        <f>[1]Source!X3025</f>
        <v>0</v>
      </c>
      <c r="R3126">
        <f>[1]Source!X3026</f>
        <v>0</v>
      </c>
      <c r="S3126">
        <f>[1]Source!Y3025</f>
        <v>0</v>
      </c>
      <c r="T3126">
        <f>[1]Source!Y3026</f>
        <v>0</v>
      </c>
      <c r="U3126">
        <f>ROUND((175/100)*ROUND([1]Source!R3025, 2), 2)</f>
        <v>0</v>
      </c>
      <c r="V3126">
        <f>ROUND((0/100)*ROUND([1]Source!R3026, 2), 2)</f>
        <v>0</v>
      </c>
      <c r="AC3126">
        <v>3</v>
      </c>
    </row>
    <row r="3127" spans="1:29" ht="13.8" hidden="1" x14ac:dyDescent="0.25">
      <c r="C3127" s="39" t="s">
        <v>49</v>
      </c>
      <c r="H3127" s="40">
        <f>I3126+0</f>
        <v>21441</v>
      </c>
      <c r="I3127" s="40"/>
      <c r="J3127" s="40">
        <f>K3126+0</f>
        <v>210979.44</v>
      </c>
      <c r="K3127" s="40"/>
      <c r="O3127" s="42">
        <f>I3126+0</f>
        <v>21441</v>
      </c>
      <c r="P3127" s="42">
        <f>K3126+0</f>
        <v>210979.44</v>
      </c>
    </row>
    <row r="3128" spans="1:29" hidden="1" x14ac:dyDescent="0.25"/>
    <row r="3129" spans="1:29" hidden="1" x14ac:dyDescent="0.25"/>
    <row r="3130" spans="1:29" ht="13.8" hidden="1" x14ac:dyDescent="0.25">
      <c r="A3130" s="44" t="str">
        <f>CONCATENATE("Итого по разделу: ",IF([1]Source!G3028&lt;&gt;"Новый раздел", [1]Source!G3028, ""))</f>
        <v>Итого по разделу: Лючки ревизионные</v>
      </c>
      <c r="B3130" s="44"/>
      <c r="C3130" s="44"/>
      <c r="D3130" s="44"/>
      <c r="E3130" s="44"/>
      <c r="F3130" s="44"/>
      <c r="G3130" s="44"/>
      <c r="H3130" s="41">
        <f>SUM(O3113:O3129)</f>
        <v>25519.74</v>
      </c>
      <c r="I3130" s="45"/>
      <c r="J3130" s="41">
        <f>SUM(P3113:P3129)</f>
        <v>360389.19</v>
      </c>
      <c r="K3130" s="45"/>
    </row>
    <row r="3131" spans="1:29" hidden="1" x14ac:dyDescent="0.25">
      <c r="A3131" t="s">
        <v>55</v>
      </c>
      <c r="I3131">
        <f>SUM(W3113:W3130)</f>
        <v>0</v>
      </c>
      <c r="J3131">
        <f>SUM(X3113:X3130)</f>
        <v>0</v>
      </c>
    </row>
    <row r="3132" spans="1:29" hidden="1" x14ac:dyDescent="0.25">
      <c r="A3132" t="s">
        <v>56</v>
      </c>
      <c r="I3132">
        <f>SUM(Y3113:Y3131)</f>
        <v>0</v>
      </c>
      <c r="J3132">
        <f>SUM(Z3113:Z3131)</f>
        <v>0</v>
      </c>
    </row>
    <row r="3133" spans="1:29" hidden="1" x14ac:dyDescent="0.25"/>
    <row r="3134" spans="1:29" ht="16.8" hidden="1" x14ac:dyDescent="0.25">
      <c r="A3134" s="11" t="str">
        <f>CONCATENATE("Раздел: ",IF([1]Source!G3058&lt;&gt;"Новый раздел", [1]Source!G3058, ""))</f>
        <v>Раздел: Подоконник ПД-4</v>
      </c>
      <c r="B3134" s="11"/>
      <c r="C3134" s="11"/>
      <c r="D3134" s="11"/>
      <c r="E3134" s="11"/>
      <c r="F3134" s="11"/>
      <c r="G3134" s="11"/>
      <c r="H3134" s="11"/>
      <c r="I3134" s="11"/>
      <c r="J3134" s="11"/>
      <c r="K3134" s="11"/>
    </row>
    <row r="3135" spans="1:29" ht="41.4" hidden="1" x14ac:dyDescent="0.25">
      <c r="A3135" s="27">
        <v>331</v>
      </c>
      <c r="B3135" s="27" t="str">
        <f>[1]Source!F3062</f>
        <v>3.10-85-1</v>
      </c>
      <c r="C3135" s="27" t="s">
        <v>603</v>
      </c>
      <c r="D3135" s="28" t="str">
        <f>[1]Source!H3062</f>
        <v>100 м</v>
      </c>
      <c r="E3135" s="29">
        <f>[1]Source!I3062</f>
        <v>2.3919999999999999</v>
      </c>
      <c r="F3135" s="30"/>
      <c r="G3135" s="31"/>
      <c r="H3135" s="29"/>
      <c r="I3135" s="30"/>
      <c r="J3135" s="29"/>
      <c r="K3135" s="30"/>
      <c r="Q3135">
        <f>[1]Source!X3062</f>
        <v>1615.62</v>
      </c>
      <c r="R3135">
        <f>[1]Source!X3063</f>
        <v>91040.320000000007</v>
      </c>
      <c r="S3135">
        <f>[1]Source!Y3062</f>
        <v>782.83</v>
      </c>
      <c r="T3135">
        <f>[1]Source!Y3063</f>
        <v>44112.32</v>
      </c>
      <c r="U3135">
        <f>ROUND((175/100)*ROUND([1]Source!R3062, 2), 2)</f>
        <v>20.7</v>
      </c>
      <c r="V3135">
        <f>ROUND((0/100)*ROUND([1]Source!R3063, 2), 2)</f>
        <v>0</v>
      </c>
      <c r="AC3135">
        <v>0</v>
      </c>
    </row>
    <row r="3136" spans="1:29" hidden="1" x14ac:dyDescent="0.25">
      <c r="C3136" s="32" t="str">
        <f>"Объем: "&amp;[1]Source!I3062&amp;"=239,2/"&amp;"100"</f>
        <v>Объем: 2,392=239,2/100</v>
      </c>
    </row>
    <row r="3137" spans="1:29" ht="14.4" hidden="1" x14ac:dyDescent="0.25">
      <c r="A3137" s="27"/>
      <c r="B3137" s="27"/>
      <c r="C3137" s="27" t="s">
        <v>36</v>
      </c>
      <c r="D3137" s="28"/>
      <c r="E3137" s="29"/>
      <c r="F3137" s="30">
        <f>[1]Source!AO3062</f>
        <v>687.85</v>
      </c>
      <c r="G3137" s="31" t="s">
        <v>60</v>
      </c>
      <c r="H3137" s="29">
        <f>[1]Source!AV3063</f>
        <v>1.0469999999999999</v>
      </c>
      <c r="I3137" s="30">
        <f>[1]Source!S3062</f>
        <v>1653.76</v>
      </c>
      <c r="J3137" s="29">
        <f>IF([1]Source!BA3063&lt;&gt; 0, [1]Source!BA3063, 1)</f>
        <v>56.35</v>
      </c>
      <c r="K3137" s="30">
        <f>[1]Source!S3063</f>
        <v>93189.38</v>
      </c>
    </row>
    <row r="3138" spans="1:29" ht="14.4" hidden="1" x14ac:dyDescent="0.25">
      <c r="A3138" s="27"/>
      <c r="B3138" s="27"/>
      <c r="C3138" s="27" t="s">
        <v>38</v>
      </c>
      <c r="D3138" s="28"/>
      <c r="E3138" s="29"/>
      <c r="F3138" s="30">
        <f>[1]Source!AM3062</f>
        <v>37.76</v>
      </c>
      <c r="G3138" s="31" t="s">
        <v>60</v>
      </c>
      <c r="H3138" s="29">
        <f>[1]Source!AV3063</f>
        <v>1.0469999999999999</v>
      </c>
      <c r="I3138" s="30">
        <f>[1]Source!Q3062</f>
        <v>90.78</v>
      </c>
      <c r="J3138" s="29">
        <f>IF([1]Source!BB3063&lt;&gt; 0, [1]Source!BB3063, 1)</f>
        <v>16.04</v>
      </c>
      <c r="K3138" s="30">
        <f>[1]Source!Q3063</f>
        <v>1456.11</v>
      </c>
    </row>
    <row r="3139" spans="1:29" ht="14.4" hidden="1" x14ac:dyDescent="0.25">
      <c r="A3139" s="27"/>
      <c r="B3139" s="27"/>
      <c r="C3139" s="27" t="s">
        <v>40</v>
      </c>
      <c r="D3139" s="28"/>
      <c r="E3139" s="29"/>
      <c r="F3139" s="30">
        <f>[1]Source!AN3062</f>
        <v>4.92</v>
      </c>
      <c r="G3139" s="31" t="s">
        <v>60</v>
      </c>
      <c r="H3139" s="29">
        <f>[1]Source!AV3063</f>
        <v>1.0469999999999999</v>
      </c>
      <c r="I3139" s="33">
        <f>[1]Source!R3062</f>
        <v>11.83</v>
      </c>
      <c r="J3139" s="29">
        <f>IF([1]Source!BS3063&lt;&gt; 0, [1]Source!BS3063, 1)</f>
        <v>56.35</v>
      </c>
      <c r="K3139" s="33">
        <f>[1]Source!R3063</f>
        <v>666.62</v>
      </c>
    </row>
    <row r="3140" spans="1:29" ht="14.4" hidden="1" x14ac:dyDescent="0.25">
      <c r="A3140" s="27"/>
      <c r="B3140" s="27"/>
      <c r="C3140" s="27" t="s">
        <v>42</v>
      </c>
      <c r="D3140" s="28" t="s">
        <v>43</v>
      </c>
      <c r="E3140" s="29">
        <f>[1]Source!BZ3063</f>
        <v>97</v>
      </c>
      <c r="F3140" s="30"/>
      <c r="G3140" s="31"/>
      <c r="H3140" s="29"/>
      <c r="I3140" s="30">
        <f>SUM(Q3135:Q3139)</f>
        <v>1615.62</v>
      </c>
      <c r="J3140" s="29">
        <f>[1]Source!AT3063</f>
        <v>97</v>
      </c>
      <c r="K3140" s="30">
        <f>SUM(R3135:R3139)</f>
        <v>91040.320000000007</v>
      </c>
    </row>
    <row r="3141" spans="1:29" ht="14.4" hidden="1" x14ac:dyDescent="0.25">
      <c r="A3141" s="27"/>
      <c r="B3141" s="27"/>
      <c r="C3141" s="27" t="s">
        <v>44</v>
      </c>
      <c r="D3141" s="28" t="s">
        <v>43</v>
      </c>
      <c r="E3141" s="29">
        <f>[1]Source!CA3063</f>
        <v>47</v>
      </c>
      <c r="F3141" s="30"/>
      <c r="G3141" s="31"/>
      <c r="H3141" s="29"/>
      <c r="I3141" s="30">
        <f>SUM(S3135:S3140)</f>
        <v>782.83</v>
      </c>
      <c r="J3141" s="29">
        <f>[1]Source!AU3063</f>
        <v>47</v>
      </c>
      <c r="K3141" s="30">
        <f>SUM(T3135:T3140)</f>
        <v>44112.32</v>
      </c>
    </row>
    <row r="3142" spans="1:29" ht="14.4" hidden="1" x14ac:dyDescent="0.25">
      <c r="A3142" s="34"/>
      <c r="B3142" s="34"/>
      <c r="C3142" s="34" t="s">
        <v>45</v>
      </c>
      <c r="D3142" s="35" t="s">
        <v>46</v>
      </c>
      <c r="E3142" s="36">
        <f>[1]Source!AQ3062</f>
        <v>54.82</v>
      </c>
      <c r="F3142" s="37"/>
      <c r="G3142" s="38" t="s">
        <v>60</v>
      </c>
      <c r="H3142" s="36">
        <f>[1]Source!AV3063</f>
        <v>1.0469999999999999</v>
      </c>
      <c r="I3142" s="37">
        <f>[1]Source!U3062</f>
        <v>131.80082273279999</v>
      </c>
      <c r="J3142" s="36"/>
      <c r="K3142" s="37"/>
    </row>
    <row r="3143" spans="1:29" ht="13.8" hidden="1" x14ac:dyDescent="0.25">
      <c r="C3143" s="39" t="s">
        <v>47</v>
      </c>
      <c r="H3143" s="40">
        <f>I3137+I3138+I3140+I3141+0-0-0</f>
        <v>4142.99</v>
      </c>
      <c r="I3143" s="40"/>
      <c r="J3143" s="40">
        <f>K3137+K3138+K3140+K3141+0-0-0</f>
        <v>229798.13</v>
      </c>
      <c r="K3143" s="40"/>
    </row>
    <row r="3144" spans="1:29" ht="13.8" hidden="1" x14ac:dyDescent="0.25">
      <c r="C3144" s="39" t="s">
        <v>48</v>
      </c>
      <c r="H3144" s="41">
        <f>0+0</f>
        <v>0</v>
      </c>
      <c r="I3144" s="41"/>
      <c r="J3144" s="41">
        <f>0+0</f>
        <v>0</v>
      </c>
      <c r="K3144" s="41"/>
    </row>
    <row r="3145" spans="1:29" ht="13.8" hidden="1" x14ac:dyDescent="0.25">
      <c r="C3145" s="39" t="s">
        <v>49</v>
      </c>
      <c r="H3145" s="41">
        <f>I3137+I3138+I3140+I3141+0</f>
        <v>4142.99</v>
      </c>
      <c r="I3145" s="41"/>
      <c r="J3145" s="41">
        <f>K3137+K3138+K3140+K3141+0</f>
        <v>229798.13</v>
      </c>
      <c r="K3145" s="41"/>
      <c r="O3145" s="42">
        <f>I3137+I3138+I3140+I3141+0</f>
        <v>4142.99</v>
      </c>
      <c r="P3145" s="42">
        <f>K3137+K3138+K3140+K3141+0</f>
        <v>229798.13</v>
      </c>
    </row>
    <row r="3146" spans="1:29" hidden="1" x14ac:dyDescent="0.25"/>
    <row r="3147" spans="1:29" ht="100.8" hidden="1" x14ac:dyDescent="0.25">
      <c r="A3147" s="27">
        <v>332</v>
      </c>
      <c r="B3147" s="27" t="str">
        <f>[1]Source!F3064</f>
        <v>3.70-220-2</v>
      </c>
      <c r="C3147" s="27" t="s">
        <v>604</v>
      </c>
      <c r="D3147" s="28" t="str">
        <f>[1]Source!H3064</f>
        <v>100 м2 поверхности облицовки</v>
      </c>
      <c r="E3147" s="29">
        <f>[1]Source!I3064</f>
        <v>0.26</v>
      </c>
      <c r="F3147" s="30"/>
      <c r="G3147" s="31"/>
      <c r="H3147" s="29"/>
      <c r="I3147" s="30"/>
      <c r="J3147" s="29"/>
      <c r="K3147" s="30"/>
      <c r="Q3147">
        <f>[1]Source!X3064</f>
        <v>2383.73</v>
      </c>
      <c r="R3147">
        <f>[1]Source!X3065</f>
        <v>134323.24</v>
      </c>
      <c r="S3147">
        <f>[1]Source!Y3064</f>
        <v>1112.4100000000001</v>
      </c>
      <c r="T3147">
        <f>[1]Source!Y3065</f>
        <v>62684.18</v>
      </c>
      <c r="U3147">
        <f>ROUND((175/100)*ROUND([1]Source!R3064, 2), 2)</f>
        <v>3.97</v>
      </c>
      <c r="V3147">
        <f>ROUND((0/100)*ROUND([1]Source!R3065, 2), 2)</f>
        <v>0</v>
      </c>
      <c r="AC3147">
        <v>0</v>
      </c>
    </row>
    <row r="3148" spans="1:29" hidden="1" x14ac:dyDescent="0.25">
      <c r="C3148" s="32" t="str">
        <f>"Объем: "&amp;[1]Source!I3064&amp;"=(7+"&amp;"8+"&amp;"11)/"&amp;"100"</f>
        <v>Объем: 0,26=(7+8+11)/100</v>
      </c>
    </row>
    <row r="3149" spans="1:29" ht="14.4" hidden="1" x14ac:dyDescent="0.25">
      <c r="A3149" s="27"/>
      <c r="B3149" s="27"/>
      <c r="C3149" s="27" t="s">
        <v>36</v>
      </c>
      <c r="D3149" s="28"/>
      <c r="E3149" s="29"/>
      <c r="F3149" s="30">
        <f>[1]Source!AO3064</f>
        <v>7044.38</v>
      </c>
      <c r="G3149" s="31" t="s">
        <v>37</v>
      </c>
      <c r="H3149" s="29">
        <f>[1]Source!AV3065</f>
        <v>1.0469999999999999</v>
      </c>
      <c r="I3149" s="30">
        <f>[1]Source!S3064</f>
        <v>2646.32</v>
      </c>
      <c r="J3149" s="29">
        <f>IF([1]Source!BA3065&lt;&gt; 0, [1]Source!BA3065, 1)</f>
        <v>56.35</v>
      </c>
      <c r="K3149" s="30">
        <f>[1]Source!S3065</f>
        <v>149120.13</v>
      </c>
    </row>
    <row r="3150" spans="1:29" ht="14.4" hidden="1" x14ac:dyDescent="0.25">
      <c r="A3150" s="27"/>
      <c r="B3150" s="27"/>
      <c r="C3150" s="27" t="s">
        <v>38</v>
      </c>
      <c r="D3150" s="28"/>
      <c r="E3150" s="29"/>
      <c r="F3150" s="30">
        <f>[1]Source!AM3064</f>
        <v>52.39</v>
      </c>
      <c r="G3150" s="31" t="s">
        <v>39</v>
      </c>
      <c r="H3150" s="29">
        <f>[1]Source!AV3065</f>
        <v>1.0469999999999999</v>
      </c>
      <c r="I3150" s="30">
        <f>[1]Source!Q3064</f>
        <v>21.39</v>
      </c>
      <c r="J3150" s="29">
        <f>IF([1]Source!BB3065&lt;&gt; 0, [1]Source!BB3065, 1)</f>
        <v>15.93</v>
      </c>
      <c r="K3150" s="30">
        <f>[1]Source!Q3065</f>
        <v>340.74</v>
      </c>
    </row>
    <row r="3151" spans="1:29" ht="14.4" hidden="1" x14ac:dyDescent="0.25">
      <c r="A3151" s="27"/>
      <c r="B3151" s="27"/>
      <c r="C3151" s="27" t="s">
        <v>40</v>
      </c>
      <c r="D3151" s="28"/>
      <c r="E3151" s="29"/>
      <c r="F3151" s="30">
        <f>[1]Source!AN3064</f>
        <v>5.55</v>
      </c>
      <c r="G3151" s="31" t="s">
        <v>39</v>
      </c>
      <c r="H3151" s="29">
        <f>[1]Source!AV3065</f>
        <v>1.0469999999999999</v>
      </c>
      <c r="I3151" s="33">
        <f>[1]Source!R3064</f>
        <v>2.27</v>
      </c>
      <c r="J3151" s="29">
        <f>IF([1]Source!BS3065&lt;&gt; 0, [1]Source!BS3065, 1)</f>
        <v>56.35</v>
      </c>
      <c r="K3151" s="33">
        <f>[1]Source!R3065</f>
        <v>127.91</v>
      </c>
    </row>
    <row r="3152" spans="1:29" ht="14.4" hidden="1" x14ac:dyDescent="0.25">
      <c r="A3152" s="27"/>
      <c r="B3152" s="27"/>
      <c r="C3152" s="27" t="s">
        <v>41</v>
      </c>
      <c r="D3152" s="28"/>
      <c r="E3152" s="29"/>
      <c r="F3152" s="30">
        <f>[1]Source!AL3064</f>
        <v>1400.58</v>
      </c>
      <c r="G3152" s="31"/>
      <c r="H3152" s="29">
        <f>[1]Source!AW3065</f>
        <v>1.0029999999999999</v>
      </c>
      <c r="I3152" s="30">
        <f>[1]Source!P3064</f>
        <v>365.24</v>
      </c>
      <c r="J3152" s="29">
        <f>IF([1]Source!BC3065&lt;&gt; 0, [1]Source!BC3065, 1)</f>
        <v>10.61</v>
      </c>
      <c r="K3152" s="30">
        <f>[1]Source!P3065</f>
        <v>3875.2</v>
      </c>
    </row>
    <row r="3153" spans="1:29" ht="55.2" hidden="1" x14ac:dyDescent="0.25">
      <c r="A3153" s="27" t="s">
        <v>605</v>
      </c>
      <c r="B3153" s="27" t="str">
        <f>[1]Source!F3066</f>
        <v>1.1-1-3228</v>
      </c>
      <c r="C3153" s="27" t="s">
        <v>606</v>
      </c>
      <c r="D3153" s="28" t="str">
        <f>[1]Source!H3066</f>
        <v>м2</v>
      </c>
      <c r="E3153" s="29">
        <f>[1]Source!I3066</f>
        <v>26</v>
      </c>
      <c r="F3153" s="30">
        <f>[1]Source!AK3066</f>
        <v>198.69</v>
      </c>
      <c r="G3153" s="43" t="s">
        <v>54</v>
      </c>
      <c r="H3153" s="29">
        <f>[1]Source!AW3067</f>
        <v>1.0029999999999999</v>
      </c>
      <c r="I3153" s="30">
        <f>[1]Source!O3066</f>
        <v>5181.4399999999996</v>
      </c>
      <c r="J3153" s="29">
        <f>IF([1]Source!BC3067&lt;&gt; 0, [1]Source!BC3067, 1)</f>
        <v>7.06</v>
      </c>
      <c r="K3153" s="30">
        <f>[1]Source!O3067</f>
        <v>36580.97</v>
      </c>
      <c r="Q3153">
        <f>[1]Source!X3066</f>
        <v>0</v>
      </c>
      <c r="R3153">
        <f>[1]Source!X3067</f>
        <v>0</v>
      </c>
      <c r="S3153">
        <f>[1]Source!Y3066</f>
        <v>0</v>
      </c>
      <c r="T3153">
        <f>[1]Source!Y3067</f>
        <v>0</v>
      </c>
      <c r="U3153">
        <f>ROUND((175/100)*ROUND([1]Source!R3066, 2), 2)</f>
        <v>0</v>
      </c>
      <c r="V3153">
        <f>ROUND((0/100)*ROUND([1]Source!R3067, 2), 2)</f>
        <v>0</v>
      </c>
      <c r="AC3153">
        <v>3</v>
      </c>
    </row>
    <row r="3154" spans="1:29" ht="14.4" hidden="1" x14ac:dyDescent="0.25">
      <c r="A3154" s="27"/>
      <c r="B3154" s="27"/>
      <c r="C3154" s="27" t="s">
        <v>42</v>
      </c>
      <c r="D3154" s="28" t="s">
        <v>43</v>
      </c>
      <c r="E3154" s="29">
        <f>[1]Source!BZ3065</f>
        <v>90</v>
      </c>
      <c r="F3154" s="30"/>
      <c r="G3154" s="31"/>
      <c r="H3154" s="29"/>
      <c r="I3154" s="30">
        <f>SUM(Q3147:Q3153)</f>
        <v>2383.73</v>
      </c>
      <c r="J3154" s="29">
        <f>[1]Source!AT3065</f>
        <v>90</v>
      </c>
      <c r="K3154" s="30">
        <f>SUM(R3147:R3153)</f>
        <v>134323.24</v>
      </c>
    </row>
    <row r="3155" spans="1:29" ht="14.4" hidden="1" x14ac:dyDescent="0.25">
      <c r="A3155" s="27"/>
      <c r="B3155" s="27"/>
      <c r="C3155" s="27" t="s">
        <v>44</v>
      </c>
      <c r="D3155" s="28" t="s">
        <v>43</v>
      </c>
      <c r="E3155" s="29">
        <f>[1]Source!CA3065</f>
        <v>42</v>
      </c>
      <c r="F3155" s="30"/>
      <c r="G3155" s="31"/>
      <c r="H3155" s="29"/>
      <c r="I3155" s="30">
        <f>SUM(S3147:S3154)</f>
        <v>1112.4100000000001</v>
      </c>
      <c r="J3155" s="29">
        <f>[1]Source!AU3065</f>
        <v>42</v>
      </c>
      <c r="K3155" s="30">
        <f>SUM(T3147:T3154)</f>
        <v>62684.18</v>
      </c>
    </row>
    <row r="3156" spans="1:29" ht="14.4" hidden="1" x14ac:dyDescent="0.25">
      <c r="A3156" s="34"/>
      <c r="B3156" s="34"/>
      <c r="C3156" s="34" t="s">
        <v>45</v>
      </c>
      <c r="D3156" s="35" t="s">
        <v>46</v>
      </c>
      <c r="E3156" s="36">
        <f>[1]Source!AQ3064</f>
        <v>350</v>
      </c>
      <c r="F3156" s="37"/>
      <c r="G3156" s="38" t="s">
        <v>37</v>
      </c>
      <c r="H3156" s="36">
        <f>[1]Source!AV3065</f>
        <v>1.0469999999999999</v>
      </c>
      <c r="I3156" s="37">
        <f>[1]Source!U3064</f>
        <v>131.48225999999997</v>
      </c>
      <c r="J3156" s="36"/>
      <c r="K3156" s="37"/>
    </row>
    <row r="3157" spans="1:29" ht="13.8" hidden="1" x14ac:dyDescent="0.25">
      <c r="C3157" s="39" t="s">
        <v>47</v>
      </c>
      <c r="H3157" s="40">
        <f>I3149+I3150+I3152+I3154+I3155+SUM(I3153:I3153)-SUMIF(AC3153:AC3153, 5, I3153:I3153)-SUMIF(AC3153:AC3153, 6, I3153:I3153)</f>
        <v>11710.529999999999</v>
      </c>
      <c r="I3157" s="40"/>
      <c r="J3157" s="40">
        <f>K3149+K3150+K3152+K3154+K3155+SUM(K3153:K3153)-SUMIF(AC3153:AC3153, 5, K3153:K3153)-SUMIF(AC3153:AC3153, 6, K3153:K3153)</f>
        <v>386924.45999999996</v>
      </c>
      <c r="K3157" s="40"/>
    </row>
    <row r="3158" spans="1:29" ht="13.8" hidden="1" x14ac:dyDescent="0.25">
      <c r="C3158" s="39" t="s">
        <v>48</v>
      </c>
      <c r="H3158" s="41">
        <f>SUMIF(AC3153:AC3153, 5, I3153:I3153)+SUMIF(AC3153:AC3153, 6, I3153:I3153)</f>
        <v>0</v>
      </c>
      <c r="I3158" s="41"/>
      <c r="J3158" s="41">
        <f>SUMIF(AC3153:AC3153, 5, K3153:K3153)+SUMIF(AC3153:AC3153, 6, K3153:K3153)</f>
        <v>0</v>
      </c>
      <c r="K3158" s="41"/>
    </row>
    <row r="3159" spans="1:29" ht="13.8" hidden="1" x14ac:dyDescent="0.25">
      <c r="C3159" s="39" t="s">
        <v>49</v>
      </c>
      <c r="H3159" s="41">
        <f>I3149+I3150+I3152+I3154+I3155+SUM(I3153:I3153)</f>
        <v>11710.529999999999</v>
      </c>
      <c r="I3159" s="41"/>
      <c r="J3159" s="41">
        <f>K3149+K3150+K3152+K3154+K3155+SUM(K3153:K3153)</f>
        <v>386924.45999999996</v>
      </c>
      <c r="K3159" s="41"/>
      <c r="O3159" s="42">
        <f>I3149+I3150+I3152+I3154+I3155+SUM(I3153:I3153)</f>
        <v>11710.529999999999</v>
      </c>
      <c r="P3159" s="42">
        <f>K3149+K3150+K3152+K3154+K3155+SUM(K3153:K3153)</f>
        <v>386924.45999999996</v>
      </c>
    </row>
    <row r="3160" spans="1:29" hidden="1" x14ac:dyDescent="0.25"/>
    <row r="3161" spans="1:29" ht="41.4" hidden="1" x14ac:dyDescent="0.25">
      <c r="A3161" s="27">
        <v>333</v>
      </c>
      <c r="B3161" s="27" t="str">
        <f>[1]Source!F3068</f>
        <v>3.70-114-1</v>
      </c>
      <c r="C3161" s="27" t="s">
        <v>607</v>
      </c>
      <c r="D3161" s="28" t="str">
        <f>[1]Source!H3068</f>
        <v>100 м</v>
      </c>
      <c r="E3161" s="29">
        <f>[1]Source!I3068</f>
        <v>1.7727272730000001</v>
      </c>
      <c r="F3161" s="30"/>
      <c r="G3161" s="31"/>
      <c r="H3161" s="29"/>
      <c r="I3161" s="30"/>
      <c r="J3161" s="29"/>
      <c r="K3161" s="30"/>
      <c r="Q3161">
        <f>[1]Source!X3068</f>
        <v>2303.3000000000002</v>
      </c>
      <c r="R3161">
        <f>[1]Source!X3069</f>
        <v>129791.17</v>
      </c>
      <c r="S3161">
        <f>[1]Source!Y3068</f>
        <v>1116.03</v>
      </c>
      <c r="T3161">
        <f>[1]Source!Y3069</f>
        <v>62888.51</v>
      </c>
      <c r="U3161">
        <f>ROUND((175/100)*ROUND([1]Source!R3068, 2), 2)</f>
        <v>23.98</v>
      </c>
      <c r="V3161">
        <f>ROUND((0/100)*ROUND([1]Source!R3069, 2), 2)</f>
        <v>0</v>
      </c>
      <c r="AC3161">
        <v>0</v>
      </c>
    </row>
    <row r="3162" spans="1:29" hidden="1" x14ac:dyDescent="0.25">
      <c r="C3162" s="32" t="str">
        <f>"Объем: "&amp;[1]Source!I3068&amp;"=(117/"&amp;"0,66)/"&amp;"100"</f>
        <v>Объем: 1,772727273=(117/0,66)/100</v>
      </c>
    </row>
    <row r="3163" spans="1:29" ht="14.4" hidden="1" x14ac:dyDescent="0.25">
      <c r="A3163" s="27"/>
      <c r="B3163" s="27"/>
      <c r="C3163" s="27" t="s">
        <v>36</v>
      </c>
      <c r="D3163" s="28"/>
      <c r="E3163" s="29"/>
      <c r="F3163" s="30">
        <f>[1]Source!AO3068</f>
        <v>921.72</v>
      </c>
      <c r="G3163" s="31" t="s">
        <v>37</v>
      </c>
      <c r="H3163" s="29">
        <f>[1]Source!AV3069</f>
        <v>1.0469999999999999</v>
      </c>
      <c r="I3163" s="30">
        <f>[1]Source!S3068</f>
        <v>2360.84</v>
      </c>
      <c r="J3163" s="29">
        <f>IF([1]Source!BA3069&lt;&gt; 0, [1]Source!BA3069, 1)</f>
        <v>56.35</v>
      </c>
      <c r="K3163" s="30">
        <f>[1]Source!S3069</f>
        <v>133033.32999999999</v>
      </c>
    </row>
    <row r="3164" spans="1:29" ht="14.4" hidden="1" x14ac:dyDescent="0.25">
      <c r="A3164" s="27"/>
      <c r="B3164" s="27"/>
      <c r="C3164" s="27" t="s">
        <v>38</v>
      </c>
      <c r="D3164" s="28"/>
      <c r="E3164" s="29"/>
      <c r="F3164" s="30">
        <f>[1]Source!AM3068</f>
        <v>37.76</v>
      </c>
      <c r="G3164" s="31" t="s">
        <v>39</v>
      </c>
      <c r="H3164" s="29">
        <f>[1]Source!AV3069</f>
        <v>1.0469999999999999</v>
      </c>
      <c r="I3164" s="30">
        <f>[1]Source!Q3068</f>
        <v>105.13</v>
      </c>
      <c r="J3164" s="29">
        <f>IF([1]Source!BB3069&lt;&gt; 0, [1]Source!BB3069, 1)</f>
        <v>16.04</v>
      </c>
      <c r="K3164" s="30">
        <f>[1]Source!Q3069</f>
        <v>1686.29</v>
      </c>
    </row>
    <row r="3165" spans="1:29" ht="14.4" hidden="1" x14ac:dyDescent="0.25">
      <c r="A3165" s="27"/>
      <c r="B3165" s="27"/>
      <c r="C3165" s="27" t="s">
        <v>40</v>
      </c>
      <c r="D3165" s="28"/>
      <c r="E3165" s="29"/>
      <c r="F3165" s="30">
        <f>[1]Source!AN3068</f>
        <v>4.92</v>
      </c>
      <c r="G3165" s="31" t="s">
        <v>39</v>
      </c>
      <c r="H3165" s="29">
        <f>[1]Source!AV3069</f>
        <v>1.0469999999999999</v>
      </c>
      <c r="I3165" s="33">
        <f>[1]Source!R3068</f>
        <v>13.7</v>
      </c>
      <c r="J3165" s="29">
        <f>IF([1]Source!BS3069&lt;&gt; 0, [1]Source!BS3069, 1)</f>
        <v>56.35</v>
      </c>
      <c r="K3165" s="33">
        <f>[1]Source!R3069</f>
        <v>772</v>
      </c>
    </row>
    <row r="3166" spans="1:29" ht="14.4" hidden="1" x14ac:dyDescent="0.25">
      <c r="A3166" s="27"/>
      <c r="B3166" s="27"/>
      <c r="C3166" s="27" t="s">
        <v>41</v>
      </c>
      <c r="D3166" s="28"/>
      <c r="E3166" s="29"/>
      <c r="F3166" s="30">
        <f>[1]Source!AL3068</f>
        <v>748.3</v>
      </c>
      <c r="G3166" s="31"/>
      <c r="H3166" s="29">
        <f>[1]Source!AW3069</f>
        <v>1</v>
      </c>
      <c r="I3166" s="30">
        <f>[1]Source!P3068</f>
        <v>1326.53</v>
      </c>
      <c r="J3166" s="29">
        <f>IF([1]Source!BC3069&lt;&gt; 0, [1]Source!BC3069, 1)</f>
        <v>5.76</v>
      </c>
      <c r="K3166" s="30">
        <f>[1]Source!P3069</f>
        <v>7640.81</v>
      </c>
    </row>
    <row r="3167" spans="1:29" ht="14.4" hidden="1" x14ac:dyDescent="0.25">
      <c r="A3167" s="27"/>
      <c r="B3167" s="27"/>
      <c r="C3167" s="27" t="s">
        <v>42</v>
      </c>
      <c r="D3167" s="28" t="s">
        <v>43</v>
      </c>
      <c r="E3167" s="29">
        <f>[1]Source!BZ3069</f>
        <v>97</v>
      </c>
      <c r="F3167" s="30"/>
      <c r="G3167" s="31"/>
      <c r="H3167" s="29"/>
      <c r="I3167" s="30">
        <f>SUM(Q3161:Q3166)</f>
        <v>2303.3000000000002</v>
      </c>
      <c r="J3167" s="29">
        <f>[1]Source!AT3069</f>
        <v>97</v>
      </c>
      <c r="K3167" s="30">
        <f>SUM(R3161:R3166)</f>
        <v>129791.17</v>
      </c>
    </row>
    <row r="3168" spans="1:29" ht="14.4" hidden="1" x14ac:dyDescent="0.25">
      <c r="A3168" s="27"/>
      <c r="B3168" s="27"/>
      <c r="C3168" s="27" t="s">
        <v>44</v>
      </c>
      <c r="D3168" s="28" t="s">
        <v>43</v>
      </c>
      <c r="E3168" s="29">
        <f>[1]Source!CA3069</f>
        <v>47</v>
      </c>
      <c r="F3168" s="30"/>
      <c r="G3168" s="31"/>
      <c r="H3168" s="29"/>
      <c r="I3168" s="30">
        <f>SUM(S3161:S3167)</f>
        <v>1116.03</v>
      </c>
      <c r="J3168" s="29">
        <f>[1]Source!AU3069</f>
        <v>47</v>
      </c>
      <c r="K3168" s="30">
        <f>SUM(T3161:T3167)</f>
        <v>62888.51</v>
      </c>
    </row>
    <row r="3169" spans="1:29" ht="14.4" hidden="1" x14ac:dyDescent="0.25">
      <c r="A3169" s="34"/>
      <c r="B3169" s="34"/>
      <c r="C3169" s="34" t="s">
        <v>45</v>
      </c>
      <c r="D3169" s="35" t="s">
        <v>46</v>
      </c>
      <c r="E3169" s="36">
        <f>[1]Source!AQ3068</f>
        <v>54.82</v>
      </c>
      <c r="F3169" s="37"/>
      <c r="G3169" s="38" t="s">
        <v>37</v>
      </c>
      <c r="H3169" s="36">
        <f>[1]Source!AV3069</f>
        <v>1.0469999999999999</v>
      </c>
      <c r="I3169" s="37">
        <f>[1]Source!U3068</f>
        <v>140.41280833069285</v>
      </c>
      <c r="J3169" s="36"/>
      <c r="K3169" s="37"/>
    </row>
    <row r="3170" spans="1:29" ht="13.8" hidden="1" x14ac:dyDescent="0.25">
      <c r="C3170" s="39" t="s">
        <v>47</v>
      </c>
      <c r="H3170" s="40">
        <f>I3163+I3164+I3166+I3167+I3168+0-0-0</f>
        <v>7211.83</v>
      </c>
      <c r="I3170" s="40"/>
      <c r="J3170" s="40">
        <f>K3163+K3164+K3166+K3167+K3168+0-0-0</f>
        <v>335040.11</v>
      </c>
      <c r="K3170" s="40"/>
    </row>
    <row r="3171" spans="1:29" ht="13.8" hidden="1" x14ac:dyDescent="0.25">
      <c r="C3171" s="39" t="s">
        <v>48</v>
      </c>
      <c r="H3171" s="41">
        <f>0+0</f>
        <v>0</v>
      </c>
      <c r="I3171" s="41"/>
      <c r="J3171" s="41">
        <f>0+0</f>
        <v>0</v>
      </c>
      <c r="K3171" s="41"/>
    </row>
    <row r="3172" spans="1:29" ht="13.8" hidden="1" x14ac:dyDescent="0.25">
      <c r="C3172" s="39" t="s">
        <v>49</v>
      </c>
      <c r="H3172" s="41">
        <f>I3163+I3164+I3166+I3167+I3168+0</f>
        <v>7211.83</v>
      </c>
      <c r="I3172" s="41"/>
      <c r="J3172" s="41">
        <f>K3163+K3164+K3166+K3167+K3168+0</f>
        <v>335040.11</v>
      </c>
      <c r="K3172" s="41"/>
      <c r="O3172" s="42">
        <f>I3163+I3164+I3166+I3167+I3168+0</f>
        <v>7211.83</v>
      </c>
      <c r="P3172" s="42">
        <f>K3163+K3164+K3166+K3167+K3168+0</f>
        <v>335040.11</v>
      </c>
    </row>
    <row r="3173" spans="1:29" hidden="1" x14ac:dyDescent="0.25"/>
    <row r="3174" spans="1:29" ht="164.4" x14ac:dyDescent="0.25">
      <c r="A3174" s="46">
        <v>334</v>
      </c>
      <c r="B3174" s="46" t="str">
        <f>[1]Source!F3070</f>
        <v>КА-204</v>
      </c>
      <c r="C3174" s="46" t="s">
        <v>608</v>
      </c>
      <c r="D3174" s="47" t="str">
        <f>[1]Source!H3070</f>
        <v>ПМ</v>
      </c>
      <c r="E3174" s="48">
        <f>[1]Source!I3070</f>
        <v>117</v>
      </c>
      <c r="F3174" s="37">
        <f>[1]Source!AL3070</f>
        <v>1019.59</v>
      </c>
      <c r="G3174" s="38"/>
      <c r="H3174" s="36">
        <f>[1]Source!AW3071</f>
        <v>1</v>
      </c>
      <c r="I3174" s="37">
        <f>[1]Source!P3070</f>
        <v>119292.03</v>
      </c>
      <c r="J3174" s="36">
        <f>IF([1]Source!BC3071&lt;&gt; 0, [1]Source!BC3071, 1)</f>
        <v>9.84</v>
      </c>
      <c r="K3174" s="49">
        <f>[1]Source!P3071</f>
        <v>1173833.58</v>
      </c>
      <c r="L3174">
        <v>12000</v>
      </c>
      <c r="M3174" s="50">
        <f>L3174*E3174</f>
        <v>1404000</v>
      </c>
      <c r="N3174" s="59" t="s">
        <v>180</v>
      </c>
      <c r="Q3174">
        <f>[1]Source!X3070</f>
        <v>0</v>
      </c>
      <c r="R3174">
        <f>[1]Source!X3071</f>
        <v>0</v>
      </c>
      <c r="S3174">
        <f>[1]Source!Y3070</f>
        <v>0</v>
      </c>
      <c r="T3174">
        <f>[1]Source!Y3071</f>
        <v>0</v>
      </c>
      <c r="U3174">
        <f>ROUND((175/100)*ROUND([1]Source!R3070, 2), 2)</f>
        <v>0</v>
      </c>
      <c r="V3174">
        <f>ROUND((0/100)*ROUND([1]Source!R3071, 2), 2)</f>
        <v>0</v>
      </c>
      <c r="AC3174">
        <v>3</v>
      </c>
    </row>
    <row r="3175" spans="1:29" ht="13.8" hidden="1" x14ac:dyDescent="0.25">
      <c r="C3175" s="39" t="s">
        <v>49</v>
      </c>
      <c r="H3175" s="40">
        <f>I3174+0</f>
        <v>119292.03</v>
      </c>
      <c r="I3175" s="40"/>
      <c r="J3175" s="40">
        <f>K3174+0</f>
        <v>1173833.58</v>
      </c>
      <c r="K3175" s="40"/>
      <c r="O3175" s="42">
        <f>I3174+0</f>
        <v>119292.03</v>
      </c>
      <c r="P3175" s="42">
        <f>K3174+0</f>
        <v>1173833.58</v>
      </c>
    </row>
    <row r="3176" spans="1:29" hidden="1" x14ac:dyDescent="0.25"/>
    <row r="3177" spans="1:29" ht="41.4" hidden="1" x14ac:dyDescent="0.25">
      <c r="A3177" s="27">
        <v>335</v>
      </c>
      <c r="B3177" s="27" t="str">
        <f>[1]Source!F3072</f>
        <v>6.70-224-2</v>
      </c>
      <c r="C3177" s="27" t="s">
        <v>609</v>
      </c>
      <c r="D3177" s="28" t="str">
        <f>[1]Source!H3072</f>
        <v>1 м2</v>
      </c>
      <c r="E3177" s="29">
        <f>[1]Source!I3072</f>
        <v>228.6</v>
      </c>
      <c r="F3177" s="30"/>
      <c r="G3177" s="31"/>
      <c r="H3177" s="29"/>
      <c r="I3177" s="30"/>
      <c r="J3177" s="29"/>
      <c r="K3177" s="30"/>
      <c r="Q3177">
        <f>[1]Source!X3072</f>
        <v>2145.6</v>
      </c>
      <c r="R3177">
        <f>[1]Source!X3073</f>
        <v>120904.36</v>
      </c>
      <c r="S3177">
        <f>[1]Source!Y3072</f>
        <v>1026.1500000000001</v>
      </c>
      <c r="T3177">
        <f>[1]Source!Y3073</f>
        <v>57823.82</v>
      </c>
      <c r="U3177">
        <f>ROUND((175/100)*ROUND([1]Source!R3072, 2), 2)</f>
        <v>0</v>
      </c>
      <c r="V3177">
        <f>ROUND((0/100)*ROUND([1]Source!R3073, 2), 2)</f>
        <v>0</v>
      </c>
      <c r="AC3177">
        <v>0</v>
      </c>
    </row>
    <row r="3178" spans="1:29" ht="14.4" hidden="1" x14ac:dyDescent="0.25">
      <c r="A3178" s="27"/>
      <c r="B3178" s="27"/>
      <c r="C3178" s="27" t="s">
        <v>36</v>
      </c>
      <c r="D3178" s="28"/>
      <c r="E3178" s="29"/>
      <c r="F3178" s="30">
        <f>[1]Source!AO3072</f>
        <v>8.1199999999999992</v>
      </c>
      <c r="G3178" s="31" t="s">
        <v>58</v>
      </c>
      <c r="H3178" s="29">
        <f>[1]Source!AV3073</f>
        <v>1.0469999999999999</v>
      </c>
      <c r="I3178" s="30">
        <f>[1]Source!S3072</f>
        <v>2332.17</v>
      </c>
      <c r="J3178" s="29">
        <f>IF([1]Source!BA3073&lt;&gt; 0, [1]Source!BA3073, 1)</f>
        <v>56.35</v>
      </c>
      <c r="K3178" s="30">
        <f>[1]Source!S3073</f>
        <v>131417.78</v>
      </c>
    </row>
    <row r="3179" spans="1:29" ht="14.4" hidden="1" x14ac:dyDescent="0.25">
      <c r="A3179" s="27"/>
      <c r="B3179" s="27"/>
      <c r="C3179" s="27" t="s">
        <v>38</v>
      </c>
      <c r="D3179" s="28"/>
      <c r="E3179" s="29"/>
      <c r="F3179" s="30">
        <f>[1]Source!AM3072</f>
        <v>0.1</v>
      </c>
      <c r="G3179" s="31" t="s">
        <v>58</v>
      </c>
      <c r="H3179" s="29">
        <f>[1]Source!AV3073</f>
        <v>1.0469999999999999</v>
      </c>
      <c r="I3179" s="30">
        <f>[1]Source!Q3072</f>
        <v>28.72</v>
      </c>
      <c r="J3179" s="29">
        <f>IF([1]Source!BB3073&lt;&gt; 0, [1]Source!BB3073, 1)</f>
        <v>9.8000000000000007</v>
      </c>
      <c r="K3179" s="30">
        <f>[1]Source!Q3073</f>
        <v>281.45999999999998</v>
      </c>
    </row>
    <row r="3180" spans="1:29" ht="14.4" hidden="1" x14ac:dyDescent="0.25">
      <c r="A3180" s="27"/>
      <c r="B3180" s="27"/>
      <c r="C3180" s="27" t="s">
        <v>41</v>
      </c>
      <c r="D3180" s="28"/>
      <c r="E3180" s="29"/>
      <c r="F3180" s="30">
        <f>[1]Source!AL3072</f>
        <v>37.76</v>
      </c>
      <c r="G3180" s="31"/>
      <c r="H3180" s="29">
        <f>[1]Source!AW3073</f>
        <v>1.002</v>
      </c>
      <c r="I3180" s="30">
        <f>[1]Source!P3072</f>
        <v>8649.2000000000007</v>
      </c>
      <c r="J3180" s="29">
        <f>IF([1]Source!BC3073&lt;&gt; 0, [1]Source!BC3073, 1)</f>
        <v>5.2</v>
      </c>
      <c r="K3180" s="30">
        <f>[1]Source!P3073</f>
        <v>44975.839999999997</v>
      </c>
    </row>
    <row r="3181" spans="1:29" ht="14.4" hidden="1" x14ac:dyDescent="0.25">
      <c r="A3181" s="27"/>
      <c r="B3181" s="27"/>
      <c r="C3181" s="27" t="s">
        <v>42</v>
      </c>
      <c r="D3181" s="28" t="s">
        <v>43</v>
      </c>
      <c r="E3181" s="29">
        <f>[1]Source!BZ3073</f>
        <v>92</v>
      </c>
      <c r="F3181" s="30"/>
      <c r="G3181" s="31"/>
      <c r="H3181" s="29"/>
      <c r="I3181" s="30">
        <f>SUM(Q3177:Q3180)</f>
        <v>2145.6</v>
      </c>
      <c r="J3181" s="29">
        <f>[1]Source!AT3073</f>
        <v>92</v>
      </c>
      <c r="K3181" s="30">
        <f>SUM(R3177:R3180)</f>
        <v>120904.36</v>
      </c>
    </row>
    <row r="3182" spans="1:29" ht="14.4" hidden="1" x14ac:dyDescent="0.25">
      <c r="A3182" s="27"/>
      <c r="B3182" s="27"/>
      <c r="C3182" s="27" t="s">
        <v>44</v>
      </c>
      <c r="D3182" s="28" t="s">
        <v>43</v>
      </c>
      <c r="E3182" s="29">
        <f>[1]Source!CA3073</f>
        <v>44</v>
      </c>
      <c r="F3182" s="30"/>
      <c r="G3182" s="31"/>
      <c r="H3182" s="29"/>
      <c r="I3182" s="30">
        <f>SUM(S3177:S3181)</f>
        <v>1026.1500000000001</v>
      </c>
      <c r="J3182" s="29">
        <f>[1]Source!AU3073</f>
        <v>44</v>
      </c>
      <c r="K3182" s="30">
        <f>SUM(T3177:T3181)</f>
        <v>57823.82</v>
      </c>
    </row>
    <row r="3183" spans="1:29" ht="14.4" hidden="1" x14ac:dyDescent="0.25">
      <c r="A3183" s="34"/>
      <c r="B3183" s="34"/>
      <c r="C3183" s="34" t="s">
        <v>45</v>
      </c>
      <c r="D3183" s="35" t="s">
        <v>46</v>
      </c>
      <c r="E3183" s="36">
        <f>[1]Source!AQ3072</f>
        <v>0.48</v>
      </c>
      <c r="F3183" s="37"/>
      <c r="G3183" s="38" t="s">
        <v>58</v>
      </c>
      <c r="H3183" s="36">
        <f>[1]Source!AV3073</f>
        <v>1.0469999999999999</v>
      </c>
      <c r="I3183" s="37">
        <f>[1]Source!U3072</f>
        <v>137.86225919999998</v>
      </c>
      <c r="J3183" s="36"/>
      <c r="K3183" s="37"/>
    </row>
    <row r="3184" spans="1:29" ht="13.8" hidden="1" x14ac:dyDescent="0.25">
      <c r="C3184" s="39" t="s">
        <v>47</v>
      </c>
      <c r="H3184" s="40">
        <f>I3178+I3179+I3180+I3181+I3182+0-0-0</f>
        <v>14181.84</v>
      </c>
      <c r="I3184" s="40"/>
      <c r="J3184" s="40">
        <f>K3178+K3179+K3180+K3181+K3182+0-0-0</f>
        <v>355403.26</v>
      </c>
      <c r="K3184" s="40"/>
    </row>
    <row r="3185" spans="1:29" ht="13.8" hidden="1" x14ac:dyDescent="0.25">
      <c r="C3185" s="39" t="s">
        <v>48</v>
      </c>
      <c r="H3185" s="41">
        <f>0+0</f>
        <v>0</v>
      </c>
      <c r="I3185" s="41"/>
      <c r="J3185" s="41">
        <f>0+0</f>
        <v>0</v>
      </c>
      <c r="K3185" s="41"/>
    </row>
    <row r="3186" spans="1:29" ht="13.8" hidden="1" x14ac:dyDescent="0.25">
      <c r="C3186" s="39" t="s">
        <v>49</v>
      </c>
      <c r="H3186" s="41">
        <f>I3178+I3179+I3180+I3181+I3182+0</f>
        <v>14181.84</v>
      </c>
      <c r="I3186" s="41"/>
      <c r="J3186" s="41">
        <f>K3178+K3179+K3180+K3181+K3182+0</f>
        <v>355403.26</v>
      </c>
      <c r="K3186" s="41"/>
      <c r="O3186" s="42">
        <f>I3178+I3179+I3180+I3181+I3182+0</f>
        <v>14181.84</v>
      </c>
      <c r="P3186" s="42">
        <f>K3178+K3179+K3180+K3181+K3182+0</f>
        <v>355403.26</v>
      </c>
    </row>
    <row r="3187" spans="1:29" hidden="1" x14ac:dyDescent="0.25"/>
    <row r="3188" spans="1:29" ht="205.8" x14ac:dyDescent="0.25">
      <c r="A3188" s="46">
        <v>336</v>
      </c>
      <c r="B3188" s="46" t="str">
        <f>[1]Source!F3074</f>
        <v>КА-205</v>
      </c>
      <c r="C3188" s="46" t="s">
        <v>610</v>
      </c>
      <c r="D3188" s="47" t="str">
        <f>[1]Source!H3074</f>
        <v>ПМ</v>
      </c>
      <c r="E3188" s="48">
        <f>[1]Source!I3074</f>
        <v>254</v>
      </c>
      <c r="F3188" s="37">
        <f>[1]Source!AL3074</f>
        <v>1405.82</v>
      </c>
      <c r="G3188" s="38"/>
      <c r="H3188" s="36">
        <f>[1]Source!AW3075</f>
        <v>1</v>
      </c>
      <c r="I3188" s="37">
        <f>[1]Source!P3074</f>
        <v>357078.28</v>
      </c>
      <c r="J3188" s="36">
        <f>IF([1]Source!BC3075&lt;&gt; 0, [1]Source!BC3075, 1)</f>
        <v>9.84</v>
      </c>
      <c r="K3188" s="49">
        <f>[1]Source!P3075</f>
        <v>3513650.28</v>
      </c>
      <c r="L3188">
        <v>16545.560000000001</v>
      </c>
      <c r="M3188" s="50">
        <f>L3188*E3188</f>
        <v>4202572.24</v>
      </c>
      <c r="N3188" s="59" t="s">
        <v>180</v>
      </c>
      <c r="Q3188">
        <f>[1]Source!X3074</f>
        <v>0</v>
      </c>
      <c r="R3188">
        <f>[1]Source!X3075</f>
        <v>0</v>
      </c>
      <c r="S3188">
        <f>[1]Source!Y3074</f>
        <v>0</v>
      </c>
      <c r="T3188">
        <f>[1]Source!Y3075</f>
        <v>0</v>
      </c>
      <c r="U3188">
        <f>ROUND((175/100)*ROUND([1]Source!R3074, 2), 2)</f>
        <v>0</v>
      </c>
      <c r="V3188">
        <f>ROUND((0/100)*ROUND([1]Source!R3075, 2), 2)</f>
        <v>0</v>
      </c>
      <c r="AC3188">
        <v>3</v>
      </c>
    </row>
    <row r="3189" spans="1:29" ht="13.8" hidden="1" x14ac:dyDescent="0.25">
      <c r="C3189" s="39" t="s">
        <v>49</v>
      </c>
      <c r="H3189" s="40">
        <f>I3188+0</f>
        <v>357078.28</v>
      </c>
      <c r="I3189" s="40"/>
      <c r="J3189" s="40">
        <f>K3188+0</f>
        <v>3513650.28</v>
      </c>
      <c r="K3189" s="40"/>
      <c r="O3189" s="42">
        <f>I3188+0</f>
        <v>357078.28</v>
      </c>
      <c r="P3189" s="42">
        <f>K3188+0</f>
        <v>3513650.28</v>
      </c>
    </row>
    <row r="3190" spans="1:29" hidden="1" x14ac:dyDescent="0.25"/>
    <row r="3191" spans="1:29" hidden="1" x14ac:dyDescent="0.25"/>
    <row r="3192" spans="1:29" ht="13.8" hidden="1" x14ac:dyDescent="0.25">
      <c r="A3192" s="44" t="str">
        <f>CONCATENATE("Итого по разделу: ",IF([1]Source!G3077&lt;&gt;"Новый раздел", [1]Source!G3077, ""))</f>
        <v>Итого по разделу: Подоконник ПД-4</v>
      </c>
      <c r="B3192" s="44"/>
      <c r="C3192" s="44"/>
      <c r="D3192" s="44"/>
      <c r="E3192" s="44"/>
      <c r="F3192" s="44"/>
      <c r="G3192" s="44"/>
      <c r="H3192" s="41">
        <f>SUM(O3134:O3191)</f>
        <v>513617.5</v>
      </c>
      <c r="I3192" s="45"/>
      <c r="J3192" s="41">
        <f>SUM(P3134:P3191)</f>
        <v>5994649.8200000003</v>
      </c>
      <c r="K3192" s="45"/>
    </row>
    <row r="3193" spans="1:29" hidden="1" x14ac:dyDescent="0.25">
      <c r="A3193" t="s">
        <v>55</v>
      </c>
      <c r="I3193">
        <f>SUM(W3134:W3192)</f>
        <v>0</v>
      </c>
      <c r="J3193">
        <f>SUM(X3134:X3192)</f>
        <v>0</v>
      </c>
    </row>
    <row r="3194" spans="1:29" hidden="1" x14ac:dyDescent="0.25">
      <c r="A3194" t="s">
        <v>56</v>
      </c>
      <c r="I3194">
        <f>SUM(Y3134:Y3193)</f>
        <v>0</v>
      </c>
      <c r="J3194">
        <f>SUM(Z3134:Z3193)</f>
        <v>0</v>
      </c>
    </row>
    <row r="3195" spans="1:29" hidden="1" x14ac:dyDescent="0.25"/>
    <row r="3196" spans="1:29" ht="16.8" hidden="1" x14ac:dyDescent="0.25">
      <c r="A3196" s="11" t="str">
        <f>CONCATENATE("Раздел: ",IF([1]Source!G3107&lt;&gt;"Новый раздел", [1]Source!G3107, ""))</f>
        <v>Раздел: Стены внутренние</v>
      </c>
      <c r="B3196" s="11"/>
      <c r="C3196" s="11"/>
      <c r="D3196" s="11"/>
      <c r="E3196" s="11"/>
      <c r="F3196" s="11"/>
      <c r="G3196" s="11"/>
      <c r="H3196" s="11"/>
      <c r="I3196" s="11"/>
      <c r="J3196" s="11"/>
      <c r="K3196" s="11"/>
    </row>
    <row r="3197" spans="1:29" hidden="1" x14ac:dyDescent="0.25"/>
    <row r="3198" spans="1:29" ht="16.8" hidden="1" x14ac:dyDescent="0.25">
      <c r="A3198" s="11" t="str">
        <f>CONCATENATE("Подраздел: ",IF([1]Source!G3111&lt;&gt;"Новый подраздел", [1]Source!G3111, ""))</f>
        <v>Подраздел: Отделочные работы</v>
      </c>
      <c r="B3198" s="11"/>
      <c r="C3198" s="11"/>
      <c r="D3198" s="11"/>
      <c r="E3198" s="11"/>
      <c r="F3198" s="11"/>
      <c r="G3198" s="11"/>
      <c r="H3198" s="11"/>
      <c r="I3198" s="11"/>
      <c r="J3198" s="11"/>
      <c r="K3198" s="11"/>
    </row>
    <row r="3199" spans="1:29" ht="129.6" hidden="1" x14ac:dyDescent="0.25">
      <c r="A3199" s="27">
        <v>337</v>
      </c>
      <c r="B3199" s="27" t="str">
        <f>[1]Source!F3115</f>
        <v>3.70-265-3</v>
      </c>
      <c r="C3199" s="27" t="s">
        <v>611</v>
      </c>
      <c r="D3199" s="28" t="str">
        <f>[1]Source!H3115</f>
        <v>100 м2 оштукатуриваемой поверхности</v>
      </c>
      <c r="E3199" s="29">
        <f>[1]Source!I3115</f>
        <v>101.76</v>
      </c>
      <c r="F3199" s="30"/>
      <c r="G3199" s="31"/>
      <c r="H3199" s="29"/>
      <c r="I3199" s="30"/>
      <c r="J3199" s="29"/>
      <c r="K3199" s="30"/>
      <c r="Q3199">
        <f>[1]Source!X3115</f>
        <v>175834.68</v>
      </c>
      <c r="R3199">
        <f>[1]Source!X3116</f>
        <v>9908284.3900000006</v>
      </c>
      <c r="S3199">
        <f>[1]Source!Y3115</f>
        <v>82056.19</v>
      </c>
      <c r="T3199">
        <f>[1]Source!Y3116</f>
        <v>4623866.05</v>
      </c>
      <c r="U3199">
        <f>ROUND((175/100)*ROUND([1]Source!R3115, 2), 2)</f>
        <v>17189.04</v>
      </c>
      <c r="V3199">
        <f>ROUND((0/100)*ROUND([1]Source!R3116, 2), 2)</f>
        <v>0</v>
      </c>
      <c r="AC3199">
        <v>0</v>
      </c>
    </row>
    <row r="3200" spans="1:29" hidden="1" x14ac:dyDescent="0.25">
      <c r="C3200" s="32" t="str">
        <f>"Объем: "&amp;[1]Source!I3115&amp;"=(9144+"&amp;"1032)/"&amp;"100"</f>
        <v>Объем: 101,76=(9144+1032)/100</v>
      </c>
    </row>
    <row r="3201" spans="1:29" ht="14.4" hidden="1" x14ac:dyDescent="0.25">
      <c r="A3201" s="27"/>
      <c r="B3201" s="27"/>
      <c r="C3201" s="27" t="s">
        <v>36</v>
      </c>
      <c r="D3201" s="28"/>
      <c r="E3201" s="29"/>
      <c r="F3201" s="30">
        <f>[1]Source!AO3115</f>
        <v>1289.08</v>
      </c>
      <c r="G3201" s="31" t="s">
        <v>37</v>
      </c>
      <c r="H3201" s="29">
        <f>[1]Source!AV3116</f>
        <v>1.0249999999999999</v>
      </c>
      <c r="I3201" s="30">
        <f>[1]Source!S3115</f>
        <v>185549.56</v>
      </c>
      <c r="J3201" s="29">
        <f>IF([1]Source!BA3116&lt;&gt; 0, [1]Source!BA3116, 1)</f>
        <v>56.35</v>
      </c>
      <c r="K3201" s="30">
        <f>[1]Source!S3116</f>
        <v>10455717.710000001</v>
      </c>
    </row>
    <row r="3202" spans="1:29" ht="14.4" hidden="1" x14ac:dyDescent="0.25">
      <c r="A3202" s="27"/>
      <c r="B3202" s="27"/>
      <c r="C3202" s="27" t="s">
        <v>38</v>
      </c>
      <c r="D3202" s="28"/>
      <c r="E3202" s="29"/>
      <c r="F3202" s="30">
        <f>[1]Source!AM3115</f>
        <v>123.89</v>
      </c>
      <c r="G3202" s="31" t="s">
        <v>39</v>
      </c>
      <c r="H3202" s="29">
        <f>[1]Source!AV3116</f>
        <v>1.0249999999999999</v>
      </c>
      <c r="I3202" s="30">
        <f>[1]Source!Q3115</f>
        <v>19383.330000000002</v>
      </c>
      <c r="J3202" s="29">
        <f>IF([1]Source!BB3116&lt;&gt; 0, [1]Source!BB3116, 1)</f>
        <v>36.68</v>
      </c>
      <c r="K3202" s="30">
        <f>[1]Source!Q3116</f>
        <v>710980.54</v>
      </c>
    </row>
    <row r="3203" spans="1:29" ht="14.4" hidden="1" x14ac:dyDescent="0.25">
      <c r="A3203" s="27"/>
      <c r="B3203" s="27"/>
      <c r="C3203" s="27" t="s">
        <v>40</v>
      </c>
      <c r="D3203" s="28"/>
      <c r="E3203" s="29"/>
      <c r="F3203" s="30">
        <f>[1]Source!AN3115</f>
        <v>62.78</v>
      </c>
      <c r="G3203" s="31" t="s">
        <v>39</v>
      </c>
      <c r="H3203" s="29">
        <f>[1]Source!AV3116</f>
        <v>1.0249999999999999</v>
      </c>
      <c r="I3203" s="33">
        <f>[1]Source!R3115</f>
        <v>9822.31</v>
      </c>
      <c r="J3203" s="29">
        <f>IF([1]Source!BS3116&lt;&gt; 0, [1]Source!BS3116, 1)</f>
        <v>56.35</v>
      </c>
      <c r="K3203" s="33">
        <f>[1]Source!R3116</f>
        <v>553487.17000000004</v>
      </c>
    </row>
    <row r="3204" spans="1:29" ht="14.4" hidden="1" x14ac:dyDescent="0.25">
      <c r="A3204" s="27"/>
      <c r="B3204" s="27"/>
      <c r="C3204" s="27" t="s">
        <v>41</v>
      </c>
      <c r="D3204" s="28"/>
      <c r="E3204" s="29"/>
      <c r="F3204" s="30">
        <f>[1]Source!AL3115</f>
        <v>193.75</v>
      </c>
      <c r="G3204" s="31"/>
      <c r="H3204" s="29">
        <f>[1]Source!AW3116</f>
        <v>1</v>
      </c>
      <c r="I3204" s="30">
        <f>[1]Source!P3115</f>
        <v>19716</v>
      </c>
      <c r="J3204" s="29">
        <f>IF([1]Source!BC3116&lt;&gt; 0, [1]Source!BC3116, 1)</f>
        <v>30.17</v>
      </c>
      <c r="K3204" s="30">
        <f>[1]Source!P3116</f>
        <v>594831.72</v>
      </c>
    </row>
    <row r="3205" spans="1:29" ht="27.6" hidden="1" x14ac:dyDescent="0.25">
      <c r="A3205" s="27" t="s">
        <v>612</v>
      </c>
      <c r="B3205" s="27" t="str">
        <f>[1]Source!F3117</f>
        <v>1.1-1-118</v>
      </c>
      <c r="C3205" s="27" t="s">
        <v>72</v>
      </c>
      <c r="D3205" s="28" t="str">
        <f>[1]Source!H3117</f>
        <v>м3</v>
      </c>
      <c r="E3205" s="29">
        <f>[1]Source!I3117</f>
        <v>10.656307</v>
      </c>
      <c r="F3205" s="30">
        <f>[1]Source!AK3117</f>
        <v>7.07</v>
      </c>
      <c r="G3205" s="43" t="s">
        <v>54</v>
      </c>
      <c r="H3205" s="29">
        <f>[1]Source!AW3118</f>
        <v>1</v>
      </c>
      <c r="I3205" s="30">
        <f>[1]Source!O3117</f>
        <v>75.34</v>
      </c>
      <c r="J3205" s="29">
        <f>IF([1]Source!BC3118&lt;&gt; 0, [1]Source!BC3118, 1)</f>
        <v>7.75</v>
      </c>
      <c r="K3205" s="30">
        <f>[1]Source!O3118</f>
        <v>583.89</v>
      </c>
      <c r="Q3205">
        <f>[1]Source!X3117</f>
        <v>0</v>
      </c>
      <c r="R3205">
        <f>[1]Source!X3118</f>
        <v>0</v>
      </c>
      <c r="S3205">
        <f>[1]Source!Y3117</f>
        <v>0</v>
      </c>
      <c r="T3205">
        <f>[1]Source!Y3118</f>
        <v>0</v>
      </c>
      <c r="U3205">
        <f>ROUND((175/100)*ROUND([1]Source!R3117, 2), 2)</f>
        <v>0</v>
      </c>
      <c r="V3205">
        <f>ROUND((0/100)*ROUND([1]Source!R3118, 2), 2)</f>
        <v>0</v>
      </c>
      <c r="AC3205">
        <v>3</v>
      </c>
    </row>
    <row r="3206" spans="1:29" ht="124.2" hidden="1" x14ac:dyDescent="0.25">
      <c r="A3206" s="27" t="s">
        <v>613</v>
      </c>
      <c r="B3206" s="27" t="str">
        <f>[1]Source!F3119</f>
        <v>1.3-2-221</v>
      </c>
      <c r="C3206" s="27" t="s">
        <v>614</v>
      </c>
      <c r="D3206" s="28" t="str">
        <f>[1]Source!H3119</f>
        <v>кг</v>
      </c>
      <c r="E3206" s="29">
        <f>[1]Source!I3119</f>
        <v>60893.184000000001</v>
      </c>
      <c r="F3206" s="30">
        <f>[1]Source!AK3119</f>
        <v>3.17</v>
      </c>
      <c r="G3206" s="43" t="s">
        <v>54</v>
      </c>
      <c r="H3206" s="29">
        <f>[1]Source!AW3120</f>
        <v>1</v>
      </c>
      <c r="I3206" s="30">
        <f>[1]Source!O3119</f>
        <v>193031.39</v>
      </c>
      <c r="J3206" s="29">
        <f>IF([1]Source!BC3120&lt;&gt; 0, [1]Source!BC3120, 1)</f>
        <v>4.53</v>
      </c>
      <c r="K3206" s="30">
        <f>[1]Source!O3120</f>
        <v>874432.2</v>
      </c>
      <c r="Q3206">
        <f>[1]Source!X3119</f>
        <v>0</v>
      </c>
      <c r="R3206">
        <f>[1]Source!X3120</f>
        <v>0</v>
      </c>
      <c r="S3206">
        <f>[1]Source!Y3119</f>
        <v>0</v>
      </c>
      <c r="T3206">
        <f>[1]Source!Y3120</f>
        <v>0</v>
      </c>
      <c r="U3206">
        <f>ROUND((175/100)*ROUND([1]Source!R3119, 2), 2)</f>
        <v>0</v>
      </c>
      <c r="V3206">
        <f>ROUND((0/100)*ROUND([1]Source!R3120, 2), 2)</f>
        <v>0</v>
      </c>
      <c r="AC3206">
        <v>3</v>
      </c>
    </row>
    <row r="3207" spans="1:29" ht="27.6" hidden="1" x14ac:dyDescent="0.25">
      <c r="A3207" s="27" t="s">
        <v>615</v>
      </c>
      <c r="B3207" s="27" t="str">
        <f>[1]Source!F3121</f>
        <v>1.3-2-13</v>
      </c>
      <c r="C3207" s="27" t="s">
        <v>76</v>
      </c>
      <c r="D3207" s="28" t="str">
        <f>[1]Source!H3121</f>
        <v>м3</v>
      </c>
      <c r="E3207" s="29">
        <f>[1]Source!I3121</f>
        <v>152.23295999999999</v>
      </c>
      <c r="F3207" s="30">
        <f>[1]Source!AK3121</f>
        <v>470.7</v>
      </c>
      <c r="G3207" s="43" t="s">
        <v>54</v>
      </c>
      <c r="H3207" s="29">
        <f>[1]Source!AW3122</f>
        <v>1</v>
      </c>
      <c r="I3207" s="30">
        <f>[1]Source!O3121</f>
        <v>71656.05</v>
      </c>
      <c r="J3207" s="29">
        <f>IF([1]Source!BC3122&lt;&gt; 0, [1]Source!BC3122, 1)</f>
        <v>10.84</v>
      </c>
      <c r="K3207" s="30">
        <f>[1]Source!O3122</f>
        <v>776751.58</v>
      </c>
      <c r="Q3207">
        <f>[1]Source!X3121</f>
        <v>0</v>
      </c>
      <c r="R3207">
        <f>[1]Source!X3122</f>
        <v>0</v>
      </c>
      <c r="S3207">
        <f>[1]Source!Y3121</f>
        <v>0</v>
      </c>
      <c r="T3207">
        <f>[1]Source!Y3122</f>
        <v>0</v>
      </c>
      <c r="U3207">
        <f>ROUND((175/100)*ROUND([1]Source!R3121, 2), 2)</f>
        <v>0</v>
      </c>
      <c r="V3207">
        <f>ROUND((0/100)*ROUND([1]Source!R3122, 2), 2)</f>
        <v>0</v>
      </c>
      <c r="AC3207">
        <v>3</v>
      </c>
    </row>
    <row r="3208" spans="1:29" ht="14.4" hidden="1" x14ac:dyDescent="0.25">
      <c r="A3208" s="27"/>
      <c r="B3208" s="27"/>
      <c r="C3208" s="27" t="s">
        <v>42</v>
      </c>
      <c r="D3208" s="28" t="s">
        <v>43</v>
      </c>
      <c r="E3208" s="29">
        <f>[1]Source!BZ3116</f>
        <v>90</v>
      </c>
      <c r="F3208" s="30"/>
      <c r="G3208" s="31"/>
      <c r="H3208" s="29"/>
      <c r="I3208" s="30">
        <f>SUM(Q3199:Q3207)</f>
        <v>175834.68</v>
      </c>
      <c r="J3208" s="29">
        <f>[1]Source!AT3116</f>
        <v>90</v>
      </c>
      <c r="K3208" s="30">
        <f>SUM(R3199:R3207)</f>
        <v>9908284.3900000006</v>
      </c>
    </row>
    <row r="3209" spans="1:29" ht="14.4" hidden="1" x14ac:dyDescent="0.25">
      <c r="A3209" s="27"/>
      <c r="B3209" s="27"/>
      <c r="C3209" s="27" t="s">
        <v>44</v>
      </c>
      <c r="D3209" s="28" t="s">
        <v>43</v>
      </c>
      <c r="E3209" s="29">
        <f>[1]Source!CA3116</f>
        <v>42</v>
      </c>
      <c r="F3209" s="30"/>
      <c r="G3209" s="31"/>
      <c r="H3209" s="29"/>
      <c r="I3209" s="30">
        <f>SUM(S3199:S3208)</f>
        <v>82056.19</v>
      </c>
      <c r="J3209" s="29">
        <f>[1]Source!AU3116</f>
        <v>42</v>
      </c>
      <c r="K3209" s="30">
        <f>SUM(T3199:T3208)</f>
        <v>4623866.05</v>
      </c>
    </row>
    <row r="3210" spans="1:29" ht="14.4" hidden="1" x14ac:dyDescent="0.25">
      <c r="A3210" s="34"/>
      <c r="B3210" s="34"/>
      <c r="C3210" s="34" t="s">
        <v>45</v>
      </c>
      <c r="D3210" s="35" t="s">
        <v>46</v>
      </c>
      <c r="E3210" s="36">
        <f>[1]Source!AQ3115</f>
        <v>74</v>
      </c>
      <c r="F3210" s="37"/>
      <c r="G3210" s="38" t="s">
        <v>37</v>
      </c>
      <c r="H3210" s="36">
        <f>[1]Source!AV3116</f>
        <v>1.0249999999999999</v>
      </c>
      <c r="I3210" s="37">
        <f>[1]Source!U3115</f>
        <v>10651.52448</v>
      </c>
      <c r="J3210" s="36"/>
      <c r="K3210" s="37"/>
    </row>
    <row r="3211" spans="1:29" ht="13.8" hidden="1" x14ac:dyDescent="0.25">
      <c r="C3211" s="39" t="s">
        <v>47</v>
      </c>
      <c r="H3211" s="40">
        <f>I3201+I3202+I3204+I3208+I3209+SUM(I3205:I3207)-SUMIF(AC3205:AC3207, 5, I3205:I3207)-SUMIF(AC3205:AC3207, 6, I3205:I3207)</f>
        <v>747302.54</v>
      </c>
      <c r="I3211" s="40"/>
      <c r="J3211" s="40">
        <f>K3201+K3202+K3204+K3208+K3209+SUM(K3205:K3207)-SUMIF(AC3205:AC3207, 5, K3205:K3207)-SUMIF(AC3205:AC3207, 6, K3205:K3207)</f>
        <v>27945448.079999998</v>
      </c>
      <c r="K3211" s="40"/>
    </row>
    <row r="3212" spans="1:29" ht="13.8" hidden="1" x14ac:dyDescent="0.25">
      <c r="C3212" s="39" t="s">
        <v>48</v>
      </c>
      <c r="H3212" s="41">
        <f>SUMIF(AC3205:AC3207, 5, I3205:I3207)+SUMIF(AC3205:AC3207, 6, I3205:I3207)</f>
        <v>0</v>
      </c>
      <c r="I3212" s="41"/>
      <c r="J3212" s="41">
        <f>SUMIF(AC3205:AC3207, 5, K3205:K3207)+SUMIF(AC3205:AC3207, 6, K3205:K3207)</f>
        <v>0</v>
      </c>
      <c r="K3212" s="41"/>
    </row>
    <row r="3213" spans="1:29" ht="13.8" hidden="1" x14ac:dyDescent="0.25">
      <c r="C3213" s="39" t="s">
        <v>49</v>
      </c>
      <c r="H3213" s="41">
        <f>I3201+I3202+I3204+I3208+I3209+SUM(I3205:I3207)</f>
        <v>747302.54</v>
      </c>
      <c r="I3213" s="41"/>
      <c r="J3213" s="41">
        <f>K3201+K3202+K3204+K3208+K3209+SUM(K3205:K3207)</f>
        <v>27945448.079999998</v>
      </c>
      <c r="K3213" s="41"/>
      <c r="O3213" s="42">
        <f>I3201+I3202+I3204+I3208+I3209+SUM(I3205:I3207)</f>
        <v>747302.54</v>
      </c>
      <c r="P3213" s="42">
        <f>K3201+K3202+K3204+K3208+K3209+SUM(K3205:K3207)</f>
        <v>27945448.079999998</v>
      </c>
    </row>
    <row r="3214" spans="1:29" hidden="1" x14ac:dyDescent="0.25"/>
    <row r="3215" spans="1:29" ht="129.6" hidden="1" x14ac:dyDescent="0.25">
      <c r="A3215" s="27">
        <v>338</v>
      </c>
      <c r="B3215" s="27" t="str">
        <f>[1]Source!F3123</f>
        <v>3.70-264-1</v>
      </c>
      <c r="C3215" s="27" t="s">
        <v>616</v>
      </c>
      <c r="D3215" s="28" t="str">
        <f>[1]Source!H3123</f>
        <v>100 м2 оштукатуриваемой поверхности</v>
      </c>
      <c r="E3215" s="29">
        <f>[1]Source!I3123</f>
        <v>23.63</v>
      </c>
      <c r="F3215" s="30"/>
      <c r="G3215" s="31"/>
      <c r="H3215" s="29"/>
      <c r="I3215" s="30"/>
      <c r="J3215" s="29"/>
      <c r="K3215" s="30"/>
      <c r="Q3215">
        <f>[1]Source!X3123</f>
        <v>27812.6</v>
      </c>
      <c r="R3215">
        <f>[1]Source!X3124</f>
        <v>1567240.07</v>
      </c>
      <c r="S3215">
        <f>[1]Source!Y3123</f>
        <v>12979.21</v>
      </c>
      <c r="T3215">
        <f>[1]Source!Y3124</f>
        <v>731378.7</v>
      </c>
      <c r="U3215">
        <f>ROUND((175/100)*ROUND([1]Source!R3123, 2), 2)</f>
        <v>3483.52</v>
      </c>
      <c r="V3215">
        <f>ROUND((0/100)*ROUND([1]Source!R3124, 2), 2)</f>
        <v>0</v>
      </c>
      <c r="AC3215">
        <v>0</v>
      </c>
    </row>
    <row r="3216" spans="1:29" ht="39.6" hidden="1" x14ac:dyDescent="0.25">
      <c r="C3216" s="32" t="str">
        <f>"Объем: "&amp;[1]Source!I3123&amp;"=(15+"&amp;"862+"&amp;"270+"&amp;"70+"&amp;"724+"&amp;"27+"&amp;"218+"&amp;"13+"&amp;"22+"&amp;"22+"&amp;"34+"&amp;"86)/"&amp;"100"</f>
        <v>Объем: 23,63=(15+862+270+70+724+27+218+13+22+22+34+86)/100</v>
      </c>
    </row>
    <row r="3217" spans="1:29" ht="14.4" hidden="1" x14ac:dyDescent="0.25">
      <c r="A3217" s="27"/>
      <c r="B3217" s="27"/>
      <c r="C3217" s="27" t="s">
        <v>36</v>
      </c>
      <c r="D3217" s="28"/>
      <c r="E3217" s="29"/>
      <c r="F3217" s="30">
        <f>[1]Source!AO3123</f>
        <v>865</v>
      </c>
      <c r="G3217" s="31" t="s">
        <v>37</v>
      </c>
      <c r="H3217" s="29">
        <f>[1]Source!AV3124</f>
        <v>1.0249999999999999</v>
      </c>
      <c r="I3217" s="30">
        <f>[1]Source!S3123</f>
        <v>28912.31</v>
      </c>
      <c r="J3217" s="29">
        <f>IF([1]Source!BA3124&lt;&gt; 0, [1]Source!BA3124, 1)</f>
        <v>56.35</v>
      </c>
      <c r="K3217" s="30">
        <f>[1]Source!S3124</f>
        <v>1629208.67</v>
      </c>
    </row>
    <row r="3218" spans="1:29" ht="14.4" hidden="1" x14ac:dyDescent="0.25">
      <c r="A3218" s="27"/>
      <c r="B3218" s="27"/>
      <c r="C3218" s="27" t="s">
        <v>38</v>
      </c>
      <c r="D3218" s="28"/>
      <c r="E3218" s="29"/>
      <c r="F3218" s="30">
        <f>[1]Source!AM3123</f>
        <v>107.29</v>
      </c>
      <c r="G3218" s="31" t="s">
        <v>39</v>
      </c>
      <c r="H3218" s="29">
        <f>[1]Source!AV3124</f>
        <v>1.0249999999999999</v>
      </c>
      <c r="I3218" s="30">
        <f>[1]Source!Q3123</f>
        <v>3897.97</v>
      </c>
      <c r="J3218" s="29">
        <f>IF([1]Source!BB3124&lt;&gt; 0, [1]Source!BB3124, 1)</f>
        <v>36.9</v>
      </c>
      <c r="K3218" s="30">
        <f>[1]Source!Q3124</f>
        <v>143835.09</v>
      </c>
    </row>
    <row r="3219" spans="1:29" ht="14.4" hidden="1" x14ac:dyDescent="0.25">
      <c r="A3219" s="27"/>
      <c r="B3219" s="27"/>
      <c r="C3219" s="27" t="s">
        <v>40</v>
      </c>
      <c r="D3219" s="28"/>
      <c r="E3219" s="29"/>
      <c r="F3219" s="30">
        <f>[1]Source!AN3123</f>
        <v>54.79</v>
      </c>
      <c r="G3219" s="31" t="s">
        <v>39</v>
      </c>
      <c r="H3219" s="29">
        <f>[1]Source!AV3124</f>
        <v>1.0249999999999999</v>
      </c>
      <c r="I3219" s="33">
        <f>[1]Source!R3123</f>
        <v>1990.58</v>
      </c>
      <c r="J3219" s="29">
        <f>IF([1]Source!BS3124&lt;&gt; 0, [1]Source!BS3124, 1)</f>
        <v>56.35</v>
      </c>
      <c r="K3219" s="33">
        <f>[1]Source!R3124</f>
        <v>112169.18</v>
      </c>
    </row>
    <row r="3220" spans="1:29" ht="14.4" hidden="1" x14ac:dyDescent="0.25">
      <c r="A3220" s="27"/>
      <c r="B3220" s="27"/>
      <c r="C3220" s="27" t="s">
        <v>41</v>
      </c>
      <c r="D3220" s="28"/>
      <c r="E3220" s="29"/>
      <c r="F3220" s="30">
        <f>[1]Source!AL3123</f>
        <v>88.92</v>
      </c>
      <c r="G3220" s="31"/>
      <c r="H3220" s="29">
        <f>[1]Source!AW3124</f>
        <v>1</v>
      </c>
      <c r="I3220" s="30">
        <f>[1]Source!P3123</f>
        <v>2101.1799999999998</v>
      </c>
      <c r="J3220" s="29">
        <f>IF([1]Source!BC3124&lt;&gt; 0, [1]Source!BC3124, 1)</f>
        <v>31.1</v>
      </c>
      <c r="K3220" s="30">
        <f>[1]Source!P3124</f>
        <v>65346.7</v>
      </c>
    </row>
    <row r="3221" spans="1:29" ht="27.6" hidden="1" x14ac:dyDescent="0.25">
      <c r="A3221" s="27" t="s">
        <v>617</v>
      </c>
      <c r="B3221" s="27" t="str">
        <f>[1]Source!F3125</f>
        <v>1.1-1-118</v>
      </c>
      <c r="C3221" s="27" t="s">
        <v>72</v>
      </c>
      <c r="D3221" s="28" t="str">
        <f>[1]Source!H3125</f>
        <v>м3</v>
      </c>
      <c r="E3221" s="29">
        <f>[1]Source!I3125</f>
        <v>2.2231100000000001</v>
      </c>
      <c r="F3221" s="30">
        <f>[1]Source!AK3125</f>
        <v>7.07</v>
      </c>
      <c r="G3221" s="43" t="s">
        <v>54</v>
      </c>
      <c r="H3221" s="29">
        <f>[1]Source!AW3126</f>
        <v>1</v>
      </c>
      <c r="I3221" s="30">
        <f>[1]Source!O3125</f>
        <v>15.72</v>
      </c>
      <c r="J3221" s="29">
        <f>IF([1]Source!BC3126&lt;&gt; 0, [1]Source!BC3126, 1)</f>
        <v>7.75</v>
      </c>
      <c r="K3221" s="30">
        <f>[1]Source!O3126</f>
        <v>121.83</v>
      </c>
      <c r="Q3221">
        <f>[1]Source!X3125</f>
        <v>0</v>
      </c>
      <c r="R3221">
        <f>[1]Source!X3126</f>
        <v>0</v>
      </c>
      <c r="S3221">
        <f>[1]Source!Y3125</f>
        <v>0</v>
      </c>
      <c r="T3221">
        <f>[1]Source!Y3126</f>
        <v>0</v>
      </c>
      <c r="U3221">
        <f>ROUND((175/100)*ROUND([1]Source!R3125, 2), 2)</f>
        <v>0</v>
      </c>
      <c r="V3221">
        <f>ROUND((0/100)*ROUND([1]Source!R3126, 2), 2)</f>
        <v>0</v>
      </c>
      <c r="AC3221">
        <v>3</v>
      </c>
    </row>
    <row r="3222" spans="1:29" ht="124.2" hidden="1" x14ac:dyDescent="0.25">
      <c r="A3222" s="27" t="s">
        <v>618</v>
      </c>
      <c r="B3222" s="27" t="str">
        <f>[1]Source!F3127</f>
        <v>1.3-2-221</v>
      </c>
      <c r="C3222" s="27" t="s">
        <v>614</v>
      </c>
      <c r="D3222" s="28" t="str">
        <f>[1]Source!H3127</f>
        <v>кг</v>
      </c>
      <c r="E3222" s="29">
        <f>[1]Source!I3127</f>
        <v>12703.487999999999</v>
      </c>
      <c r="F3222" s="30">
        <f>[1]Source!AK3127</f>
        <v>3.17</v>
      </c>
      <c r="G3222" s="43" t="s">
        <v>54</v>
      </c>
      <c r="H3222" s="29">
        <f>[1]Source!AW3128</f>
        <v>1</v>
      </c>
      <c r="I3222" s="30">
        <f>[1]Source!O3127</f>
        <v>40270.06</v>
      </c>
      <c r="J3222" s="29">
        <f>IF([1]Source!BC3128&lt;&gt; 0, [1]Source!BC3128, 1)</f>
        <v>4.53</v>
      </c>
      <c r="K3222" s="30">
        <f>[1]Source!O3128</f>
        <v>182423.37</v>
      </c>
      <c r="Q3222">
        <f>[1]Source!X3127</f>
        <v>0</v>
      </c>
      <c r="R3222">
        <f>[1]Source!X3128</f>
        <v>0</v>
      </c>
      <c r="S3222">
        <f>[1]Source!Y3127</f>
        <v>0</v>
      </c>
      <c r="T3222">
        <f>[1]Source!Y3128</f>
        <v>0</v>
      </c>
      <c r="U3222">
        <f>ROUND((175/100)*ROUND([1]Source!R3127, 2), 2)</f>
        <v>0</v>
      </c>
      <c r="V3222">
        <f>ROUND((0/100)*ROUND([1]Source!R3128, 2), 2)</f>
        <v>0</v>
      </c>
      <c r="AC3222">
        <v>3</v>
      </c>
    </row>
    <row r="3223" spans="1:29" ht="27.6" hidden="1" x14ac:dyDescent="0.25">
      <c r="A3223" s="27" t="s">
        <v>619</v>
      </c>
      <c r="B3223" s="27" t="str">
        <f>[1]Source!F3129</f>
        <v>1.3-2-13</v>
      </c>
      <c r="C3223" s="27" t="s">
        <v>76</v>
      </c>
      <c r="D3223" s="28" t="str">
        <f>[1]Source!H3129</f>
        <v>м3</v>
      </c>
      <c r="E3223" s="29">
        <f>[1]Source!I3129</f>
        <v>5.29312</v>
      </c>
      <c r="F3223" s="30">
        <f>[1]Source!AK3129</f>
        <v>470.7</v>
      </c>
      <c r="G3223" s="43" t="s">
        <v>54</v>
      </c>
      <c r="H3223" s="29">
        <f>[1]Source!AW3130</f>
        <v>1</v>
      </c>
      <c r="I3223" s="30">
        <f>[1]Source!O3129</f>
        <v>2491.4699999999998</v>
      </c>
      <c r="J3223" s="29">
        <f>IF([1]Source!BC3130&lt;&gt; 0, [1]Source!BC3130, 1)</f>
        <v>10.84</v>
      </c>
      <c r="K3223" s="30">
        <f>[1]Source!O3130</f>
        <v>27007.53</v>
      </c>
      <c r="Q3223">
        <f>[1]Source!X3129</f>
        <v>0</v>
      </c>
      <c r="R3223">
        <f>[1]Source!X3130</f>
        <v>0</v>
      </c>
      <c r="S3223">
        <f>[1]Source!Y3129</f>
        <v>0</v>
      </c>
      <c r="T3223">
        <f>[1]Source!Y3130</f>
        <v>0</v>
      </c>
      <c r="U3223">
        <f>ROUND((175/100)*ROUND([1]Source!R3129, 2), 2)</f>
        <v>0</v>
      </c>
      <c r="V3223">
        <f>ROUND((0/100)*ROUND([1]Source!R3130, 2), 2)</f>
        <v>0</v>
      </c>
      <c r="AC3223">
        <v>3</v>
      </c>
    </row>
    <row r="3224" spans="1:29" ht="27.6" hidden="1" x14ac:dyDescent="0.25">
      <c r="A3224" s="27" t="s">
        <v>620</v>
      </c>
      <c r="B3224" s="27" t="str">
        <f>[1]Source!F3131</f>
        <v>1.3-2-15</v>
      </c>
      <c r="C3224" s="27" t="s">
        <v>621</v>
      </c>
      <c r="D3224" s="28" t="str">
        <f>[1]Source!H3131</f>
        <v>м3</v>
      </c>
      <c r="E3224" s="29">
        <f>[1]Source!I3131</f>
        <v>26.465599999999995</v>
      </c>
      <c r="F3224" s="30">
        <f>[1]Source!AK3131</f>
        <v>529.41999999999996</v>
      </c>
      <c r="G3224" s="43" t="s">
        <v>54</v>
      </c>
      <c r="H3224" s="29">
        <f>[1]Source!AW3132</f>
        <v>1</v>
      </c>
      <c r="I3224" s="30">
        <f>[1]Source!O3131</f>
        <v>14011.42</v>
      </c>
      <c r="J3224" s="29">
        <f>IF([1]Source!BC3132&lt;&gt; 0, [1]Source!BC3132, 1)</f>
        <v>7.55</v>
      </c>
      <c r="K3224" s="30">
        <f>[1]Source!O3132</f>
        <v>105786.22</v>
      </c>
      <c r="Q3224">
        <f>[1]Source!X3131</f>
        <v>0</v>
      </c>
      <c r="R3224">
        <f>[1]Source!X3132</f>
        <v>0</v>
      </c>
      <c r="S3224">
        <f>[1]Source!Y3131</f>
        <v>0</v>
      </c>
      <c r="T3224">
        <f>[1]Source!Y3132</f>
        <v>0</v>
      </c>
      <c r="U3224">
        <f>ROUND((175/100)*ROUND([1]Source!R3131, 2), 2)</f>
        <v>0</v>
      </c>
      <c r="V3224">
        <f>ROUND((0/100)*ROUND([1]Source!R3132, 2), 2)</f>
        <v>0</v>
      </c>
      <c r="AC3224">
        <v>3</v>
      </c>
    </row>
    <row r="3225" spans="1:29" ht="14.4" hidden="1" x14ac:dyDescent="0.25">
      <c r="A3225" s="27"/>
      <c r="B3225" s="27"/>
      <c r="C3225" s="27" t="s">
        <v>42</v>
      </c>
      <c r="D3225" s="28" t="s">
        <v>43</v>
      </c>
      <c r="E3225" s="29">
        <f>[1]Source!BZ3124</f>
        <v>90</v>
      </c>
      <c r="F3225" s="30"/>
      <c r="G3225" s="31"/>
      <c r="H3225" s="29"/>
      <c r="I3225" s="30">
        <f>SUM(Q3215:Q3224)</f>
        <v>27812.6</v>
      </c>
      <c r="J3225" s="29">
        <f>[1]Source!AT3124</f>
        <v>90</v>
      </c>
      <c r="K3225" s="30">
        <f>SUM(R3215:R3224)</f>
        <v>1567240.07</v>
      </c>
    </row>
    <row r="3226" spans="1:29" ht="14.4" hidden="1" x14ac:dyDescent="0.25">
      <c r="A3226" s="27"/>
      <c r="B3226" s="27"/>
      <c r="C3226" s="27" t="s">
        <v>44</v>
      </c>
      <c r="D3226" s="28" t="s">
        <v>43</v>
      </c>
      <c r="E3226" s="29">
        <f>[1]Source!CA3124</f>
        <v>42</v>
      </c>
      <c r="F3226" s="30"/>
      <c r="G3226" s="31"/>
      <c r="H3226" s="29"/>
      <c r="I3226" s="30">
        <f>SUM(S3215:S3225)</f>
        <v>12979.21</v>
      </c>
      <c r="J3226" s="29">
        <f>[1]Source!AU3124</f>
        <v>42</v>
      </c>
      <c r="K3226" s="30">
        <f>SUM(T3215:T3225)</f>
        <v>731378.7</v>
      </c>
    </row>
    <row r="3227" spans="1:29" ht="14.4" hidden="1" x14ac:dyDescent="0.25">
      <c r="A3227" s="34"/>
      <c r="B3227" s="34"/>
      <c r="C3227" s="34" t="s">
        <v>45</v>
      </c>
      <c r="D3227" s="35" t="s">
        <v>46</v>
      </c>
      <c r="E3227" s="36">
        <f>[1]Source!AQ3123</f>
        <v>55.6</v>
      </c>
      <c r="F3227" s="37"/>
      <c r="G3227" s="38" t="s">
        <v>37</v>
      </c>
      <c r="H3227" s="36">
        <f>[1]Source!AV3124</f>
        <v>1.0249999999999999</v>
      </c>
      <c r="I3227" s="37">
        <f>[1]Source!U3123</f>
        <v>1858.4097059999997</v>
      </c>
      <c r="J3227" s="36"/>
      <c r="K3227" s="37"/>
    </row>
    <row r="3228" spans="1:29" ht="13.8" hidden="1" x14ac:dyDescent="0.25">
      <c r="C3228" s="39" t="s">
        <v>47</v>
      </c>
      <c r="H3228" s="40">
        <f>I3217+I3218+I3220+I3225+I3226+SUM(I3221:I3224)-SUMIF(AC3221:AC3224, 5, I3221:I3224)-SUMIF(AC3221:AC3224, 6, I3221:I3224)</f>
        <v>132491.94</v>
      </c>
      <c r="I3228" s="40"/>
      <c r="J3228" s="40">
        <f>K3217+K3218+K3220+K3225+K3226+SUM(K3221:K3224)-SUMIF(AC3221:AC3224, 5, K3221:K3224)-SUMIF(AC3221:AC3224, 6, K3221:K3224)</f>
        <v>4452348.1800000006</v>
      </c>
      <c r="K3228" s="40"/>
    </row>
    <row r="3229" spans="1:29" ht="13.8" hidden="1" x14ac:dyDescent="0.25">
      <c r="C3229" s="39" t="s">
        <v>48</v>
      </c>
      <c r="H3229" s="41">
        <f>SUMIF(AC3221:AC3224, 5, I3221:I3224)+SUMIF(AC3221:AC3224, 6, I3221:I3224)</f>
        <v>0</v>
      </c>
      <c r="I3229" s="41"/>
      <c r="J3229" s="41">
        <f>SUMIF(AC3221:AC3224, 5, K3221:K3224)+SUMIF(AC3221:AC3224, 6, K3221:K3224)</f>
        <v>0</v>
      </c>
      <c r="K3229" s="41"/>
    </row>
    <row r="3230" spans="1:29" ht="13.8" hidden="1" x14ac:dyDescent="0.25">
      <c r="C3230" s="39" t="s">
        <v>49</v>
      </c>
      <c r="H3230" s="41">
        <f>I3217+I3218+I3220+I3225+I3226+SUM(I3221:I3224)</f>
        <v>132491.94</v>
      </c>
      <c r="I3230" s="41"/>
      <c r="J3230" s="41">
        <f>K3217+K3218+K3220+K3225+K3226+SUM(K3221:K3224)</f>
        <v>4452348.1800000006</v>
      </c>
      <c r="K3230" s="41"/>
      <c r="O3230" s="42">
        <f>I3217+I3218+I3220+I3225+I3226+SUM(I3221:I3224)</f>
        <v>132491.94</v>
      </c>
      <c r="P3230" s="42">
        <f>K3217+K3218+K3220+K3225+K3226+SUM(K3221:K3224)</f>
        <v>4452348.1800000006</v>
      </c>
    </row>
    <row r="3231" spans="1:29" hidden="1" x14ac:dyDescent="0.25"/>
    <row r="3232" spans="1:29" ht="41.4" hidden="1" x14ac:dyDescent="0.25">
      <c r="A3232" s="27">
        <v>339</v>
      </c>
      <c r="B3232" s="27" t="str">
        <f>[1]Source!F3133</f>
        <v>3.70-300-5</v>
      </c>
      <c r="C3232" s="27" t="s">
        <v>622</v>
      </c>
      <c r="D3232" s="28" t="str">
        <f>[1]Source!H3133</f>
        <v>100 м2</v>
      </c>
      <c r="E3232" s="29">
        <f>[1]Source!I3133</f>
        <v>91.44</v>
      </c>
      <c r="F3232" s="30"/>
      <c r="G3232" s="31"/>
      <c r="H3232" s="29"/>
      <c r="I3232" s="30"/>
      <c r="J3232" s="29"/>
      <c r="K3232" s="30"/>
      <c r="Q3232">
        <f>[1]Source!X3133</f>
        <v>49387.89</v>
      </c>
      <c r="R3232">
        <f>[1]Source!X3134</f>
        <v>2783007.43</v>
      </c>
      <c r="S3232">
        <f>[1]Source!Y3133</f>
        <v>23047.68</v>
      </c>
      <c r="T3232">
        <f>[1]Source!Y3134</f>
        <v>1298736.8</v>
      </c>
      <c r="U3232">
        <f>ROUND((175/100)*ROUND([1]Source!R3133, 2), 2)</f>
        <v>216.51</v>
      </c>
      <c r="V3232">
        <f>ROUND((0/100)*ROUND([1]Source!R3134, 2), 2)</f>
        <v>0</v>
      </c>
      <c r="AC3232">
        <v>0</v>
      </c>
    </row>
    <row r="3233" spans="1:29" hidden="1" x14ac:dyDescent="0.25">
      <c r="C3233" s="32" t="str">
        <f>"Объем: "&amp;[1]Source!I3133&amp;"=(9144)/"&amp;"100"</f>
        <v>Объем: 91,44=(9144)/100</v>
      </c>
    </row>
    <row r="3234" spans="1:29" ht="14.4" hidden="1" x14ac:dyDescent="0.25">
      <c r="A3234" s="27"/>
      <c r="B3234" s="27"/>
      <c r="C3234" s="27" t="s">
        <v>36</v>
      </c>
      <c r="D3234" s="28"/>
      <c r="E3234" s="29"/>
      <c r="F3234" s="30">
        <f>[1]Source!AO3133</f>
        <v>423.31</v>
      </c>
      <c r="G3234" s="31" t="s">
        <v>37</v>
      </c>
      <c r="H3234" s="29">
        <f>[1]Source!AV3134</f>
        <v>1.0249999999999999</v>
      </c>
      <c r="I3234" s="30">
        <f>[1]Source!S3133</f>
        <v>54751.71</v>
      </c>
      <c r="J3234" s="29">
        <f>IF([1]Source!BA3134&lt;&gt; 0, [1]Source!BA3134, 1)</f>
        <v>56.35</v>
      </c>
      <c r="K3234" s="30">
        <f>[1]Source!S3134</f>
        <v>3085258.86</v>
      </c>
    </row>
    <row r="3235" spans="1:29" ht="14.4" hidden="1" x14ac:dyDescent="0.25">
      <c r="A3235" s="27"/>
      <c r="B3235" s="27"/>
      <c r="C3235" s="27" t="s">
        <v>38</v>
      </c>
      <c r="D3235" s="28"/>
      <c r="E3235" s="29"/>
      <c r="F3235" s="30">
        <f>[1]Source!AM3133</f>
        <v>6.21</v>
      </c>
      <c r="G3235" s="31" t="s">
        <v>39</v>
      </c>
      <c r="H3235" s="29">
        <f>[1]Source!AV3134</f>
        <v>1.0249999999999999</v>
      </c>
      <c r="I3235" s="30">
        <f>[1]Source!Q3133</f>
        <v>873.06</v>
      </c>
      <c r="J3235" s="29">
        <f>IF([1]Source!BB3134&lt;&gt; 0, [1]Source!BB3134, 1)</f>
        <v>16.829999999999998</v>
      </c>
      <c r="K3235" s="30">
        <f>[1]Source!Q3134</f>
        <v>14693.6</v>
      </c>
    </row>
    <row r="3236" spans="1:29" ht="14.4" hidden="1" x14ac:dyDescent="0.25">
      <c r="A3236" s="27"/>
      <c r="B3236" s="27"/>
      <c r="C3236" s="27" t="s">
        <v>40</v>
      </c>
      <c r="D3236" s="28"/>
      <c r="E3236" s="29"/>
      <c r="F3236" s="30">
        <f>[1]Source!AN3133</f>
        <v>0.88</v>
      </c>
      <c r="G3236" s="31" t="s">
        <v>39</v>
      </c>
      <c r="H3236" s="29">
        <f>[1]Source!AV3134</f>
        <v>1.0249999999999999</v>
      </c>
      <c r="I3236" s="33">
        <f>[1]Source!R3133</f>
        <v>123.72</v>
      </c>
      <c r="J3236" s="29">
        <f>IF([1]Source!BS3134&lt;&gt; 0, [1]Source!BS3134, 1)</f>
        <v>56.35</v>
      </c>
      <c r="K3236" s="33">
        <f>[1]Source!R3134</f>
        <v>6971.62</v>
      </c>
    </row>
    <row r="3237" spans="1:29" ht="14.4" hidden="1" x14ac:dyDescent="0.25">
      <c r="A3237" s="27"/>
      <c r="B3237" s="27"/>
      <c r="C3237" s="27" t="s">
        <v>41</v>
      </c>
      <c r="D3237" s="28"/>
      <c r="E3237" s="29"/>
      <c r="F3237" s="30">
        <f>[1]Source!AL3133</f>
        <v>50.25</v>
      </c>
      <c r="G3237" s="31"/>
      <c r="H3237" s="29">
        <f>[1]Source!AW3134</f>
        <v>1</v>
      </c>
      <c r="I3237" s="30">
        <f>[1]Source!P3133</f>
        <v>4594.8599999999997</v>
      </c>
      <c r="J3237" s="29">
        <f>IF([1]Source!BC3134&lt;&gt; 0, [1]Source!BC3134, 1)</f>
        <v>1.91</v>
      </c>
      <c r="K3237" s="30">
        <f>[1]Source!P3134</f>
        <v>8776.18</v>
      </c>
    </row>
    <row r="3238" spans="1:29" ht="124.2" hidden="1" x14ac:dyDescent="0.25">
      <c r="A3238" s="27" t="s">
        <v>623</v>
      </c>
      <c r="B3238" s="27" t="str">
        <f>[1]Source!F3135</f>
        <v>1.1-1-3040</v>
      </c>
      <c r="C3238" s="27" t="s">
        <v>624</v>
      </c>
      <c r="D3238" s="28" t="str">
        <f>[1]Source!H3135</f>
        <v>т</v>
      </c>
      <c r="E3238" s="29">
        <f>[1]Source!I3135</f>
        <v>2.0500850000000002</v>
      </c>
      <c r="F3238" s="30">
        <f>[1]Source!AK3135</f>
        <v>9669.5499999999993</v>
      </c>
      <c r="G3238" s="43" t="s">
        <v>54</v>
      </c>
      <c r="H3238" s="29">
        <f>[1]Source!AW3136</f>
        <v>1</v>
      </c>
      <c r="I3238" s="30">
        <f>[1]Source!O3135</f>
        <v>19823.400000000001</v>
      </c>
      <c r="J3238" s="29">
        <f>IF([1]Source!BC3136&lt;&gt; 0, [1]Source!BC3136, 1)</f>
        <v>25.11</v>
      </c>
      <c r="K3238" s="30">
        <f>[1]Source!O3136</f>
        <v>497765.57</v>
      </c>
      <c r="Q3238">
        <f>[1]Source!X3135</f>
        <v>0</v>
      </c>
      <c r="R3238">
        <f>[1]Source!X3136</f>
        <v>0</v>
      </c>
      <c r="S3238">
        <f>[1]Source!Y3135</f>
        <v>0</v>
      </c>
      <c r="T3238">
        <f>[1]Source!Y3136</f>
        <v>0</v>
      </c>
      <c r="U3238">
        <f>ROUND((175/100)*ROUND([1]Source!R3135, 2), 2)</f>
        <v>0</v>
      </c>
      <c r="V3238">
        <f>ROUND((0/100)*ROUND([1]Source!R3136, 2), 2)</f>
        <v>0</v>
      </c>
      <c r="AC3238">
        <v>3</v>
      </c>
    </row>
    <row r="3239" spans="1:29" ht="69" hidden="1" x14ac:dyDescent="0.25">
      <c r="A3239" s="27" t="s">
        <v>625</v>
      </c>
      <c r="B3239" s="27" t="str">
        <f>[1]Source!F3137</f>
        <v>1.1-1-3108</v>
      </c>
      <c r="C3239" s="27" t="s">
        <v>79</v>
      </c>
      <c r="D3239" s="28" t="str">
        <f>[1]Source!H3137</f>
        <v>кг</v>
      </c>
      <c r="E3239" s="29">
        <f>[1]Source!I3137</f>
        <v>2834.64</v>
      </c>
      <c r="F3239" s="30">
        <f>[1]Source!AK3137</f>
        <v>17.649999999999999</v>
      </c>
      <c r="G3239" s="43" t="s">
        <v>54</v>
      </c>
      <c r="H3239" s="29">
        <f>[1]Source!AW3138</f>
        <v>1</v>
      </c>
      <c r="I3239" s="30">
        <f>[1]Source!O3137</f>
        <v>50031.4</v>
      </c>
      <c r="J3239" s="29">
        <f>IF([1]Source!BC3138&lt;&gt; 0, [1]Source!BC3138, 1)</f>
        <v>5</v>
      </c>
      <c r="K3239" s="30">
        <f>[1]Source!O3138</f>
        <v>250157</v>
      </c>
      <c r="Q3239">
        <f>[1]Source!X3137</f>
        <v>0</v>
      </c>
      <c r="R3239">
        <f>[1]Source!X3138</f>
        <v>0</v>
      </c>
      <c r="S3239">
        <f>[1]Source!Y3137</f>
        <v>0</v>
      </c>
      <c r="T3239">
        <f>[1]Source!Y3138</f>
        <v>0</v>
      </c>
      <c r="U3239">
        <f>ROUND((175/100)*ROUND([1]Source!R3137, 2), 2)</f>
        <v>0</v>
      </c>
      <c r="V3239">
        <f>ROUND((0/100)*ROUND([1]Source!R3138, 2), 2)</f>
        <v>0</v>
      </c>
      <c r="AC3239">
        <v>3</v>
      </c>
    </row>
    <row r="3240" spans="1:29" ht="110.4" hidden="1" x14ac:dyDescent="0.25">
      <c r="A3240" s="27" t="s">
        <v>626</v>
      </c>
      <c r="B3240" s="27" t="str">
        <f>[1]Source!F3139</f>
        <v>1.3-2-224</v>
      </c>
      <c r="C3240" s="27" t="s">
        <v>627</v>
      </c>
      <c r="D3240" s="28" t="str">
        <f>[1]Source!H3139</f>
        <v>кг</v>
      </c>
      <c r="E3240" s="29">
        <f>[1]Source!I3139</f>
        <v>7408.4687999999996</v>
      </c>
      <c r="F3240" s="30">
        <f>[1]Source!AK3139</f>
        <v>3.91</v>
      </c>
      <c r="G3240" s="43" t="s">
        <v>54</v>
      </c>
      <c r="H3240" s="29">
        <f>[1]Source!AW3140</f>
        <v>1</v>
      </c>
      <c r="I3240" s="30">
        <f>[1]Source!O3139</f>
        <v>28967.11</v>
      </c>
      <c r="J3240" s="29">
        <f>IF([1]Source!BC3140&lt;&gt; 0, [1]Source!BC3140, 1)</f>
        <v>3.88</v>
      </c>
      <c r="K3240" s="30">
        <f>[1]Source!O3140</f>
        <v>112392.39</v>
      </c>
      <c r="Q3240">
        <f>[1]Source!X3139</f>
        <v>0</v>
      </c>
      <c r="R3240">
        <f>[1]Source!X3140</f>
        <v>0</v>
      </c>
      <c r="S3240">
        <f>[1]Source!Y3139</f>
        <v>0</v>
      </c>
      <c r="T3240">
        <f>[1]Source!Y3140</f>
        <v>0</v>
      </c>
      <c r="U3240">
        <f>ROUND((175/100)*ROUND([1]Source!R3139, 2), 2)</f>
        <v>0</v>
      </c>
      <c r="V3240">
        <f>ROUND((0/100)*ROUND([1]Source!R3140, 2), 2)</f>
        <v>0</v>
      </c>
      <c r="AC3240">
        <v>3</v>
      </c>
    </row>
    <row r="3241" spans="1:29" ht="14.4" hidden="1" x14ac:dyDescent="0.25">
      <c r="A3241" s="27"/>
      <c r="B3241" s="27"/>
      <c r="C3241" s="27" t="s">
        <v>42</v>
      </c>
      <c r="D3241" s="28" t="s">
        <v>43</v>
      </c>
      <c r="E3241" s="29">
        <f>[1]Source!BZ3134</f>
        <v>90</v>
      </c>
      <c r="F3241" s="30"/>
      <c r="G3241" s="31"/>
      <c r="H3241" s="29"/>
      <c r="I3241" s="30">
        <f>SUM(Q3232:Q3240)</f>
        <v>49387.89</v>
      </c>
      <c r="J3241" s="29">
        <f>[1]Source!AT3134</f>
        <v>90</v>
      </c>
      <c r="K3241" s="30">
        <f>SUM(R3232:R3240)</f>
        <v>2783007.43</v>
      </c>
    </row>
    <row r="3242" spans="1:29" ht="14.4" hidden="1" x14ac:dyDescent="0.25">
      <c r="A3242" s="27"/>
      <c r="B3242" s="27"/>
      <c r="C3242" s="27" t="s">
        <v>44</v>
      </c>
      <c r="D3242" s="28" t="s">
        <v>43</v>
      </c>
      <c r="E3242" s="29">
        <f>[1]Source!CA3134</f>
        <v>42</v>
      </c>
      <c r="F3242" s="30"/>
      <c r="G3242" s="31"/>
      <c r="H3242" s="29"/>
      <c r="I3242" s="30">
        <f>SUM(S3232:S3241)</f>
        <v>23047.68</v>
      </c>
      <c r="J3242" s="29">
        <f>[1]Source!AU3134</f>
        <v>42</v>
      </c>
      <c r="K3242" s="30">
        <f>SUM(T3232:T3241)</f>
        <v>1298736.8</v>
      </c>
    </row>
    <row r="3243" spans="1:29" ht="14.4" hidden="1" x14ac:dyDescent="0.25">
      <c r="A3243" s="34"/>
      <c r="B3243" s="34"/>
      <c r="C3243" s="34" t="s">
        <v>45</v>
      </c>
      <c r="D3243" s="35" t="s">
        <v>46</v>
      </c>
      <c r="E3243" s="36">
        <f>[1]Source!AQ3133</f>
        <v>27.8</v>
      </c>
      <c r="F3243" s="37"/>
      <c r="G3243" s="38" t="s">
        <v>37</v>
      </c>
      <c r="H3243" s="36">
        <f>[1]Source!AV3134</f>
        <v>1.0249999999999999</v>
      </c>
      <c r="I3243" s="37">
        <f>[1]Source!U3133</f>
        <v>3595.7042639999995</v>
      </c>
      <c r="J3243" s="36"/>
      <c r="K3243" s="37"/>
    </row>
    <row r="3244" spans="1:29" ht="13.8" hidden="1" x14ac:dyDescent="0.25">
      <c r="C3244" s="39" t="s">
        <v>47</v>
      </c>
      <c r="H3244" s="40">
        <f>I3234+I3235+I3237+I3241+I3242+SUM(I3238:I3240)-SUMIF(AC3238:AC3240, 5, I3238:I3240)-SUMIF(AC3238:AC3240, 6, I3238:I3240)</f>
        <v>231477.11</v>
      </c>
      <c r="I3244" s="40"/>
      <c r="J3244" s="40">
        <f>K3234+K3235+K3237+K3241+K3242+SUM(K3238:K3240)-SUMIF(AC3238:AC3240, 5, K3238:K3240)-SUMIF(AC3238:AC3240, 6, K3238:K3240)</f>
        <v>8050787.8300000001</v>
      </c>
      <c r="K3244" s="40"/>
    </row>
    <row r="3245" spans="1:29" ht="13.8" hidden="1" x14ac:dyDescent="0.25">
      <c r="C3245" s="39" t="s">
        <v>48</v>
      </c>
      <c r="H3245" s="41">
        <f>SUMIF(AC3238:AC3240, 5, I3238:I3240)+SUMIF(AC3238:AC3240, 6, I3238:I3240)</f>
        <v>0</v>
      </c>
      <c r="I3245" s="41"/>
      <c r="J3245" s="41">
        <f>SUMIF(AC3238:AC3240, 5, K3238:K3240)+SUMIF(AC3238:AC3240, 6, K3238:K3240)</f>
        <v>0</v>
      </c>
      <c r="K3245" s="41"/>
    </row>
    <row r="3246" spans="1:29" ht="13.8" hidden="1" x14ac:dyDescent="0.25">
      <c r="C3246" s="39" t="s">
        <v>49</v>
      </c>
      <c r="H3246" s="41">
        <f>I3234+I3235+I3237+I3241+I3242+SUM(I3238:I3240)</f>
        <v>231477.11</v>
      </c>
      <c r="I3246" s="41"/>
      <c r="J3246" s="41">
        <f>K3234+K3235+K3237+K3241+K3242+SUM(K3238:K3240)</f>
        <v>8050787.8300000001</v>
      </c>
      <c r="K3246" s="41"/>
      <c r="O3246" s="42">
        <f>I3234+I3235+I3237+I3241+I3242+SUM(I3238:I3240)</f>
        <v>231477.11</v>
      </c>
      <c r="P3246" s="42">
        <f>K3234+K3235+K3237+K3241+K3242+SUM(K3238:K3240)</f>
        <v>8050787.8300000001</v>
      </c>
    </row>
    <row r="3247" spans="1:29" hidden="1" x14ac:dyDescent="0.25"/>
    <row r="3248" spans="1:29" ht="41.4" hidden="1" x14ac:dyDescent="0.25">
      <c r="A3248" s="27">
        <v>340</v>
      </c>
      <c r="B3248" s="27" t="str">
        <f>[1]Source!F3141</f>
        <v>3.70-300-5</v>
      </c>
      <c r="C3248" s="27" t="s">
        <v>622</v>
      </c>
      <c r="D3248" s="28" t="str">
        <f>[1]Source!H3141</f>
        <v>100 м2</v>
      </c>
      <c r="E3248" s="29">
        <f>[1]Source!I3141</f>
        <v>10.32</v>
      </c>
      <c r="F3248" s="30"/>
      <c r="G3248" s="31"/>
      <c r="H3248" s="29"/>
      <c r="I3248" s="30"/>
      <c r="J3248" s="29"/>
      <c r="K3248" s="30"/>
      <c r="Q3248">
        <f>[1]Source!X3141</f>
        <v>5573.96</v>
      </c>
      <c r="R3248">
        <f>[1]Source!X3142</f>
        <v>314092.71000000002</v>
      </c>
      <c r="S3248">
        <f>[1]Source!Y3141</f>
        <v>2601.1799999999998</v>
      </c>
      <c r="T3248">
        <f>[1]Source!Y3142</f>
        <v>146576.6</v>
      </c>
      <c r="U3248">
        <f>ROUND((175/100)*ROUND([1]Source!R3141, 2), 2)</f>
        <v>24.43</v>
      </c>
      <c r="V3248">
        <f>ROUND((0/100)*ROUND([1]Source!R3142, 2), 2)</f>
        <v>0</v>
      </c>
      <c r="AC3248">
        <v>0</v>
      </c>
    </row>
    <row r="3249" spans="1:29" hidden="1" x14ac:dyDescent="0.25">
      <c r="C3249" s="32" t="str">
        <f>"Объем: "&amp;[1]Source!I3141&amp;"=1032/"&amp;"100"</f>
        <v>Объем: 10,32=1032/100</v>
      </c>
    </row>
    <row r="3250" spans="1:29" ht="14.4" hidden="1" x14ac:dyDescent="0.25">
      <c r="A3250" s="27"/>
      <c r="B3250" s="27"/>
      <c r="C3250" s="27" t="s">
        <v>36</v>
      </c>
      <c r="D3250" s="28"/>
      <c r="E3250" s="29"/>
      <c r="F3250" s="30">
        <f>[1]Source!AO3141</f>
        <v>423.31</v>
      </c>
      <c r="G3250" s="31" t="s">
        <v>37</v>
      </c>
      <c r="H3250" s="29">
        <f>[1]Source!AV3142</f>
        <v>1.0249999999999999</v>
      </c>
      <c r="I3250" s="30">
        <f>[1]Source!S3141</f>
        <v>6179.33</v>
      </c>
      <c r="J3250" s="29">
        <f>IF([1]Source!BA3142&lt;&gt; 0, [1]Source!BA3142, 1)</f>
        <v>56.35</v>
      </c>
      <c r="K3250" s="30">
        <f>[1]Source!S3142</f>
        <v>348205.25</v>
      </c>
    </row>
    <row r="3251" spans="1:29" ht="14.4" hidden="1" x14ac:dyDescent="0.25">
      <c r="A3251" s="27"/>
      <c r="B3251" s="27"/>
      <c r="C3251" s="27" t="s">
        <v>38</v>
      </c>
      <c r="D3251" s="28"/>
      <c r="E3251" s="29"/>
      <c r="F3251" s="30">
        <f>[1]Source!AM3141</f>
        <v>6.21</v>
      </c>
      <c r="G3251" s="31" t="s">
        <v>39</v>
      </c>
      <c r="H3251" s="29">
        <f>[1]Source!AV3142</f>
        <v>1.0249999999999999</v>
      </c>
      <c r="I3251" s="30">
        <f>[1]Source!Q3141</f>
        <v>98.53</v>
      </c>
      <c r="J3251" s="29">
        <f>IF([1]Source!BB3142&lt;&gt; 0, [1]Source!BB3142, 1)</f>
        <v>16.829999999999998</v>
      </c>
      <c r="K3251" s="30">
        <f>[1]Source!Q3142</f>
        <v>1658.26</v>
      </c>
    </row>
    <row r="3252" spans="1:29" ht="14.4" hidden="1" x14ac:dyDescent="0.25">
      <c r="A3252" s="27"/>
      <c r="B3252" s="27"/>
      <c r="C3252" s="27" t="s">
        <v>40</v>
      </c>
      <c r="D3252" s="28"/>
      <c r="E3252" s="29"/>
      <c r="F3252" s="30">
        <f>[1]Source!AN3141</f>
        <v>0.88</v>
      </c>
      <c r="G3252" s="31" t="s">
        <v>39</v>
      </c>
      <c r="H3252" s="29">
        <f>[1]Source!AV3142</f>
        <v>1.0249999999999999</v>
      </c>
      <c r="I3252" s="33">
        <f>[1]Source!R3141</f>
        <v>13.96</v>
      </c>
      <c r="J3252" s="29">
        <f>IF([1]Source!BS3142&lt;&gt; 0, [1]Source!BS3142, 1)</f>
        <v>56.35</v>
      </c>
      <c r="K3252" s="33">
        <f>[1]Source!R3142</f>
        <v>786.65</v>
      </c>
    </row>
    <row r="3253" spans="1:29" ht="14.4" hidden="1" x14ac:dyDescent="0.25">
      <c r="A3253" s="27"/>
      <c r="B3253" s="27"/>
      <c r="C3253" s="27" t="s">
        <v>41</v>
      </c>
      <c r="D3253" s="28"/>
      <c r="E3253" s="29"/>
      <c r="F3253" s="30">
        <f>[1]Source!AL3141</f>
        <v>50.25</v>
      </c>
      <c r="G3253" s="31"/>
      <c r="H3253" s="29">
        <f>[1]Source!AW3142</f>
        <v>1</v>
      </c>
      <c r="I3253" s="30">
        <f>[1]Source!P3141</f>
        <v>518.58000000000004</v>
      </c>
      <c r="J3253" s="29">
        <f>IF([1]Source!BC3142&lt;&gt; 0, [1]Source!BC3142, 1)</f>
        <v>1.91</v>
      </c>
      <c r="K3253" s="30">
        <f>[1]Source!P3142</f>
        <v>990.49</v>
      </c>
    </row>
    <row r="3254" spans="1:29" ht="82.8" hidden="1" x14ac:dyDescent="0.25">
      <c r="A3254" s="27" t="s">
        <v>628</v>
      </c>
      <c r="B3254" s="27" t="str">
        <f>[1]Source!F3143</f>
        <v>1.1-1-3934</v>
      </c>
      <c r="C3254" s="27" t="s">
        <v>629</v>
      </c>
      <c r="D3254" s="28" t="str">
        <f>[1]Source!H3143</f>
        <v>кг</v>
      </c>
      <c r="E3254" s="29">
        <f>[1]Source!I3143</f>
        <v>231.37440000000004</v>
      </c>
      <c r="F3254" s="30">
        <f>[1]Source!AK3143</f>
        <v>156.94999999999999</v>
      </c>
      <c r="G3254" s="43" t="s">
        <v>54</v>
      </c>
      <c r="H3254" s="29">
        <f>[1]Source!AW3144</f>
        <v>1</v>
      </c>
      <c r="I3254" s="30">
        <f>[1]Source!O3143</f>
        <v>36314.21</v>
      </c>
      <c r="J3254" s="29">
        <f>IF([1]Source!BC3144&lt;&gt; 0, [1]Source!BC3144, 1)</f>
        <v>2.29</v>
      </c>
      <c r="K3254" s="30">
        <f>[1]Source!O3144</f>
        <v>83159.539999999994</v>
      </c>
      <c r="Q3254">
        <f>[1]Source!X3143</f>
        <v>0</v>
      </c>
      <c r="R3254">
        <f>[1]Source!X3144</f>
        <v>0</v>
      </c>
      <c r="S3254">
        <f>[1]Source!Y3143</f>
        <v>0</v>
      </c>
      <c r="T3254">
        <f>[1]Source!Y3144</f>
        <v>0</v>
      </c>
      <c r="U3254">
        <f>ROUND((175/100)*ROUND([1]Source!R3143, 2), 2)</f>
        <v>0</v>
      </c>
      <c r="V3254">
        <f>ROUND((0/100)*ROUND([1]Source!R3144, 2), 2)</f>
        <v>0</v>
      </c>
      <c r="AC3254">
        <v>3</v>
      </c>
    </row>
    <row r="3255" spans="1:29" ht="69" hidden="1" x14ac:dyDescent="0.25">
      <c r="A3255" s="27" t="s">
        <v>630</v>
      </c>
      <c r="B3255" s="27" t="str">
        <f>[1]Source!F3145</f>
        <v>1.1-1-3108</v>
      </c>
      <c r="C3255" s="27" t="s">
        <v>79</v>
      </c>
      <c r="D3255" s="28" t="str">
        <f>[1]Source!H3145</f>
        <v>кг</v>
      </c>
      <c r="E3255" s="29">
        <f>[1]Source!I3145</f>
        <v>319.92</v>
      </c>
      <c r="F3255" s="30">
        <f>[1]Source!AK3145</f>
        <v>17.649999999999999</v>
      </c>
      <c r="G3255" s="43" t="s">
        <v>54</v>
      </c>
      <c r="H3255" s="29">
        <f>[1]Source!AW3146</f>
        <v>1</v>
      </c>
      <c r="I3255" s="30">
        <f>[1]Source!O3145</f>
        <v>5646.59</v>
      </c>
      <c r="J3255" s="29">
        <f>IF([1]Source!BC3146&lt;&gt; 0, [1]Source!BC3146, 1)</f>
        <v>5</v>
      </c>
      <c r="K3255" s="30">
        <f>[1]Source!O3146</f>
        <v>28232.95</v>
      </c>
      <c r="Q3255">
        <f>[1]Source!X3145</f>
        <v>0</v>
      </c>
      <c r="R3255">
        <f>[1]Source!X3146</f>
        <v>0</v>
      </c>
      <c r="S3255">
        <f>[1]Source!Y3145</f>
        <v>0</v>
      </c>
      <c r="T3255">
        <f>[1]Source!Y3146</f>
        <v>0</v>
      </c>
      <c r="U3255">
        <f>ROUND((175/100)*ROUND([1]Source!R3145, 2), 2)</f>
        <v>0</v>
      </c>
      <c r="V3255">
        <f>ROUND((0/100)*ROUND([1]Source!R3146, 2), 2)</f>
        <v>0</v>
      </c>
      <c r="AC3255">
        <v>3</v>
      </c>
    </row>
    <row r="3256" spans="1:29" ht="110.4" hidden="1" x14ac:dyDescent="0.25">
      <c r="A3256" s="27" t="s">
        <v>631</v>
      </c>
      <c r="B3256" s="27" t="str">
        <f>[1]Source!F3147</f>
        <v>1.3-2-224</v>
      </c>
      <c r="C3256" s="27" t="s">
        <v>627</v>
      </c>
      <c r="D3256" s="28" t="str">
        <f>[1]Source!H3147</f>
        <v>кг</v>
      </c>
      <c r="E3256" s="29">
        <f>[1]Source!I3147</f>
        <v>836.12639999999999</v>
      </c>
      <c r="F3256" s="30">
        <f>[1]Source!AK3147</f>
        <v>3.91</v>
      </c>
      <c r="G3256" s="43" t="s">
        <v>54</v>
      </c>
      <c r="H3256" s="29">
        <f>[1]Source!AW3148</f>
        <v>1</v>
      </c>
      <c r="I3256" s="30">
        <f>[1]Source!O3147</f>
        <v>3269.25</v>
      </c>
      <c r="J3256" s="29">
        <f>IF([1]Source!BC3148&lt;&gt; 0, [1]Source!BC3148, 1)</f>
        <v>3.88</v>
      </c>
      <c r="K3256" s="30">
        <f>[1]Source!O3148</f>
        <v>12684.69</v>
      </c>
      <c r="Q3256">
        <f>[1]Source!X3147</f>
        <v>0</v>
      </c>
      <c r="R3256">
        <f>[1]Source!X3148</f>
        <v>0</v>
      </c>
      <c r="S3256">
        <f>[1]Source!Y3147</f>
        <v>0</v>
      </c>
      <c r="T3256">
        <f>[1]Source!Y3148</f>
        <v>0</v>
      </c>
      <c r="U3256">
        <f>ROUND((175/100)*ROUND([1]Source!R3147, 2), 2)</f>
        <v>0</v>
      </c>
      <c r="V3256">
        <f>ROUND((0/100)*ROUND([1]Source!R3148, 2), 2)</f>
        <v>0</v>
      </c>
      <c r="AC3256">
        <v>3</v>
      </c>
    </row>
    <row r="3257" spans="1:29" ht="14.4" hidden="1" x14ac:dyDescent="0.25">
      <c r="A3257" s="27"/>
      <c r="B3257" s="27"/>
      <c r="C3257" s="27" t="s">
        <v>42</v>
      </c>
      <c r="D3257" s="28" t="s">
        <v>43</v>
      </c>
      <c r="E3257" s="29">
        <f>[1]Source!BZ3142</f>
        <v>90</v>
      </c>
      <c r="F3257" s="30"/>
      <c r="G3257" s="31"/>
      <c r="H3257" s="29"/>
      <c r="I3257" s="30">
        <f>SUM(Q3248:Q3256)</f>
        <v>5573.96</v>
      </c>
      <c r="J3257" s="29">
        <f>[1]Source!AT3142</f>
        <v>90</v>
      </c>
      <c r="K3257" s="30">
        <f>SUM(R3248:R3256)</f>
        <v>314092.71000000002</v>
      </c>
    </row>
    <row r="3258" spans="1:29" ht="14.4" hidden="1" x14ac:dyDescent="0.25">
      <c r="A3258" s="27"/>
      <c r="B3258" s="27"/>
      <c r="C3258" s="27" t="s">
        <v>44</v>
      </c>
      <c r="D3258" s="28" t="s">
        <v>43</v>
      </c>
      <c r="E3258" s="29">
        <f>[1]Source!CA3142</f>
        <v>42</v>
      </c>
      <c r="F3258" s="30"/>
      <c r="G3258" s="31"/>
      <c r="H3258" s="29"/>
      <c r="I3258" s="30">
        <f>SUM(S3248:S3257)</f>
        <v>2601.1799999999998</v>
      </c>
      <c r="J3258" s="29">
        <f>[1]Source!AU3142</f>
        <v>42</v>
      </c>
      <c r="K3258" s="30">
        <f>SUM(T3248:T3257)</f>
        <v>146576.6</v>
      </c>
    </row>
    <row r="3259" spans="1:29" ht="14.4" hidden="1" x14ac:dyDescent="0.25">
      <c r="A3259" s="34"/>
      <c r="B3259" s="34"/>
      <c r="C3259" s="34" t="s">
        <v>45</v>
      </c>
      <c r="D3259" s="35" t="s">
        <v>46</v>
      </c>
      <c r="E3259" s="36">
        <f>[1]Source!AQ3141</f>
        <v>27.8</v>
      </c>
      <c r="F3259" s="37"/>
      <c r="G3259" s="38" t="s">
        <v>37</v>
      </c>
      <c r="H3259" s="36">
        <f>[1]Source!AV3142</f>
        <v>1.0249999999999999</v>
      </c>
      <c r="I3259" s="37">
        <f>[1]Source!U3141</f>
        <v>405.814392</v>
      </c>
      <c r="J3259" s="36"/>
      <c r="K3259" s="37"/>
    </row>
    <row r="3260" spans="1:29" ht="13.8" hidden="1" x14ac:dyDescent="0.25">
      <c r="C3260" s="39" t="s">
        <v>47</v>
      </c>
      <c r="H3260" s="40">
        <f>I3250+I3251+I3253+I3257+I3258+SUM(I3254:I3256)-SUMIF(AC3254:AC3256, 5, I3254:I3256)-SUMIF(AC3254:AC3256, 6, I3254:I3256)</f>
        <v>60201.630000000005</v>
      </c>
      <c r="I3260" s="40"/>
      <c r="J3260" s="40">
        <f>K3250+K3251+K3253+K3257+K3258+SUM(K3254:K3256)-SUMIF(AC3254:AC3256, 5, K3254:K3256)-SUMIF(AC3254:AC3256, 6, K3254:K3256)</f>
        <v>935600.49</v>
      </c>
      <c r="K3260" s="40"/>
    </row>
    <row r="3261" spans="1:29" ht="13.8" hidden="1" x14ac:dyDescent="0.25">
      <c r="C3261" s="39" t="s">
        <v>48</v>
      </c>
      <c r="H3261" s="41">
        <f>SUMIF(AC3254:AC3256, 5, I3254:I3256)+SUMIF(AC3254:AC3256, 6, I3254:I3256)</f>
        <v>0</v>
      </c>
      <c r="I3261" s="41"/>
      <c r="J3261" s="41">
        <f>SUMIF(AC3254:AC3256, 5, K3254:K3256)+SUMIF(AC3254:AC3256, 6, K3254:K3256)</f>
        <v>0</v>
      </c>
      <c r="K3261" s="41"/>
    </row>
    <row r="3262" spans="1:29" ht="13.8" hidden="1" x14ac:dyDescent="0.25">
      <c r="C3262" s="39" t="s">
        <v>49</v>
      </c>
      <c r="H3262" s="41">
        <f>I3250+I3251+I3253+I3257+I3258+SUM(I3254:I3256)</f>
        <v>60201.630000000005</v>
      </c>
      <c r="I3262" s="41"/>
      <c r="J3262" s="41">
        <f>K3250+K3251+K3253+K3257+K3258+SUM(K3254:K3256)</f>
        <v>935600.49</v>
      </c>
      <c r="K3262" s="41"/>
      <c r="O3262" s="42">
        <f>I3250+I3251+I3253+I3257+I3258+SUM(I3254:I3256)</f>
        <v>60201.630000000005</v>
      </c>
      <c r="P3262" s="42">
        <f>K3250+K3251+K3253+K3257+K3258+SUM(K3254:K3256)</f>
        <v>935600.49</v>
      </c>
    </row>
    <row r="3263" spans="1:29" hidden="1" x14ac:dyDescent="0.25"/>
    <row r="3264" spans="1:29" ht="41.4" hidden="1" x14ac:dyDescent="0.25">
      <c r="A3264" s="27">
        <v>341</v>
      </c>
      <c r="B3264" s="27" t="str">
        <f>[1]Source!F3149</f>
        <v>3.70-224-1</v>
      </c>
      <c r="C3264" s="27" t="s">
        <v>632</v>
      </c>
      <c r="D3264" s="28" t="str">
        <f>[1]Source!H3149</f>
        <v>100 м2</v>
      </c>
      <c r="E3264" s="29">
        <f>[1]Source!I3149</f>
        <v>0.15</v>
      </c>
      <c r="F3264" s="30"/>
      <c r="G3264" s="31"/>
      <c r="H3264" s="29"/>
      <c r="I3264" s="30"/>
      <c r="J3264" s="29"/>
      <c r="K3264" s="30"/>
      <c r="Q3264">
        <f>[1]Source!X3149</f>
        <v>348.8</v>
      </c>
      <c r="R3264">
        <f>[1]Source!X3150</f>
        <v>19655.099999999999</v>
      </c>
      <c r="S3264">
        <f>[1]Source!Y3149</f>
        <v>162.78</v>
      </c>
      <c r="T3264">
        <f>[1]Source!Y3150</f>
        <v>9172.3799999999992</v>
      </c>
      <c r="U3264">
        <f>ROUND((175/100)*ROUND([1]Source!R3149, 2), 2)</f>
        <v>0.47</v>
      </c>
      <c r="V3264">
        <f>ROUND((0/100)*ROUND([1]Source!R3150, 2), 2)</f>
        <v>0</v>
      </c>
      <c r="AC3264">
        <v>0</v>
      </c>
    </row>
    <row r="3265" spans="1:29" hidden="1" x14ac:dyDescent="0.25">
      <c r="C3265" s="32" t="str">
        <f>"Объем: "&amp;[1]Source!I3149&amp;"=15/"&amp;"100"</f>
        <v>Объем: 0,15=15/100</v>
      </c>
    </row>
    <row r="3266" spans="1:29" ht="14.4" hidden="1" x14ac:dyDescent="0.25">
      <c r="A3266" s="27"/>
      <c r="B3266" s="27"/>
      <c r="C3266" s="27" t="s">
        <v>36</v>
      </c>
      <c r="D3266" s="28"/>
      <c r="E3266" s="29"/>
      <c r="F3266" s="30">
        <f>[1]Source!AO3149</f>
        <v>1825.33</v>
      </c>
      <c r="G3266" s="31" t="s">
        <v>37</v>
      </c>
      <c r="H3266" s="29">
        <f>[1]Source!AV3150</f>
        <v>1.0249999999999999</v>
      </c>
      <c r="I3266" s="30">
        <f>[1]Source!S3149</f>
        <v>387.29</v>
      </c>
      <c r="J3266" s="29">
        <f>IF([1]Source!BA3150&lt;&gt; 0, [1]Source!BA3150, 1)</f>
        <v>56.35</v>
      </c>
      <c r="K3266" s="30">
        <f>[1]Source!S3150</f>
        <v>21823.79</v>
      </c>
    </row>
    <row r="3267" spans="1:29" ht="14.4" hidden="1" x14ac:dyDescent="0.25">
      <c r="A3267" s="27"/>
      <c r="B3267" s="27"/>
      <c r="C3267" s="27" t="s">
        <v>38</v>
      </c>
      <c r="D3267" s="28"/>
      <c r="E3267" s="29"/>
      <c r="F3267" s="30">
        <f>[1]Source!AM3149</f>
        <v>14.28</v>
      </c>
      <c r="G3267" s="31" t="s">
        <v>39</v>
      </c>
      <c r="H3267" s="29">
        <f>[1]Source!AV3150</f>
        <v>1.0249999999999999</v>
      </c>
      <c r="I3267" s="30">
        <f>[1]Source!Q3149</f>
        <v>3.29</v>
      </c>
      <c r="J3267" s="29">
        <f>IF([1]Source!BB3150&lt;&gt; 0, [1]Source!BB3150, 1)</f>
        <v>14.52</v>
      </c>
      <c r="K3267" s="30">
        <f>[1]Source!Q3150</f>
        <v>47.77</v>
      </c>
    </row>
    <row r="3268" spans="1:29" ht="14.4" hidden="1" x14ac:dyDescent="0.25">
      <c r="A3268" s="27"/>
      <c r="B3268" s="27"/>
      <c r="C3268" s="27" t="s">
        <v>40</v>
      </c>
      <c r="D3268" s="28"/>
      <c r="E3268" s="29"/>
      <c r="F3268" s="30">
        <f>[1]Source!AN3149</f>
        <v>1.1599999999999999</v>
      </c>
      <c r="G3268" s="31" t="s">
        <v>39</v>
      </c>
      <c r="H3268" s="29">
        <f>[1]Source!AV3150</f>
        <v>1.0249999999999999</v>
      </c>
      <c r="I3268" s="33">
        <f>[1]Source!R3149</f>
        <v>0.27</v>
      </c>
      <c r="J3268" s="29">
        <f>IF([1]Source!BS3150&lt;&gt; 0, [1]Source!BS3150, 1)</f>
        <v>56.35</v>
      </c>
      <c r="K3268" s="33">
        <f>[1]Source!R3150</f>
        <v>15.21</v>
      </c>
    </row>
    <row r="3269" spans="1:29" ht="14.4" hidden="1" x14ac:dyDescent="0.25">
      <c r="A3269" s="27"/>
      <c r="B3269" s="27"/>
      <c r="C3269" s="27" t="s">
        <v>41</v>
      </c>
      <c r="D3269" s="28"/>
      <c r="E3269" s="29"/>
      <c r="F3269" s="30">
        <f>[1]Source!AL3149</f>
        <v>83.4</v>
      </c>
      <c r="G3269" s="31"/>
      <c r="H3269" s="29">
        <f>[1]Source!AW3150</f>
        <v>1</v>
      </c>
      <c r="I3269" s="30">
        <f>[1]Source!P3149</f>
        <v>12.51</v>
      </c>
      <c r="J3269" s="29">
        <f>IF([1]Source!BC3150&lt;&gt; 0, [1]Source!BC3150, 1)</f>
        <v>1.5</v>
      </c>
      <c r="K3269" s="30">
        <f>[1]Source!P3150</f>
        <v>18.77</v>
      </c>
    </row>
    <row r="3270" spans="1:29" ht="69" hidden="1" x14ac:dyDescent="0.25">
      <c r="A3270" s="27" t="s">
        <v>633</v>
      </c>
      <c r="B3270" s="27" t="str">
        <f>[1]Source!F3153</f>
        <v>1.3-2-35</v>
      </c>
      <c r="C3270" s="27" t="s">
        <v>634</v>
      </c>
      <c r="D3270" s="28" t="str">
        <f>[1]Source!H3153</f>
        <v>т</v>
      </c>
      <c r="E3270" s="29">
        <f>[1]Source!I3153</f>
        <v>5.6249999999999994E-2</v>
      </c>
      <c r="F3270" s="30">
        <f>[1]Source!AK3153</f>
        <v>1669.7</v>
      </c>
      <c r="G3270" s="43" t="s">
        <v>54</v>
      </c>
      <c r="H3270" s="29">
        <f>[1]Source!AW3154</f>
        <v>1</v>
      </c>
      <c r="I3270" s="30">
        <f>[1]Source!O3153</f>
        <v>93.92</v>
      </c>
      <c r="J3270" s="29">
        <f>IF([1]Source!BC3154&lt;&gt; 0, [1]Source!BC3154, 1)</f>
        <v>8</v>
      </c>
      <c r="K3270" s="30">
        <f>[1]Source!O3154</f>
        <v>751.36</v>
      </c>
      <c r="Q3270">
        <f>[1]Source!X3153</f>
        <v>0</v>
      </c>
      <c r="R3270">
        <f>[1]Source!X3154</f>
        <v>0</v>
      </c>
      <c r="S3270">
        <f>[1]Source!Y3153</f>
        <v>0</v>
      </c>
      <c r="T3270">
        <f>[1]Source!Y3154</f>
        <v>0</v>
      </c>
      <c r="U3270">
        <f>ROUND((175/100)*ROUND([1]Source!R3153, 2), 2)</f>
        <v>0</v>
      </c>
      <c r="V3270">
        <f>ROUND((0/100)*ROUND([1]Source!R3154, 2), 2)</f>
        <v>0</v>
      </c>
      <c r="AC3270">
        <v>3</v>
      </c>
    </row>
    <row r="3271" spans="1:29" ht="110.4" hidden="1" x14ac:dyDescent="0.25">
      <c r="A3271" s="27" t="s">
        <v>635</v>
      </c>
      <c r="B3271" s="27" t="str">
        <f>[1]Source!F3155</f>
        <v>1.5-1-243</v>
      </c>
      <c r="C3271" s="27" t="s">
        <v>636</v>
      </c>
      <c r="D3271" s="28" t="str">
        <f>[1]Source!H3155</f>
        <v>м2</v>
      </c>
      <c r="E3271" s="29">
        <f>[1]Source!I3155</f>
        <v>16.350000000000001</v>
      </c>
      <c r="F3271" s="30">
        <f>[1]Source!AK3155</f>
        <v>119.49</v>
      </c>
      <c r="G3271" s="43" t="s">
        <v>54</v>
      </c>
      <c r="H3271" s="29">
        <f>[1]Source!AW3156</f>
        <v>1</v>
      </c>
      <c r="I3271" s="30">
        <f>[1]Source!O3155</f>
        <v>1953.66</v>
      </c>
      <c r="J3271" s="29">
        <f>IF([1]Source!BC3156&lt;&gt; 0, [1]Source!BC3156, 1)</f>
        <v>19.5</v>
      </c>
      <c r="K3271" s="30">
        <f>[1]Source!O3156</f>
        <v>38096.370000000003</v>
      </c>
      <c r="Q3271">
        <f>[1]Source!X3155</f>
        <v>0</v>
      </c>
      <c r="R3271">
        <f>[1]Source!X3156</f>
        <v>0</v>
      </c>
      <c r="S3271">
        <f>[1]Source!Y3155</f>
        <v>0</v>
      </c>
      <c r="T3271">
        <f>[1]Source!Y3156</f>
        <v>0</v>
      </c>
      <c r="U3271">
        <f>ROUND((175/100)*ROUND([1]Source!R3155, 2), 2)</f>
        <v>0</v>
      </c>
      <c r="V3271">
        <f>ROUND((0/100)*ROUND([1]Source!R3156, 2), 2)</f>
        <v>0</v>
      </c>
      <c r="AC3271">
        <v>3</v>
      </c>
    </row>
    <row r="3272" spans="1:29" ht="14.4" hidden="1" x14ac:dyDescent="0.25">
      <c r="A3272" s="27"/>
      <c r="B3272" s="27"/>
      <c r="C3272" s="27" t="s">
        <v>42</v>
      </c>
      <c r="D3272" s="28" t="s">
        <v>43</v>
      </c>
      <c r="E3272" s="29">
        <f>[1]Source!BZ3150</f>
        <v>90</v>
      </c>
      <c r="F3272" s="30"/>
      <c r="G3272" s="31"/>
      <c r="H3272" s="29"/>
      <c r="I3272" s="30">
        <f>SUM(Q3264:Q3271)</f>
        <v>348.8</v>
      </c>
      <c r="J3272" s="29">
        <f>[1]Source!AT3150</f>
        <v>90</v>
      </c>
      <c r="K3272" s="30">
        <f>SUM(R3264:R3271)</f>
        <v>19655.099999999999</v>
      </c>
    </row>
    <row r="3273" spans="1:29" ht="14.4" hidden="1" x14ac:dyDescent="0.25">
      <c r="A3273" s="27"/>
      <c r="B3273" s="27"/>
      <c r="C3273" s="27" t="s">
        <v>44</v>
      </c>
      <c r="D3273" s="28" t="s">
        <v>43</v>
      </c>
      <c r="E3273" s="29">
        <f>[1]Source!CA3150</f>
        <v>42</v>
      </c>
      <c r="F3273" s="30"/>
      <c r="G3273" s="31"/>
      <c r="H3273" s="29"/>
      <c r="I3273" s="30">
        <f>SUM(S3264:S3272)</f>
        <v>162.78</v>
      </c>
      <c r="J3273" s="29">
        <f>[1]Source!AU3150</f>
        <v>42</v>
      </c>
      <c r="K3273" s="30">
        <f>SUM(T3264:T3272)</f>
        <v>9172.3799999999992</v>
      </c>
    </row>
    <row r="3274" spans="1:29" ht="14.4" hidden="1" x14ac:dyDescent="0.25">
      <c r="A3274" s="34"/>
      <c r="B3274" s="34"/>
      <c r="C3274" s="34" t="s">
        <v>45</v>
      </c>
      <c r="D3274" s="35" t="s">
        <v>46</v>
      </c>
      <c r="E3274" s="36">
        <f>[1]Source!AQ3149</f>
        <v>115.26</v>
      </c>
      <c r="F3274" s="37"/>
      <c r="G3274" s="38" t="s">
        <v>37</v>
      </c>
      <c r="H3274" s="36">
        <f>[1]Source!AV3150</f>
        <v>1.0249999999999999</v>
      </c>
      <c r="I3274" s="37">
        <f>[1]Source!U3149</f>
        <v>24.455290499999993</v>
      </c>
      <c r="J3274" s="36"/>
      <c r="K3274" s="37"/>
    </row>
    <row r="3275" spans="1:29" ht="13.8" hidden="1" x14ac:dyDescent="0.25">
      <c r="C3275" s="39" t="s">
        <v>47</v>
      </c>
      <c r="H3275" s="40">
        <f>I3266+I3267+I3269+I3272+I3273+SUM(I3270:I3271)-SUMIF(AC3270:AC3271, 5, I3270:I3271)-SUMIF(AC3270:AC3271, 6, I3270:I3271)</f>
        <v>2962.25</v>
      </c>
      <c r="I3275" s="40"/>
      <c r="J3275" s="40">
        <f>K3266+K3267+K3269+K3272+K3273+SUM(K3270:K3271)-SUMIF(AC3270:AC3271, 5, K3270:K3271)-SUMIF(AC3270:AC3271, 6, K3270:K3271)</f>
        <v>89565.540000000008</v>
      </c>
      <c r="K3275" s="40"/>
    </row>
    <row r="3276" spans="1:29" ht="13.8" hidden="1" x14ac:dyDescent="0.25">
      <c r="C3276" s="39" t="s">
        <v>48</v>
      </c>
      <c r="H3276" s="41">
        <f>SUMIF(AC3270:AC3271, 5, I3270:I3271)+SUMIF(AC3270:AC3271, 6, I3270:I3271)</f>
        <v>0</v>
      </c>
      <c r="I3276" s="41"/>
      <c r="J3276" s="41">
        <f>SUMIF(AC3270:AC3271, 5, K3270:K3271)+SUMIF(AC3270:AC3271, 6, K3270:K3271)</f>
        <v>0</v>
      </c>
      <c r="K3276" s="41"/>
    </row>
    <row r="3277" spans="1:29" ht="13.8" hidden="1" x14ac:dyDescent="0.25">
      <c r="C3277" s="39" t="s">
        <v>49</v>
      </c>
      <c r="H3277" s="41">
        <f>I3266+I3267+I3269+I3272+I3273+SUM(I3270:I3271)</f>
        <v>2962.25</v>
      </c>
      <c r="I3277" s="41"/>
      <c r="J3277" s="41">
        <f>K3266+K3267+K3269+K3272+K3273+SUM(K3270:K3271)</f>
        <v>89565.540000000008</v>
      </c>
      <c r="K3277" s="41"/>
      <c r="O3277" s="42">
        <f>I3266+I3267+I3269+I3272+I3273+SUM(I3270:I3271)</f>
        <v>2962.25</v>
      </c>
      <c r="P3277" s="42">
        <f>K3266+K3267+K3269+K3272+K3273+SUM(K3270:K3271)</f>
        <v>89565.540000000008</v>
      </c>
    </row>
    <row r="3278" spans="1:29" hidden="1" x14ac:dyDescent="0.25"/>
    <row r="3279" spans="1:29" ht="69" hidden="1" x14ac:dyDescent="0.25">
      <c r="A3279" s="27">
        <v>342</v>
      </c>
      <c r="B3279" s="27" t="str">
        <f>[1]Source!F3157</f>
        <v>3.70-228-4</v>
      </c>
      <c r="C3279" s="27" t="s">
        <v>637</v>
      </c>
      <c r="D3279" s="28" t="str">
        <f>[1]Source!H3157</f>
        <v>100 м2</v>
      </c>
      <c r="E3279" s="29">
        <f>[1]Source!I3157</f>
        <v>8.6199999999999992</v>
      </c>
      <c r="F3279" s="30"/>
      <c r="G3279" s="31"/>
      <c r="H3279" s="29"/>
      <c r="I3279" s="30"/>
      <c r="J3279" s="29"/>
      <c r="K3279" s="30"/>
      <c r="Q3279">
        <f>[1]Source!X3157</f>
        <v>15244.77</v>
      </c>
      <c r="R3279">
        <f>[1]Source!X3158</f>
        <v>859042.62</v>
      </c>
      <c r="S3279">
        <f>[1]Source!Y3157</f>
        <v>7114.22</v>
      </c>
      <c r="T3279">
        <f>[1]Source!Y3158</f>
        <v>400886.56</v>
      </c>
      <c r="U3279">
        <f>ROUND((175/100)*ROUND([1]Source!R3157, 2), 2)</f>
        <v>301.51</v>
      </c>
      <c r="V3279">
        <f>ROUND((0/100)*ROUND([1]Source!R3158, 2), 2)</f>
        <v>0</v>
      </c>
      <c r="AC3279">
        <v>0</v>
      </c>
    </row>
    <row r="3280" spans="1:29" hidden="1" x14ac:dyDescent="0.25">
      <c r="C3280" s="32" t="str">
        <f>"Объем: "&amp;[1]Source!I3157&amp;"=862/"&amp;"100"</f>
        <v>Объем: 8,62=862/100</v>
      </c>
    </row>
    <row r="3281" spans="1:29" ht="14.4" hidden="1" x14ac:dyDescent="0.25">
      <c r="A3281" s="27"/>
      <c r="B3281" s="27"/>
      <c r="C3281" s="27" t="s">
        <v>36</v>
      </c>
      <c r="D3281" s="28"/>
      <c r="E3281" s="29"/>
      <c r="F3281" s="30">
        <f>[1]Source!AO3157</f>
        <v>1375.08</v>
      </c>
      <c r="G3281" s="31" t="s">
        <v>37</v>
      </c>
      <c r="H3281" s="29">
        <f>[1]Source!AV3158</f>
        <v>1.0249999999999999</v>
      </c>
      <c r="I3281" s="30">
        <f>[1]Source!S3157</f>
        <v>16766.34</v>
      </c>
      <c r="J3281" s="29">
        <f>IF([1]Source!BA3158&lt;&gt; 0, [1]Source!BA3158, 1)</f>
        <v>56.35</v>
      </c>
      <c r="K3281" s="30">
        <f>[1]Source!S3158</f>
        <v>944783.26</v>
      </c>
    </row>
    <row r="3282" spans="1:29" ht="14.4" hidden="1" x14ac:dyDescent="0.25">
      <c r="A3282" s="27"/>
      <c r="B3282" s="27"/>
      <c r="C3282" s="27" t="s">
        <v>38</v>
      </c>
      <c r="D3282" s="28"/>
      <c r="E3282" s="29"/>
      <c r="F3282" s="30">
        <f>[1]Source!AM3157</f>
        <v>74.400000000000006</v>
      </c>
      <c r="G3282" s="31" t="s">
        <v>39</v>
      </c>
      <c r="H3282" s="29">
        <f>[1]Source!AV3158</f>
        <v>1.0249999999999999</v>
      </c>
      <c r="I3282" s="30">
        <f>[1]Source!Q3157</f>
        <v>986.04</v>
      </c>
      <c r="J3282" s="29">
        <f>IF([1]Source!BB3158&lt;&gt; 0, [1]Source!BB3158, 1)</f>
        <v>18.84</v>
      </c>
      <c r="K3282" s="30">
        <f>[1]Source!Q3158</f>
        <v>18576.990000000002</v>
      </c>
    </row>
    <row r="3283" spans="1:29" ht="14.4" hidden="1" x14ac:dyDescent="0.25">
      <c r="A3283" s="27"/>
      <c r="B3283" s="27"/>
      <c r="C3283" s="27" t="s">
        <v>40</v>
      </c>
      <c r="D3283" s="28"/>
      <c r="E3283" s="29"/>
      <c r="F3283" s="30">
        <f>[1]Source!AN3157</f>
        <v>13</v>
      </c>
      <c r="G3283" s="31" t="s">
        <v>39</v>
      </c>
      <c r="H3283" s="29">
        <f>[1]Source!AV3158</f>
        <v>1.0249999999999999</v>
      </c>
      <c r="I3283" s="33">
        <f>[1]Source!R3157</f>
        <v>172.29</v>
      </c>
      <c r="J3283" s="29">
        <f>IF([1]Source!BS3158&lt;&gt; 0, [1]Source!BS3158, 1)</f>
        <v>56.35</v>
      </c>
      <c r="K3283" s="33">
        <f>[1]Source!R3158</f>
        <v>9708.5400000000009</v>
      </c>
    </row>
    <row r="3284" spans="1:29" ht="14.4" hidden="1" x14ac:dyDescent="0.25">
      <c r="A3284" s="27"/>
      <c r="B3284" s="27"/>
      <c r="C3284" s="27" t="s">
        <v>41</v>
      </c>
      <c r="D3284" s="28"/>
      <c r="E3284" s="29"/>
      <c r="F3284" s="30">
        <f>[1]Source!AL3157</f>
        <v>211.39</v>
      </c>
      <c r="G3284" s="31"/>
      <c r="H3284" s="29">
        <f>[1]Source!AW3158</f>
        <v>1</v>
      </c>
      <c r="I3284" s="30">
        <f>[1]Source!P3157</f>
        <v>1822.18</v>
      </c>
      <c r="J3284" s="29">
        <f>IF([1]Source!BC3158&lt;&gt; 0, [1]Source!BC3158, 1)</f>
        <v>1.41</v>
      </c>
      <c r="K3284" s="30">
        <f>[1]Source!P3158</f>
        <v>2569.27</v>
      </c>
    </row>
    <row r="3285" spans="1:29" ht="41.4" hidden="1" x14ac:dyDescent="0.25">
      <c r="A3285" s="27" t="s">
        <v>638</v>
      </c>
      <c r="B3285" s="27" t="str">
        <f>[1]Source!F3159</f>
        <v>1.1-1-8206</v>
      </c>
      <c r="C3285" s="27" t="s">
        <v>639</v>
      </c>
      <c r="D3285" s="28" t="str">
        <f>[1]Source!H3159</f>
        <v>100 шт.</v>
      </c>
      <c r="E3285" s="29">
        <f>[1]Source!I3159</f>
        <v>91.285799999999995</v>
      </c>
      <c r="F3285" s="30">
        <f>[1]Source!AK3159</f>
        <v>4.34</v>
      </c>
      <c r="G3285" s="43" t="s">
        <v>54</v>
      </c>
      <c r="H3285" s="29">
        <f>[1]Source!AW3160</f>
        <v>1</v>
      </c>
      <c r="I3285" s="30">
        <f>[1]Source!O3159</f>
        <v>396.18</v>
      </c>
      <c r="J3285" s="29">
        <f>IF([1]Source!BC3160&lt;&gt; 0, [1]Source!BC3160, 1)</f>
        <v>10.029999999999999</v>
      </c>
      <c r="K3285" s="30">
        <f>[1]Source!O3160</f>
        <v>3973.69</v>
      </c>
      <c r="Q3285">
        <f>[1]Source!X3159</f>
        <v>0</v>
      </c>
      <c r="R3285">
        <f>[1]Source!X3160</f>
        <v>0</v>
      </c>
      <c r="S3285">
        <f>[1]Source!Y3159</f>
        <v>0</v>
      </c>
      <c r="T3285">
        <f>[1]Source!Y3160</f>
        <v>0</v>
      </c>
      <c r="U3285">
        <f>ROUND((175/100)*ROUND([1]Source!R3159, 2), 2)</f>
        <v>0</v>
      </c>
      <c r="V3285">
        <f>ROUND((0/100)*ROUND([1]Source!R3160, 2), 2)</f>
        <v>0</v>
      </c>
      <c r="AC3285">
        <v>3</v>
      </c>
    </row>
    <row r="3286" spans="1:29" ht="69" hidden="1" x14ac:dyDescent="0.25">
      <c r="A3286" s="27" t="s">
        <v>640</v>
      </c>
      <c r="B3286" s="27" t="str">
        <f>[1]Source!F3161</f>
        <v>1.1-1-3108</v>
      </c>
      <c r="C3286" s="27" t="s">
        <v>79</v>
      </c>
      <c r="D3286" s="28" t="str">
        <f>[1]Source!H3161</f>
        <v>кг</v>
      </c>
      <c r="E3286" s="29">
        <f>[1]Source!I3161</f>
        <v>120.68</v>
      </c>
      <c r="F3286" s="30">
        <f>[1]Source!AK3161</f>
        <v>17.649999999999999</v>
      </c>
      <c r="G3286" s="43" t="s">
        <v>54</v>
      </c>
      <c r="H3286" s="29">
        <f>[1]Source!AW3162</f>
        <v>1</v>
      </c>
      <c r="I3286" s="30">
        <f>[1]Source!O3161</f>
        <v>2130</v>
      </c>
      <c r="J3286" s="29">
        <f>IF([1]Source!BC3162&lt;&gt; 0, [1]Source!BC3162, 1)</f>
        <v>5</v>
      </c>
      <c r="K3286" s="30">
        <f>[1]Source!O3162</f>
        <v>10650</v>
      </c>
      <c r="Q3286">
        <f>[1]Source!X3161</f>
        <v>0</v>
      </c>
      <c r="R3286">
        <f>[1]Source!X3162</f>
        <v>0</v>
      </c>
      <c r="S3286">
        <f>[1]Source!Y3161</f>
        <v>0</v>
      </c>
      <c r="T3286">
        <f>[1]Source!Y3162</f>
        <v>0</v>
      </c>
      <c r="U3286">
        <f>ROUND((175/100)*ROUND([1]Source!R3161, 2), 2)</f>
        <v>0</v>
      </c>
      <c r="V3286">
        <f>ROUND((0/100)*ROUND([1]Source!R3162, 2), 2)</f>
        <v>0</v>
      </c>
      <c r="AC3286">
        <v>3</v>
      </c>
    </row>
    <row r="3287" spans="1:29" ht="96.6" hidden="1" x14ac:dyDescent="0.25">
      <c r="A3287" s="27" t="s">
        <v>641</v>
      </c>
      <c r="B3287" s="27" t="str">
        <f>[1]Source!F3163</f>
        <v>1.3-2-50</v>
      </c>
      <c r="C3287" s="27" t="s">
        <v>131</v>
      </c>
      <c r="D3287" s="28" t="str">
        <f>[1]Source!H3163</f>
        <v>т</v>
      </c>
      <c r="E3287" s="29">
        <f>[1]Source!I3163</f>
        <v>0.3448</v>
      </c>
      <c r="F3287" s="30">
        <f>[1]Source!AK3163</f>
        <v>5978.05</v>
      </c>
      <c r="G3287" s="43" t="s">
        <v>54</v>
      </c>
      <c r="H3287" s="29">
        <f>[1]Source!AW3164</f>
        <v>1</v>
      </c>
      <c r="I3287" s="30">
        <f>[1]Source!O3163</f>
        <v>2061.23</v>
      </c>
      <c r="J3287" s="29">
        <f>IF([1]Source!BC3164&lt;&gt; 0, [1]Source!BC3164, 1)</f>
        <v>15.31</v>
      </c>
      <c r="K3287" s="30">
        <f>[1]Source!O3164</f>
        <v>31557.43</v>
      </c>
      <c r="Q3287">
        <f>[1]Source!X3163</f>
        <v>0</v>
      </c>
      <c r="R3287">
        <f>[1]Source!X3164</f>
        <v>0</v>
      </c>
      <c r="S3287">
        <f>[1]Source!Y3163</f>
        <v>0</v>
      </c>
      <c r="T3287">
        <f>[1]Source!Y3164</f>
        <v>0</v>
      </c>
      <c r="U3287">
        <f>ROUND((175/100)*ROUND([1]Source!R3163, 2), 2)</f>
        <v>0</v>
      </c>
      <c r="V3287">
        <f>ROUND((0/100)*ROUND([1]Source!R3164, 2), 2)</f>
        <v>0</v>
      </c>
      <c r="AC3287">
        <v>3</v>
      </c>
    </row>
    <row r="3288" spans="1:29" ht="69" hidden="1" x14ac:dyDescent="0.25">
      <c r="A3288" s="27" t="s">
        <v>642</v>
      </c>
      <c r="B3288" s="27" t="str">
        <f>[1]Source!F3165</f>
        <v>1.3-2-35</v>
      </c>
      <c r="C3288" s="27" t="s">
        <v>634</v>
      </c>
      <c r="D3288" s="28" t="str">
        <f>[1]Source!H3165</f>
        <v>т</v>
      </c>
      <c r="E3288" s="29">
        <f>[1]Source!I3165</f>
        <v>4.9702919999999997</v>
      </c>
      <c r="F3288" s="30">
        <f>[1]Source!AK3165</f>
        <v>1669.7</v>
      </c>
      <c r="G3288" s="43" t="s">
        <v>54</v>
      </c>
      <c r="H3288" s="29">
        <f>[1]Source!AW3166</f>
        <v>1</v>
      </c>
      <c r="I3288" s="30">
        <f>[1]Source!O3165</f>
        <v>8298.9</v>
      </c>
      <c r="J3288" s="29">
        <f>IF([1]Source!BC3166&lt;&gt; 0, [1]Source!BC3166, 1)</f>
        <v>8</v>
      </c>
      <c r="K3288" s="30">
        <f>[1]Source!O3166</f>
        <v>66391.199999999997</v>
      </c>
      <c r="Q3288">
        <f>[1]Source!X3165</f>
        <v>0</v>
      </c>
      <c r="R3288">
        <f>[1]Source!X3166</f>
        <v>0</v>
      </c>
      <c r="S3288">
        <f>[1]Source!Y3165</f>
        <v>0</v>
      </c>
      <c r="T3288">
        <f>[1]Source!Y3166</f>
        <v>0</v>
      </c>
      <c r="U3288">
        <f>ROUND((175/100)*ROUND([1]Source!R3165, 2), 2)</f>
        <v>0</v>
      </c>
      <c r="V3288">
        <f>ROUND((0/100)*ROUND([1]Source!R3166, 2), 2)</f>
        <v>0</v>
      </c>
      <c r="AC3288">
        <v>3</v>
      </c>
    </row>
    <row r="3289" spans="1:29" ht="55.2" hidden="1" x14ac:dyDescent="0.25">
      <c r="A3289" s="27" t="s">
        <v>643</v>
      </c>
      <c r="B3289" s="27" t="str">
        <f>[1]Source!F3167</f>
        <v>1.1-1-3225</v>
      </c>
      <c r="C3289" s="27" t="s">
        <v>126</v>
      </c>
      <c r="D3289" s="28" t="str">
        <f>[1]Source!H3167</f>
        <v>м2</v>
      </c>
      <c r="E3289" s="29">
        <f>[1]Source!I3167</f>
        <v>939.58</v>
      </c>
      <c r="F3289" s="30">
        <f>[1]Source!AK3167</f>
        <v>124.57</v>
      </c>
      <c r="G3289" s="43" t="s">
        <v>54</v>
      </c>
      <c r="H3289" s="29">
        <f>[1]Source!AW3168</f>
        <v>1</v>
      </c>
      <c r="I3289" s="30">
        <f>[1]Source!O3167</f>
        <v>117043.48</v>
      </c>
      <c r="J3289" s="29">
        <f>IF([1]Source!BC3168&lt;&gt; 0, [1]Source!BC3168, 1)</f>
        <v>6.63</v>
      </c>
      <c r="K3289" s="30">
        <f>[1]Source!O3168</f>
        <v>775998.27</v>
      </c>
      <c r="Q3289">
        <f>[1]Source!X3167</f>
        <v>0</v>
      </c>
      <c r="R3289">
        <f>[1]Source!X3168</f>
        <v>0</v>
      </c>
      <c r="S3289">
        <f>[1]Source!Y3167</f>
        <v>0</v>
      </c>
      <c r="T3289">
        <f>[1]Source!Y3168</f>
        <v>0</v>
      </c>
      <c r="U3289">
        <f>ROUND((175/100)*ROUND([1]Source!R3167, 2), 2)</f>
        <v>0</v>
      </c>
      <c r="V3289">
        <f>ROUND((0/100)*ROUND([1]Source!R3168, 2), 2)</f>
        <v>0</v>
      </c>
      <c r="AC3289">
        <v>3</v>
      </c>
    </row>
    <row r="3290" spans="1:29" ht="14.4" hidden="1" x14ac:dyDescent="0.25">
      <c r="A3290" s="27"/>
      <c r="B3290" s="27"/>
      <c r="C3290" s="27" t="s">
        <v>42</v>
      </c>
      <c r="D3290" s="28" t="s">
        <v>43</v>
      </c>
      <c r="E3290" s="29">
        <f>[1]Source!BZ3158</f>
        <v>90</v>
      </c>
      <c r="F3290" s="30"/>
      <c r="G3290" s="31"/>
      <c r="H3290" s="29"/>
      <c r="I3290" s="30">
        <f>SUM(Q3279:Q3289)</f>
        <v>15244.77</v>
      </c>
      <c r="J3290" s="29">
        <f>[1]Source!AT3158</f>
        <v>90</v>
      </c>
      <c r="K3290" s="30">
        <f>SUM(R3279:R3289)</f>
        <v>859042.62</v>
      </c>
    </row>
    <row r="3291" spans="1:29" ht="14.4" hidden="1" x14ac:dyDescent="0.25">
      <c r="A3291" s="27"/>
      <c r="B3291" s="27"/>
      <c r="C3291" s="27" t="s">
        <v>44</v>
      </c>
      <c r="D3291" s="28" t="s">
        <v>43</v>
      </c>
      <c r="E3291" s="29">
        <f>[1]Source!CA3158</f>
        <v>42</v>
      </c>
      <c r="F3291" s="30"/>
      <c r="G3291" s="31"/>
      <c r="H3291" s="29"/>
      <c r="I3291" s="30">
        <f>SUM(S3279:S3290)</f>
        <v>7114.22</v>
      </c>
      <c r="J3291" s="29">
        <f>[1]Source!AU3158</f>
        <v>42</v>
      </c>
      <c r="K3291" s="30">
        <f>SUM(T3279:T3290)</f>
        <v>400886.56</v>
      </c>
    </row>
    <row r="3292" spans="1:29" ht="14.4" hidden="1" x14ac:dyDescent="0.25">
      <c r="A3292" s="34"/>
      <c r="B3292" s="34"/>
      <c r="C3292" s="34" t="s">
        <v>45</v>
      </c>
      <c r="D3292" s="35" t="s">
        <v>46</v>
      </c>
      <c r="E3292" s="36">
        <f>[1]Source!AQ3157</f>
        <v>82.95</v>
      </c>
      <c r="F3292" s="37"/>
      <c r="G3292" s="38" t="s">
        <v>37</v>
      </c>
      <c r="H3292" s="36">
        <f>[1]Source!AV3158</f>
        <v>1.0249999999999999</v>
      </c>
      <c r="I3292" s="37">
        <f>[1]Source!U3157</f>
        <v>1011.4085204999998</v>
      </c>
      <c r="J3292" s="36"/>
      <c r="K3292" s="37"/>
    </row>
    <row r="3293" spans="1:29" ht="13.8" hidden="1" x14ac:dyDescent="0.25">
      <c r="C3293" s="39" t="s">
        <v>47</v>
      </c>
      <c r="H3293" s="40">
        <f>I3281+I3282+I3284+I3290+I3291+SUM(I3285:I3289)-SUMIF(AC3285:AC3289, 5, I3285:I3289)-SUMIF(AC3285:AC3289, 6, I3285:I3289)</f>
        <v>171863.34</v>
      </c>
      <c r="I3293" s="40"/>
      <c r="J3293" s="40">
        <f>K3281+K3282+K3284+K3290+K3291+SUM(K3285:K3289)-SUMIF(AC3285:AC3289, 5, K3285:K3289)-SUMIF(AC3285:AC3289, 6, K3285:K3289)</f>
        <v>3114429.29</v>
      </c>
      <c r="K3293" s="40"/>
    </row>
    <row r="3294" spans="1:29" ht="13.8" hidden="1" x14ac:dyDescent="0.25">
      <c r="C3294" s="39" t="s">
        <v>48</v>
      </c>
      <c r="H3294" s="41">
        <f>SUMIF(AC3285:AC3289, 5, I3285:I3289)+SUMIF(AC3285:AC3289, 6, I3285:I3289)</f>
        <v>0</v>
      </c>
      <c r="I3294" s="41"/>
      <c r="J3294" s="41">
        <f>SUMIF(AC3285:AC3289, 5, K3285:K3289)+SUMIF(AC3285:AC3289, 6, K3285:K3289)</f>
        <v>0</v>
      </c>
      <c r="K3294" s="41"/>
    </row>
    <row r="3295" spans="1:29" ht="13.8" hidden="1" x14ac:dyDescent="0.25">
      <c r="C3295" s="39" t="s">
        <v>49</v>
      </c>
      <c r="H3295" s="41">
        <f>I3281+I3282+I3284+I3290+I3291+SUM(I3285:I3289)</f>
        <v>171863.34</v>
      </c>
      <c r="I3295" s="41"/>
      <c r="J3295" s="41">
        <f>K3281+K3282+K3284+K3290+K3291+SUM(K3285:K3289)</f>
        <v>3114429.29</v>
      </c>
      <c r="K3295" s="41"/>
      <c r="O3295" s="42">
        <f>I3281+I3282+I3284+I3290+I3291+SUM(I3285:I3289)</f>
        <v>171863.34</v>
      </c>
      <c r="P3295" s="42">
        <f>K3281+K3282+K3284+K3290+K3291+SUM(K3285:K3289)</f>
        <v>3114429.29</v>
      </c>
    </row>
    <row r="3296" spans="1:29" hidden="1" x14ac:dyDescent="0.25"/>
    <row r="3297" spans="1:29" ht="69" hidden="1" x14ac:dyDescent="0.25">
      <c r="A3297" s="27">
        <v>343</v>
      </c>
      <c r="B3297" s="27" t="str">
        <f>[1]Source!F3169</f>
        <v>3.70-228-5</v>
      </c>
      <c r="C3297" s="27" t="s">
        <v>644</v>
      </c>
      <c r="D3297" s="28" t="str">
        <f>[1]Source!H3169</f>
        <v>100 м2</v>
      </c>
      <c r="E3297" s="29">
        <f>[1]Source!I3169</f>
        <v>2.7</v>
      </c>
      <c r="F3297" s="30"/>
      <c r="G3297" s="31"/>
      <c r="H3297" s="29"/>
      <c r="I3297" s="30"/>
      <c r="J3297" s="29"/>
      <c r="K3297" s="30"/>
      <c r="Q3297">
        <f>[1]Source!X3169</f>
        <v>4918.22</v>
      </c>
      <c r="R3297">
        <f>[1]Source!X3170</f>
        <v>277141.75</v>
      </c>
      <c r="S3297">
        <f>[1]Source!Y3169</f>
        <v>2295.17</v>
      </c>
      <c r="T3297">
        <f>[1]Source!Y3170</f>
        <v>129332.82</v>
      </c>
      <c r="U3297">
        <f>ROUND((175/100)*ROUND([1]Source!R3169, 2), 2)</f>
        <v>99.02</v>
      </c>
      <c r="V3297">
        <f>ROUND((0/100)*ROUND([1]Source!R3170, 2), 2)</f>
        <v>0</v>
      </c>
      <c r="AC3297">
        <v>0</v>
      </c>
    </row>
    <row r="3298" spans="1:29" hidden="1" x14ac:dyDescent="0.25">
      <c r="C3298" s="32" t="str">
        <f>"Объем: "&amp;[1]Source!I3169&amp;"=270/"&amp;"100"</f>
        <v>Объем: 2,7=270/100</v>
      </c>
    </row>
    <row r="3299" spans="1:29" ht="14.4" hidden="1" x14ac:dyDescent="0.25">
      <c r="A3299" s="27"/>
      <c r="B3299" s="27"/>
      <c r="C3299" s="27" t="s">
        <v>36</v>
      </c>
      <c r="D3299" s="28"/>
      <c r="E3299" s="29"/>
      <c r="F3299" s="30">
        <f>[1]Source!AO3169</f>
        <v>1416.05</v>
      </c>
      <c r="G3299" s="31" t="s">
        <v>37</v>
      </c>
      <c r="H3299" s="29">
        <f>[1]Source!AV3170</f>
        <v>1.0249999999999999</v>
      </c>
      <c r="I3299" s="30">
        <f>[1]Source!S3169</f>
        <v>5408.11</v>
      </c>
      <c r="J3299" s="29">
        <f>IF([1]Source!BA3170&lt;&gt; 0, [1]Source!BA3170, 1)</f>
        <v>56.35</v>
      </c>
      <c r="K3299" s="30">
        <f>[1]Source!S3170</f>
        <v>304747</v>
      </c>
    </row>
    <row r="3300" spans="1:29" ht="14.4" hidden="1" x14ac:dyDescent="0.25">
      <c r="A3300" s="27"/>
      <c r="B3300" s="27"/>
      <c r="C3300" s="27" t="s">
        <v>38</v>
      </c>
      <c r="D3300" s="28"/>
      <c r="E3300" s="29"/>
      <c r="F3300" s="30">
        <f>[1]Source!AM3169</f>
        <v>77.97</v>
      </c>
      <c r="G3300" s="31" t="s">
        <v>39</v>
      </c>
      <c r="H3300" s="29">
        <f>[1]Source!AV3170</f>
        <v>1.0249999999999999</v>
      </c>
      <c r="I3300" s="30">
        <f>[1]Source!Q3169</f>
        <v>323.67</v>
      </c>
      <c r="J3300" s="29">
        <f>IF([1]Source!BB3170&lt;&gt; 0, [1]Source!BB3170, 1)</f>
        <v>18.850000000000001</v>
      </c>
      <c r="K3300" s="30">
        <f>[1]Source!Q3170</f>
        <v>6101.18</v>
      </c>
    </row>
    <row r="3301" spans="1:29" ht="14.4" hidden="1" x14ac:dyDescent="0.25">
      <c r="A3301" s="27"/>
      <c r="B3301" s="27"/>
      <c r="C3301" s="27" t="s">
        <v>40</v>
      </c>
      <c r="D3301" s="28"/>
      <c r="E3301" s="29"/>
      <c r="F3301" s="30">
        <f>[1]Source!AN3169</f>
        <v>13.63</v>
      </c>
      <c r="G3301" s="31" t="s">
        <v>39</v>
      </c>
      <c r="H3301" s="29">
        <f>[1]Source!AV3170</f>
        <v>1.0249999999999999</v>
      </c>
      <c r="I3301" s="33">
        <f>[1]Source!R3169</f>
        <v>56.58</v>
      </c>
      <c r="J3301" s="29">
        <f>IF([1]Source!BS3170&lt;&gt; 0, [1]Source!BS3170, 1)</f>
        <v>56.35</v>
      </c>
      <c r="K3301" s="33">
        <f>[1]Source!R3170</f>
        <v>3188.28</v>
      </c>
    </row>
    <row r="3302" spans="1:29" ht="14.4" hidden="1" x14ac:dyDescent="0.25">
      <c r="A3302" s="27"/>
      <c r="B3302" s="27"/>
      <c r="C3302" s="27" t="s">
        <v>41</v>
      </c>
      <c r="D3302" s="28"/>
      <c r="E3302" s="29"/>
      <c r="F3302" s="30">
        <f>[1]Source!AL3169</f>
        <v>214.09</v>
      </c>
      <c r="G3302" s="31"/>
      <c r="H3302" s="29">
        <f>[1]Source!AW3170</f>
        <v>1</v>
      </c>
      <c r="I3302" s="30">
        <f>[1]Source!P3169</f>
        <v>578.04</v>
      </c>
      <c r="J3302" s="29">
        <f>IF([1]Source!BC3170&lt;&gt; 0, [1]Source!BC3170, 1)</f>
        <v>1.43</v>
      </c>
      <c r="K3302" s="30">
        <f>[1]Source!P3170</f>
        <v>826.6</v>
      </c>
    </row>
    <row r="3303" spans="1:29" ht="41.4" hidden="1" x14ac:dyDescent="0.25">
      <c r="A3303" s="27" t="s">
        <v>645</v>
      </c>
      <c r="B3303" s="27" t="str">
        <f>[1]Source!F3171</f>
        <v>1.1-1-8206</v>
      </c>
      <c r="C3303" s="27" t="s">
        <v>639</v>
      </c>
      <c r="D3303" s="28" t="str">
        <f>[1]Source!H3171</f>
        <v>100 шт.</v>
      </c>
      <c r="E3303" s="29">
        <f>[1]Source!I3171</f>
        <v>18.576000000000001</v>
      </c>
      <c r="F3303" s="30">
        <f>[1]Source!AK3171</f>
        <v>4.34</v>
      </c>
      <c r="G3303" s="43" t="s">
        <v>54</v>
      </c>
      <c r="H3303" s="29">
        <f>[1]Source!AW3172</f>
        <v>1</v>
      </c>
      <c r="I3303" s="30">
        <f>[1]Source!O3171</f>
        <v>80.62</v>
      </c>
      <c r="J3303" s="29">
        <f>IF([1]Source!BC3172&lt;&gt; 0, [1]Source!BC3172, 1)</f>
        <v>10.029999999999999</v>
      </c>
      <c r="K3303" s="30">
        <f>[1]Source!O3172</f>
        <v>808.62</v>
      </c>
      <c r="Q3303">
        <f>[1]Source!X3171</f>
        <v>0</v>
      </c>
      <c r="R3303">
        <f>[1]Source!X3172</f>
        <v>0</v>
      </c>
      <c r="S3303">
        <f>[1]Source!Y3171</f>
        <v>0</v>
      </c>
      <c r="T3303">
        <f>[1]Source!Y3172</f>
        <v>0</v>
      </c>
      <c r="U3303">
        <f>ROUND((175/100)*ROUND([1]Source!R3171, 2), 2)</f>
        <v>0</v>
      </c>
      <c r="V3303">
        <f>ROUND((0/100)*ROUND([1]Source!R3172, 2), 2)</f>
        <v>0</v>
      </c>
      <c r="AC3303">
        <v>3</v>
      </c>
    </row>
    <row r="3304" spans="1:29" ht="69" hidden="1" x14ac:dyDescent="0.25">
      <c r="A3304" s="27" t="s">
        <v>646</v>
      </c>
      <c r="B3304" s="27" t="str">
        <f>[1]Source!F3173</f>
        <v>1.1-1-3108</v>
      </c>
      <c r="C3304" s="27" t="s">
        <v>79</v>
      </c>
      <c r="D3304" s="28" t="str">
        <f>[1]Source!H3173</f>
        <v>кг</v>
      </c>
      <c r="E3304" s="29">
        <f>[1]Source!I3173</f>
        <v>37.799999999999997</v>
      </c>
      <c r="F3304" s="30">
        <f>[1]Source!AK3173</f>
        <v>17.649999999999999</v>
      </c>
      <c r="G3304" s="43" t="s">
        <v>54</v>
      </c>
      <c r="H3304" s="29">
        <f>[1]Source!AW3174</f>
        <v>1</v>
      </c>
      <c r="I3304" s="30">
        <f>[1]Source!O3173</f>
        <v>667.17</v>
      </c>
      <c r="J3304" s="29">
        <f>IF([1]Source!BC3174&lt;&gt; 0, [1]Source!BC3174, 1)</f>
        <v>5</v>
      </c>
      <c r="K3304" s="30">
        <f>[1]Source!O3174</f>
        <v>3335.85</v>
      </c>
      <c r="Q3304">
        <f>[1]Source!X3173</f>
        <v>0</v>
      </c>
      <c r="R3304">
        <f>[1]Source!X3174</f>
        <v>0</v>
      </c>
      <c r="S3304">
        <f>[1]Source!Y3173</f>
        <v>0</v>
      </c>
      <c r="T3304">
        <f>[1]Source!Y3174</f>
        <v>0</v>
      </c>
      <c r="U3304">
        <f>ROUND((175/100)*ROUND([1]Source!R3173, 2), 2)</f>
        <v>0</v>
      </c>
      <c r="V3304">
        <f>ROUND((0/100)*ROUND([1]Source!R3174, 2), 2)</f>
        <v>0</v>
      </c>
      <c r="AC3304">
        <v>3</v>
      </c>
    </row>
    <row r="3305" spans="1:29" ht="96.6" hidden="1" x14ac:dyDescent="0.25">
      <c r="A3305" s="27" t="s">
        <v>647</v>
      </c>
      <c r="B3305" s="27" t="str">
        <f>[1]Source!F3175</f>
        <v>1.3-2-50</v>
      </c>
      <c r="C3305" s="27" t="s">
        <v>131</v>
      </c>
      <c r="D3305" s="28" t="str">
        <f>[1]Source!H3175</f>
        <v>т</v>
      </c>
      <c r="E3305" s="29">
        <f>[1]Source!I3175</f>
        <v>0.10799999999999998</v>
      </c>
      <c r="F3305" s="30">
        <f>[1]Source!AK3175</f>
        <v>5978.05</v>
      </c>
      <c r="G3305" s="43" t="s">
        <v>54</v>
      </c>
      <c r="H3305" s="29">
        <f>[1]Source!AW3176</f>
        <v>1</v>
      </c>
      <c r="I3305" s="30">
        <f>[1]Source!O3175</f>
        <v>645.63</v>
      </c>
      <c r="J3305" s="29">
        <f>IF([1]Source!BC3176&lt;&gt; 0, [1]Source!BC3176, 1)</f>
        <v>15.31</v>
      </c>
      <c r="K3305" s="30">
        <f>[1]Source!O3176</f>
        <v>9884.6</v>
      </c>
      <c r="Q3305">
        <f>[1]Source!X3175</f>
        <v>0</v>
      </c>
      <c r="R3305">
        <f>[1]Source!X3176</f>
        <v>0</v>
      </c>
      <c r="S3305">
        <f>[1]Source!Y3175</f>
        <v>0</v>
      </c>
      <c r="T3305">
        <f>[1]Source!Y3176</f>
        <v>0</v>
      </c>
      <c r="U3305">
        <f>ROUND((175/100)*ROUND([1]Source!R3175, 2), 2)</f>
        <v>0</v>
      </c>
      <c r="V3305">
        <f>ROUND((0/100)*ROUND([1]Source!R3176, 2), 2)</f>
        <v>0</v>
      </c>
      <c r="AC3305">
        <v>3</v>
      </c>
    </row>
    <row r="3306" spans="1:29" ht="69" hidden="1" x14ac:dyDescent="0.25">
      <c r="A3306" s="27" t="s">
        <v>648</v>
      </c>
      <c r="B3306" s="27" t="str">
        <f>[1]Source!F3177</f>
        <v>1.3-2-35</v>
      </c>
      <c r="C3306" s="27" t="s">
        <v>634</v>
      </c>
      <c r="D3306" s="28" t="str">
        <f>[1]Source!H3177</f>
        <v>т</v>
      </c>
      <c r="E3306" s="29">
        <f>[1]Source!I3177</f>
        <v>1.5568200000000001</v>
      </c>
      <c r="F3306" s="30">
        <f>[1]Source!AK3177</f>
        <v>1669.7</v>
      </c>
      <c r="G3306" s="43" t="s">
        <v>54</v>
      </c>
      <c r="H3306" s="29">
        <f>[1]Source!AW3178</f>
        <v>1</v>
      </c>
      <c r="I3306" s="30">
        <f>[1]Source!O3177</f>
        <v>2599.42</v>
      </c>
      <c r="J3306" s="29">
        <f>IF([1]Source!BC3178&lt;&gt; 0, [1]Source!BC3178, 1)</f>
        <v>8</v>
      </c>
      <c r="K3306" s="30">
        <f>[1]Source!O3178</f>
        <v>20795.36</v>
      </c>
      <c r="Q3306">
        <f>[1]Source!X3177</f>
        <v>0</v>
      </c>
      <c r="R3306">
        <f>[1]Source!X3178</f>
        <v>0</v>
      </c>
      <c r="S3306">
        <f>[1]Source!Y3177</f>
        <v>0</v>
      </c>
      <c r="T3306">
        <f>[1]Source!Y3178</f>
        <v>0</v>
      </c>
      <c r="U3306">
        <f>ROUND((175/100)*ROUND([1]Source!R3177, 2), 2)</f>
        <v>0</v>
      </c>
      <c r="V3306">
        <f>ROUND((0/100)*ROUND([1]Source!R3178, 2), 2)</f>
        <v>0</v>
      </c>
      <c r="AC3306">
        <v>3</v>
      </c>
    </row>
    <row r="3307" spans="1:29" ht="41.4" hidden="1" x14ac:dyDescent="0.25">
      <c r="A3307" s="27" t="s">
        <v>649</v>
      </c>
      <c r="B3307" s="27" t="str">
        <f>[1]Source!F3179</f>
        <v>1.1-1-8134</v>
      </c>
      <c r="C3307" s="27" t="s">
        <v>650</v>
      </c>
      <c r="D3307" s="28" t="str">
        <f>[1]Source!H3179</f>
        <v>м2</v>
      </c>
      <c r="E3307" s="29">
        <f>[1]Source!I3179</f>
        <v>294.3</v>
      </c>
      <c r="F3307" s="30">
        <f>[1]Source!AK3179</f>
        <v>127.87</v>
      </c>
      <c r="G3307" s="43" t="s">
        <v>54</v>
      </c>
      <c r="H3307" s="29">
        <f>[1]Source!AW3180</f>
        <v>1</v>
      </c>
      <c r="I3307" s="30">
        <f>[1]Source!O3179</f>
        <v>37632.14</v>
      </c>
      <c r="J3307" s="29">
        <f>IF([1]Source!BC3180&lt;&gt; 0, [1]Source!BC3180, 1)</f>
        <v>8.2200000000000006</v>
      </c>
      <c r="K3307" s="30">
        <f>[1]Source!O3180</f>
        <v>309336.19</v>
      </c>
      <c r="Q3307">
        <f>[1]Source!X3179</f>
        <v>0</v>
      </c>
      <c r="R3307">
        <f>[1]Source!X3180</f>
        <v>0</v>
      </c>
      <c r="S3307">
        <f>[1]Source!Y3179</f>
        <v>0</v>
      </c>
      <c r="T3307">
        <f>[1]Source!Y3180</f>
        <v>0</v>
      </c>
      <c r="U3307">
        <f>ROUND((175/100)*ROUND([1]Source!R3179, 2), 2)</f>
        <v>0</v>
      </c>
      <c r="V3307">
        <f>ROUND((0/100)*ROUND([1]Source!R3180, 2), 2)</f>
        <v>0</v>
      </c>
      <c r="AC3307">
        <v>3</v>
      </c>
    </row>
    <row r="3308" spans="1:29" ht="14.4" hidden="1" x14ac:dyDescent="0.25">
      <c r="A3308" s="27"/>
      <c r="B3308" s="27"/>
      <c r="C3308" s="27" t="s">
        <v>42</v>
      </c>
      <c r="D3308" s="28" t="s">
        <v>43</v>
      </c>
      <c r="E3308" s="29">
        <f>[1]Source!BZ3170</f>
        <v>90</v>
      </c>
      <c r="F3308" s="30"/>
      <c r="G3308" s="31"/>
      <c r="H3308" s="29"/>
      <c r="I3308" s="30">
        <f>SUM(Q3297:Q3307)</f>
        <v>4918.22</v>
      </c>
      <c r="J3308" s="29">
        <f>[1]Source!AT3170</f>
        <v>90</v>
      </c>
      <c r="K3308" s="30">
        <f>SUM(R3297:R3307)</f>
        <v>277141.75</v>
      </c>
    </row>
    <row r="3309" spans="1:29" ht="14.4" hidden="1" x14ac:dyDescent="0.25">
      <c r="A3309" s="27"/>
      <c r="B3309" s="27"/>
      <c r="C3309" s="27" t="s">
        <v>44</v>
      </c>
      <c r="D3309" s="28" t="s">
        <v>43</v>
      </c>
      <c r="E3309" s="29">
        <f>[1]Source!CA3170</f>
        <v>42</v>
      </c>
      <c r="F3309" s="30"/>
      <c r="G3309" s="31"/>
      <c r="H3309" s="29"/>
      <c r="I3309" s="30">
        <f>SUM(S3297:S3308)</f>
        <v>2295.17</v>
      </c>
      <c r="J3309" s="29">
        <f>[1]Source!AU3170</f>
        <v>42</v>
      </c>
      <c r="K3309" s="30">
        <f>SUM(T3297:T3308)</f>
        <v>129332.82</v>
      </c>
    </row>
    <row r="3310" spans="1:29" ht="14.4" hidden="1" x14ac:dyDescent="0.25">
      <c r="A3310" s="34"/>
      <c r="B3310" s="34"/>
      <c r="C3310" s="34" t="s">
        <v>45</v>
      </c>
      <c r="D3310" s="35" t="s">
        <v>46</v>
      </c>
      <c r="E3310" s="36">
        <f>[1]Source!AQ3169</f>
        <v>85.43</v>
      </c>
      <c r="F3310" s="37"/>
      <c r="G3310" s="38" t="s">
        <v>37</v>
      </c>
      <c r="H3310" s="36">
        <f>[1]Source!AV3170</f>
        <v>1.0249999999999999</v>
      </c>
      <c r="I3310" s="37">
        <f>[1]Source!U3169</f>
        <v>326.26998450000002</v>
      </c>
      <c r="J3310" s="36"/>
      <c r="K3310" s="37"/>
    </row>
    <row r="3311" spans="1:29" ht="13.8" hidden="1" x14ac:dyDescent="0.25">
      <c r="C3311" s="39" t="s">
        <v>47</v>
      </c>
      <c r="H3311" s="40">
        <f>I3299+I3300+I3302+I3308+I3309+SUM(I3303:I3307)-SUMIF(AC3303:AC3307, 5, I3303:I3307)-SUMIF(AC3303:AC3307, 6, I3303:I3307)</f>
        <v>55148.189999999995</v>
      </c>
      <c r="I3311" s="40"/>
      <c r="J3311" s="40">
        <f>K3299+K3300+K3302+K3308+K3309+SUM(K3303:K3307)-SUMIF(AC3303:AC3307, 5, K3303:K3307)-SUMIF(AC3303:AC3307, 6, K3303:K3307)</f>
        <v>1062309.9700000002</v>
      </c>
      <c r="K3311" s="40"/>
    </row>
    <row r="3312" spans="1:29" ht="13.8" hidden="1" x14ac:dyDescent="0.25">
      <c r="C3312" s="39" t="s">
        <v>48</v>
      </c>
      <c r="H3312" s="41">
        <f>SUMIF(AC3303:AC3307, 5, I3303:I3307)+SUMIF(AC3303:AC3307, 6, I3303:I3307)</f>
        <v>0</v>
      </c>
      <c r="I3312" s="41"/>
      <c r="J3312" s="41">
        <f>SUMIF(AC3303:AC3307, 5, K3303:K3307)+SUMIF(AC3303:AC3307, 6, K3303:K3307)</f>
        <v>0</v>
      </c>
      <c r="K3312" s="41"/>
    </row>
    <row r="3313" spans="1:29" ht="13.8" hidden="1" x14ac:dyDescent="0.25">
      <c r="C3313" s="39" t="s">
        <v>49</v>
      </c>
      <c r="H3313" s="41">
        <f>I3299+I3300+I3302+I3308+I3309+SUM(I3303:I3307)</f>
        <v>55148.189999999995</v>
      </c>
      <c r="I3313" s="41"/>
      <c r="J3313" s="41">
        <f>K3299+K3300+K3302+K3308+K3309+SUM(K3303:K3307)</f>
        <v>1062309.9700000002</v>
      </c>
      <c r="K3313" s="41"/>
      <c r="O3313" s="42">
        <f>I3299+I3300+I3302+I3308+I3309+SUM(I3303:I3307)</f>
        <v>55148.189999999995</v>
      </c>
      <c r="P3313" s="42">
        <f>K3299+K3300+K3302+K3308+K3309+SUM(K3303:K3307)</f>
        <v>1062309.9700000002</v>
      </c>
    </row>
    <row r="3314" spans="1:29" hidden="1" x14ac:dyDescent="0.25"/>
    <row r="3315" spans="1:29" ht="41.4" hidden="1" x14ac:dyDescent="0.25">
      <c r="A3315" s="27">
        <v>344</v>
      </c>
      <c r="B3315" s="27" t="str">
        <f>[1]Source!F3181</f>
        <v>3.70-224-1</v>
      </c>
      <c r="C3315" s="27" t="s">
        <v>632</v>
      </c>
      <c r="D3315" s="28" t="str">
        <f>[1]Source!H3181</f>
        <v>100 м2</v>
      </c>
      <c r="E3315" s="29">
        <f>[1]Source!I3181</f>
        <v>0.7</v>
      </c>
      <c r="F3315" s="30"/>
      <c r="G3315" s="31"/>
      <c r="H3315" s="29"/>
      <c r="I3315" s="30"/>
      <c r="J3315" s="29"/>
      <c r="K3315" s="30"/>
      <c r="Q3315">
        <f>[1]Source!X3181</f>
        <v>1627.74</v>
      </c>
      <c r="R3315">
        <f>[1]Source!X3182</f>
        <v>91723.15</v>
      </c>
      <c r="S3315">
        <f>[1]Source!Y3181</f>
        <v>759.61</v>
      </c>
      <c r="T3315">
        <f>[1]Source!Y3182</f>
        <v>42804.14</v>
      </c>
      <c r="U3315">
        <f>ROUND((175/100)*ROUND([1]Source!R3181, 2), 2)</f>
        <v>2.19</v>
      </c>
      <c r="V3315">
        <f>ROUND((0/100)*ROUND([1]Source!R3182, 2), 2)</f>
        <v>0</v>
      </c>
      <c r="AC3315">
        <v>0</v>
      </c>
    </row>
    <row r="3316" spans="1:29" hidden="1" x14ac:dyDescent="0.25">
      <c r="C3316" s="32" t="str">
        <f>"Объем: "&amp;[1]Source!I3181&amp;"=70/"&amp;"100"</f>
        <v>Объем: 0,7=70/100</v>
      </c>
    </row>
    <row r="3317" spans="1:29" ht="14.4" hidden="1" x14ac:dyDescent="0.25">
      <c r="A3317" s="27"/>
      <c r="B3317" s="27"/>
      <c r="C3317" s="27" t="s">
        <v>36</v>
      </c>
      <c r="D3317" s="28"/>
      <c r="E3317" s="29"/>
      <c r="F3317" s="30">
        <f>[1]Source!AO3181</f>
        <v>1825.33</v>
      </c>
      <c r="G3317" s="31" t="s">
        <v>37</v>
      </c>
      <c r="H3317" s="29">
        <f>[1]Source!AV3182</f>
        <v>1.0249999999999999</v>
      </c>
      <c r="I3317" s="30">
        <f>[1]Source!S3181</f>
        <v>1807.35</v>
      </c>
      <c r="J3317" s="29">
        <f>IF([1]Source!BA3182&lt;&gt; 0, [1]Source!BA3182, 1)</f>
        <v>56.35</v>
      </c>
      <c r="K3317" s="30">
        <f>[1]Source!S3182</f>
        <v>101844.17</v>
      </c>
    </row>
    <row r="3318" spans="1:29" ht="14.4" hidden="1" x14ac:dyDescent="0.25">
      <c r="A3318" s="27"/>
      <c r="B3318" s="27"/>
      <c r="C3318" s="27" t="s">
        <v>38</v>
      </c>
      <c r="D3318" s="28"/>
      <c r="E3318" s="29"/>
      <c r="F3318" s="30">
        <f>[1]Source!AM3181</f>
        <v>14.28</v>
      </c>
      <c r="G3318" s="31" t="s">
        <v>39</v>
      </c>
      <c r="H3318" s="29">
        <f>[1]Source!AV3182</f>
        <v>1.0249999999999999</v>
      </c>
      <c r="I3318" s="30">
        <f>[1]Source!Q3181</f>
        <v>15.37</v>
      </c>
      <c r="J3318" s="29">
        <f>IF([1]Source!BB3182&lt;&gt; 0, [1]Source!BB3182, 1)</f>
        <v>14.52</v>
      </c>
      <c r="K3318" s="30">
        <f>[1]Source!Q3182</f>
        <v>223.17</v>
      </c>
    </row>
    <row r="3319" spans="1:29" ht="14.4" hidden="1" x14ac:dyDescent="0.25">
      <c r="A3319" s="27"/>
      <c r="B3319" s="27"/>
      <c r="C3319" s="27" t="s">
        <v>40</v>
      </c>
      <c r="D3319" s="28"/>
      <c r="E3319" s="29"/>
      <c r="F3319" s="30">
        <f>[1]Source!AN3181</f>
        <v>1.1599999999999999</v>
      </c>
      <c r="G3319" s="31" t="s">
        <v>39</v>
      </c>
      <c r="H3319" s="29">
        <f>[1]Source!AV3182</f>
        <v>1.0249999999999999</v>
      </c>
      <c r="I3319" s="33">
        <f>[1]Source!R3181</f>
        <v>1.25</v>
      </c>
      <c r="J3319" s="29">
        <f>IF([1]Source!BS3182&lt;&gt; 0, [1]Source!BS3182, 1)</f>
        <v>56.35</v>
      </c>
      <c r="K3319" s="33">
        <f>[1]Source!R3182</f>
        <v>70.44</v>
      </c>
    </row>
    <row r="3320" spans="1:29" ht="14.4" hidden="1" x14ac:dyDescent="0.25">
      <c r="A3320" s="27"/>
      <c r="B3320" s="27"/>
      <c r="C3320" s="27" t="s">
        <v>41</v>
      </c>
      <c r="D3320" s="28"/>
      <c r="E3320" s="29"/>
      <c r="F3320" s="30">
        <f>[1]Source!AL3181</f>
        <v>83.4</v>
      </c>
      <c r="G3320" s="31"/>
      <c r="H3320" s="29">
        <f>[1]Source!AW3182</f>
        <v>1</v>
      </c>
      <c r="I3320" s="30">
        <f>[1]Source!P3181</f>
        <v>58.38</v>
      </c>
      <c r="J3320" s="29">
        <f>IF([1]Source!BC3182&lt;&gt; 0, [1]Source!BC3182, 1)</f>
        <v>1.5</v>
      </c>
      <c r="K3320" s="30">
        <f>[1]Source!P3182</f>
        <v>87.57</v>
      </c>
    </row>
    <row r="3321" spans="1:29" ht="96.6" hidden="1" x14ac:dyDescent="0.25">
      <c r="A3321" s="27" t="s">
        <v>651</v>
      </c>
      <c r="B3321" s="27" t="str">
        <f>[1]Source!F3183</f>
        <v>1.3-2-50</v>
      </c>
      <c r="C3321" s="27" t="s">
        <v>131</v>
      </c>
      <c r="D3321" s="28" t="str">
        <f>[1]Source!H3183</f>
        <v>т</v>
      </c>
      <c r="E3321" s="29">
        <f>[1]Source!I3183</f>
        <v>2.7999999999999997E-2</v>
      </c>
      <c r="F3321" s="30">
        <f>[1]Source!AK3183</f>
        <v>5978.05</v>
      </c>
      <c r="G3321" s="43" t="s">
        <v>54</v>
      </c>
      <c r="H3321" s="29">
        <f>[1]Source!AW3184</f>
        <v>1</v>
      </c>
      <c r="I3321" s="30">
        <f>[1]Source!O3183</f>
        <v>167.39</v>
      </c>
      <c r="J3321" s="29">
        <f>IF([1]Source!BC3184&lt;&gt; 0, [1]Source!BC3184, 1)</f>
        <v>15.31</v>
      </c>
      <c r="K3321" s="30">
        <f>[1]Source!O3184</f>
        <v>2562.7399999999998</v>
      </c>
      <c r="Q3321">
        <f>[1]Source!X3183</f>
        <v>0</v>
      </c>
      <c r="R3321">
        <f>[1]Source!X3184</f>
        <v>0</v>
      </c>
      <c r="S3321">
        <f>[1]Source!Y3183</f>
        <v>0</v>
      </c>
      <c r="T3321">
        <f>[1]Source!Y3184</f>
        <v>0</v>
      </c>
      <c r="U3321">
        <f>ROUND((175/100)*ROUND([1]Source!R3183, 2), 2)</f>
        <v>0</v>
      </c>
      <c r="V3321">
        <f>ROUND((0/100)*ROUND([1]Source!R3184, 2), 2)</f>
        <v>0</v>
      </c>
      <c r="AC3321">
        <v>3</v>
      </c>
    </row>
    <row r="3322" spans="1:29" ht="69" hidden="1" x14ac:dyDescent="0.25">
      <c r="A3322" s="27" t="s">
        <v>652</v>
      </c>
      <c r="B3322" s="27" t="str">
        <f>[1]Source!F3185</f>
        <v>1.3-2-35</v>
      </c>
      <c r="C3322" s="27" t="s">
        <v>634</v>
      </c>
      <c r="D3322" s="28" t="str">
        <f>[1]Source!H3185</f>
        <v>т</v>
      </c>
      <c r="E3322" s="29">
        <f>[1]Source!I3185</f>
        <v>0.26250000000000001</v>
      </c>
      <c r="F3322" s="30">
        <f>[1]Source!AK3185</f>
        <v>1669.7</v>
      </c>
      <c r="G3322" s="43" t="s">
        <v>54</v>
      </c>
      <c r="H3322" s="29">
        <f>[1]Source!AW3186</f>
        <v>1</v>
      </c>
      <c r="I3322" s="30">
        <f>[1]Source!O3185</f>
        <v>438.3</v>
      </c>
      <c r="J3322" s="29">
        <f>IF([1]Source!BC3186&lt;&gt; 0, [1]Source!BC3186, 1)</f>
        <v>8</v>
      </c>
      <c r="K3322" s="30">
        <f>[1]Source!O3186</f>
        <v>3506.4</v>
      </c>
      <c r="Q3322">
        <f>[1]Source!X3185</f>
        <v>0</v>
      </c>
      <c r="R3322">
        <f>[1]Source!X3186</f>
        <v>0</v>
      </c>
      <c r="S3322">
        <f>[1]Source!Y3185</f>
        <v>0</v>
      </c>
      <c r="T3322">
        <f>[1]Source!Y3186</f>
        <v>0</v>
      </c>
      <c r="U3322">
        <f>ROUND((175/100)*ROUND([1]Source!R3185, 2), 2)</f>
        <v>0</v>
      </c>
      <c r="V3322">
        <f>ROUND((0/100)*ROUND([1]Source!R3186, 2), 2)</f>
        <v>0</v>
      </c>
      <c r="AC3322">
        <v>3</v>
      </c>
    </row>
    <row r="3323" spans="1:29" ht="55.2" hidden="1" x14ac:dyDescent="0.25">
      <c r="A3323" s="27" t="s">
        <v>653</v>
      </c>
      <c r="B3323" s="27" t="str">
        <f>[1]Source!F3187</f>
        <v>1.1-1-4102</v>
      </c>
      <c r="C3323" s="27" t="s">
        <v>654</v>
      </c>
      <c r="D3323" s="28" t="str">
        <f>[1]Source!H3187</f>
        <v>м2</v>
      </c>
      <c r="E3323" s="29">
        <f>[1]Source!I3187</f>
        <v>76.3</v>
      </c>
      <c r="F3323" s="30">
        <f>[1]Source!AK3187</f>
        <v>101.94</v>
      </c>
      <c r="G3323" s="43" t="s">
        <v>54</v>
      </c>
      <c r="H3323" s="29">
        <f>[1]Source!AW3188</f>
        <v>1</v>
      </c>
      <c r="I3323" s="30">
        <f>[1]Source!O3187</f>
        <v>7778.02</v>
      </c>
      <c r="J3323" s="29">
        <f>IF([1]Source!BC3188&lt;&gt; 0, [1]Source!BC3188, 1)</f>
        <v>8.9499999999999993</v>
      </c>
      <c r="K3323" s="30">
        <f>[1]Source!O3188</f>
        <v>69613.279999999999</v>
      </c>
      <c r="Q3323">
        <f>[1]Source!X3187</f>
        <v>0</v>
      </c>
      <c r="R3323">
        <f>[1]Source!X3188</f>
        <v>0</v>
      </c>
      <c r="S3323">
        <f>[1]Source!Y3187</f>
        <v>0</v>
      </c>
      <c r="T3323">
        <f>[1]Source!Y3188</f>
        <v>0</v>
      </c>
      <c r="U3323">
        <f>ROUND((175/100)*ROUND([1]Source!R3187, 2), 2)</f>
        <v>0</v>
      </c>
      <c r="V3323">
        <f>ROUND((0/100)*ROUND([1]Source!R3188, 2), 2)</f>
        <v>0</v>
      </c>
      <c r="AC3323">
        <v>3</v>
      </c>
    </row>
    <row r="3324" spans="1:29" ht="14.4" hidden="1" x14ac:dyDescent="0.25">
      <c r="A3324" s="27"/>
      <c r="B3324" s="27"/>
      <c r="C3324" s="27" t="s">
        <v>42</v>
      </c>
      <c r="D3324" s="28" t="s">
        <v>43</v>
      </c>
      <c r="E3324" s="29">
        <f>[1]Source!BZ3182</f>
        <v>90</v>
      </c>
      <c r="F3324" s="30"/>
      <c r="G3324" s="31"/>
      <c r="H3324" s="29"/>
      <c r="I3324" s="30">
        <f>SUM(Q3315:Q3323)</f>
        <v>1627.74</v>
      </c>
      <c r="J3324" s="29">
        <f>[1]Source!AT3182</f>
        <v>90</v>
      </c>
      <c r="K3324" s="30">
        <f>SUM(R3315:R3323)</f>
        <v>91723.15</v>
      </c>
    </row>
    <row r="3325" spans="1:29" ht="14.4" hidden="1" x14ac:dyDescent="0.25">
      <c r="A3325" s="27"/>
      <c r="B3325" s="27"/>
      <c r="C3325" s="27" t="s">
        <v>44</v>
      </c>
      <c r="D3325" s="28" t="s">
        <v>43</v>
      </c>
      <c r="E3325" s="29">
        <f>[1]Source!CA3182</f>
        <v>42</v>
      </c>
      <c r="F3325" s="30"/>
      <c r="G3325" s="31"/>
      <c r="H3325" s="29"/>
      <c r="I3325" s="30">
        <f>SUM(S3315:S3324)</f>
        <v>759.61</v>
      </c>
      <c r="J3325" s="29">
        <f>[1]Source!AU3182</f>
        <v>42</v>
      </c>
      <c r="K3325" s="30">
        <f>SUM(T3315:T3324)</f>
        <v>42804.14</v>
      </c>
    </row>
    <row r="3326" spans="1:29" ht="14.4" hidden="1" x14ac:dyDescent="0.25">
      <c r="A3326" s="34"/>
      <c r="B3326" s="34"/>
      <c r="C3326" s="34" t="s">
        <v>45</v>
      </c>
      <c r="D3326" s="35" t="s">
        <v>46</v>
      </c>
      <c r="E3326" s="36">
        <f>[1]Source!AQ3181</f>
        <v>115.26</v>
      </c>
      <c r="F3326" s="37"/>
      <c r="G3326" s="38" t="s">
        <v>37</v>
      </c>
      <c r="H3326" s="36">
        <f>[1]Source!AV3182</f>
        <v>1.0249999999999999</v>
      </c>
      <c r="I3326" s="37">
        <f>[1]Source!U3181</f>
        <v>114.12468899999998</v>
      </c>
      <c r="J3326" s="36"/>
      <c r="K3326" s="37"/>
    </row>
    <row r="3327" spans="1:29" ht="13.8" hidden="1" x14ac:dyDescent="0.25">
      <c r="C3327" s="39" t="s">
        <v>47</v>
      </c>
      <c r="H3327" s="40">
        <f>I3317+I3318+I3320+I3324+I3325+SUM(I3321:I3323)-SUMIF(AC3321:AC3323, 5, I3321:I3323)-SUMIF(AC3321:AC3323, 6, I3321:I3323)</f>
        <v>12652.16</v>
      </c>
      <c r="I3327" s="40"/>
      <c r="J3327" s="40">
        <f>K3317+K3318+K3320+K3324+K3325+SUM(K3321:K3323)-SUMIF(AC3321:AC3323, 5, K3321:K3323)-SUMIF(AC3321:AC3323, 6, K3321:K3323)</f>
        <v>312364.62</v>
      </c>
      <c r="K3327" s="40"/>
    </row>
    <row r="3328" spans="1:29" ht="13.8" hidden="1" x14ac:dyDescent="0.25">
      <c r="C3328" s="39" t="s">
        <v>48</v>
      </c>
      <c r="H3328" s="41">
        <f>SUMIF(AC3321:AC3323, 5, I3321:I3323)+SUMIF(AC3321:AC3323, 6, I3321:I3323)</f>
        <v>0</v>
      </c>
      <c r="I3328" s="41"/>
      <c r="J3328" s="41">
        <f>SUMIF(AC3321:AC3323, 5, K3321:K3323)+SUMIF(AC3321:AC3323, 6, K3321:K3323)</f>
        <v>0</v>
      </c>
      <c r="K3328" s="41"/>
    </row>
    <row r="3329" spans="1:29" ht="13.8" hidden="1" x14ac:dyDescent="0.25">
      <c r="C3329" s="39" t="s">
        <v>49</v>
      </c>
      <c r="H3329" s="41">
        <f>I3317+I3318+I3320+I3324+I3325+SUM(I3321:I3323)</f>
        <v>12652.16</v>
      </c>
      <c r="I3329" s="41"/>
      <c r="J3329" s="41">
        <f>K3317+K3318+K3320+K3324+K3325+SUM(K3321:K3323)</f>
        <v>312364.62</v>
      </c>
      <c r="K3329" s="41"/>
      <c r="O3329" s="42">
        <f>I3317+I3318+I3320+I3324+I3325+SUM(I3321:I3323)</f>
        <v>12652.16</v>
      </c>
      <c r="P3329" s="42">
        <f>K3317+K3318+K3320+K3324+K3325+SUM(K3321:K3323)</f>
        <v>312364.62</v>
      </c>
    </row>
    <row r="3330" spans="1:29" hidden="1" x14ac:dyDescent="0.25"/>
    <row r="3331" spans="1:29" ht="41.4" hidden="1" x14ac:dyDescent="0.25">
      <c r="A3331" s="27">
        <v>345</v>
      </c>
      <c r="B3331" s="27" t="str">
        <f>[1]Source!F3189</f>
        <v>3.70-224-1</v>
      </c>
      <c r="C3331" s="27" t="s">
        <v>632</v>
      </c>
      <c r="D3331" s="28" t="str">
        <f>[1]Source!H3189</f>
        <v>100 м2</v>
      </c>
      <c r="E3331" s="29">
        <f>[1]Source!I3189</f>
        <v>7.24</v>
      </c>
      <c r="F3331" s="30"/>
      <c r="G3331" s="31"/>
      <c r="H3331" s="29"/>
      <c r="I3331" s="30"/>
      <c r="J3331" s="29"/>
      <c r="K3331" s="30"/>
      <c r="Q3331">
        <f>[1]Source!X3189</f>
        <v>16835.47</v>
      </c>
      <c r="R3331">
        <f>[1]Source!X3190</f>
        <v>948678.85</v>
      </c>
      <c r="S3331">
        <f>[1]Source!Y3189</f>
        <v>7856.55</v>
      </c>
      <c r="T3331">
        <f>[1]Source!Y3190</f>
        <v>442716.8</v>
      </c>
      <c r="U3331">
        <f>ROUND((175/100)*ROUND([1]Source!R3189, 2), 2)</f>
        <v>22.59</v>
      </c>
      <c r="V3331">
        <f>ROUND((0/100)*ROUND([1]Source!R3190, 2), 2)</f>
        <v>0</v>
      </c>
      <c r="AC3331">
        <v>0</v>
      </c>
    </row>
    <row r="3332" spans="1:29" hidden="1" x14ac:dyDescent="0.25">
      <c r="C3332" s="32" t="str">
        <f>"Объем: "&amp;[1]Source!I3189&amp;"=724/"&amp;"100"</f>
        <v>Объем: 7,24=724/100</v>
      </c>
    </row>
    <row r="3333" spans="1:29" ht="14.4" hidden="1" x14ac:dyDescent="0.25">
      <c r="A3333" s="27"/>
      <c r="B3333" s="27"/>
      <c r="C3333" s="27" t="s">
        <v>36</v>
      </c>
      <c r="D3333" s="28"/>
      <c r="E3333" s="29"/>
      <c r="F3333" s="30">
        <f>[1]Source!AO3189</f>
        <v>1825.33</v>
      </c>
      <c r="G3333" s="31" t="s">
        <v>37</v>
      </c>
      <c r="H3333" s="29">
        <f>[1]Source!AV3190</f>
        <v>1.0249999999999999</v>
      </c>
      <c r="I3333" s="30">
        <f>[1]Source!S3189</f>
        <v>18693.169999999998</v>
      </c>
      <c r="J3333" s="29">
        <f>IF([1]Source!BA3190&lt;&gt; 0, [1]Source!BA3190, 1)</f>
        <v>56.35</v>
      </c>
      <c r="K3333" s="30">
        <f>[1]Source!S3190</f>
        <v>1053360.1299999999</v>
      </c>
    </row>
    <row r="3334" spans="1:29" ht="14.4" hidden="1" x14ac:dyDescent="0.25">
      <c r="A3334" s="27"/>
      <c r="B3334" s="27"/>
      <c r="C3334" s="27" t="s">
        <v>38</v>
      </c>
      <c r="D3334" s="28"/>
      <c r="E3334" s="29"/>
      <c r="F3334" s="30">
        <f>[1]Source!AM3189</f>
        <v>14.28</v>
      </c>
      <c r="G3334" s="31" t="s">
        <v>39</v>
      </c>
      <c r="H3334" s="29">
        <f>[1]Source!AV3190</f>
        <v>1.0249999999999999</v>
      </c>
      <c r="I3334" s="30">
        <f>[1]Source!Q3189</f>
        <v>158.96</v>
      </c>
      <c r="J3334" s="29">
        <f>IF([1]Source!BB3190&lt;&gt; 0, [1]Source!BB3190, 1)</f>
        <v>14.52</v>
      </c>
      <c r="K3334" s="30">
        <f>[1]Source!Q3190</f>
        <v>2308.1</v>
      </c>
    </row>
    <row r="3335" spans="1:29" ht="14.4" hidden="1" x14ac:dyDescent="0.25">
      <c r="A3335" s="27"/>
      <c r="B3335" s="27"/>
      <c r="C3335" s="27" t="s">
        <v>40</v>
      </c>
      <c r="D3335" s="28"/>
      <c r="E3335" s="29"/>
      <c r="F3335" s="30">
        <f>[1]Source!AN3189</f>
        <v>1.1599999999999999</v>
      </c>
      <c r="G3335" s="31" t="s">
        <v>39</v>
      </c>
      <c r="H3335" s="29">
        <f>[1]Source!AV3190</f>
        <v>1.0249999999999999</v>
      </c>
      <c r="I3335" s="33">
        <f>[1]Source!R3189</f>
        <v>12.91</v>
      </c>
      <c r="J3335" s="29">
        <f>IF([1]Source!BS3190&lt;&gt; 0, [1]Source!BS3190, 1)</f>
        <v>56.35</v>
      </c>
      <c r="K3335" s="33">
        <f>[1]Source!R3190</f>
        <v>727.48</v>
      </c>
    </row>
    <row r="3336" spans="1:29" ht="14.4" hidden="1" x14ac:dyDescent="0.25">
      <c r="A3336" s="27"/>
      <c r="B3336" s="27"/>
      <c r="C3336" s="27" t="s">
        <v>41</v>
      </c>
      <c r="D3336" s="28"/>
      <c r="E3336" s="29"/>
      <c r="F3336" s="30">
        <f>[1]Source!AL3189</f>
        <v>83.4</v>
      </c>
      <c r="G3336" s="31"/>
      <c r="H3336" s="29">
        <f>[1]Source!AW3190</f>
        <v>1</v>
      </c>
      <c r="I3336" s="30">
        <f>[1]Source!P3189</f>
        <v>603.82000000000005</v>
      </c>
      <c r="J3336" s="29">
        <f>IF([1]Source!BC3190&lt;&gt; 0, [1]Source!BC3190, 1)</f>
        <v>1.5</v>
      </c>
      <c r="K3336" s="30">
        <f>[1]Source!P3190</f>
        <v>905.73</v>
      </c>
    </row>
    <row r="3337" spans="1:29" ht="96.6" hidden="1" x14ac:dyDescent="0.25">
      <c r="A3337" s="27" t="s">
        <v>655</v>
      </c>
      <c r="B3337" s="27" t="str">
        <f>[1]Source!F3191</f>
        <v>1.3-2-50</v>
      </c>
      <c r="C3337" s="27" t="s">
        <v>131</v>
      </c>
      <c r="D3337" s="28" t="str">
        <f>[1]Source!H3191</f>
        <v>т</v>
      </c>
      <c r="E3337" s="29">
        <f>[1]Source!I3191</f>
        <v>0.28960000000000002</v>
      </c>
      <c r="F3337" s="30">
        <f>[1]Source!AK3191</f>
        <v>5978.05</v>
      </c>
      <c r="G3337" s="43" t="s">
        <v>54</v>
      </c>
      <c r="H3337" s="29">
        <f>[1]Source!AW3192</f>
        <v>1</v>
      </c>
      <c r="I3337" s="30">
        <f>[1]Source!O3191</f>
        <v>1731.24</v>
      </c>
      <c r="J3337" s="29">
        <f>IF([1]Source!BC3192&lt;&gt; 0, [1]Source!BC3192, 1)</f>
        <v>15.31</v>
      </c>
      <c r="K3337" s="30">
        <f>[1]Source!O3192</f>
        <v>26505.279999999999</v>
      </c>
      <c r="Q3337">
        <f>[1]Source!X3191</f>
        <v>0</v>
      </c>
      <c r="R3337">
        <f>[1]Source!X3192</f>
        <v>0</v>
      </c>
      <c r="S3337">
        <f>[1]Source!Y3191</f>
        <v>0</v>
      </c>
      <c r="T3337">
        <f>[1]Source!Y3192</f>
        <v>0</v>
      </c>
      <c r="U3337">
        <f>ROUND((175/100)*ROUND([1]Source!R3191, 2), 2)</f>
        <v>0</v>
      </c>
      <c r="V3337">
        <f>ROUND((0/100)*ROUND([1]Source!R3192, 2), 2)</f>
        <v>0</v>
      </c>
      <c r="AC3337">
        <v>3</v>
      </c>
    </row>
    <row r="3338" spans="1:29" ht="69" hidden="1" x14ac:dyDescent="0.25">
      <c r="A3338" s="27" t="s">
        <v>656</v>
      </c>
      <c r="B3338" s="27" t="str">
        <f>[1]Source!F3193</f>
        <v>1.3-2-35</v>
      </c>
      <c r="C3338" s="27" t="s">
        <v>634</v>
      </c>
      <c r="D3338" s="28" t="str">
        <f>[1]Source!H3193</f>
        <v>т</v>
      </c>
      <c r="E3338" s="29">
        <f>[1]Source!I3193</f>
        <v>2.7149999999999999</v>
      </c>
      <c r="F3338" s="30">
        <f>[1]Source!AK3193</f>
        <v>1669.7</v>
      </c>
      <c r="G3338" s="43" t="s">
        <v>54</v>
      </c>
      <c r="H3338" s="29">
        <f>[1]Source!AW3194</f>
        <v>1</v>
      </c>
      <c r="I3338" s="30">
        <f>[1]Source!O3193</f>
        <v>4533.24</v>
      </c>
      <c r="J3338" s="29">
        <f>IF([1]Source!BC3194&lt;&gt; 0, [1]Source!BC3194, 1)</f>
        <v>8</v>
      </c>
      <c r="K3338" s="30">
        <f>[1]Source!O3194</f>
        <v>36265.919999999998</v>
      </c>
      <c r="Q3338">
        <f>[1]Source!X3193</f>
        <v>0</v>
      </c>
      <c r="R3338">
        <f>[1]Source!X3194</f>
        <v>0</v>
      </c>
      <c r="S3338">
        <f>[1]Source!Y3193</f>
        <v>0</v>
      </c>
      <c r="T3338">
        <f>[1]Source!Y3194</f>
        <v>0</v>
      </c>
      <c r="U3338">
        <f>ROUND((175/100)*ROUND([1]Source!R3193, 2), 2)</f>
        <v>0</v>
      </c>
      <c r="V3338">
        <f>ROUND((0/100)*ROUND([1]Source!R3194, 2), 2)</f>
        <v>0</v>
      </c>
      <c r="AC3338">
        <v>3</v>
      </c>
    </row>
    <row r="3339" spans="1:29" ht="40.799999999999997" x14ac:dyDescent="0.25">
      <c r="A3339" s="53" t="s">
        <v>657</v>
      </c>
      <c r="B3339" s="53" t="str">
        <f>[1]Source!F3195</f>
        <v>КА-180</v>
      </c>
      <c r="C3339" s="53" t="s">
        <v>658</v>
      </c>
      <c r="D3339" s="54" t="str">
        <f>[1]Source!H3195</f>
        <v>м2</v>
      </c>
      <c r="E3339" s="55">
        <f>[1]Source!I3195</f>
        <v>789.16</v>
      </c>
      <c r="F3339" s="30">
        <f>[1]Source!AK3195</f>
        <v>57.349999999999994</v>
      </c>
      <c r="G3339" s="43" t="s">
        <v>54</v>
      </c>
      <c r="H3339" s="29">
        <f>[1]Source!AW3196</f>
        <v>1</v>
      </c>
      <c r="I3339" s="30">
        <f>[1]Source!O3195</f>
        <v>45258.33</v>
      </c>
      <c r="J3339" s="29">
        <f>IF([1]Source!BC3196&lt;&gt; 0, [1]Source!BC3196, 1)</f>
        <v>9.84</v>
      </c>
      <c r="K3339" s="56">
        <f>[1]Source!O3196</f>
        <v>445341.97</v>
      </c>
      <c r="L3339">
        <v>675</v>
      </c>
      <c r="M3339" s="50">
        <f>L3339*E3339</f>
        <v>532683</v>
      </c>
      <c r="N3339" s="59" t="s">
        <v>180</v>
      </c>
      <c r="Q3339">
        <f>[1]Source!X3195</f>
        <v>0</v>
      </c>
      <c r="R3339">
        <f>[1]Source!X3196</f>
        <v>0</v>
      </c>
      <c r="S3339">
        <f>[1]Source!Y3195</f>
        <v>0</v>
      </c>
      <c r="T3339">
        <f>[1]Source!Y3196</f>
        <v>0</v>
      </c>
      <c r="U3339">
        <f>ROUND((175/100)*ROUND([1]Source!R3195, 2), 2)</f>
        <v>0</v>
      </c>
      <c r="V3339">
        <f>ROUND((0/100)*ROUND([1]Source!R3196, 2), 2)</f>
        <v>0</v>
      </c>
      <c r="AC3339">
        <v>3</v>
      </c>
    </row>
    <row r="3340" spans="1:29" ht="14.4" hidden="1" x14ac:dyDescent="0.25">
      <c r="A3340" s="27"/>
      <c r="B3340" s="27"/>
      <c r="C3340" s="27" t="s">
        <v>42</v>
      </c>
      <c r="D3340" s="28" t="s">
        <v>43</v>
      </c>
      <c r="E3340" s="29">
        <f>[1]Source!BZ3190</f>
        <v>90</v>
      </c>
      <c r="F3340" s="30"/>
      <c r="G3340" s="31"/>
      <c r="H3340" s="29"/>
      <c r="I3340" s="30">
        <f>SUM(Q3331:Q3339)</f>
        <v>16835.47</v>
      </c>
      <c r="J3340" s="29">
        <f>[1]Source!AT3190</f>
        <v>90</v>
      </c>
      <c r="K3340" s="30">
        <f>SUM(R3331:R3339)</f>
        <v>948678.85</v>
      </c>
    </row>
    <row r="3341" spans="1:29" ht="14.4" hidden="1" x14ac:dyDescent="0.25">
      <c r="A3341" s="27"/>
      <c r="B3341" s="27"/>
      <c r="C3341" s="27" t="s">
        <v>44</v>
      </c>
      <c r="D3341" s="28" t="s">
        <v>43</v>
      </c>
      <c r="E3341" s="29">
        <f>[1]Source!CA3190</f>
        <v>42</v>
      </c>
      <c r="F3341" s="30"/>
      <c r="G3341" s="31"/>
      <c r="H3341" s="29"/>
      <c r="I3341" s="30">
        <f>SUM(S3331:S3340)</f>
        <v>7856.55</v>
      </c>
      <c r="J3341" s="29">
        <f>[1]Source!AU3190</f>
        <v>42</v>
      </c>
      <c r="K3341" s="30">
        <f>SUM(T3331:T3340)</f>
        <v>442716.8</v>
      </c>
    </row>
    <row r="3342" spans="1:29" ht="14.4" hidden="1" x14ac:dyDescent="0.25">
      <c r="A3342" s="34"/>
      <c r="B3342" s="34"/>
      <c r="C3342" s="34" t="s">
        <v>45</v>
      </c>
      <c r="D3342" s="35" t="s">
        <v>46</v>
      </c>
      <c r="E3342" s="36">
        <f>[1]Source!AQ3189</f>
        <v>115.26</v>
      </c>
      <c r="F3342" s="37"/>
      <c r="G3342" s="38" t="s">
        <v>37</v>
      </c>
      <c r="H3342" s="36">
        <f>[1]Source!AV3190</f>
        <v>1.0249999999999999</v>
      </c>
      <c r="I3342" s="37">
        <f>[1]Source!U3189</f>
        <v>1180.3753547999997</v>
      </c>
      <c r="J3342" s="36"/>
      <c r="K3342" s="37"/>
    </row>
    <row r="3343" spans="1:29" ht="13.8" hidden="1" x14ac:dyDescent="0.25">
      <c r="C3343" s="39" t="s">
        <v>47</v>
      </c>
      <c r="H3343" s="40">
        <f>I3333+I3334+I3336+I3340+I3341+SUM(I3337:I3339)-SUMIF(AC3337:AC3339, 5, I3337:I3339)-SUMIF(AC3337:AC3339, 6, I3337:I3339)</f>
        <v>95670.78</v>
      </c>
      <c r="I3343" s="40"/>
      <c r="J3343" s="40">
        <f>K3333+K3334+K3336+K3340+K3341+SUM(K3337:K3339)-SUMIF(AC3337:AC3339, 5, K3337:K3339)-SUMIF(AC3337:AC3339, 6, K3337:K3339)</f>
        <v>2956082.78</v>
      </c>
      <c r="K3343" s="40"/>
    </row>
    <row r="3344" spans="1:29" ht="13.8" hidden="1" x14ac:dyDescent="0.25">
      <c r="C3344" s="39" t="s">
        <v>48</v>
      </c>
      <c r="H3344" s="41">
        <f>SUMIF(AC3337:AC3339, 5, I3337:I3339)+SUMIF(AC3337:AC3339, 6, I3337:I3339)</f>
        <v>0</v>
      </c>
      <c r="I3344" s="41"/>
      <c r="J3344" s="41">
        <f>SUMIF(AC3337:AC3339, 5, K3337:K3339)+SUMIF(AC3337:AC3339, 6, K3337:K3339)</f>
        <v>0</v>
      </c>
      <c r="K3344" s="41"/>
    </row>
    <row r="3345" spans="1:29" ht="13.8" hidden="1" x14ac:dyDescent="0.25">
      <c r="C3345" s="39" t="s">
        <v>49</v>
      </c>
      <c r="H3345" s="41">
        <f>I3333+I3334+I3336+I3340+I3341+SUM(I3337:I3339)</f>
        <v>95670.78</v>
      </c>
      <c r="I3345" s="41"/>
      <c r="J3345" s="41">
        <f>K3333+K3334+K3336+K3340+K3341+SUM(K3337:K3339)</f>
        <v>2956082.78</v>
      </c>
      <c r="K3345" s="41"/>
      <c r="O3345" s="42">
        <f>I3333+I3334+I3336+I3340+I3341+SUM(I3337:I3339)</f>
        <v>95670.78</v>
      </c>
      <c r="P3345" s="42">
        <f>K3333+K3334+K3336+K3340+K3341+SUM(K3337:K3339)</f>
        <v>2956082.78</v>
      </c>
    </row>
    <row r="3346" spans="1:29" hidden="1" x14ac:dyDescent="0.25"/>
    <row r="3347" spans="1:29" ht="41.4" hidden="1" x14ac:dyDescent="0.25">
      <c r="A3347" s="27">
        <v>346</v>
      </c>
      <c r="B3347" s="27" t="str">
        <f>[1]Source!F3197</f>
        <v>3.70-224-1</v>
      </c>
      <c r="C3347" s="27" t="s">
        <v>632</v>
      </c>
      <c r="D3347" s="28" t="str">
        <f>[1]Source!H3197</f>
        <v>100 м2</v>
      </c>
      <c r="E3347" s="29">
        <f>[1]Source!I3197</f>
        <v>1</v>
      </c>
      <c r="F3347" s="30"/>
      <c r="G3347" s="31"/>
      <c r="H3347" s="29"/>
      <c r="I3347" s="30"/>
      <c r="J3347" s="29"/>
      <c r="K3347" s="30"/>
      <c r="Q3347">
        <f>[1]Source!X3197</f>
        <v>2325.34</v>
      </c>
      <c r="R3347">
        <f>[1]Source!X3198</f>
        <v>131032.85</v>
      </c>
      <c r="S3347">
        <f>[1]Source!Y3197</f>
        <v>1085.1600000000001</v>
      </c>
      <c r="T3347">
        <f>[1]Source!Y3198</f>
        <v>61148.67</v>
      </c>
      <c r="U3347">
        <f>ROUND((175/100)*ROUND([1]Source!R3197, 2), 2)</f>
        <v>3.12</v>
      </c>
      <c r="V3347">
        <f>ROUND((0/100)*ROUND([1]Source!R3198, 2), 2)</f>
        <v>0</v>
      </c>
      <c r="AC3347">
        <v>0</v>
      </c>
    </row>
    <row r="3348" spans="1:29" hidden="1" x14ac:dyDescent="0.25">
      <c r="C3348" s="32" t="str">
        <f>"Объем: "&amp;[1]Source!I3197&amp;"=100/"&amp;"100"</f>
        <v>Объем: 1=100/100</v>
      </c>
    </row>
    <row r="3349" spans="1:29" ht="14.4" hidden="1" x14ac:dyDescent="0.25">
      <c r="A3349" s="27"/>
      <c r="B3349" s="27"/>
      <c r="C3349" s="27" t="s">
        <v>36</v>
      </c>
      <c r="D3349" s="28"/>
      <c r="E3349" s="29"/>
      <c r="F3349" s="30">
        <f>[1]Source!AO3197</f>
        <v>1825.33</v>
      </c>
      <c r="G3349" s="31" t="s">
        <v>37</v>
      </c>
      <c r="H3349" s="29">
        <f>[1]Source!AV3198</f>
        <v>1.0249999999999999</v>
      </c>
      <c r="I3349" s="30">
        <f>[1]Source!S3197</f>
        <v>2581.9299999999998</v>
      </c>
      <c r="J3349" s="29">
        <f>IF([1]Source!BA3198&lt;&gt; 0, [1]Source!BA3198, 1)</f>
        <v>56.35</v>
      </c>
      <c r="K3349" s="30">
        <f>[1]Source!S3198</f>
        <v>145491.76</v>
      </c>
    </row>
    <row r="3350" spans="1:29" ht="14.4" hidden="1" x14ac:dyDescent="0.25">
      <c r="A3350" s="27"/>
      <c r="B3350" s="27"/>
      <c r="C3350" s="27" t="s">
        <v>38</v>
      </c>
      <c r="D3350" s="28"/>
      <c r="E3350" s="29"/>
      <c r="F3350" s="30">
        <f>[1]Source!AM3197</f>
        <v>14.28</v>
      </c>
      <c r="G3350" s="31" t="s">
        <v>39</v>
      </c>
      <c r="H3350" s="29">
        <f>[1]Source!AV3198</f>
        <v>1.0249999999999999</v>
      </c>
      <c r="I3350" s="30">
        <f>[1]Source!Q3197</f>
        <v>21.96</v>
      </c>
      <c r="J3350" s="29">
        <f>IF([1]Source!BB3198&lt;&gt; 0, [1]Source!BB3198, 1)</f>
        <v>14.52</v>
      </c>
      <c r="K3350" s="30">
        <f>[1]Source!Q3198</f>
        <v>318.86</v>
      </c>
    </row>
    <row r="3351" spans="1:29" ht="14.4" hidden="1" x14ac:dyDescent="0.25">
      <c r="A3351" s="27"/>
      <c r="B3351" s="27"/>
      <c r="C3351" s="27" t="s">
        <v>40</v>
      </c>
      <c r="D3351" s="28"/>
      <c r="E3351" s="29"/>
      <c r="F3351" s="30">
        <f>[1]Source!AN3197</f>
        <v>1.1599999999999999</v>
      </c>
      <c r="G3351" s="31" t="s">
        <v>39</v>
      </c>
      <c r="H3351" s="29">
        <f>[1]Source!AV3198</f>
        <v>1.0249999999999999</v>
      </c>
      <c r="I3351" s="33">
        <f>[1]Source!R3197</f>
        <v>1.78</v>
      </c>
      <c r="J3351" s="29">
        <f>IF([1]Source!BS3198&lt;&gt; 0, [1]Source!BS3198, 1)</f>
        <v>56.35</v>
      </c>
      <c r="K3351" s="33">
        <f>[1]Source!R3198</f>
        <v>100.3</v>
      </c>
    </row>
    <row r="3352" spans="1:29" ht="14.4" hidden="1" x14ac:dyDescent="0.25">
      <c r="A3352" s="27"/>
      <c r="B3352" s="27"/>
      <c r="C3352" s="27" t="s">
        <v>41</v>
      </c>
      <c r="D3352" s="28"/>
      <c r="E3352" s="29"/>
      <c r="F3352" s="30">
        <f>[1]Source!AL3197</f>
        <v>83.4</v>
      </c>
      <c r="G3352" s="31"/>
      <c r="H3352" s="29">
        <f>[1]Source!AW3198</f>
        <v>1</v>
      </c>
      <c r="I3352" s="30">
        <f>[1]Source!P3197</f>
        <v>83.4</v>
      </c>
      <c r="J3352" s="29">
        <f>IF([1]Source!BC3198&lt;&gt; 0, [1]Source!BC3198, 1)</f>
        <v>1.5</v>
      </c>
      <c r="K3352" s="30">
        <f>[1]Source!P3198</f>
        <v>125.1</v>
      </c>
    </row>
    <row r="3353" spans="1:29" ht="96.6" hidden="1" x14ac:dyDescent="0.25">
      <c r="A3353" s="27" t="s">
        <v>659</v>
      </c>
      <c r="B3353" s="27" t="str">
        <f>[1]Source!F3199</f>
        <v>1.3-2-50</v>
      </c>
      <c r="C3353" s="27" t="s">
        <v>131</v>
      </c>
      <c r="D3353" s="28" t="str">
        <f>[1]Source!H3199</f>
        <v>т</v>
      </c>
      <c r="E3353" s="29">
        <f>[1]Source!I3199</f>
        <v>0.04</v>
      </c>
      <c r="F3353" s="30">
        <f>[1]Source!AK3199</f>
        <v>5978.05</v>
      </c>
      <c r="G3353" s="43" t="s">
        <v>54</v>
      </c>
      <c r="H3353" s="29">
        <f>[1]Source!AW3200</f>
        <v>1</v>
      </c>
      <c r="I3353" s="30">
        <f>[1]Source!O3199</f>
        <v>239.12</v>
      </c>
      <c r="J3353" s="29">
        <f>IF([1]Source!BC3200&lt;&gt; 0, [1]Source!BC3200, 1)</f>
        <v>15.31</v>
      </c>
      <c r="K3353" s="30">
        <f>[1]Source!O3200</f>
        <v>3660.93</v>
      </c>
      <c r="Q3353">
        <f>[1]Source!X3199</f>
        <v>0</v>
      </c>
      <c r="R3353">
        <f>[1]Source!X3200</f>
        <v>0</v>
      </c>
      <c r="S3353">
        <f>[1]Source!Y3199</f>
        <v>0</v>
      </c>
      <c r="T3353">
        <f>[1]Source!Y3200</f>
        <v>0</v>
      </c>
      <c r="U3353">
        <f>ROUND((175/100)*ROUND([1]Source!R3199, 2), 2)</f>
        <v>0</v>
      </c>
      <c r="V3353">
        <f>ROUND((0/100)*ROUND([1]Source!R3200, 2), 2)</f>
        <v>0</v>
      </c>
      <c r="AC3353">
        <v>3</v>
      </c>
    </row>
    <row r="3354" spans="1:29" ht="69" hidden="1" x14ac:dyDescent="0.25">
      <c r="A3354" s="27" t="s">
        <v>660</v>
      </c>
      <c r="B3354" s="27" t="str">
        <f>[1]Source!F3201</f>
        <v>1.3-2-35</v>
      </c>
      <c r="C3354" s="27" t="s">
        <v>634</v>
      </c>
      <c r="D3354" s="28" t="str">
        <f>[1]Source!H3201</f>
        <v>т</v>
      </c>
      <c r="E3354" s="29">
        <f>[1]Source!I3201</f>
        <v>0.375</v>
      </c>
      <c r="F3354" s="30">
        <f>[1]Source!AK3201</f>
        <v>1669.7</v>
      </c>
      <c r="G3354" s="43" t="s">
        <v>54</v>
      </c>
      <c r="H3354" s="29">
        <f>[1]Source!AW3202</f>
        <v>1</v>
      </c>
      <c r="I3354" s="30">
        <f>[1]Source!O3201</f>
        <v>626.14</v>
      </c>
      <c r="J3354" s="29">
        <f>IF([1]Source!BC3202&lt;&gt; 0, [1]Source!BC3202, 1)</f>
        <v>8</v>
      </c>
      <c r="K3354" s="30">
        <f>[1]Source!O3202</f>
        <v>5009.12</v>
      </c>
      <c r="Q3354">
        <f>[1]Source!X3201</f>
        <v>0</v>
      </c>
      <c r="R3354">
        <f>[1]Source!X3202</f>
        <v>0</v>
      </c>
      <c r="S3354">
        <f>[1]Source!Y3201</f>
        <v>0</v>
      </c>
      <c r="T3354">
        <f>[1]Source!Y3202</f>
        <v>0</v>
      </c>
      <c r="U3354">
        <f>ROUND((175/100)*ROUND([1]Source!R3201, 2), 2)</f>
        <v>0</v>
      </c>
      <c r="V3354">
        <f>ROUND((0/100)*ROUND([1]Source!R3202, 2), 2)</f>
        <v>0</v>
      </c>
      <c r="AC3354">
        <v>3</v>
      </c>
    </row>
    <row r="3355" spans="1:29" ht="40.799999999999997" x14ac:dyDescent="0.25">
      <c r="A3355" s="53" t="s">
        <v>661</v>
      </c>
      <c r="B3355" s="53" t="str">
        <f>[1]Source!F3203</f>
        <v>КА-181</v>
      </c>
      <c r="C3355" s="53" t="s">
        <v>662</v>
      </c>
      <c r="D3355" s="54" t="str">
        <f>[1]Source!H3203</f>
        <v>м2</v>
      </c>
      <c r="E3355" s="55">
        <f>[1]Source!I3203</f>
        <v>109</v>
      </c>
      <c r="F3355" s="30">
        <f>[1]Source!AK3203</f>
        <v>57.349999999999994</v>
      </c>
      <c r="G3355" s="43" t="s">
        <v>54</v>
      </c>
      <c r="H3355" s="29">
        <f>[1]Source!AW3204</f>
        <v>1</v>
      </c>
      <c r="I3355" s="30">
        <f>[1]Source!O3203</f>
        <v>6251.15</v>
      </c>
      <c r="J3355" s="29">
        <f>IF([1]Source!BC3204&lt;&gt; 0, [1]Source!BC3204, 1)</f>
        <v>9.84</v>
      </c>
      <c r="K3355" s="56">
        <f>[1]Source!O3204</f>
        <v>61511.32</v>
      </c>
      <c r="L3355">
        <v>675</v>
      </c>
      <c r="M3355" s="50">
        <f>L3355*E3355</f>
        <v>73575</v>
      </c>
      <c r="N3355" s="59" t="s">
        <v>180</v>
      </c>
      <c r="Q3355">
        <f>[1]Source!X3203</f>
        <v>0</v>
      </c>
      <c r="R3355">
        <f>[1]Source!X3204</f>
        <v>0</v>
      </c>
      <c r="S3355">
        <f>[1]Source!Y3203</f>
        <v>0</v>
      </c>
      <c r="T3355">
        <f>[1]Source!Y3204</f>
        <v>0</v>
      </c>
      <c r="U3355">
        <f>ROUND((175/100)*ROUND([1]Source!R3203, 2), 2)</f>
        <v>0</v>
      </c>
      <c r="V3355">
        <f>ROUND((0/100)*ROUND([1]Source!R3204, 2), 2)</f>
        <v>0</v>
      </c>
      <c r="AC3355">
        <v>3</v>
      </c>
    </row>
    <row r="3356" spans="1:29" ht="14.4" hidden="1" x14ac:dyDescent="0.25">
      <c r="A3356" s="27"/>
      <c r="B3356" s="27"/>
      <c r="C3356" s="27" t="s">
        <v>42</v>
      </c>
      <c r="D3356" s="28" t="s">
        <v>43</v>
      </c>
      <c r="E3356" s="29">
        <f>[1]Source!BZ3198</f>
        <v>90</v>
      </c>
      <c r="F3356" s="30"/>
      <c r="G3356" s="31"/>
      <c r="H3356" s="29"/>
      <c r="I3356" s="30">
        <f>SUM(Q3347:Q3355)</f>
        <v>2325.34</v>
      </c>
      <c r="J3356" s="29">
        <f>[1]Source!AT3198</f>
        <v>90</v>
      </c>
      <c r="K3356" s="30">
        <f>SUM(R3347:R3355)</f>
        <v>131032.85</v>
      </c>
    </row>
    <row r="3357" spans="1:29" ht="14.4" hidden="1" x14ac:dyDescent="0.25">
      <c r="A3357" s="27"/>
      <c r="B3357" s="27"/>
      <c r="C3357" s="27" t="s">
        <v>44</v>
      </c>
      <c r="D3357" s="28" t="s">
        <v>43</v>
      </c>
      <c r="E3357" s="29">
        <f>[1]Source!CA3198</f>
        <v>42</v>
      </c>
      <c r="F3357" s="30"/>
      <c r="G3357" s="31"/>
      <c r="H3357" s="29"/>
      <c r="I3357" s="30">
        <f>SUM(S3347:S3356)</f>
        <v>1085.1600000000001</v>
      </c>
      <c r="J3357" s="29">
        <f>[1]Source!AU3198</f>
        <v>42</v>
      </c>
      <c r="K3357" s="30">
        <f>SUM(T3347:T3356)</f>
        <v>61148.67</v>
      </c>
    </row>
    <row r="3358" spans="1:29" ht="14.4" hidden="1" x14ac:dyDescent="0.25">
      <c r="A3358" s="34"/>
      <c r="B3358" s="34"/>
      <c r="C3358" s="34" t="s">
        <v>45</v>
      </c>
      <c r="D3358" s="35" t="s">
        <v>46</v>
      </c>
      <c r="E3358" s="36">
        <f>[1]Source!AQ3197</f>
        <v>115.26</v>
      </c>
      <c r="F3358" s="37"/>
      <c r="G3358" s="38" t="s">
        <v>37</v>
      </c>
      <c r="H3358" s="36">
        <f>[1]Source!AV3198</f>
        <v>1.0249999999999999</v>
      </c>
      <c r="I3358" s="37">
        <f>[1]Source!U3197</f>
        <v>163.03526999999997</v>
      </c>
      <c r="J3358" s="36"/>
      <c r="K3358" s="37"/>
    </row>
    <row r="3359" spans="1:29" ht="13.8" hidden="1" x14ac:dyDescent="0.25">
      <c r="C3359" s="39" t="s">
        <v>47</v>
      </c>
      <c r="H3359" s="40">
        <f>I3349+I3350+I3352+I3356+I3357+SUM(I3353:I3355)-SUMIF(AC3353:AC3355, 5, I3353:I3355)-SUMIF(AC3353:AC3355, 6, I3353:I3355)</f>
        <v>13214.2</v>
      </c>
      <c r="I3359" s="40"/>
      <c r="J3359" s="40">
        <f>K3349+K3350+K3352+K3356+K3357+SUM(K3353:K3355)-SUMIF(AC3353:AC3355, 5, K3353:K3355)-SUMIF(AC3353:AC3355, 6, K3353:K3355)</f>
        <v>408298.61</v>
      </c>
      <c r="K3359" s="40"/>
    </row>
    <row r="3360" spans="1:29" ht="13.8" hidden="1" x14ac:dyDescent="0.25">
      <c r="C3360" s="39" t="s">
        <v>48</v>
      </c>
      <c r="H3360" s="41">
        <f>SUMIF(AC3353:AC3355, 5, I3353:I3355)+SUMIF(AC3353:AC3355, 6, I3353:I3355)</f>
        <v>0</v>
      </c>
      <c r="I3360" s="41"/>
      <c r="J3360" s="41">
        <f>SUMIF(AC3353:AC3355, 5, K3353:K3355)+SUMIF(AC3353:AC3355, 6, K3353:K3355)</f>
        <v>0</v>
      </c>
      <c r="K3360" s="41"/>
    </row>
    <row r="3361" spans="1:29" ht="13.8" hidden="1" x14ac:dyDescent="0.25">
      <c r="C3361" s="39" t="s">
        <v>49</v>
      </c>
      <c r="H3361" s="41">
        <f>I3349+I3350+I3352+I3356+I3357+SUM(I3353:I3355)</f>
        <v>13214.2</v>
      </c>
      <c r="I3361" s="41"/>
      <c r="J3361" s="41">
        <f>K3349+K3350+K3352+K3356+K3357+SUM(K3353:K3355)</f>
        <v>408298.61</v>
      </c>
      <c r="K3361" s="41"/>
      <c r="O3361" s="42">
        <f>I3349+I3350+I3352+I3356+I3357+SUM(I3353:I3355)</f>
        <v>13214.2</v>
      </c>
      <c r="P3361" s="42">
        <f>K3349+K3350+K3352+K3356+K3357+SUM(K3353:K3355)</f>
        <v>408298.61</v>
      </c>
    </row>
    <row r="3362" spans="1:29" hidden="1" x14ac:dyDescent="0.25"/>
    <row r="3363" spans="1:29" ht="55.2" hidden="1" x14ac:dyDescent="0.25">
      <c r="A3363" s="27">
        <v>347</v>
      </c>
      <c r="B3363" s="27" t="str">
        <f>[1]Source!F3205</f>
        <v>3.70-224-1</v>
      </c>
      <c r="C3363" s="27" t="s">
        <v>663</v>
      </c>
      <c r="D3363" s="28" t="str">
        <f>[1]Source!H3205</f>
        <v>100 м2</v>
      </c>
      <c r="E3363" s="29">
        <f>[1]Source!I3205</f>
        <v>1.1299999999999999</v>
      </c>
      <c r="F3363" s="30"/>
      <c r="G3363" s="31"/>
      <c r="H3363" s="29"/>
      <c r="I3363" s="30"/>
      <c r="J3363" s="29"/>
      <c r="K3363" s="30"/>
      <c r="Q3363">
        <f>[1]Source!X3205</f>
        <v>2627.64</v>
      </c>
      <c r="R3363">
        <f>[1]Source!X3206</f>
        <v>148067.51</v>
      </c>
      <c r="S3363">
        <f>[1]Source!Y3205</f>
        <v>1226.23</v>
      </c>
      <c r="T3363">
        <f>[1]Source!Y3206</f>
        <v>69098.17</v>
      </c>
      <c r="U3363">
        <f>ROUND((175/100)*ROUND([1]Source!R3205, 2), 2)</f>
        <v>3.54</v>
      </c>
      <c r="V3363">
        <f>ROUND((0/100)*ROUND([1]Source!R3206, 2), 2)</f>
        <v>0</v>
      </c>
      <c r="AC3363">
        <v>0</v>
      </c>
    </row>
    <row r="3364" spans="1:29" hidden="1" x14ac:dyDescent="0.25">
      <c r="C3364" s="32" t="str">
        <f>"Объем: "&amp;[1]Source!I3205&amp;"=(27+"&amp;"86)/"&amp;"100"</f>
        <v>Объем: 1,13=(27+86)/100</v>
      </c>
    </row>
    <row r="3365" spans="1:29" ht="14.4" hidden="1" x14ac:dyDescent="0.25">
      <c r="A3365" s="27"/>
      <c r="B3365" s="27"/>
      <c r="C3365" s="27" t="s">
        <v>36</v>
      </c>
      <c r="D3365" s="28"/>
      <c r="E3365" s="29"/>
      <c r="F3365" s="30">
        <f>[1]Source!AO3205</f>
        <v>1825.33</v>
      </c>
      <c r="G3365" s="31" t="s">
        <v>37</v>
      </c>
      <c r="H3365" s="29">
        <f>[1]Source!AV3206</f>
        <v>1.0249999999999999</v>
      </c>
      <c r="I3365" s="30">
        <f>[1]Source!S3205</f>
        <v>2917.58</v>
      </c>
      <c r="J3365" s="29">
        <f>IF([1]Source!BA3206&lt;&gt; 0, [1]Source!BA3206, 1)</f>
        <v>56.35</v>
      </c>
      <c r="K3365" s="30">
        <f>[1]Source!S3206</f>
        <v>164405.63</v>
      </c>
    </row>
    <row r="3366" spans="1:29" ht="14.4" hidden="1" x14ac:dyDescent="0.25">
      <c r="A3366" s="27"/>
      <c r="B3366" s="27"/>
      <c r="C3366" s="27" t="s">
        <v>38</v>
      </c>
      <c r="D3366" s="28"/>
      <c r="E3366" s="29"/>
      <c r="F3366" s="30">
        <f>[1]Source!AM3205</f>
        <v>14.28</v>
      </c>
      <c r="G3366" s="31" t="s">
        <v>39</v>
      </c>
      <c r="H3366" s="29">
        <f>[1]Source!AV3206</f>
        <v>1.0249999999999999</v>
      </c>
      <c r="I3366" s="30">
        <f>[1]Source!Q3205</f>
        <v>24.81</v>
      </c>
      <c r="J3366" s="29">
        <f>IF([1]Source!BB3206&lt;&gt; 0, [1]Source!BB3206, 1)</f>
        <v>14.52</v>
      </c>
      <c r="K3366" s="30">
        <f>[1]Source!Q3206</f>
        <v>360.24</v>
      </c>
    </row>
    <row r="3367" spans="1:29" ht="14.4" hidden="1" x14ac:dyDescent="0.25">
      <c r="A3367" s="27"/>
      <c r="B3367" s="27"/>
      <c r="C3367" s="27" t="s">
        <v>40</v>
      </c>
      <c r="D3367" s="28"/>
      <c r="E3367" s="29"/>
      <c r="F3367" s="30">
        <f>[1]Source!AN3205</f>
        <v>1.1599999999999999</v>
      </c>
      <c r="G3367" s="31" t="s">
        <v>39</v>
      </c>
      <c r="H3367" s="29">
        <f>[1]Source!AV3206</f>
        <v>1.0249999999999999</v>
      </c>
      <c r="I3367" s="33">
        <f>[1]Source!R3205</f>
        <v>2.02</v>
      </c>
      <c r="J3367" s="29">
        <f>IF([1]Source!BS3206&lt;&gt; 0, [1]Source!BS3206, 1)</f>
        <v>56.35</v>
      </c>
      <c r="K3367" s="33">
        <f>[1]Source!R3206</f>
        <v>113.83</v>
      </c>
    </row>
    <row r="3368" spans="1:29" ht="14.4" hidden="1" x14ac:dyDescent="0.25">
      <c r="A3368" s="27"/>
      <c r="B3368" s="27"/>
      <c r="C3368" s="27" t="s">
        <v>41</v>
      </c>
      <c r="D3368" s="28"/>
      <c r="E3368" s="29"/>
      <c r="F3368" s="30">
        <f>[1]Source!AL3205</f>
        <v>83.4</v>
      </c>
      <c r="G3368" s="31"/>
      <c r="H3368" s="29">
        <f>[1]Source!AW3206</f>
        <v>1</v>
      </c>
      <c r="I3368" s="30">
        <f>[1]Source!P3205</f>
        <v>94.24</v>
      </c>
      <c r="J3368" s="29">
        <f>IF([1]Source!BC3206&lt;&gt; 0, [1]Source!BC3206, 1)</f>
        <v>1.5</v>
      </c>
      <c r="K3368" s="30">
        <f>[1]Source!P3206</f>
        <v>141.36000000000001</v>
      </c>
    </row>
    <row r="3369" spans="1:29" ht="96.6" hidden="1" x14ac:dyDescent="0.25">
      <c r="A3369" s="27" t="s">
        <v>664</v>
      </c>
      <c r="B3369" s="27" t="str">
        <f>[1]Source!F3207</f>
        <v>1.3-2-50</v>
      </c>
      <c r="C3369" s="27" t="s">
        <v>131</v>
      </c>
      <c r="D3369" s="28" t="str">
        <f>[1]Source!H3207</f>
        <v>т</v>
      </c>
      <c r="E3369" s="29">
        <f>[1]Source!I3207</f>
        <v>4.5199999999999997E-2</v>
      </c>
      <c r="F3369" s="30">
        <f>[1]Source!AK3207</f>
        <v>5978.05</v>
      </c>
      <c r="G3369" s="43" t="s">
        <v>54</v>
      </c>
      <c r="H3369" s="29">
        <f>[1]Source!AW3208</f>
        <v>1</v>
      </c>
      <c r="I3369" s="30">
        <f>[1]Source!O3207</f>
        <v>270.20999999999998</v>
      </c>
      <c r="J3369" s="29">
        <f>IF([1]Source!BC3208&lt;&gt; 0, [1]Source!BC3208, 1)</f>
        <v>15.31</v>
      </c>
      <c r="K3369" s="30">
        <f>[1]Source!O3208</f>
        <v>4136.92</v>
      </c>
      <c r="Q3369">
        <f>[1]Source!X3207</f>
        <v>0</v>
      </c>
      <c r="R3369">
        <f>[1]Source!X3208</f>
        <v>0</v>
      </c>
      <c r="S3369">
        <f>[1]Source!Y3207</f>
        <v>0</v>
      </c>
      <c r="T3369">
        <f>[1]Source!Y3208</f>
        <v>0</v>
      </c>
      <c r="U3369">
        <f>ROUND((175/100)*ROUND([1]Source!R3207, 2), 2)</f>
        <v>0</v>
      </c>
      <c r="V3369">
        <f>ROUND((0/100)*ROUND([1]Source!R3208, 2), 2)</f>
        <v>0</v>
      </c>
      <c r="AC3369">
        <v>3</v>
      </c>
    </row>
    <row r="3370" spans="1:29" ht="69" hidden="1" x14ac:dyDescent="0.25">
      <c r="A3370" s="27" t="s">
        <v>665</v>
      </c>
      <c r="B3370" s="27" t="str">
        <f>[1]Source!F3209</f>
        <v>1.3-2-35</v>
      </c>
      <c r="C3370" s="27" t="s">
        <v>634</v>
      </c>
      <c r="D3370" s="28" t="str">
        <f>[1]Source!H3209</f>
        <v>т</v>
      </c>
      <c r="E3370" s="29">
        <f>[1]Source!I3209</f>
        <v>0.42375000000000002</v>
      </c>
      <c r="F3370" s="30">
        <f>[1]Source!AK3209</f>
        <v>1669.7</v>
      </c>
      <c r="G3370" s="43" t="s">
        <v>54</v>
      </c>
      <c r="H3370" s="29">
        <f>[1]Source!AW3210</f>
        <v>1</v>
      </c>
      <c r="I3370" s="30">
        <f>[1]Source!O3209</f>
        <v>707.54</v>
      </c>
      <c r="J3370" s="29">
        <f>IF([1]Source!BC3210&lt;&gt; 0, [1]Source!BC3210, 1)</f>
        <v>8</v>
      </c>
      <c r="K3370" s="30">
        <f>[1]Source!O3210</f>
        <v>5660.32</v>
      </c>
      <c r="Q3370">
        <f>[1]Source!X3209</f>
        <v>0</v>
      </c>
      <c r="R3370">
        <f>[1]Source!X3210</f>
        <v>0</v>
      </c>
      <c r="S3370">
        <f>[1]Source!Y3209</f>
        <v>0</v>
      </c>
      <c r="T3370">
        <f>[1]Source!Y3210</f>
        <v>0</v>
      </c>
      <c r="U3370">
        <f>ROUND((175/100)*ROUND([1]Source!R3209, 2), 2)</f>
        <v>0</v>
      </c>
      <c r="V3370">
        <f>ROUND((0/100)*ROUND([1]Source!R3210, 2), 2)</f>
        <v>0</v>
      </c>
      <c r="AC3370">
        <v>3</v>
      </c>
    </row>
    <row r="3371" spans="1:29" ht="40.799999999999997" x14ac:dyDescent="0.25">
      <c r="A3371" s="53" t="s">
        <v>666</v>
      </c>
      <c r="B3371" s="53" t="str">
        <f>[1]Source!F3211</f>
        <v>КА-182</v>
      </c>
      <c r="C3371" s="53" t="s">
        <v>667</v>
      </c>
      <c r="D3371" s="54" t="str">
        <f>[1]Source!H3211</f>
        <v>м2</v>
      </c>
      <c r="E3371" s="55">
        <f>[1]Source!I3211</f>
        <v>29.43</v>
      </c>
      <c r="F3371" s="30">
        <f>[1]Source!AK3211</f>
        <v>185.14</v>
      </c>
      <c r="G3371" s="43" t="s">
        <v>54</v>
      </c>
      <c r="H3371" s="29">
        <f>[1]Source!AW3212</f>
        <v>1</v>
      </c>
      <c r="I3371" s="30">
        <f>[1]Source!O3211</f>
        <v>5448.67</v>
      </c>
      <c r="J3371" s="29">
        <f>IF([1]Source!BC3212&lt;&gt; 0, [1]Source!BC3212, 1)</f>
        <v>9.84</v>
      </c>
      <c r="K3371" s="56">
        <f>[1]Source!O3212</f>
        <v>53614.91</v>
      </c>
      <c r="L3371">
        <v>2179</v>
      </c>
      <c r="M3371" s="50">
        <f t="shared" ref="M3371:M3372" si="44">L3371*E3371</f>
        <v>64127.97</v>
      </c>
      <c r="N3371" s="59" t="s">
        <v>180</v>
      </c>
      <c r="Q3371">
        <f>[1]Source!X3211</f>
        <v>0</v>
      </c>
      <c r="R3371">
        <f>[1]Source!X3212</f>
        <v>0</v>
      </c>
      <c r="S3371">
        <f>[1]Source!Y3211</f>
        <v>0</v>
      </c>
      <c r="T3371">
        <f>[1]Source!Y3212</f>
        <v>0</v>
      </c>
      <c r="U3371">
        <f>ROUND((175/100)*ROUND([1]Source!R3211, 2), 2)</f>
        <v>0</v>
      </c>
      <c r="V3371">
        <f>ROUND((0/100)*ROUND([1]Source!R3212, 2), 2)</f>
        <v>0</v>
      </c>
      <c r="AC3371">
        <v>3</v>
      </c>
    </row>
    <row r="3372" spans="1:29" ht="40.799999999999997" x14ac:dyDescent="0.25">
      <c r="A3372" s="53" t="s">
        <v>668</v>
      </c>
      <c r="B3372" s="53" t="str">
        <f>[1]Source!F3213</f>
        <v>КА-183</v>
      </c>
      <c r="C3372" s="53" t="s">
        <v>669</v>
      </c>
      <c r="D3372" s="54" t="str">
        <f>[1]Source!H3213</f>
        <v>м2</v>
      </c>
      <c r="E3372" s="55">
        <f>[1]Source!I3213</f>
        <v>93.74</v>
      </c>
      <c r="F3372" s="30">
        <f>[1]Source!AK3213</f>
        <v>157.87</v>
      </c>
      <c r="G3372" s="43" t="s">
        <v>54</v>
      </c>
      <c r="H3372" s="29">
        <f>[1]Source!AW3214</f>
        <v>1</v>
      </c>
      <c r="I3372" s="30">
        <f>[1]Source!O3213</f>
        <v>14798.73</v>
      </c>
      <c r="J3372" s="29">
        <f>IF([1]Source!BC3214&lt;&gt; 0, [1]Source!BC3214, 1)</f>
        <v>9.84</v>
      </c>
      <c r="K3372" s="56">
        <f>[1]Source!O3214</f>
        <v>145619.5</v>
      </c>
      <c r="L3372">
        <v>1858</v>
      </c>
      <c r="M3372" s="50">
        <f t="shared" si="44"/>
        <v>174168.91999999998</v>
      </c>
      <c r="N3372" s="59" t="s">
        <v>180</v>
      </c>
      <c r="Q3372">
        <f>[1]Source!X3213</f>
        <v>0</v>
      </c>
      <c r="R3372">
        <f>[1]Source!X3214</f>
        <v>0</v>
      </c>
      <c r="S3372">
        <f>[1]Source!Y3213</f>
        <v>0</v>
      </c>
      <c r="T3372">
        <f>[1]Source!Y3214</f>
        <v>0</v>
      </c>
      <c r="U3372">
        <f>ROUND((175/100)*ROUND([1]Source!R3213, 2), 2)</f>
        <v>0</v>
      </c>
      <c r="V3372">
        <f>ROUND((0/100)*ROUND([1]Source!R3214, 2), 2)</f>
        <v>0</v>
      </c>
      <c r="AC3372">
        <v>3</v>
      </c>
    </row>
    <row r="3373" spans="1:29" ht="14.4" hidden="1" x14ac:dyDescent="0.25">
      <c r="A3373" s="27"/>
      <c r="B3373" s="27"/>
      <c r="C3373" s="27" t="s">
        <v>42</v>
      </c>
      <c r="D3373" s="28" t="s">
        <v>43</v>
      </c>
      <c r="E3373" s="29">
        <f>[1]Source!BZ3206</f>
        <v>90</v>
      </c>
      <c r="F3373" s="30"/>
      <c r="G3373" s="31"/>
      <c r="H3373" s="29"/>
      <c r="I3373" s="30">
        <f>SUM(Q3363:Q3372)</f>
        <v>2627.64</v>
      </c>
      <c r="J3373" s="29">
        <f>[1]Source!AT3206</f>
        <v>90</v>
      </c>
      <c r="K3373" s="30">
        <f>SUM(R3363:R3372)</f>
        <v>148067.51</v>
      </c>
    </row>
    <row r="3374" spans="1:29" ht="14.4" hidden="1" x14ac:dyDescent="0.25">
      <c r="A3374" s="27"/>
      <c r="B3374" s="27"/>
      <c r="C3374" s="27" t="s">
        <v>44</v>
      </c>
      <c r="D3374" s="28" t="s">
        <v>43</v>
      </c>
      <c r="E3374" s="29">
        <f>[1]Source!CA3206</f>
        <v>42</v>
      </c>
      <c r="F3374" s="30"/>
      <c r="G3374" s="31"/>
      <c r="H3374" s="29"/>
      <c r="I3374" s="30">
        <f>SUM(S3363:S3373)</f>
        <v>1226.23</v>
      </c>
      <c r="J3374" s="29">
        <f>[1]Source!AU3206</f>
        <v>42</v>
      </c>
      <c r="K3374" s="30">
        <f>SUM(T3363:T3373)</f>
        <v>69098.17</v>
      </c>
    </row>
    <row r="3375" spans="1:29" ht="14.4" hidden="1" x14ac:dyDescent="0.25">
      <c r="A3375" s="34"/>
      <c r="B3375" s="34"/>
      <c r="C3375" s="34" t="s">
        <v>45</v>
      </c>
      <c r="D3375" s="35" t="s">
        <v>46</v>
      </c>
      <c r="E3375" s="36">
        <f>[1]Source!AQ3205</f>
        <v>115.26</v>
      </c>
      <c r="F3375" s="37"/>
      <c r="G3375" s="38" t="s">
        <v>37</v>
      </c>
      <c r="H3375" s="36">
        <f>[1]Source!AV3206</f>
        <v>1.0249999999999999</v>
      </c>
      <c r="I3375" s="37">
        <f>[1]Source!U3205</f>
        <v>184.22985509999995</v>
      </c>
      <c r="J3375" s="36"/>
      <c r="K3375" s="37"/>
    </row>
    <row r="3376" spans="1:29" ht="13.8" hidden="1" x14ac:dyDescent="0.25">
      <c r="C3376" s="39" t="s">
        <v>47</v>
      </c>
      <c r="H3376" s="40">
        <f>I3365+I3366+I3368+I3373+I3374+SUM(I3369:I3372)-SUMIF(AC3369:AC3372, 5, I3369:I3372)-SUMIF(AC3369:AC3372, 6, I3369:I3372)</f>
        <v>28115.65</v>
      </c>
      <c r="I3376" s="40"/>
      <c r="J3376" s="40">
        <f>K3365+K3366+K3368+K3373+K3374+SUM(K3369:K3372)-SUMIF(AC3369:AC3372, 5, K3369:K3372)-SUMIF(AC3369:AC3372, 6, K3369:K3372)</f>
        <v>591104.55999999994</v>
      </c>
      <c r="K3376" s="40"/>
    </row>
    <row r="3377" spans="1:29" ht="13.8" hidden="1" x14ac:dyDescent="0.25">
      <c r="C3377" s="39" t="s">
        <v>48</v>
      </c>
      <c r="H3377" s="41">
        <f>SUMIF(AC3369:AC3372, 5, I3369:I3372)+SUMIF(AC3369:AC3372, 6, I3369:I3372)</f>
        <v>0</v>
      </c>
      <c r="I3377" s="41"/>
      <c r="J3377" s="41">
        <f>SUMIF(AC3369:AC3372, 5, K3369:K3372)+SUMIF(AC3369:AC3372, 6, K3369:K3372)</f>
        <v>0</v>
      </c>
      <c r="K3377" s="41"/>
    </row>
    <row r="3378" spans="1:29" ht="13.8" hidden="1" x14ac:dyDescent="0.25">
      <c r="C3378" s="39" t="s">
        <v>49</v>
      </c>
      <c r="H3378" s="41">
        <f>I3365+I3366+I3368+I3373+I3374+SUM(I3369:I3372)</f>
        <v>28115.65</v>
      </c>
      <c r="I3378" s="41"/>
      <c r="J3378" s="41">
        <f>K3365+K3366+K3368+K3373+K3374+SUM(K3369:K3372)</f>
        <v>591104.55999999994</v>
      </c>
      <c r="K3378" s="41"/>
      <c r="O3378" s="42">
        <f>I3365+I3366+I3368+I3373+I3374+SUM(I3369:I3372)</f>
        <v>28115.65</v>
      </c>
      <c r="P3378" s="42">
        <f>K3365+K3366+K3368+K3373+K3374+SUM(K3369:K3372)</f>
        <v>591104.55999999994</v>
      </c>
    </row>
    <row r="3379" spans="1:29" hidden="1" x14ac:dyDescent="0.25"/>
    <row r="3380" spans="1:29" ht="69" hidden="1" x14ac:dyDescent="0.25">
      <c r="A3380" s="27">
        <v>348</v>
      </c>
      <c r="B3380" s="27" t="str">
        <f>[1]Source!F3215</f>
        <v>3.70-228-5</v>
      </c>
      <c r="C3380" s="27" t="s">
        <v>644</v>
      </c>
      <c r="D3380" s="28" t="str">
        <f>[1]Source!H3215</f>
        <v>100 м2</v>
      </c>
      <c r="E3380" s="29">
        <f>[1]Source!I3215</f>
        <v>2.1800000000000002</v>
      </c>
      <c r="F3380" s="30"/>
      <c r="G3380" s="31"/>
      <c r="H3380" s="29"/>
      <c r="I3380" s="30"/>
      <c r="J3380" s="29"/>
      <c r="K3380" s="30"/>
      <c r="Q3380">
        <f>[1]Source!X3215</f>
        <v>3971.01</v>
      </c>
      <c r="R3380">
        <f>[1]Source!X3216</f>
        <v>223766.24</v>
      </c>
      <c r="S3380">
        <f>[1]Source!Y3215</f>
        <v>1853.14</v>
      </c>
      <c r="T3380">
        <f>[1]Source!Y3216</f>
        <v>104424.25</v>
      </c>
      <c r="U3380">
        <f>ROUND((175/100)*ROUND([1]Source!R3215, 2), 2)</f>
        <v>79.94</v>
      </c>
      <c r="V3380">
        <f>ROUND((0/100)*ROUND([1]Source!R3216, 2), 2)</f>
        <v>0</v>
      </c>
      <c r="AC3380">
        <v>0</v>
      </c>
    </row>
    <row r="3381" spans="1:29" hidden="1" x14ac:dyDescent="0.25">
      <c r="C3381" s="32" t="str">
        <f>"Объем: "&amp;[1]Source!I3215&amp;"=218/"&amp;"100"</f>
        <v>Объем: 2,18=218/100</v>
      </c>
    </row>
    <row r="3382" spans="1:29" ht="14.4" hidden="1" x14ac:dyDescent="0.25">
      <c r="A3382" s="27"/>
      <c r="B3382" s="27"/>
      <c r="C3382" s="27" t="s">
        <v>36</v>
      </c>
      <c r="D3382" s="28"/>
      <c r="E3382" s="29"/>
      <c r="F3382" s="30">
        <f>[1]Source!AO3215</f>
        <v>1416.05</v>
      </c>
      <c r="G3382" s="31" t="s">
        <v>37</v>
      </c>
      <c r="H3382" s="29">
        <f>[1]Source!AV3216</f>
        <v>1.0249999999999999</v>
      </c>
      <c r="I3382" s="30">
        <f>[1]Source!S3215</f>
        <v>4366.55</v>
      </c>
      <c r="J3382" s="29">
        <f>IF([1]Source!BA3216&lt;&gt; 0, [1]Source!BA3216, 1)</f>
        <v>56.35</v>
      </c>
      <c r="K3382" s="30">
        <f>[1]Source!S3216</f>
        <v>246055.09</v>
      </c>
    </row>
    <row r="3383" spans="1:29" ht="14.4" hidden="1" x14ac:dyDescent="0.25">
      <c r="A3383" s="27"/>
      <c r="B3383" s="27"/>
      <c r="C3383" s="27" t="s">
        <v>38</v>
      </c>
      <c r="D3383" s="28"/>
      <c r="E3383" s="29"/>
      <c r="F3383" s="30">
        <f>[1]Source!AM3215</f>
        <v>77.97</v>
      </c>
      <c r="G3383" s="31" t="s">
        <v>39</v>
      </c>
      <c r="H3383" s="29">
        <f>[1]Source!AV3216</f>
        <v>1.0249999999999999</v>
      </c>
      <c r="I3383" s="30">
        <f>[1]Source!Q3215</f>
        <v>261.33999999999997</v>
      </c>
      <c r="J3383" s="29">
        <f>IF([1]Source!BB3216&lt;&gt; 0, [1]Source!BB3216, 1)</f>
        <v>18.850000000000001</v>
      </c>
      <c r="K3383" s="30">
        <f>[1]Source!Q3216</f>
        <v>4926.26</v>
      </c>
    </row>
    <row r="3384" spans="1:29" ht="14.4" hidden="1" x14ac:dyDescent="0.25">
      <c r="A3384" s="27"/>
      <c r="B3384" s="27"/>
      <c r="C3384" s="27" t="s">
        <v>40</v>
      </c>
      <c r="D3384" s="28"/>
      <c r="E3384" s="29"/>
      <c r="F3384" s="30">
        <f>[1]Source!AN3215</f>
        <v>13.63</v>
      </c>
      <c r="G3384" s="31" t="s">
        <v>39</v>
      </c>
      <c r="H3384" s="29">
        <f>[1]Source!AV3216</f>
        <v>1.0249999999999999</v>
      </c>
      <c r="I3384" s="33">
        <f>[1]Source!R3215</f>
        <v>45.68</v>
      </c>
      <c r="J3384" s="29">
        <f>IF([1]Source!BS3216&lt;&gt; 0, [1]Source!BS3216, 1)</f>
        <v>56.35</v>
      </c>
      <c r="K3384" s="33">
        <f>[1]Source!R3216</f>
        <v>2574.0700000000002</v>
      </c>
    </row>
    <row r="3385" spans="1:29" ht="14.4" hidden="1" x14ac:dyDescent="0.25">
      <c r="A3385" s="27"/>
      <c r="B3385" s="27"/>
      <c r="C3385" s="27" t="s">
        <v>41</v>
      </c>
      <c r="D3385" s="28"/>
      <c r="E3385" s="29"/>
      <c r="F3385" s="30">
        <f>[1]Source!AL3215</f>
        <v>214.09</v>
      </c>
      <c r="G3385" s="31"/>
      <c r="H3385" s="29">
        <f>[1]Source!AW3216</f>
        <v>1</v>
      </c>
      <c r="I3385" s="30">
        <f>[1]Source!P3215</f>
        <v>466.72</v>
      </c>
      <c r="J3385" s="29">
        <f>IF([1]Source!BC3216&lt;&gt; 0, [1]Source!BC3216, 1)</f>
        <v>1.43</v>
      </c>
      <c r="K3385" s="30">
        <f>[1]Source!P3216</f>
        <v>667.41</v>
      </c>
    </row>
    <row r="3386" spans="1:29" ht="41.4" hidden="1" x14ac:dyDescent="0.25">
      <c r="A3386" s="27" t="s">
        <v>670</v>
      </c>
      <c r="B3386" s="27" t="str">
        <f>[1]Source!F3217</f>
        <v>1.1-1-8206</v>
      </c>
      <c r="C3386" s="27" t="s">
        <v>639</v>
      </c>
      <c r="D3386" s="28" t="str">
        <f>[1]Source!H3217</f>
        <v>100 шт.</v>
      </c>
      <c r="E3386" s="29">
        <f>[1]Source!I3217</f>
        <v>14.9984</v>
      </c>
      <c r="F3386" s="30">
        <f>[1]Source!AK3217</f>
        <v>4.34</v>
      </c>
      <c r="G3386" s="43" t="s">
        <v>54</v>
      </c>
      <c r="H3386" s="29">
        <f>[1]Source!AW3218</f>
        <v>1</v>
      </c>
      <c r="I3386" s="30">
        <f>[1]Source!O3217</f>
        <v>65.09</v>
      </c>
      <c r="J3386" s="29">
        <f>IF([1]Source!BC3218&lt;&gt; 0, [1]Source!BC3218, 1)</f>
        <v>10.029999999999999</v>
      </c>
      <c r="K3386" s="30">
        <f>[1]Source!O3218</f>
        <v>652.85</v>
      </c>
      <c r="Q3386">
        <f>[1]Source!X3217</f>
        <v>0</v>
      </c>
      <c r="R3386">
        <f>[1]Source!X3218</f>
        <v>0</v>
      </c>
      <c r="S3386">
        <f>[1]Source!Y3217</f>
        <v>0</v>
      </c>
      <c r="T3386">
        <f>[1]Source!Y3218</f>
        <v>0</v>
      </c>
      <c r="U3386">
        <f>ROUND((175/100)*ROUND([1]Source!R3217, 2), 2)</f>
        <v>0</v>
      </c>
      <c r="V3386">
        <f>ROUND((0/100)*ROUND([1]Source!R3218, 2), 2)</f>
        <v>0</v>
      </c>
      <c r="AC3386">
        <v>3</v>
      </c>
    </row>
    <row r="3387" spans="1:29" ht="69" hidden="1" x14ac:dyDescent="0.25">
      <c r="A3387" s="27" t="s">
        <v>671</v>
      </c>
      <c r="B3387" s="27" t="str">
        <f>[1]Source!F3219</f>
        <v>1.1-1-3108</v>
      </c>
      <c r="C3387" s="27" t="s">
        <v>79</v>
      </c>
      <c r="D3387" s="28" t="str">
        <f>[1]Source!H3219</f>
        <v>кг</v>
      </c>
      <c r="E3387" s="29">
        <f>[1]Source!I3219</f>
        <v>30.52</v>
      </c>
      <c r="F3387" s="30">
        <f>[1]Source!AK3219</f>
        <v>17.649999999999999</v>
      </c>
      <c r="G3387" s="43" t="s">
        <v>54</v>
      </c>
      <c r="H3387" s="29">
        <f>[1]Source!AW3220</f>
        <v>1</v>
      </c>
      <c r="I3387" s="30">
        <f>[1]Source!O3219</f>
        <v>538.67999999999995</v>
      </c>
      <c r="J3387" s="29">
        <f>IF([1]Source!BC3220&lt;&gt; 0, [1]Source!BC3220, 1)</f>
        <v>5</v>
      </c>
      <c r="K3387" s="30">
        <f>[1]Source!O3220</f>
        <v>2693.4</v>
      </c>
      <c r="Q3387">
        <f>[1]Source!X3219</f>
        <v>0</v>
      </c>
      <c r="R3387">
        <f>[1]Source!X3220</f>
        <v>0</v>
      </c>
      <c r="S3387">
        <f>[1]Source!Y3219</f>
        <v>0</v>
      </c>
      <c r="T3387">
        <f>[1]Source!Y3220</f>
        <v>0</v>
      </c>
      <c r="U3387">
        <f>ROUND((175/100)*ROUND([1]Source!R3219, 2), 2)</f>
        <v>0</v>
      </c>
      <c r="V3387">
        <f>ROUND((0/100)*ROUND([1]Source!R3220, 2), 2)</f>
        <v>0</v>
      </c>
      <c r="AC3387">
        <v>3</v>
      </c>
    </row>
    <row r="3388" spans="1:29" ht="96.6" hidden="1" x14ac:dyDescent="0.25">
      <c r="A3388" s="27" t="s">
        <v>672</v>
      </c>
      <c r="B3388" s="27" t="str">
        <f>[1]Source!F3221</f>
        <v>1.3-2-50</v>
      </c>
      <c r="C3388" s="27" t="s">
        <v>131</v>
      </c>
      <c r="D3388" s="28" t="str">
        <f>[1]Source!H3221</f>
        <v>т</v>
      </c>
      <c r="E3388" s="29">
        <f>[1]Source!I3221</f>
        <v>8.72E-2</v>
      </c>
      <c r="F3388" s="30">
        <f>[1]Source!AK3221</f>
        <v>5978.05</v>
      </c>
      <c r="G3388" s="43" t="s">
        <v>54</v>
      </c>
      <c r="H3388" s="29">
        <f>[1]Source!AW3222</f>
        <v>1</v>
      </c>
      <c r="I3388" s="30">
        <f>[1]Source!O3221</f>
        <v>521.29</v>
      </c>
      <c r="J3388" s="29">
        <f>IF([1]Source!BC3222&lt;&gt; 0, [1]Source!BC3222, 1)</f>
        <v>15.31</v>
      </c>
      <c r="K3388" s="30">
        <f>[1]Source!O3222</f>
        <v>7980.95</v>
      </c>
      <c r="Q3388">
        <f>[1]Source!X3221</f>
        <v>0</v>
      </c>
      <c r="R3388">
        <f>[1]Source!X3222</f>
        <v>0</v>
      </c>
      <c r="S3388">
        <f>[1]Source!Y3221</f>
        <v>0</v>
      </c>
      <c r="T3388">
        <f>[1]Source!Y3222</f>
        <v>0</v>
      </c>
      <c r="U3388">
        <f>ROUND((175/100)*ROUND([1]Source!R3221, 2), 2)</f>
        <v>0</v>
      </c>
      <c r="V3388">
        <f>ROUND((0/100)*ROUND([1]Source!R3222, 2), 2)</f>
        <v>0</v>
      </c>
      <c r="AC3388">
        <v>3</v>
      </c>
    </row>
    <row r="3389" spans="1:29" ht="69" hidden="1" x14ac:dyDescent="0.25">
      <c r="A3389" s="27" t="s">
        <v>673</v>
      </c>
      <c r="B3389" s="27" t="str">
        <f>[1]Source!F3223</f>
        <v>1.3-2-35</v>
      </c>
      <c r="C3389" s="27" t="s">
        <v>634</v>
      </c>
      <c r="D3389" s="28" t="str">
        <f>[1]Source!H3223</f>
        <v>т</v>
      </c>
      <c r="E3389" s="29">
        <f>[1]Source!I3223</f>
        <v>1.256988</v>
      </c>
      <c r="F3389" s="30">
        <f>[1]Source!AK3223</f>
        <v>1669.7</v>
      </c>
      <c r="G3389" s="43" t="s">
        <v>54</v>
      </c>
      <c r="H3389" s="29">
        <f>[1]Source!AW3224</f>
        <v>1</v>
      </c>
      <c r="I3389" s="30">
        <f>[1]Source!O3223</f>
        <v>2098.79</v>
      </c>
      <c r="J3389" s="29">
        <f>IF([1]Source!BC3224&lt;&gt; 0, [1]Source!BC3224, 1)</f>
        <v>8</v>
      </c>
      <c r="K3389" s="30">
        <f>[1]Source!O3224</f>
        <v>16790.32</v>
      </c>
      <c r="Q3389">
        <f>[1]Source!X3223</f>
        <v>0</v>
      </c>
      <c r="R3389">
        <f>[1]Source!X3224</f>
        <v>0</v>
      </c>
      <c r="S3389">
        <f>[1]Source!Y3223</f>
        <v>0</v>
      </c>
      <c r="T3389">
        <f>[1]Source!Y3224</f>
        <v>0</v>
      </c>
      <c r="U3389">
        <f>ROUND((175/100)*ROUND([1]Source!R3223, 2), 2)</f>
        <v>0</v>
      </c>
      <c r="V3389">
        <f>ROUND((0/100)*ROUND([1]Source!R3224, 2), 2)</f>
        <v>0</v>
      </c>
      <c r="AC3389">
        <v>3</v>
      </c>
    </row>
    <row r="3390" spans="1:29" ht="27.6" x14ac:dyDescent="0.25">
      <c r="A3390" s="53" t="s">
        <v>674</v>
      </c>
      <c r="B3390" s="53" t="str">
        <f>[1]Source!F3225</f>
        <v>КА-185</v>
      </c>
      <c r="C3390" s="53" t="s">
        <v>675</v>
      </c>
      <c r="D3390" s="54" t="str">
        <f>[1]Source!H3225</f>
        <v>м2</v>
      </c>
      <c r="E3390" s="55">
        <f>[1]Source!I3225</f>
        <v>237.62</v>
      </c>
      <c r="F3390" s="30">
        <f>[1]Source!AK3225</f>
        <v>296.11</v>
      </c>
      <c r="G3390" s="43" t="s">
        <v>54</v>
      </c>
      <c r="H3390" s="29">
        <f>[1]Source!AW3226</f>
        <v>1</v>
      </c>
      <c r="I3390" s="30">
        <f>[1]Source!O3225</f>
        <v>70361.66</v>
      </c>
      <c r="J3390" s="29">
        <f>IF([1]Source!BC3226&lt;&gt; 0, [1]Source!BC3226, 1)</f>
        <v>9.84</v>
      </c>
      <c r="K3390" s="56">
        <f>[1]Source!O3226</f>
        <v>692358.73</v>
      </c>
      <c r="L3390">
        <v>3485</v>
      </c>
      <c r="M3390" s="50">
        <f>L3390*E3390</f>
        <v>828105.70000000007</v>
      </c>
      <c r="N3390" s="59" t="s">
        <v>180</v>
      </c>
      <c r="Q3390">
        <f>[1]Source!X3225</f>
        <v>0</v>
      </c>
      <c r="R3390">
        <f>[1]Source!X3226</f>
        <v>0</v>
      </c>
      <c r="S3390">
        <f>[1]Source!Y3225</f>
        <v>0</v>
      </c>
      <c r="T3390">
        <f>[1]Source!Y3226</f>
        <v>0</v>
      </c>
      <c r="U3390">
        <f>ROUND((175/100)*ROUND([1]Source!R3225, 2), 2)</f>
        <v>0</v>
      </c>
      <c r="V3390">
        <f>ROUND((0/100)*ROUND([1]Source!R3226, 2), 2)</f>
        <v>0</v>
      </c>
      <c r="AC3390">
        <v>3</v>
      </c>
    </row>
    <row r="3391" spans="1:29" ht="14.4" hidden="1" x14ac:dyDescent="0.25">
      <c r="A3391" s="27"/>
      <c r="B3391" s="27"/>
      <c r="C3391" s="27" t="s">
        <v>42</v>
      </c>
      <c r="D3391" s="28" t="s">
        <v>43</v>
      </c>
      <c r="E3391" s="29">
        <f>[1]Source!BZ3216</f>
        <v>90</v>
      </c>
      <c r="F3391" s="30"/>
      <c r="G3391" s="31"/>
      <c r="H3391" s="29"/>
      <c r="I3391" s="30">
        <f>SUM(Q3380:Q3390)</f>
        <v>3971.01</v>
      </c>
      <c r="J3391" s="29">
        <f>[1]Source!AT3216</f>
        <v>90</v>
      </c>
      <c r="K3391" s="30">
        <f>SUM(R3380:R3390)</f>
        <v>223766.24</v>
      </c>
    </row>
    <row r="3392" spans="1:29" ht="14.4" hidden="1" x14ac:dyDescent="0.25">
      <c r="A3392" s="27"/>
      <c r="B3392" s="27"/>
      <c r="C3392" s="27" t="s">
        <v>44</v>
      </c>
      <c r="D3392" s="28" t="s">
        <v>43</v>
      </c>
      <c r="E3392" s="29">
        <f>[1]Source!CA3216</f>
        <v>42</v>
      </c>
      <c r="F3392" s="30"/>
      <c r="G3392" s="31"/>
      <c r="H3392" s="29"/>
      <c r="I3392" s="30">
        <f>SUM(S3380:S3391)</f>
        <v>1853.14</v>
      </c>
      <c r="J3392" s="29">
        <f>[1]Source!AU3216</f>
        <v>42</v>
      </c>
      <c r="K3392" s="30">
        <f>SUM(T3380:T3391)</f>
        <v>104424.25</v>
      </c>
    </row>
    <row r="3393" spans="1:29" ht="14.4" hidden="1" x14ac:dyDescent="0.25">
      <c r="A3393" s="34"/>
      <c r="B3393" s="34"/>
      <c r="C3393" s="34" t="s">
        <v>45</v>
      </c>
      <c r="D3393" s="35" t="s">
        <v>46</v>
      </c>
      <c r="E3393" s="36">
        <f>[1]Source!AQ3215</f>
        <v>85.43</v>
      </c>
      <c r="F3393" s="37"/>
      <c r="G3393" s="38" t="s">
        <v>37</v>
      </c>
      <c r="H3393" s="36">
        <f>[1]Source!AV3216</f>
        <v>1.0249999999999999</v>
      </c>
      <c r="I3393" s="37">
        <f>[1]Source!U3215</f>
        <v>263.43280229999999</v>
      </c>
      <c r="J3393" s="36"/>
      <c r="K3393" s="37"/>
    </row>
    <row r="3394" spans="1:29" ht="13.8" hidden="1" x14ac:dyDescent="0.25">
      <c r="C3394" s="39" t="s">
        <v>47</v>
      </c>
      <c r="H3394" s="40">
        <f>I3382+I3383+I3385+I3391+I3392+SUM(I3386:I3390)-SUMIF(AC3386:AC3390, 5, I3386:I3390)-SUMIF(AC3386:AC3390, 6, I3386:I3390)</f>
        <v>84504.27</v>
      </c>
      <c r="I3394" s="40"/>
      <c r="J3394" s="40">
        <f>K3382+K3383+K3385+K3391+K3392+SUM(K3386:K3390)-SUMIF(AC3386:AC3390, 5, K3386:K3390)-SUMIF(AC3386:AC3390, 6, K3386:K3390)</f>
        <v>1300315.5</v>
      </c>
      <c r="K3394" s="40"/>
    </row>
    <row r="3395" spans="1:29" ht="13.8" hidden="1" x14ac:dyDescent="0.25">
      <c r="C3395" s="39" t="s">
        <v>48</v>
      </c>
      <c r="H3395" s="41">
        <f>SUMIF(AC3386:AC3390, 5, I3386:I3390)+SUMIF(AC3386:AC3390, 6, I3386:I3390)</f>
        <v>0</v>
      </c>
      <c r="I3395" s="41"/>
      <c r="J3395" s="41">
        <f>SUMIF(AC3386:AC3390, 5, K3386:K3390)+SUMIF(AC3386:AC3390, 6, K3386:K3390)</f>
        <v>0</v>
      </c>
      <c r="K3395" s="41"/>
    </row>
    <row r="3396" spans="1:29" ht="13.8" hidden="1" x14ac:dyDescent="0.25">
      <c r="C3396" s="39" t="s">
        <v>49</v>
      </c>
      <c r="H3396" s="41">
        <f>I3382+I3383+I3385+I3391+I3392+SUM(I3386:I3390)</f>
        <v>84504.27</v>
      </c>
      <c r="I3396" s="41"/>
      <c r="J3396" s="41">
        <f>K3382+K3383+K3385+K3391+K3392+SUM(K3386:K3390)</f>
        <v>1300315.5</v>
      </c>
      <c r="K3396" s="41"/>
      <c r="O3396" s="42">
        <f>I3382+I3383+I3385+I3391+I3392+SUM(I3386:I3390)</f>
        <v>84504.27</v>
      </c>
      <c r="P3396" s="42">
        <f>K3382+K3383+K3385+K3391+K3392+SUM(K3386:K3390)</f>
        <v>1300315.5</v>
      </c>
    </row>
    <row r="3397" spans="1:29" hidden="1" x14ac:dyDescent="0.25"/>
    <row r="3398" spans="1:29" ht="41.4" hidden="1" x14ac:dyDescent="0.25">
      <c r="A3398" s="27">
        <v>349</v>
      </c>
      <c r="B3398" s="27" t="str">
        <f>[1]Source!F3227</f>
        <v>3.15-161-1</v>
      </c>
      <c r="C3398" s="27" t="s">
        <v>676</v>
      </c>
      <c r="D3398" s="28" t="str">
        <f>[1]Source!H3227</f>
        <v>100 м2</v>
      </c>
      <c r="E3398" s="29">
        <f>[1]Source!I3227</f>
        <v>0.91</v>
      </c>
      <c r="F3398" s="30"/>
      <c r="G3398" s="31"/>
      <c r="H3398" s="29"/>
      <c r="I3398" s="30"/>
      <c r="J3398" s="29"/>
      <c r="K3398" s="30"/>
      <c r="Q3398">
        <f>[1]Source!X3227</f>
        <v>2173.9899999999998</v>
      </c>
      <c r="R3398">
        <f>[1]Source!X3228</f>
        <v>122504.11</v>
      </c>
      <c r="S3398">
        <f>[1]Source!Y3227</f>
        <v>1014.53</v>
      </c>
      <c r="T3398">
        <f>[1]Source!Y3228</f>
        <v>57168.59</v>
      </c>
      <c r="U3398">
        <f>ROUND((175/100)*ROUND([1]Source!R3227, 2), 2)</f>
        <v>9.89</v>
      </c>
      <c r="V3398">
        <f>ROUND((0/100)*ROUND([1]Source!R3228, 2), 2)</f>
        <v>0</v>
      </c>
      <c r="AC3398">
        <v>0</v>
      </c>
    </row>
    <row r="3399" spans="1:29" hidden="1" x14ac:dyDescent="0.25">
      <c r="C3399" s="32" t="str">
        <f>"Объем: "&amp;[1]Source!I3227&amp;"=(13+"&amp;"22+"&amp;"22+"&amp;"34)/"&amp;"100"</f>
        <v>Объем: 0,91=(13+22+22+34)/100</v>
      </c>
    </row>
    <row r="3400" spans="1:29" ht="14.4" hidden="1" x14ac:dyDescent="0.25">
      <c r="A3400" s="27"/>
      <c r="B3400" s="27"/>
      <c r="C3400" s="27" t="s">
        <v>36</v>
      </c>
      <c r="D3400" s="28"/>
      <c r="E3400" s="29"/>
      <c r="F3400" s="30">
        <f>[1]Source!AO3227</f>
        <v>1872.2</v>
      </c>
      <c r="G3400" s="31" t="s">
        <v>37</v>
      </c>
      <c r="H3400" s="29">
        <f>[1]Source!AV3228</f>
        <v>1.0249999999999999</v>
      </c>
      <c r="I3400" s="30">
        <f>[1]Source!S3227</f>
        <v>2409.89</v>
      </c>
      <c r="J3400" s="29">
        <f>IF([1]Source!BA3228&lt;&gt; 0, [1]Source!BA3228, 1)</f>
        <v>56.35</v>
      </c>
      <c r="K3400" s="30">
        <f>[1]Source!S3228</f>
        <v>135797.29999999999</v>
      </c>
    </row>
    <row r="3401" spans="1:29" ht="14.4" hidden="1" x14ac:dyDescent="0.25">
      <c r="A3401" s="27"/>
      <c r="B3401" s="27"/>
      <c r="C3401" s="27" t="s">
        <v>38</v>
      </c>
      <c r="D3401" s="28"/>
      <c r="E3401" s="29"/>
      <c r="F3401" s="30">
        <f>[1]Source!AM3227</f>
        <v>54.22</v>
      </c>
      <c r="G3401" s="31" t="s">
        <v>39</v>
      </c>
      <c r="H3401" s="29">
        <f>[1]Source!AV3228</f>
        <v>1.0249999999999999</v>
      </c>
      <c r="I3401" s="30">
        <f>[1]Source!Q3227</f>
        <v>75.86</v>
      </c>
      <c r="J3401" s="29">
        <f>IF([1]Source!BB3228&lt;&gt; 0, [1]Source!BB3228, 1)</f>
        <v>13.22</v>
      </c>
      <c r="K3401" s="30">
        <f>[1]Source!Q3228</f>
        <v>1002.87</v>
      </c>
    </row>
    <row r="3402" spans="1:29" ht="14.4" hidden="1" x14ac:dyDescent="0.25">
      <c r="A3402" s="27"/>
      <c r="B3402" s="27"/>
      <c r="C3402" s="27" t="s">
        <v>40</v>
      </c>
      <c r="D3402" s="28"/>
      <c r="E3402" s="29"/>
      <c r="F3402" s="30">
        <f>[1]Source!AN3227</f>
        <v>4.04</v>
      </c>
      <c r="G3402" s="31" t="s">
        <v>39</v>
      </c>
      <c r="H3402" s="29">
        <f>[1]Source!AV3228</f>
        <v>1.0249999999999999</v>
      </c>
      <c r="I3402" s="33">
        <f>[1]Source!R3227</f>
        <v>5.65</v>
      </c>
      <c r="J3402" s="29">
        <f>IF([1]Source!BS3228&lt;&gt; 0, [1]Source!BS3228, 1)</f>
        <v>56.35</v>
      </c>
      <c r="K3402" s="33">
        <f>[1]Source!R3228</f>
        <v>318.38</v>
      </c>
    </row>
    <row r="3403" spans="1:29" ht="14.4" hidden="1" x14ac:dyDescent="0.25">
      <c r="A3403" s="27"/>
      <c r="B3403" s="27"/>
      <c r="C3403" s="27" t="s">
        <v>41</v>
      </c>
      <c r="D3403" s="28"/>
      <c r="E3403" s="29"/>
      <c r="F3403" s="30">
        <f>[1]Source!AL3227</f>
        <v>2.63</v>
      </c>
      <c r="G3403" s="31"/>
      <c r="H3403" s="29">
        <f>[1]Source!AW3228</f>
        <v>1</v>
      </c>
      <c r="I3403" s="30">
        <f>[1]Source!P3227</f>
        <v>2.39</v>
      </c>
      <c r="J3403" s="29">
        <f>IF([1]Source!BC3228&lt;&gt; 0, [1]Source!BC3228, 1)</f>
        <v>11.14</v>
      </c>
      <c r="K3403" s="30">
        <f>[1]Source!P3228</f>
        <v>26.62</v>
      </c>
    </row>
    <row r="3404" spans="1:29" ht="96.6" hidden="1" x14ac:dyDescent="0.25">
      <c r="A3404" s="27" t="s">
        <v>677</v>
      </c>
      <c r="B3404" s="27" t="str">
        <f>[1]Source!F3229</f>
        <v>1.3-2-50</v>
      </c>
      <c r="C3404" s="27" t="s">
        <v>131</v>
      </c>
      <c r="D3404" s="28" t="str">
        <f>[1]Source!H3229</f>
        <v>т</v>
      </c>
      <c r="E3404" s="29">
        <f>[1]Source!I3229</f>
        <v>0.10920000000000001</v>
      </c>
      <c r="F3404" s="30">
        <f>[1]Source!AK3229</f>
        <v>5978.05</v>
      </c>
      <c r="G3404" s="43" t="s">
        <v>54</v>
      </c>
      <c r="H3404" s="29">
        <f>[1]Source!AW3230</f>
        <v>1</v>
      </c>
      <c r="I3404" s="30">
        <f>[1]Source!O3229</f>
        <v>652.79999999999995</v>
      </c>
      <c r="J3404" s="29">
        <f>IF([1]Source!BC3230&lt;&gt; 0, [1]Source!BC3230, 1)</f>
        <v>15.31</v>
      </c>
      <c r="K3404" s="30">
        <f>[1]Source!O3230</f>
        <v>9994.3700000000008</v>
      </c>
      <c r="Q3404">
        <f>[1]Source!X3229</f>
        <v>0</v>
      </c>
      <c r="R3404">
        <f>[1]Source!X3230</f>
        <v>0</v>
      </c>
      <c r="S3404">
        <f>[1]Source!Y3229</f>
        <v>0</v>
      </c>
      <c r="T3404">
        <f>[1]Source!Y3230</f>
        <v>0</v>
      </c>
      <c r="U3404">
        <f>ROUND((175/100)*ROUND([1]Source!R3229, 2), 2)</f>
        <v>0</v>
      </c>
      <c r="V3404">
        <f>ROUND((0/100)*ROUND([1]Source!R3230, 2), 2)</f>
        <v>0</v>
      </c>
      <c r="AC3404">
        <v>3</v>
      </c>
    </row>
    <row r="3405" spans="1:29" ht="96.6" hidden="1" x14ac:dyDescent="0.25">
      <c r="A3405" s="27" t="s">
        <v>678</v>
      </c>
      <c r="B3405" s="27" t="str">
        <f>[1]Source!F3231</f>
        <v>1.3-2-168</v>
      </c>
      <c r="C3405" s="27" t="s">
        <v>679</v>
      </c>
      <c r="D3405" s="28" t="str">
        <f>[1]Source!H3231</f>
        <v>т</v>
      </c>
      <c r="E3405" s="29">
        <f>[1]Source!I3231</f>
        <v>0.25480000000000003</v>
      </c>
      <c r="F3405" s="30">
        <f>[1]Source!AK3231</f>
        <v>6521.13</v>
      </c>
      <c r="G3405" s="43" t="s">
        <v>54</v>
      </c>
      <c r="H3405" s="29">
        <f>[1]Source!AW3232</f>
        <v>1</v>
      </c>
      <c r="I3405" s="30">
        <f>[1]Source!O3231</f>
        <v>1661.58</v>
      </c>
      <c r="J3405" s="29">
        <f>IF([1]Source!BC3232&lt;&gt; 0, [1]Source!BC3232, 1)</f>
        <v>1.86</v>
      </c>
      <c r="K3405" s="30">
        <f>[1]Source!O3232</f>
        <v>3090.54</v>
      </c>
      <c r="Q3405">
        <f>[1]Source!X3231</f>
        <v>0</v>
      </c>
      <c r="R3405">
        <f>[1]Source!X3232</f>
        <v>0</v>
      </c>
      <c r="S3405">
        <f>[1]Source!Y3231</f>
        <v>0</v>
      </c>
      <c r="T3405">
        <f>[1]Source!Y3232</f>
        <v>0</v>
      </c>
      <c r="U3405">
        <f>ROUND((175/100)*ROUND([1]Source!R3231, 2), 2)</f>
        <v>0</v>
      </c>
      <c r="V3405">
        <f>ROUND((0/100)*ROUND([1]Source!R3232, 2), 2)</f>
        <v>0</v>
      </c>
      <c r="AC3405">
        <v>3</v>
      </c>
    </row>
    <row r="3406" spans="1:29" ht="27.6" x14ac:dyDescent="0.25">
      <c r="A3406" s="53" t="s">
        <v>680</v>
      </c>
      <c r="B3406" s="53" t="str">
        <f>[1]Source!F3233</f>
        <v>КА-184</v>
      </c>
      <c r="C3406" s="53" t="s">
        <v>681</v>
      </c>
      <c r="D3406" s="54" t="str">
        <f>[1]Source!H3233</f>
        <v>м2</v>
      </c>
      <c r="E3406" s="55">
        <f>[1]Source!I3233</f>
        <v>91.91</v>
      </c>
      <c r="F3406" s="30">
        <f>[1]Source!AK3233</f>
        <v>256.51</v>
      </c>
      <c r="G3406" s="43" t="s">
        <v>54</v>
      </c>
      <c r="H3406" s="29">
        <f>[1]Source!AW3234</f>
        <v>1</v>
      </c>
      <c r="I3406" s="30">
        <f>[1]Source!O3233</f>
        <v>23575.83</v>
      </c>
      <c r="J3406" s="29">
        <f>IF([1]Source!BC3234&lt;&gt; 0, [1]Source!BC3234, 1)</f>
        <v>9.84</v>
      </c>
      <c r="K3406" s="56">
        <f>[1]Source!O3234</f>
        <v>231986.17</v>
      </c>
      <c r="L3406">
        <v>3019</v>
      </c>
      <c r="M3406" s="50">
        <f>L3406*E3406</f>
        <v>277476.28999999998</v>
      </c>
      <c r="N3406" s="59" t="s">
        <v>180</v>
      </c>
      <c r="Q3406">
        <f>[1]Source!X3233</f>
        <v>0</v>
      </c>
      <c r="R3406">
        <f>[1]Source!X3234</f>
        <v>0</v>
      </c>
      <c r="S3406">
        <f>[1]Source!Y3233</f>
        <v>0</v>
      </c>
      <c r="T3406">
        <f>[1]Source!Y3234</f>
        <v>0</v>
      </c>
      <c r="U3406">
        <f>ROUND((175/100)*ROUND([1]Source!R3233, 2), 2)</f>
        <v>0</v>
      </c>
      <c r="V3406">
        <f>ROUND((0/100)*ROUND([1]Source!R3234, 2), 2)</f>
        <v>0</v>
      </c>
      <c r="AC3406">
        <v>3</v>
      </c>
    </row>
    <row r="3407" spans="1:29" ht="14.4" hidden="1" x14ac:dyDescent="0.25">
      <c r="A3407" s="27"/>
      <c r="B3407" s="27"/>
      <c r="C3407" s="27" t="s">
        <v>42</v>
      </c>
      <c r="D3407" s="28" t="s">
        <v>43</v>
      </c>
      <c r="E3407" s="29">
        <f>[1]Source!BZ3228</f>
        <v>90</v>
      </c>
      <c r="F3407" s="30"/>
      <c r="G3407" s="31"/>
      <c r="H3407" s="29"/>
      <c r="I3407" s="30">
        <f>SUM(Q3398:Q3406)</f>
        <v>2173.9899999999998</v>
      </c>
      <c r="J3407" s="29">
        <f>[1]Source!AT3228</f>
        <v>90</v>
      </c>
      <c r="K3407" s="30">
        <f>SUM(R3398:R3406)</f>
        <v>122504.11</v>
      </c>
    </row>
    <row r="3408" spans="1:29" ht="14.4" hidden="1" x14ac:dyDescent="0.25">
      <c r="A3408" s="27"/>
      <c r="B3408" s="27"/>
      <c r="C3408" s="27" t="s">
        <v>44</v>
      </c>
      <c r="D3408" s="28" t="s">
        <v>43</v>
      </c>
      <c r="E3408" s="29">
        <f>[1]Source!CA3228</f>
        <v>42</v>
      </c>
      <c r="F3408" s="30"/>
      <c r="G3408" s="31"/>
      <c r="H3408" s="29"/>
      <c r="I3408" s="30">
        <f>SUM(S3398:S3407)</f>
        <v>1014.53</v>
      </c>
      <c r="J3408" s="29">
        <f>[1]Source!AU3228</f>
        <v>42</v>
      </c>
      <c r="K3408" s="30">
        <f>SUM(T3398:T3407)</f>
        <v>57168.59</v>
      </c>
    </row>
    <row r="3409" spans="1:16" ht="14.4" hidden="1" x14ac:dyDescent="0.25">
      <c r="A3409" s="34"/>
      <c r="B3409" s="34"/>
      <c r="C3409" s="34" t="s">
        <v>45</v>
      </c>
      <c r="D3409" s="35" t="s">
        <v>46</v>
      </c>
      <c r="E3409" s="36">
        <f>[1]Source!AQ3227</f>
        <v>164.48</v>
      </c>
      <c r="F3409" s="37"/>
      <c r="G3409" s="38" t="s">
        <v>37</v>
      </c>
      <c r="H3409" s="36">
        <f>[1]Source!AV3228</f>
        <v>1.0249999999999999</v>
      </c>
      <c r="I3409" s="37">
        <f>[1]Source!U3227</f>
        <v>211.71783359999998</v>
      </c>
      <c r="J3409" s="36"/>
      <c r="K3409" s="37"/>
    </row>
    <row r="3410" spans="1:16" ht="13.8" hidden="1" x14ac:dyDescent="0.25">
      <c r="C3410" s="39" t="s">
        <v>47</v>
      </c>
      <c r="H3410" s="40">
        <f>I3400+I3401+I3403+I3407+I3408+SUM(I3404:I3406)-SUMIF(AC3404:AC3406, 5, I3404:I3406)-SUMIF(AC3404:AC3406, 6, I3404:I3406)</f>
        <v>31566.870000000003</v>
      </c>
      <c r="I3410" s="40"/>
      <c r="J3410" s="40">
        <f>K3400+K3401+K3403+K3407+K3408+SUM(K3404:K3406)-SUMIF(AC3404:AC3406, 5, K3404:K3406)-SUMIF(AC3404:AC3406, 6, K3404:K3406)</f>
        <v>561570.57000000007</v>
      </c>
      <c r="K3410" s="40"/>
    </row>
    <row r="3411" spans="1:16" ht="13.8" hidden="1" x14ac:dyDescent="0.25">
      <c r="C3411" s="39" t="s">
        <v>48</v>
      </c>
      <c r="H3411" s="41">
        <f>SUMIF(AC3404:AC3406, 5, I3404:I3406)+SUMIF(AC3404:AC3406, 6, I3404:I3406)</f>
        <v>0</v>
      </c>
      <c r="I3411" s="41"/>
      <c r="J3411" s="41">
        <f>SUMIF(AC3404:AC3406, 5, K3404:K3406)+SUMIF(AC3404:AC3406, 6, K3404:K3406)</f>
        <v>0</v>
      </c>
      <c r="K3411" s="41"/>
    </row>
    <row r="3412" spans="1:16" ht="13.8" hidden="1" x14ac:dyDescent="0.25">
      <c r="C3412" s="39" t="s">
        <v>49</v>
      </c>
      <c r="H3412" s="41">
        <f>I3400+I3401+I3403+I3407+I3408+SUM(I3404:I3406)</f>
        <v>31566.870000000003</v>
      </c>
      <c r="I3412" s="41"/>
      <c r="J3412" s="41">
        <f>K3400+K3401+K3403+K3407+K3408+SUM(K3404:K3406)</f>
        <v>561570.57000000007</v>
      </c>
      <c r="K3412" s="41"/>
      <c r="O3412" s="42">
        <f>I3400+I3401+I3403+I3407+I3408+SUM(I3404:I3406)</f>
        <v>31566.870000000003</v>
      </c>
      <c r="P3412" s="42">
        <f>K3400+K3401+K3403+K3407+K3408+SUM(K3404:K3406)</f>
        <v>561570.57000000007</v>
      </c>
    </row>
    <row r="3413" spans="1:16" hidden="1" x14ac:dyDescent="0.25"/>
    <row r="3414" spans="1:16" hidden="1" x14ac:dyDescent="0.25"/>
    <row r="3415" spans="1:16" ht="13.8" hidden="1" x14ac:dyDescent="0.25">
      <c r="A3415" s="44" t="str">
        <f>CONCATENATE("Итого по подразделу: ",IF([1]Source!G3236&lt;&gt;"Новый подраздел", [1]Source!G3236, ""))</f>
        <v>Итого по подразделу: Отделочные работы</v>
      </c>
      <c r="B3415" s="44"/>
      <c r="C3415" s="44"/>
      <c r="D3415" s="44"/>
      <c r="E3415" s="44"/>
      <c r="F3415" s="44"/>
      <c r="G3415" s="44"/>
      <c r="H3415" s="41">
        <f>SUM(O3198:O3414)</f>
        <v>1667170.9299999997</v>
      </c>
      <c r="I3415" s="45"/>
      <c r="J3415" s="41">
        <f>SUM(P3198:P3414)</f>
        <v>51780226.019999996</v>
      </c>
      <c r="K3415" s="45"/>
    </row>
    <row r="3416" spans="1:16" hidden="1" x14ac:dyDescent="0.25">
      <c r="A3416" t="s">
        <v>55</v>
      </c>
      <c r="I3416">
        <f>SUM(W3198:W3415)</f>
        <v>0</v>
      </c>
      <c r="J3416">
        <f>SUM(X3198:X3415)</f>
        <v>0</v>
      </c>
    </row>
    <row r="3417" spans="1:16" hidden="1" x14ac:dyDescent="0.25">
      <c r="A3417" t="s">
        <v>56</v>
      </c>
      <c r="I3417">
        <f>SUM(Y3198:Y3416)</f>
        <v>0</v>
      </c>
      <c r="J3417">
        <f>SUM(Z3198:Z3416)</f>
        <v>0</v>
      </c>
    </row>
    <row r="3418" spans="1:16" hidden="1" x14ac:dyDescent="0.25"/>
    <row r="3419" spans="1:16" ht="13.8" hidden="1" x14ac:dyDescent="0.25">
      <c r="A3419" s="44" t="str">
        <f>CONCATENATE("Итого по разделу: ",IF([1]Source!G3266&lt;&gt;"Новый раздел", [1]Source!G3266, ""))</f>
        <v>Итого по разделу: Стены внутренние</v>
      </c>
      <c r="B3419" s="44"/>
      <c r="C3419" s="44"/>
      <c r="D3419" s="44"/>
      <c r="E3419" s="44"/>
      <c r="F3419" s="44"/>
      <c r="G3419" s="44"/>
      <c r="H3419" s="41">
        <f>SUM(O3196:O3418)</f>
        <v>1667170.9299999997</v>
      </c>
      <c r="I3419" s="45"/>
      <c r="J3419" s="41">
        <f>SUM(P3196:P3418)</f>
        <v>51780226.019999996</v>
      </c>
      <c r="K3419" s="45"/>
    </row>
    <row r="3420" spans="1:16" hidden="1" x14ac:dyDescent="0.25">
      <c r="A3420" t="s">
        <v>55</v>
      </c>
      <c r="I3420">
        <f>SUM(W3196:W3419)</f>
        <v>0</v>
      </c>
      <c r="J3420">
        <f>SUM(X3196:X3419)</f>
        <v>0</v>
      </c>
    </row>
    <row r="3421" spans="1:16" hidden="1" x14ac:dyDescent="0.25">
      <c r="A3421" t="s">
        <v>56</v>
      </c>
      <c r="I3421">
        <f>SUM(Y3196:Y3420)</f>
        <v>0</v>
      </c>
      <c r="J3421">
        <f>SUM(Z3196:Z3420)</f>
        <v>0</v>
      </c>
    </row>
    <row r="3422" spans="1:16" hidden="1" x14ac:dyDescent="0.25"/>
    <row r="3423" spans="1:16" ht="16.8" hidden="1" x14ac:dyDescent="0.25">
      <c r="A3423" s="11" t="str">
        <f>CONCATENATE("Раздел: ",IF([1]Source!G3296&lt;&gt;"Новый раздел", [1]Source!G3296, ""))</f>
        <v>Раздел: Отделка потолков</v>
      </c>
      <c r="B3423" s="11"/>
      <c r="C3423" s="11"/>
      <c r="D3423" s="11"/>
      <c r="E3423" s="11"/>
      <c r="F3423" s="11"/>
      <c r="G3423" s="11"/>
      <c r="H3423" s="11"/>
      <c r="I3423" s="11"/>
      <c r="J3423" s="11"/>
      <c r="K3423" s="11"/>
    </row>
    <row r="3424" spans="1:16" hidden="1" x14ac:dyDescent="0.25"/>
    <row r="3425" spans="1:29" ht="16.8" hidden="1" x14ac:dyDescent="0.25">
      <c r="A3425" s="11" t="str">
        <f>CONCATENATE("Подраздел: ",IF([1]Source!G3300&lt;&gt;"Новый подраздел", [1]Source!G3300, ""))</f>
        <v>Подраздел: Демонтажные работы</v>
      </c>
      <c r="B3425" s="11"/>
      <c r="C3425" s="11"/>
      <c r="D3425" s="11"/>
      <c r="E3425" s="11"/>
      <c r="F3425" s="11"/>
      <c r="G3425" s="11"/>
      <c r="H3425" s="11"/>
      <c r="I3425" s="11"/>
      <c r="J3425" s="11"/>
      <c r="K3425" s="11"/>
    </row>
    <row r="3426" spans="1:29" ht="41.4" hidden="1" x14ac:dyDescent="0.25">
      <c r="A3426" s="27">
        <v>350</v>
      </c>
      <c r="B3426" s="27" t="str">
        <f>[1]Source!F3304</f>
        <v>6.70-17-1</v>
      </c>
      <c r="C3426" s="27" t="s">
        <v>682</v>
      </c>
      <c r="D3426" s="28" t="str">
        <f>[1]Source!H3304</f>
        <v>100 м2</v>
      </c>
      <c r="E3426" s="29">
        <f>[1]Source!I3304</f>
        <v>22.17</v>
      </c>
      <c r="F3426" s="30"/>
      <c r="G3426" s="31"/>
      <c r="H3426" s="29"/>
      <c r="I3426" s="30"/>
      <c r="J3426" s="29"/>
      <c r="K3426" s="30"/>
      <c r="Q3426">
        <f>[1]Source!X3304</f>
        <v>15004.12</v>
      </c>
      <c r="R3426">
        <f>[1]Source!X3305</f>
        <v>845482.36</v>
      </c>
      <c r="S3426">
        <f>[1]Source!Y3304</f>
        <v>9622.2099999999991</v>
      </c>
      <c r="T3426">
        <f>[1]Source!Y3305</f>
        <v>542211.52</v>
      </c>
      <c r="U3426">
        <f>ROUND((175/100)*ROUND([1]Source!R3304, 2), 2)</f>
        <v>0</v>
      </c>
      <c r="V3426">
        <f>ROUND((0/100)*ROUND([1]Source!R3305, 2), 2)</f>
        <v>0</v>
      </c>
      <c r="AC3426">
        <v>0</v>
      </c>
    </row>
    <row r="3427" spans="1:29" hidden="1" x14ac:dyDescent="0.25">
      <c r="C3427" s="32" t="str">
        <f>"Объем: "&amp;[1]Source!I3304&amp;"=2217/"&amp;"100"</f>
        <v>Объем: 22,17=2217/100</v>
      </c>
    </row>
    <row r="3428" spans="1:29" ht="14.4" hidden="1" x14ac:dyDescent="0.25">
      <c r="A3428" s="27"/>
      <c r="B3428" s="27"/>
      <c r="C3428" s="27" t="s">
        <v>36</v>
      </c>
      <c r="D3428" s="28"/>
      <c r="E3428" s="29"/>
      <c r="F3428" s="30">
        <f>[1]Source!AO3304</f>
        <v>598.07000000000005</v>
      </c>
      <c r="G3428" s="31" t="s">
        <v>58</v>
      </c>
      <c r="H3428" s="29">
        <f>[1]Source!AV3305</f>
        <v>1.0249999999999999</v>
      </c>
      <c r="I3428" s="30">
        <f>[1]Source!S3304</f>
        <v>16308.83</v>
      </c>
      <c r="J3428" s="29">
        <f>IF([1]Source!BA3305&lt;&gt; 0, [1]Source!BA3305, 1)</f>
        <v>56.35</v>
      </c>
      <c r="K3428" s="30">
        <f>[1]Source!S3305</f>
        <v>919002.57</v>
      </c>
    </row>
    <row r="3429" spans="1:29" ht="14.4" hidden="1" x14ac:dyDescent="0.25">
      <c r="A3429" s="27"/>
      <c r="B3429" s="27"/>
      <c r="C3429" s="27" t="s">
        <v>38</v>
      </c>
      <c r="D3429" s="28"/>
      <c r="E3429" s="29"/>
      <c r="F3429" s="30">
        <f>[1]Source!AM3304</f>
        <v>3.85</v>
      </c>
      <c r="G3429" s="31" t="s">
        <v>58</v>
      </c>
      <c r="H3429" s="29">
        <f>[1]Source!AV3305</f>
        <v>1.0249999999999999</v>
      </c>
      <c r="I3429" s="30">
        <f>[1]Source!Q3304</f>
        <v>104.99</v>
      </c>
      <c r="J3429" s="29">
        <f>IF([1]Source!BB3305&lt;&gt; 0, [1]Source!BB3305, 1)</f>
        <v>9.66</v>
      </c>
      <c r="K3429" s="30">
        <f>[1]Source!Q3305</f>
        <v>1014.2</v>
      </c>
    </row>
    <row r="3430" spans="1:29" ht="14.4" hidden="1" x14ac:dyDescent="0.25">
      <c r="A3430" s="27"/>
      <c r="B3430" s="27"/>
      <c r="C3430" s="27" t="s">
        <v>42</v>
      </c>
      <c r="D3430" s="28" t="s">
        <v>43</v>
      </c>
      <c r="E3430" s="29">
        <f>[1]Source!BZ3305</f>
        <v>92</v>
      </c>
      <c r="F3430" s="30"/>
      <c r="G3430" s="31"/>
      <c r="H3430" s="29"/>
      <c r="I3430" s="30">
        <f>SUM(Q3426:Q3429)</f>
        <v>15004.12</v>
      </c>
      <c r="J3430" s="29">
        <f>[1]Source!AT3305</f>
        <v>92</v>
      </c>
      <c r="K3430" s="30">
        <f>SUM(R3426:R3429)</f>
        <v>845482.36</v>
      </c>
    </row>
    <row r="3431" spans="1:29" ht="14.4" hidden="1" x14ac:dyDescent="0.25">
      <c r="A3431" s="27"/>
      <c r="B3431" s="27"/>
      <c r="C3431" s="27" t="s">
        <v>44</v>
      </c>
      <c r="D3431" s="28" t="s">
        <v>43</v>
      </c>
      <c r="E3431" s="29">
        <f>[1]Source!CA3305</f>
        <v>59</v>
      </c>
      <c r="F3431" s="30"/>
      <c r="G3431" s="31"/>
      <c r="H3431" s="29"/>
      <c r="I3431" s="30">
        <f>SUM(S3426:S3430)</f>
        <v>9622.2099999999991</v>
      </c>
      <c r="J3431" s="29">
        <f>[1]Source!AU3305</f>
        <v>59</v>
      </c>
      <c r="K3431" s="30">
        <f>SUM(T3426:T3430)</f>
        <v>542211.52</v>
      </c>
    </row>
    <row r="3432" spans="1:29" ht="14.4" hidden="1" x14ac:dyDescent="0.25">
      <c r="A3432" s="34"/>
      <c r="B3432" s="34"/>
      <c r="C3432" s="34" t="s">
        <v>45</v>
      </c>
      <c r="D3432" s="35" t="s">
        <v>46</v>
      </c>
      <c r="E3432" s="36">
        <f>[1]Source!AQ3304</f>
        <v>40.06</v>
      </c>
      <c r="F3432" s="37"/>
      <c r="G3432" s="38" t="s">
        <v>58</v>
      </c>
      <c r="H3432" s="36">
        <f>[1]Source!AV3305</f>
        <v>1.0249999999999999</v>
      </c>
      <c r="I3432" s="37">
        <f>[1]Source!U3304</f>
        <v>1092.4001460000002</v>
      </c>
      <c r="J3432" s="36"/>
      <c r="K3432" s="37"/>
    </row>
    <row r="3433" spans="1:29" ht="13.8" hidden="1" x14ac:dyDescent="0.25">
      <c r="C3433" s="39" t="s">
        <v>47</v>
      </c>
      <c r="H3433" s="40">
        <f>I3428+I3429+I3430+I3431+0-0-0</f>
        <v>41040.15</v>
      </c>
      <c r="I3433" s="40"/>
      <c r="J3433" s="40">
        <f>K3428+K3429+K3430+K3431+0-0-0</f>
        <v>2307710.65</v>
      </c>
      <c r="K3433" s="40"/>
    </row>
    <row r="3434" spans="1:29" ht="13.8" hidden="1" x14ac:dyDescent="0.25">
      <c r="C3434" s="39" t="s">
        <v>48</v>
      </c>
      <c r="H3434" s="41">
        <f>0+0</f>
        <v>0</v>
      </c>
      <c r="I3434" s="41"/>
      <c r="J3434" s="41">
        <f>0+0</f>
        <v>0</v>
      </c>
      <c r="K3434" s="41"/>
    </row>
    <row r="3435" spans="1:29" ht="13.8" hidden="1" x14ac:dyDescent="0.25">
      <c r="C3435" s="39" t="s">
        <v>49</v>
      </c>
      <c r="H3435" s="41">
        <f>I3428+I3429+I3430+I3431+0</f>
        <v>41040.15</v>
      </c>
      <c r="I3435" s="41"/>
      <c r="J3435" s="41">
        <f>K3428+K3429+K3430+K3431+0</f>
        <v>2307710.65</v>
      </c>
      <c r="K3435" s="41"/>
      <c r="O3435" s="42">
        <f>I3428+I3429+I3430+I3431+0</f>
        <v>41040.15</v>
      </c>
      <c r="P3435" s="42">
        <f>K3428+K3429+K3430+K3431+0</f>
        <v>2307710.65</v>
      </c>
    </row>
    <row r="3436" spans="1:29" hidden="1" x14ac:dyDescent="0.25"/>
    <row r="3437" spans="1:29" ht="41.4" hidden="1" x14ac:dyDescent="0.25">
      <c r="A3437" s="27">
        <v>351</v>
      </c>
      <c r="B3437" s="27" t="str">
        <f>[1]Source!F3306</f>
        <v>3.70-257-1</v>
      </c>
      <c r="C3437" s="27" t="s">
        <v>683</v>
      </c>
      <c r="D3437" s="28" t="str">
        <f>[1]Source!H3306</f>
        <v>100 м2</v>
      </c>
      <c r="E3437" s="29">
        <f>[1]Source!I3306</f>
        <v>3.45</v>
      </c>
      <c r="F3437" s="30"/>
      <c r="G3437" s="31"/>
      <c r="H3437" s="29"/>
      <c r="I3437" s="30"/>
      <c r="J3437" s="29"/>
      <c r="K3437" s="30"/>
      <c r="Q3437">
        <f>[1]Source!X3306</f>
        <v>4354.71</v>
      </c>
      <c r="R3437">
        <f>[1]Source!X3307</f>
        <v>245388.08</v>
      </c>
      <c r="S3437">
        <f>[1]Source!Y3306</f>
        <v>2032.2</v>
      </c>
      <c r="T3437">
        <f>[1]Source!Y3307</f>
        <v>114514.44</v>
      </c>
      <c r="U3437">
        <f>ROUND((175/100)*ROUND([1]Source!R3306, 2), 2)</f>
        <v>28.35</v>
      </c>
      <c r="V3437">
        <f>ROUND((0/100)*ROUND([1]Source!R3307, 2), 2)</f>
        <v>0</v>
      </c>
      <c r="AC3437">
        <v>0</v>
      </c>
    </row>
    <row r="3438" spans="1:29" hidden="1" x14ac:dyDescent="0.25">
      <c r="C3438" s="32" t="str">
        <f>"Объем: "&amp;[1]Source!I3306&amp;"=345/"&amp;"100"</f>
        <v>Объем: 3,45=345/100</v>
      </c>
    </row>
    <row r="3439" spans="1:29" ht="14.4" hidden="1" x14ac:dyDescent="0.25">
      <c r="A3439" s="27"/>
      <c r="B3439" s="27"/>
      <c r="C3439" s="27" t="s">
        <v>36</v>
      </c>
      <c r="D3439" s="28"/>
      <c r="E3439" s="29"/>
      <c r="F3439" s="30">
        <f>[1]Source!AO3306</f>
        <v>1785.99</v>
      </c>
      <c r="G3439" s="31" t="s">
        <v>102</v>
      </c>
      <c r="H3439" s="29">
        <f>[1]Source!AV3307</f>
        <v>1.087</v>
      </c>
      <c r="I3439" s="30">
        <f>[1]Source!S3306</f>
        <v>4822.37</v>
      </c>
      <c r="J3439" s="29">
        <f>IF([1]Source!BA3307&lt;&gt; 0, [1]Source!BA3307, 1)</f>
        <v>56.35</v>
      </c>
      <c r="K3439" s="30">
        <f>[1]Source!S3307</f>
        <v>271740.55</v>
      </c>
    </row>
    <row r="3440" spans="1:29" ht="14.4" hidden="1" x14ac:dyDescent="0.25">
      <c r="A3440" s="27"/>
      <c r="B3440" s="27"/>
      <c r="C3440" s="27" t="s">
        <v>38</v>
      </c>
      <c r="D3440" s="28"/>
      <c r="E3440" s="29"/>
      <c r="F3440" s="30">
        <f>[1]Source!AM3306</f>
        <v>121.23</v>
      </c>
      <c r="G3440" s="31" t="s">
        <v>102</v>
      </c>
      <c r="H3440" s="29">
        <f>[1]Source!AV3307</f>
        <v>1.087</v>
      </c>
      <c r="I3440" s="30">
        <f>[1]Source!Q3306</f>
        <v>327.33</v>
      </c>
      <c r="J3440" s="29">
        <f>IF([1]Source!BB3307&lt;&gt; 0, [1]Source!BB3307, 1)</f>
        <v>12.47</v>
      </c>
      <c r="K3440" s="30">
        <f>[1]Source!Q3307</f>
        <v>4081.81</v>
      </c>
    </row>
    <row r="3441" spans="1:29" ht="14.4" hidden="1" x14ac:dyDescent="0.25">
      <c r="A3441" s="27"/>
      <c r="B3441" s="27"/>
      <c r="C3441" s="27" t="s">
        <v>40</v>
      </c>
      <c r="D3441" s="28"/>
      <c r="E3441" s="29"/>
      <c r="F3441" s="30">
        <f>[1]Source!AN3306</f>
        <v>6</v>
      </c>
      <c r="G3441" s="31" t="s">
        <v>102</v>
      </c>
      <c r="H3441" s="29">
        <f>[1]Source!AV3307</f>
        <v>1.087</v>
      </c>
      <c r="I3441" s="33">
        <f>[1]Source!R3306</f>
        <v>16.2</v>
      </c>
      <c r="J3441" s="29">
        <f>IF([1]Source!BS3307&lt;&gt; 0, [1]Source!BS3307, 1)</f>
        <v>56.35</v>
      </c>
      <c r="K3441" s="33">
        <f>[1]Source!R3307</f>
        <v>912.87</v>
      </c>
    </row>
    <row r="3442" spans="1:29" ht="14.4" hidden="1" x14ac:dyDescent="0.25">
      <c r="A3442" s="27"/>
      <c r="B3442" s="27"/>
      <c r="C3442" s="27" t="s">
        <v>42</v>
      </c>
      <c r="D3442" s="28" t="s">
        <v>43</v>
      </c>
      <c r="E3442" s="29">
        <f>[1]Source!BZ3307</f>
        <v>90</v>
      </c>
      <c r="F3442" s="30"/>
      <c r="G3442" s="31"/>
      <c r="H3442" s="29"/>
      <c r="I3442" s="30">
        <f>SUM(Q3437:Q3441)</f>
        <v>4354.71</v>
      </c>
      <c r="J3442" s="29">
        <f>[1]Source!AT3307</f>
        <v>90</v>
      </c>
      <c r="K3442" s="30">
        <f>SUM(R3437:R3441)</f>
        <v>245388.08</v>
      </c>
    </row>
    <row r="3443" spans="1:29" ht="14.4" hidden="1" x14ac:dyDescent="0.25">
      <c r="A3443" s="27"/>
      <c r="B3443" s="27"/>
      <c r="C3443" s="27" t="s">
        <v>44</v>
      </c>
      <c r="D3443" s="28" t="s">
        <v>43</v>
      </c>
      <c r="E3443" s="29">
        <f>[1]Source!CA3307</f>
        <v>42</v>
      </c>
      <c r="F3443" s="30"/>
      <c r="G3443" s="31"/>
      <c r="H3443" s="29"/>
      <c r="I3443" s="30">
        <f>SUM(S3437:S3442)</f>
        <v>2032.2</v>
      </c>
      <c r="J3443" s="29">
        <f>[1]Source!AU3307</f>
        <v>42</v>
      </c>
      <c r="K3443" s="30">
        <f>SUM(T3437:T3442)</f>
        <v>114514.44</v>
      </c>
    </row>
    <row r="3444" spans="1:29" ht="14.4" hidden="1" x14ac:dyDescent="0.25">
      <c r="A3444" s="34"/>
      <c r="B3444" s="34"/>
      <c r="C3444" s="34" t="s">
        <v>45</v>
      </c>
      <c r="D3444" s="35" t="s">
        <v>46</v>
      </c>
      <c r="E3444" s="36">
        <f>[1]Source!AQ3306</f>
        <v>108.36</v>
      </c>
      <c r="F3444" s="37"/>
      <c r="G3444" s="38" t="s">
        <v>102</v>
      </c>
      <c r="H3444" s="36">
        <f>[1]Source!AV3307</f>
        <v>1.087</v>
      </c>
      <c r="I3444" s="37">
        <f>[1]Source!U3306</f>
        <v>292.58370287999992</v>
      </c>
      <c r="J3444" s="36"/>
      <c r="K3444" s="37"/>
    </row>
    <row r="3445" spans="1:29" ht="13.8" hidden="1" x14ac:dyDescent="0.25">
      <c r="C3445" s="39" t="s">
        <v>47</v>
      </c>
      <c r="H3445" s="40">
        <f>I3439+I3440+I3442+I3443+0-0-0</f>
        <v>11536.61</v>
      </c>
      <c r="I3445" s="40"/>
      <c r="J3445" s="40">
        <f>K3439+K3440+K3442+K3443+0-0-0</f>
        <v>635724.87999999989</v>
      </c>
      <c r="K3445" s="40"/>
    </row>
    <row r="3446" spans="1:29" ht="13.8" hidden="1" x14ac:dyDescent="0.25">
      <c r="C3446" s="39" t="s">
        <v>48</v>
      </c>
      <c r="H3446" s="41">
        <f>0+0</f>
        <v>0</v>
      </c>
      <c r="I3446" s="41"/>
      <c r="J3446" s="41">
        <f>0+0</f>
        <v>0</v>
      </c>
      <c r="K3446" s="41"/>
    </row>
    <row r="3447" spans="1:29" ht="13.8" hidden="1" x14ac:dyDescent="0.25">
      <c r="C3447" s="39" t="s">
        <v>49</v>
      </c>
      <c r="H3447" s="41">
        <f>I3439+I3440+I3442+I3443+0</f>
        <v>11536.61</v>
      </c>
      <c r="I3447" s="41"/>
      <c r="J3447" s="41">
        <f>K3439+K3440+K3442+K3443+0</f>
        <v>635724.87999999989</v>
      </c>
      <c r="K3447" s="41"/>
      <c r="O3447" s="42">
        <f>I3439+I3440+I3442+I3443+0</f>
        <v>11536.61</v>
      </c>
      <c r="P3447" s="42">
        <f>K3439+K3440+K3442+K3443+0</f>
        <v>635724.87999999989</v>
      </c>
    </row>
    <row r="3448" spans="1:29" hidden="1" x14ac:dyDescent="0.25"/>
    <row r="3449" spans="1:29" ht="28.8" hidden="1" x14ac:dyDescent="0.25">
      <c r="A3449" s="27">
        <v>352</v>
      </c>
      <c r="B3449" s="27" t="str">
        <f>[1]Source!F3308</f>
        <v>6.61-26-2</v>
      </c>
      <c r="C3449" s="27" t="s">
        <v>99</v>
      </c>
      <c r="D3449" s="28" t="str">
        <f>[1]Source!H3308</f>
        <v>100 м2</v>
      </c>
      <c r="E3449" s="29">
        <f>[1]Source!I3308</f>
        <v>35.57</v>
      </c>
      <c r="F3449" s="30"/>
      <c r="G3449" s="31"/>
      <c r="H3449" s="29"/>
      <c r="I3449" s="30"/>
      <c r="J3449" s="29"/>
      <c r="K3449" s="30"/>
      <c r="Q3449">
        <f>[1]Source!X3308</f>
        <v>19958.71</v>
      </c>
      <c r="R3449">
        <f>[1]Source!X3309</f>
        <v>1124673.46</v>
      </c>
      <c r="S3449">
        <f>[1]Source!Y3308</f>
        <v>9867.23</v>
      </c>
      <c r="T3449">
        <f>[1]Source!Y3309</f>
        <v>556018.34</v>
      </c>
      <c r="U3449">
        <f>ROUND((175/100)*ROUND([1]Source!R3308, 2), 2)</f>
        <v>0</v>
      </c>
      <c r="V3449">
        <f>ROUND((0/100)*ROUND([1]Source!R3309, 2), 2)</f>
        <v>0</v>
      </c>
      <c r="AC3449">
        <v>0</v>
      </c>
    </row>
    <row r="3450" spans="1:29" hidden="1" x14ac:dyDescent="0.25">
      <c r="C3450" s="32" t="str">
        <f>"Объем: "&amp;[1]Source!I3308&amp;"=3557/"&amp;"100"</f>
        <v>Объем: 35,57=3557/100</v>
      </c>
    </row>
    <row r="3451" spans="1:29" ht="14.4" hidden="1" x14ac:dyDescent="0.25">
      <c r="A3451" s="27"/>
      <c r="B3451" s="27"/>
      <c r="C3451" s="27" t="s">
        <v>36</v>
      </c>
      <c r="D3451" s="28"/>
      <c r="E3451" s="29"/>
      <c r="F3451" s="30">
        <f>[1]Source!AO3308</f>
        <v>501.8</v>
      </c>
      <c r="G3451" s="31" t="s">
        <v>58</v>
      </c>
      <c r="H3451" s="29">
        <f>[1]Source!AV3309</f>
        <v>1.0469999999999999</v>
      </c>
      <c r="I3451" s="30">
        <f>[1]Source!S3308</f>
        <v>22425.52</v>
      </c>
      <c r="J3451" s="29">
        <f>IF([1]Source!BA3309&lt;&gt; 0, [1]Source!BA3309, 1)</f>
        <v>56.35</v>
      </c>
      <c r="K3451" s="30">
        <f>[1]Source!S3309</f>
        <v>1263678.05</v>
      </c>
    </row>
    <row r="3452" spans="1:29" ht="14.4" hidden="1" x14ac:dyDescent="0.25">
      <c r="A3452" s="27"/>
      <c r="B3452" s="27"/>
      <c r="C3452" s="27" t="s">
        <v>42</v>
      </c>
      <c r="D3452" s="28" t="s">
        <v>43</v>
      </c>
      <c r="E3452" s="29">
        <f>[1]Source!BZ3309</f>
        <v>89</v>
      </c>
      <c r="F3452" s="30"/>
      <c r="G3452" s="31"/>
      <c r="H3452" s="29"/>
      <c r="I3452" s="30">
        <f>SUM(Q3449:Q3451)</f>
        <v>19958.71</v>
      </c>
      <c r="J3452" s="29">
        <f>[1]Source!AT3309</f>
        <v>89</v>
      </c>
      <c r="K3452" s="30">
        <f>SUM(R3449:R3451)</f>
        <v>1124673.46</v>
      </c>
    </row>
    <row r="3453" spans="1:29" ht="14.4" hidden="1" x14ac:dyDescent="0.25">
      <c r="A3453" s="27"/>
      <c r="B3453" s="27"/>
      <c r="C3453" s="27" t="s">
        <v>44</v>
      </c>
      <c r="D3453" s="28" t="s">
        <v>43</v>
      </c>
      <c r="E3453" s="29">
        <f>[1]Source!CA3309</f>
        <v>44</v>
      </c>
      <c r="F3453" s="30"/>
      <c r="G3453" s="31"/>
      <c r="H3453" s="29"/>
      <c r="I3453" s="30">
        <f>SUM(S3449:S3452)</f>
        <v>9867.23</v>
      </c>
      <c r="J3453" s="29">
        <f>[1]Source!AU3309</f>
        <v>44</v>
      </c>
      <c r="K3453" s="30">
        <f>SUM(T3449:T3452)</f>
        <v>556018.34</v>
      </c>
    </row>
    <row r="3454" spans="1:29" ht="14.4" hidden="1" x14ac:dyDescent="0.25">
      <c r="A3454" s="34"/>
      <c r="B3454" s="34"/>
      <c r="C3454" s="34" t="s">
        <v>45</v>
      </c>
      <c r="D3454" s="35" t="s">
        <v>46</v>
      </c>
      <c r="E3454" s="36">
        <f>[1]Source!AQ3308</f>
        <v>49.1</v>
      </c>
      <c r="F3454" s="37"/>
      <c r="G3454" s="38" t="s">
        <v>58</v>
      </c>
      <c r="H3454" s="36">
        <f>[1]Source!AV3309</f>
        <v>1.0469999999999999</v>
      </c>
      <c r="I3454" s="37">
        <f>[1]Source!U3308</f>
        <v>2194.2862667999998</v>
      </c>
      <c r="J3454" s="36"/>
      <c r="K3454" s="37"/>
    </row>
    <row r="3455" spans="1:29" ht="13.8" hidden="1" x14ac:dyDescent="0.25">
      <c r="C3455" s="39" t="s">
        <v>47</v>
      </c>
      <c r="H3455" s="40">
        <f>I3451+I3452+I3453+0-0-0</f>
        <v>52251.459999999992</v>
      </c>
      <c r="I3455" s="40"/>
      <c r="J3455" s="40">
        <f>K3451+K3452+K3453+0-0-0</f>
        <v>2944369.8499999996</v>
      </c>
      <c r="K3455" s="40"/>
    </row>
    <row r="3456" spans="1:29" ht="13.8" hidden="1" x14ac:dyDescent="0.25">
      <c r="C3456" s="39" t="s">
        <v>48</v>
      </c>
      <c r="H3456" s="41">
        <f>0+0</f>
        <v>0</v>
      </c>
      <c r="I3456" s="41"/>
      <c r="J3456" s="41">
        <f>0+0</f>
        <v>0</v>
      </c>
      <c r="K3456" s="41"/>
    </row>
    <row r="3457" spans="1:29" ht="13.8" hidden="1" x14ac:dyDescent="0.25">
      <c r="C3457" s="39" t="s">
        <v>49</v>
      </c>
      <c r="H3457" s="41">
        <f>I3451+I3452+I3453+0</f>
        <v>52251.459999999992</v>
      </c>
      <c r="I3457" s="41"/>
      <c r="J3457" s="41">
        <f>K3451+K3452+K3453+0</f>
        <v>2944369.8499999996</v>
      </c>
      <c r="K3457" s="41"/>
      <c r="O3457" s="42">
        <f>I3451+I3452+I3453+0</f>
        <v>52251.459999999992</v>
      </c>
      <c r="P3457" s="42">
        <f>K3451+K3452+K3453+0</f>
        <v>2944369.8499999996</v>
      </c>
    </row>
    <row r="3458" spans="1:29" hidden="1" x14ac:dyDescent="0.25"/>
    <row r="3459" spans="1:29" hidden="1" x14ac:dyDescent="0.25"/>
    <row r="3460" spans="1:29" ht="13.8" hidden="1" x14ac:dyDescent="0.25">
      <c r="A3460" s="44" t="str">
        <f>CONCATENATE("Итого по подразделу: ",IF([1]Source!G3311&lt;&gt;"Новый подраздел", [1]Source!G3311, ""))</f>
        <v>Итого по подразделу: Демонтажные работы</v>
      </c>
      <c r="B3460" s="44"/>
      <c r="C3460" s="44"/>
      <c r="D3460" s="44"/>
      <c r="E3460" s="44"/>
      <c r="F3460" s="44"/>
      <c r="G3460" s="44"/>
      <c r="H3460" s="41">
        <f>SUM(O3425:O3459)</f>
        <v>104828.22</v>
      </c>
      <c r="I3460" s="45"/>
      <c r="J3460" s="41">
        <f>SUM(P3425:P3459)</f>
        <v>5887805.379999999</v>
      </c>
      <c r="K3460" s="45"/>
    </row>
    <row r="3461" spans="1:29" hidden="1" x14ac:dyDescent="0.25">
      <c r="A3461" t="s">
        <v>55</v>
      </c>
      <c r="I3461">
        <f>SUM(W3425:W3460)</f>
        <v>0</v>
      </c>
      <c r="J3461">
        <f>SUM(X3425:X3460)</f>
        <v>0</v>
      </c>
    </row>
    <row r="3462" spans="1:29" hidden="1" x14ac:dyDescent="0.25">
      <c r="A3462" t="s">
        <v>56</v>
      </c>
      <c r="I3462">
        <f>SUM(Y3425:Y3461)</f>
        <v>0</v>
      </c>
      <c r="J3462">
        <f>SUM(Z3425:Z3461)</f>
        <v>0</v>
      </c>
    </row>
    <row r="3463" spans="1:29" hidden="1" x14ac:dyDescent="0.25"/>
    <row r="3464" spans="1:29" ht="16.8" hidden="1" x14ac:dyDescent="0.25">
      <c r="A3464" s="11" t="str">
        <f>CONCATENATE("Подраздел: ",IF([1]Source!G3341&lt;&gt;"Новый подраздел", [1]Source!G3341, ""))</f>
        <v>Подраздел: Отделочные работы</v>
      </c>
      <c r="B3464" s="11"/>
      <c r="C3464" s="11"/>
      <c r="D3464" s="11"/>
      <c r="E3464" s="11"/>
      <c r="F3464" s="11"/>
      <c r="G3464" s="11"/>
      <c r="H3464" s="11"/>
      <c r="I3464" s="11"/>
      <c r="J3464" s="11"/>
      <c r="K3464" s="11"/>
    </row>
    <row r="3465" spans="1:29" ht="129.6" hidden="1" x14ac:dyDescent="0.25">
      <c r="A3465" s="27">
        <v>353</v>
      </c>
      <c r="B3465" s="27" t="str">
        <f>[1]Source!F3345</f>
        <v>3.70-265-4</v>
      </c>
      <c r="C3465" s="27" t="s">
        <v>684</v>
      </c>
      <c r="D3465" s="28" t="str">
        <f>[1]Source!H3345</f>
        <v>100 м2 оштукатуриваемой поверхности</v>
      </c>
      <c r="E3465" s="29">
        <f>[1]Source!I3345</f>
        <v>35.57</v>
      </c>
      <c r="F3465" s="30"/>
      <c r="G3465" s="31"/>
      <c r="H3465" s="29"/>
      <c r="I3465" s="30"/>
      <c r="J3465" s="29"/>
      <c r="K3465" s="30"/>
      <c r="Q3465">
        <f>[1]Source!X3345</f>
        <v>62250.48</v>
      </c>
      <c r="R3465">
        <f>[1]Source!X3346</f>
        <v>3507814.55</v>
      </c>
      <c r="S3465">
        <f>[1]Source!Y3345</f>
        <v>29050.22</v>
      </c>
      <c r="T3465">
        <f>[1]Source!Y3346</f>
        <v>1636980.12</v>
      </c>
      <c r="U3465">
        <f>ROUND((175/100)*ROUND([1]Source!R3345, 2), 2)</f>
        <v>6006.47</v>
      </c>
      <c r="V3465">
        <f>ROUND((0/100)*ROUND([1]Source!R3346, 2), 2)</f>
        <v>0</v>
      </c>
      <c r="AC3465">
        <v>0</v>
      </c>
    </row>
    <row r="3466" spans="1:29" hidden="1" x14ac:dyDescent="0.25">
      <c r="C3466" s="32" t="str">
        <f>"Объем: "&amp;[1]Source!I3345&amp;"=(2079+"&amp;"1478)/"&amp;"100"</f>
        <v>Объем: 35,57=(2079+1478)/100</v>
      </c>
    </row>
    <row r="3467" spans="1:29" ht="14.4" hidden="1" x14ac:dyDescent="0.25">
      <c r="A3467" s="27"/>
      <c r="B3467" s="27"/>
      <c r="C3467" s="27" t="s">
        <v>36</v>
      </c>
      <c r="D3467" s="28"/>
      <c r="E3467" s="29"/>
      <c r="F3467" s="30">
        <f>[1]Source!AO3345</f>
        <v>1306.5</v>
      </c>
      <c r="G3467" s="31" t="s">
        <v>37</v>
      </c>
      <c r="H3467" s="29">
        <f>[1]Source!AV3346</f>
        <v>1.0249999999999999</v>
      </c>
      <c r="I3467" s="30">
        <f>[1]Source!S3345</f>
        <v>65734.929999999993</v>
      </c>
      <c r="J3467" s="29">
        <f>IF([1]Source!BA3346&lt;&gt; 0, [1]Source!BA3346, 1)</f>
        <v>56.35</v>
      </c>
      <c r="K3467" s="30">
        <f>[1]Source!S3346</f>
        <v>3704163.31</v>
      </c>
    </row>
    <row r="3468" spans="1:29" ht="14.4" hidden="1" x14ac:dyDescent="0.25">
      <c r="A3468" s="27"/>
      <c r="B3468" s="27"/>
      <c r="C3468" s="27" t="s">
        <v>38</v>
      </c>
      <c r="D3468" s="28"/>
      <c r="E3468" s="29"/>
      <c r="F3468" s="30">
        <f>[1]Source!AM3345</f>
        <v>123.19</v>
      </c>
      <c r="G3468" s="31" t="s">
        <v>39</v>
      </c>
      <c r="H3468" s="29">
        <f>[1]Source!AV3346</f>
        <v>1.0249999999999999</v>
      </c>
      <c r="I3468" s="30">
        <f>[1]Source!Q3345</f>
        <v>6737.12</v>
      </c>
      <c r="J3468" s="29">
        <f>IF([1]Source!BB3346&lt;&gt; 0, [1]Source!BB3346, 1)</f>
        <v>36.83</v>
      </c>
      <c r="K3468" s="30">
        <f>[1]Source!Q3346</f>
        <v>248128.13</v>
      </c>
    </row>
    <row r="3469" spans="1:29" ht="14.4" hidden="1" x14ac:dyDescent="0.25">
      <c r="A3469" s="27"/>
      <c r="B3469" s="27"/>
      <c r="C3469" s="27" t="s">
        <v>40</v>
      </c>
      <c r="D3469" s="28"/>
      <c r="E3469" s="29"/>
      <c r="F3469" s="30">
        <f>[1]Source!AN3345</f>
        <v>62.76</v>
      </c>
      <c r="G3469" s="31" t="s">
        <v>39</v>
      </c>
      <c r="H3469" s="29">
        <f>[1]Source!AV3346</f>
        <v>1.0249999999999999</v>
      </c>
      <c r="I3469" s="33">
        <f>[1]Source!R3345</f>
        <v>3432.27</v>
      </c>
      <c r="J3469" s="29">
        <f>IF([1]Source!BS3346&lt;&gt; 0, [1]Source!BS3346, 1)</f>
        <v>56.35</v>
      </c>
      <c r="K3469" s="33">
        <f>[1]Source!R3346</f>
        <v>193408.41</v>
      </c>
    </row>
    <row r="3470" spans="1:29" ht="14.4" hidden="1" x14ac:dyDescent="0.25">
      <c r="A3470" s="27"/>
      <c r="B3470" s="27"/>
      <c r="C3470" s="27" t="s">
        <v>41</v>
      </c>
      <c r="D3470" s="28"/>
      <c r="E3470" s="29"/>
      <c r="F3470" s="30">
        <f>[1]Source!AL3345</f>
        <v>186.43</v>
      </c>
      <c r="G3470" s="31"/>
      <c r="H3470" s="29">
        <f>[1]Source!AW3346</f>
        <v>1</v>
      </c>
      <c r="I3470" s="30">
        <f>[1]Source!P3345</f>
        <v>6631.32</v>
      </c>
      <c r="J3470" s="29">
        <f>IF([1]Source!BC3346&lt;&gt; 0, [1]Source!BC3346, 1)</f>
        <v>31.12</v>
      </c>
      <c r="K3470" s="30">
        <f>[1]Source!P3346</f>
        <v>206366.68</v>
      </c>
    </row>
    <row r="3471" spans="1:29" ht="27.6" hidden="1" x14ac:dyDescent="0.25">
      <c r="A3471" s="27" t="s">
        <v>685</v>
      </c>
      <c r="B3471" s="27" t="str">
        <f>[1]Source!F3347</f>
        <v>1.1-1-118</v>
      </c>
      <c r="C3471" s="27" t="s">
        <v>72</v>
      </c>
      <c r="D3471" s="28" t="str">
        <f>[1]Source!H3347</f>
        <v>м3</v>
      </c>
      <c r="E3471" s="29">
        <f>[1]Source!I3347</f>
        <v>3.8244859999999998</v>
      </c>
      <c r="F3471" s="30">
        <f>[1]Source!AK3347</f>
        <v>7.07</v>
      </c>
      <c r="G3471" s="43" t="s">
        <v>54</v>
      </c>
      <c r="H3471" s="29">
        <f>[1]Source!AW3348</f>
        <v>1</v>
      </c>
      <c r="I3471" s="30">
        <f>[1]Source!O3347</f>
        <v>27.04</v>
      </c>
      <c r="J3471" s="29">
        <f>IF([1]Source!BC3348&lt;&gt; 0, [1]Source!BC3348, 1)</f>
        <v>7.75</v>
      </c>
      <c r="K3471" s="30">
        <f>[1]Source!O3348</f>
        <v>209.56</v>
      </c>
      <c r="Q3471">
        <f>[1]Source!X3347</f>
        <v>0</v>
      </c>
      <c r="R3471">
        <f>[1]Source!X3348</f>
        <v>0</v>
      </c>
      <c r="S3471">
        <f>[1]Source!Y3347</f>
        <v>0</v>
      </c>
      <c r="T3471">
        <f>[1]Source!Y3348</f>
        <v>0</v>
      </c>
      <c r="U3471">
        <f>ROUND((175/100)*ROUND([1]Source!R3347, 2), 2)</f>
        <v>0</v>
      </c>
      <c r="V3471">
        <f>ROUND((0/100)*ROUND([1]Source!R3348, 2), 2)</f>
        <v>0</v>
      </c>
      <c r="AC3471">
        <v>3</v>
      </c>
    </row>
    <row r="3472" spans="1:29" ht="69" hidden="1" x14ac:dyDescent="0.25">
      <c r="A3472" s="27" t="s">
        <v>686</v>
      </c>
      <c r="B3472" s="27" t="str">
        <f>[1]Source!F3349</f>
        <v>1.3-2-24</v>
      </c>
      <c r="C3472" s="27" t="s">
        <v>74</v>
      </c>
      <c r="D3472" s="28" t="str">
        <f>[1]Source!H3349</f>
        <v>т</v>
      </c>
      <c r="E3472" s="29">
        <f>[1]Source!I3349</f>
        <v>21.854208</v>
      </c>
      <c r="F3472" s="30">
        <f>[1]Source!AK3349</f>
        <v>788.9</v>
      </c>
      <c r="G3472" s="43" t="s">
        <v>54</v>
      </c>
      <c r="H3472" s="29">
        <f>[1]Source!AW3350</f>
        <v>1</v>
      </c>
      <c r="I3472" s="30">
        <f>[1]Source!O3349</f>
        <v>17240.78</v>
      </c>
      <c r="J3472" s="29">
        <f>IF([1]Source!BC3350&lt;&gt; 0, [1]Source!BC3350, 1)</f>
        <v>12.2</v>
      </c>
      <c r="K3472" s="30">
        <f>[1]Source!O3350</f>
        <v>210337.52</v>
      </c>
      <c r="Q3472">
        <f>[1]Source!X3349</f>
        <v>0</v>
      </c>
      <c r="R3472">
        <f>[1]Source!X3350</f>
        <v>0</v>
      </c>
      <c r="S3472">
        <f>[1]Source!Y3349</f>
        <v>0</v>
      </c>
      <c r="T3472">
        <f>[1]Source!Y3350</f>
        <v>0</v>
      </c>
      <c r="U3472">
        <f>ROUND((175/100)*ROUND([1]Source!R3349, 2), 2)</f>
        <v>0</v>
      </c>
      <c r="V3472">
        <f>ROUND((0/100)*ROUND([1]Source!R3350, 2), 2)</f>
        <v>0</v>
      </c>
      <c r="AC3472">
        <v>3</v>
      </c>
    </row>
    <row r="3473" spans="1:29" ht="27.6" hidden="1" x14ac:dyDescent="0.25">
      <c r="A3473" s="27" t="s">
        <v>687</v>
      </c>
      <c r="B3473" s="27" t="str">
        <f>[1]Source!F3351</f>
        <v>1.3-2-13</v>
      </c>
      <c r="C3473" s="27" t="s">
        <v>76</v>
      </c>
      <c r="D3473" s="28" t="str">
        <f>[1]Source!H3351</f>
        <v>м3</v>
      </c>
      <c r="E3473" s="29">
        <f>[1]Source!I3351</f>
        <v>54.63552</v>
      </c>
      <c r="F3473" s="30">
        <f>[1]Source!AK3351</f>
        <v>470.7</v>
      </c>
      <c r="G3473" s="43" t="s">
        <v>54</v>
      </c>
      <c r="H3473" s="29">
        <f>[1]Source!AW3352</f>
        <v>1</v>
      </c>
      <c r="I3473" s="30">
        <f>[1]Source!O3351</f>
        <v>25716.94</v>
      </c>
      <c r="J3473" s="29">
        <f>IF([1]Source!BC3352&lt;&gt; 0, [1]Source!BC3352, 1)</f>
        <v>10.84</v>
      </c>
      <c r="K3473" s="30">
        <f>[1]Source!O3352</f>
        <v>278771.63</v>
      </c>
      <c r="Q3473">
        <f>[1]Source!X3351</f>
        <v>0</v>
      </c>
      <c r="R3473">
        <f>[1]Source!X3352</f>
        <v>0</v>
      </c>
      <c r="S3473">
        <f>[1]Source!Y3351</f>
        <v>0</v>
      </c>
      <c r="T3473">
        <f>[1]Source!Y3352</f>
        <v>0</v>
      </c>
      <c r="U3473">
        <f>ROUND((175/100)*ROUND([1]Source!R3351, 2), 2)</f>
        <v>0</v>
      </c>
      <c r="V3473">
        <f>ROUND((0/100)*ROUND([1]Source!R3352, 2), 2)</f>
        <v>0</v>
      </c>
      <c r="AC3473">
        <v>3</v>
      </c>
    </row>
    <row r="3474" spans="1:29" ht="14.4" hidden="1" x14ac:dyDescent="0.25">
      <c r="A3474" s="27"/>
      <c r="B3474" s="27"/>
      <c r="C3474" s="27" t="s">
        <v>42</v>
      </c>
      <c r="D3474" s="28" t="s">
        <v>43</v>
      </c>
      <c r="E3474" s="29">
        <f>[1]Source!BZ3346</f>
        <v>90</v>
      </c>
      <c r="F3474" s="30"/>
      <c r="G3474" s="31"/>
      <c r="H3474" s="29"/>
      <c r="I3474" s="30">
        <f>SUM(Q3465:Q3473)</f>
        <v>62250.48</v>
      </c>
      <c r="J3474" s="29">
        <f>[1]Source!AT3346</f>
        <v>90</v>
      </c>
      <c r="K3474" s="30">
        <f>SUM(R3465:R3473)</f>
        <v>3507814.55</v>
      </c>
    </row>
    <row r="3475" spans="1:29" ht="14.4" hidden="1" x14ac:dyDescent="0.25">
      <c r="A3475" s="27"/>
      <c r="B3475" s="27"/>
      <c r="C3475" s="27" t="s">
        <v>44</v>
      </c>
      <c r="D3475" s="28" t="s">
        <v>43</v>
      </c>
      <c r="E3475" s="29">
        <f>[1]Source!CA3346</f>
        <v>42</v>
      </c>
      <c r="F3475" s="30"/>
      <c r="G3475" s="31"/>
      <c r="H3475" s="29"/>
      <c r="I3475" s="30">
        <f>SUM(S3465:S3474)</f>
        <v>29050.22</v>
      </c>
      <c r="J3475" s="29">
        <f>[1]Source!AU3346</f>
        <v>42</v>
      </c>
      <c r="K3475" s="30">
        <f>SUM(T3465:T3474)</f>
        <v>1636980.12</v>
      </c>
    </row>
    <row r="3476" spans="1:29" ht="14.4" hidden="1" x14ac:dyDescent="0.25">
      <c r="A3476" s="34"/>
      <c r="B3476" s="34"/>
      <c r="C3476" s="34" t="s">
        <v>45</v>
      </c>
      <c r="D3476" s="35" t="s">
        <v>46</v>
      </c>
      <c r="E3476" s="36">
        <f>[1]Source!AQ3345</f>
        <v>75</v>
      </c>
      <c r="F3476" s="37"/>
      <c r="G3476" s="38" t="s">
        <v>37</v>
      </c>
      <c r="H3476" s="36">
        <f>[1]Source!AV3346</f>
        <v>1.0249999999999999</v>
      </c>
      <c r="I3476" s="37">
        <f>[1]Source!U3345</f>
        <v>3773.5323749999998</v>
      </c>
      <c r="J3476" s="36"/>
      <c r="K3476" s="37"/>
    </row>
    <row r="3477" spans="1:29" ht="13.8" hidden="1" x14ac:dyDescent="0.25">
      <c r="C3477" s="39" t="s">
        <v>47</v>
      </c>
      <c r="H3477" s="40">
        <f>I3467+I3468+I3470+I3474+I3475+SUM(I3471:I3473)-SUMIF(AC3471:AC3473, 5, I3471:I3473)-SUMIF(AC3471:AC3473, 6, I3471:I3473)</f>
        <v>213388.83000000002</v>
      </c>
      <c r="I3477" s="40"/>
      <c r="J3477" s="40">
        <f>K3467+K3468+K3470+K3474+K3475+SUM(K3471:K3473)-SUMIF(AC3471:AC3473, 5, K3471:K3473)-SUMIF(AC3471:AC3473, 6, K3471:K3473)</f>
        <v>9792771.5</v>
      </c>
      <c r="K3477" s="40"/>
    </row>
    <row r="3478" spans="1:29" ht="13.8" hidden="1" x14ac:dyDescent="0.25">
      <c r="C3478" s="39" t="s">
        <v>48</v>
      </c>
      <c r="H3478" s="41">
        <f>SUMIF(AC3471:AC3473, 5, I3471:I3473)+SUMIF(AC3471:AC3473, 6, I3471:I3473)</f>
        <v>0</v>
      </c>
      <c r="I3478" s="41"/>
      <c r="J3478" s="41">
        <f>SUMIF(AC3471:AC3473, 5, K3471:K3473)+SUMIF(AC3471:AC3473, 6, K3471:K3473)</f>
        <v>0</v>
      </c>
      <c r="K3478" s="41"/>
    </row>
    <row r="3479" spans="1:29" ht="13.8" hidden="1" x14ac:dyDescent="0.25">
      <c r="C3479" s="39" t="s">
        <v>49</v>
      </c>
      <c r="H3479" s="41">
        <f>I3467+I3468+I3470+I3474+I3475+SUM(I3471:I3473)</f>
        <v>213388.83000000002</v>
      </c>
      <c r="I3479" s="41"/>
      <c r="J3479" s="41">
        <f>K3467+K3468+K3470+K3474+K3475+SUM(K3471:K3473)</f>
        <v>9792771.5</v>
      </c>
      <c r="K3479" s="41"/>
      <c r="O3479" s="42">
        <f>I3467+I3468+I3470+I3474+I3475+SUM(I3471:I3473)</f>
        <v>213388.83000000002</v>
      </c>
      <c r="P3479" s="42">
        <f>K3467+K3468+K3470+K3474+K3475+SUM(K3471:K3473)</f>
        <v>9792771.5</v>
      </c>
    </row>
    <row r="3480" spans="1:29" hidden="1" x14ac:dyDescent="0.25"/>
    <row r="3481" spans="1:29" ht="41.4" hidden="1" x14ac:dyDescent="0.25">
      <c r="A3481" s="27">
        <v>354</v>
      </c>
      <c r="B3481" s="27" t="str">
        <f>[1]Source!F3353</f>
        <v>3.70-300-6</v>
      </c>
      <c r="C3481" s="27" t="s">
        <v>688</v>
      </c>
      <c r="D3481" s="28" t="str">
        <f>[1]Source!H3353</f>
        <v>100 м2</v>
      </c>
      <c r="E3481" s="29">
        <f>[1]Source!I3353</f>
        <v>20.79</v>
      </c>
      <c r="F3481" s="30"/>
      <c r="G3481" s="31"/>
      <c r="H3481" s="29"/>
      <c r="I3481" s="30"/>
      <c r="J3481" s="29"/>
      <c r="K3481" s="30"/>
      <c r="Q3481">
        <f>[1]Source!X3353</f>
        <v>14118.58</v>
      </c>
      <c r="R3481">
        <f>[1]Source!X3354</f>
        <v>795581.93</v>
      </c>
      <c r="S3481">
        <f>[1]Source!Y3353</f>
        <v>6588.67</v>
      </c>
      <c r="T3481">
        <f>[1]Source!Y3354</f>
        <v>371271.57</v>
      </c>
      <c r="U3481">
        <f>ROUND((175/100)*ROUND([1]Source!R3353, 2), 2)</f>
        <v>49.23</v>
      </c>
      <c r="V3481">
        <f>ROUND((0/100)*ROUND([1]Source!R3354, 2), 2)</f>
        <v>0</v>
      </c>
      <c r="AC3481">
        <v>0</v>
      </c>
    </row>
    <row r="3482" spans="1:29" hidden="1" x14ac:dyDescent="0.25">
      <c r="C3482" s="32" t="str">
        <f>"Объем: "&amp;[1]Source!I3353&amp;"=2079/"&amp;"100"</f>
        <v>Объем: 20,79=2079/100</v>
      </c>
    </row>
    <row r="3483" spans="1:29" ht="14.4" hidden="1" x14ac:dyDescent="0.25">
      <c r="A3483" s="27"/>
      <c r="B3483" s="27"/>
      <c r="C3483" s="27" t="s">
        <v>36</v>
      </c>
      <c r="D3483" s="28"/>
      <c r="E3483" s="29"/>
      <c r="F3483" s="30">
        <f>[1]Source!AO3353</f>
        <v>532.49</v>
      </c>
      <c r="G3483" s="31" t="s">
        <v>37</v>
      </c>
      <c r="H3483" s="29">
        <f>[1]Source!AV3354</f>
        <v>1.0249999999999999</v>
      </c>
      <c r="I3483" s="30">
        <f>[1]Source!S3353</f>
        <v>15659.18</v>
      </c>
      <c r="J3483" s="29">
        <f>IF([1]Source!BA3354&lt;&gt; 0, [1]Source!BA3354, 1)</f>
        <v>56.35</v>
      </c>
      <c r="K3483" s="30">
        <f>[1]Source!S3354</f>
        <v>882394.79</v>
      </c>
    </row>
    <row r="3484" spans="1:29" ht="14.4" hidden="1" x14ac:dyDescent="0.25">
      <c r="A3484" s="27"/>
      <c r="B3484" s="27"/>
      <c r="C3484" s="27" t="s">
        <v>38</v>
      </c>
      <c r="D3484" s="28"/>
      <c r="E3484" s="29"/>
      <c r="F3484" s="30">
        <f>[1]Source!AM3353</f>
        <v>6.21</v>
      </c>
      <c r="G3484" s="31" t="s">
        <v>39</v>
      </c>
      <c r="H3484" s="29">
        <f>[1]Source!AV3354</f>
        <v>1.0249999999999999</v>
      </c>
      <c r="I3484" s="30">
        <f>[1]Source!Q3353</f>
        <v>198.5</v>
      </c>
      <c r="J3484" s="29">
        <f>IF([1]Source!BB3354&lt;&gt; 0, [1]Source!BB3354, 1)</f>
        <v>16.829999999999998</v>
      </c>
      <c r="K3484" s="30">
        <f>[1]Source!Q3354</f>
        <v>3340.76</v>
      </c>
    </row>
    <row r="3485" spans="1:29" ht="14.4" hidden="1" x14ac:dyDescent="0.25">
      <c r="A3485" s="27"/>
      <c r="B3485" s="27"/>
      <c r="C3485" s="27" t="s">
        <v>40</v>
      </c>
      <c r="D3485" s="28"/>
      <c r="E3485" s="29"/>
      <c r="F3485" s="30">
        <f>[1]Source!AN3353</f>
        <v>0.88</v>
      </c>
      <c r="G3485" s="31" t="s">
        <v>39</v>
      </c>
      <c r="H3485" s="29">
        <f>[1]Source!AV3354</f>
        <v>1.0249999999999999</v>
      </c>
      <c r="I3485" s="33">
        <f>[1]Source!R3353</f>
        <v>28.13</v>
      </c>
      <c r="J3485" s="29">
        <f>IF([1]Source!BS3354&lt;&gt; 0, [1]Source!BS3354, 1)</f>
        <v>56.35</v>
      </c>
      <c r="K3485" s="33">
        <f>[1]Source!R3354</f>
        <v>1585.13</v>
      </c>
    </row>
    <row r="3486" spans="1:29" ht="14.4" hidden="1" x14ac:dyDescent="0.25">
      <c r="A3486" s="27"/>
      <c r="B3486" s="27"/>
      <c r="C3486" s="27" t="s">
        <v>41</v>
      </c>
      <c r="D3486" s="28"/>
      <c r="E3486" s="29"/>
      <c r="F3486" s="30">
        <f>[1]Source!AL3353</f>
        <v>50.25</v>
      </c>
      <c r="G3486" s="31"/>
      <c r="H3486" s="29">
        <f>[1]Source!AW3354</f>
        <v>1</v>
      </c>
      <c r="I3486" s="30">
        <f>[1]Source!P3353</f>
        <v>1044.7</v>
      </c>
      <c r="J3486" s="29">
        <f>IF([1]Source!BC3354&lt;&gt; 0, [1]Source!BC3354, 1)</f>
        <v>1.91</v>
      </c>
      <c r="K3486" s="30">
        <f>[1]Source!P3354</f>
        <v>1995.38</v>
      </c>
    </row>
    <row r="3487" spans="1:29" ht="110.4" hidden="1" x14ac:dyDescent="0.25">
      <c r="A3487" s="27" t="s">
        <v>689</v>
      </c>
      <c r="B3487" s="27" t="str">
        <f>[1]Source!F3355</f>
        <v>1.1-1-2843</v>
      </c>
      <c r="C3487" s="27" t="s">
        <v>690</v>
      </c>
      <c r="D3487" s="28" t="str">
        <f>[1]Source!H3355</f>
        <v>т</v>
      </c>
      <c r="E3487" s="29">
        <f>[1]Source!I3355</f>
        <v>0.46611200000000003</v>
      </c>
      <c r="F3487" s="30">
        <f>[1]Source!AK3355</f>
        <v>26842.89</v>
      </c>
      <c r="G3487" s="43" t="s">
        <v>54</v>
      </c>
      <c r="H3487" s="29">
        <f>[1]Source!AW3356</f>
        <v>1</v>
      </c>
      <c r="I3487" s="30">
        <f>[1]Source!O3355</f>
        <v>12511.79</v>
      </c>
      <c r="J3487" s="29">
        <f>IF([1]Source!BC3356&lt;&gt; 0, [1]Source!BC3356, 1)</f>
        <v>11.99</v>
      </c>
      <c r="K3487" s="30">
        <f>[1]Source!O3356</f>
        <v>150016.35999999999</v>
      </c>
      <c r="Q3487">
        <f>[1]Source!X3355</f>
        <v>0</v>
      </c>
      <c r="R3487">
        <f>[1]Source!X3356</f>
        <v>0</v>
      </c>
      <c r="S3487">
        <f>[1]Source!Y3355</f>
        <v>0</v>
      </c>
      <c r="T3487">
        <f>[1]Source!Y3356</f>
        <v>0</v>
      </c>
      <c r="U3487">
        <f>ROUND((175/100)*ROUND([1]Source!R3355, 2), 2)</f>
        <v>0</v>
      </c>
      <c r="V3487">
        <f>ROUND((0/100)*ROUND([1]Source!R3356, 2), 2)</f>
        <v>0</v>
      </c>
      <c r="AC3487">
        <v>3</v>
      </c>
    </row>
    <row r="3488" spans="1:29" ht="69" hidden="1" x14ac:dyDescent="0.25">
      <c r="A3488" s="27" t="s">
        <v>691</v>
      </c>
      <c r="B3488" s="27" t="str">
        <f>[1]Source!F3357</f>
        <v>1.1-1-3108</v>
      </c>
      <c r="C3488" s="27" t="s">
        <v>79</v>
      </c>
      <c r="D3488" s="28" t="str">
        <f>[1]Source!H3357</f>
        <v>кг</v>
      </c>
      <c r="E3488" s="29">
        <f>[1]Source!I3357</f>
        <v>644.49</v>
      </c>
      <c r="F3488" s="30">
        <f>[1]Source!AK3357</f>
        <v>17.649999999999999</v>
      </c>
      <c r="G3488" s="43" t="s">
        <v>54</v>
      </c>
      <c r="H3488" s="29">
        <f>[1]Source!AW3358</f>
        <v>1</v>
      </c>
      <c r="I3488" s="30">
        <f>[1]Source!O3357</f>
        <v>11375.25</v>
      </c>
      <c r="J3488" s="29">
        <f>IF([1]Source!BC3358&lt;&gt; 0, [1]Source!BC3358, 1)</f>
        <v>5</v>
      </c>
      <c r="K3488" s="30">
        <f>[1]Source!O3358</f>
        <v>56876.25</v>
      </c>
      <c r="Q3488">
        <f>[1]Source!X3357</f>
        <v>0</v>
      </c>
      <c r="R3488">
        <f>[1]Source!X3358</f>
        <v>0</v>
      </c>
      <c r="S3488">
        <f>[1]Source!Y3357</f>
        <v>0</v>
      </c>
      <c r="T3488">
        <f>[1]Source!Y3358</f>
        <v>0</v>
      </c>
      <c r="U3488">
        <f>ROUND((175/100)*ROUND([1]Source!R3357, 2), 2)</f>
        <v>0</v>
      </c>
      <c r="V3488">
        <f>ROUND((0/100)*ROUND([1]Source!R3358, 2), 2)</f>
        <v>0</v>
      </c>
      <c r="AC3488">
        <v>3</v>
      </c>
    </row>
    <row r="3489" spans="1:29" ht="110.4" hidden="1" x14ac:dyDescent="0.25">
      <c r="A3489" s="27" t="s">
        <v>692</v>
      </c>
      <c r="B3489" s="27" t="str">
        <f>[1]Source!F3359</f>
        <v>1.3-2-224</v>
      </c>
      <c r="C3489" s="27" t="s">
        <v>627</v>
      </c>
      <c r="D3489" s="28" t="str">
        <f>[1]Source!H3359</f>
        <v>кг</v>
      </c>
      <c r="E3489" s="29">
        <f>[1]Source!I3359</f>
        <v>1684.4058000000002</v>
      </c>
      <c r="F3489" s="30">
        <f>[1]Source!AK3359</f>
        <v>3.91</v>
      </c>
      <c r="G3489" s="43" t="s">
        <v>54</v>
      </c>
      <c r="H3489" s="29">
        <f>[1]Source!AW3360</f>
        <v>1</v>
      </c>
      <c r="I3489" s="30">
        <f>[1]Source!O3359</f>
        <v>6586.03</v>
      </c>
      <c r="J3489" s="29">
        <f>IF([1]Source!BC3360&lt;&gt; 0, [1]Source!BC3360, 1)</f>
        <v>3.88</v>
      </c>
      <c r="K3489" s="30">
        <f>[1]Source!O3360</f>
        <v>25553.8</v>
      </c>
      <c r="Q3489">
        <f>[1]Source!X3359</f>
        <v>0</v>
      </c>
      <c r="R3489">
        <f>[1]Source!X3360</f>
        <v>0</v>
      </c>
      <c r="S3489">
        <f>[1]Source!Y3359</f>
        <v>0</v>
      </c>
      <c r="T3489">
        <f>[1]Source!Y3360</f>
        <v>0</v>
      </c>
      <c r="U3489">
        <f>ROUND((175/100)*ROUND([1]Source!R3359, 2), 2)</f>
        <v>0</v>
      </c>
      <c r="V3489">
        <f>ROUND((0/100)*ROUND([1]Source!R3360, 2), 2)</f>
        <v>0</v>
      </c>
      <c r="AC3489">
        <v>3</v>
      </c>
    </row>
    <row r="3490" spans="1:29" ht="14.4" hidden="1" x14ac:dyDescent="0.25">
      <c r="A3490" s="27"/>
      <c r="B3490" s="27"/>
      <c r="C3490" s="27" t="s">
        <v>42</v>
      </c>
      <c r="D3490" s="28" t="s">
        <v>43</v>
      </c>
      <c r="E3490" s="29">
        <f>[1]Source!BZ3354</f>
        <v>90</v>
      </c>
      <c r="F3490" s="30"/>
      <c r="G3490" s="31"/>
      <c r="H3490" s="29"/>
      <c r="I3490" s="30">
        <f>SUM(Q3481:Q3489)</f>
        <v>14118.58</v>
      </c>
      <c r="J3490" s="29">
        <f>[1]Source!AT3354</f>
        <v>90</v>
      </c>
      <c r="K3490" s="30">
        <f>SUM(R3481:R3489)</f>
        <v>795581.93</v>
      </c>
    </row>
    <row r="3491" spans="1:29" ht="14.4" hidden="1" x14ac:dyDescent="0.25">
      <c r="A3491" s="27"/>
      <c r="B3491" s="27"/>
      <c r="C3491" s="27" t="s">
        <v>44</v>
      </c>
      <c r="D3491" s="28" t="s">
        <v>43</v>
      </c>
      <c r="E3491" s="29">
        <f>[1]Source!CA3354</f>
        <v>42</v>
      </c>
      <c r="F3491" s="30"/>
      <c r="G3491" s="31"/>
      <c r="H3491" s="29"/>
      <c r="I3491" s="30">
        <f>SUM(S3481:S3490)</f>
        <v>6588.67</v>
      </c>
      <c r="J3491" s="29">
        <f>[1]Source!AU3354</f>
        <v>42</v>
      </c>
      <c r="K3491" s="30">
        <f>SUM(T3481:T3490)</f>
        <v>371271.57</v>
      </c>
    </row>
    <row r="3492" spans="1:29" ht="14.4" hidden="1" x14ac:dyDescent="0.25">
      <c r="A3492" s="34"/>
      <c r="B3492" s="34"/>
      <c r="C3492" s="34" t="s">
        <v>45</v>
      </c>
      <c r="D3492" s="35" t="s">
        <v>46</v>
      </c>
      <c r="E3492" s="36">
        <f>[1]Source!AQ3353</f>
        <v>35.020000000000003</v>
      </c>
      <c r="F3492" s="37"/>
      <c r="G3492" s="38" t="s">
        <v>37</v>
      </c>
      <c r="H3492" s="36">
        <f>[1]Source!AV3354</f>
        <v>1.0249999999999999</v>
      </c>
      <c r="I3492" s="37">
        <f>[1]Source!U3353</f>
        <v>1029.8490740999998</v>
      </c>
      <c r="J3492" s="36"/>
      <c r="K3492" s="37"/>
    </row>
    <row r="3493" spans="1:29" ht="13.8" hidden="1" x14ac:dyDescent="0.25">
      <c r="C3493" s="39" t="s">
        <v>47</v>
      </c>
      <c r="H3493" s="40">
        <f>I3483+I3484+I3486+I3490+I3491+SUM(I3487:I3489)-SUMIF(AC3487:AC3489, 5, I3487:I3489)-SUMIF(AC3487:AC3489, 6, I3487:I3489)</f>
        <v>68082.7</v>
      </c>
      <c r="I3493" s="40"/>
      <c r="J3493" s="40">
        <f>K3483+K3484+K3486+K3490+K3491+SUM(K3487:K3489)-SUMIF(AC3487:AC3489, 5, K3487:K3489)-SUMIF(AC3487:AC3489, 6, K3487:K3489)</f>
        <v>2287030.8400000003</v>
      </c>
      <c r="K3493" s="40"/>
    </row>
    <row r="3494" spans="1:29" ht="13.8" hidden="1" x14ac:dyDescent="0.25">
      <c r="C3494" s="39" t="s">
        <v>48</v>
      </c>
      <c r="H3494" s="41">
        <f>SUMIF(AC3487:AC3489, 5, I3487:I3489)+SUMIF(AC3487:AC3489, 6, I3487:I3489)</f>
        <v>0</v>
      </c>
      <c r="I3494" s="41"/>
      <c r="J3494" s="41">
        <f>SUMIF(AC3487:AC3489, 5, K3487:K3489)+SUMIF(AC3487:AC3489, 6, K3487:K3489)</f>
        <v>0</v>
      </c>
      <c r="K3494" s="41"/>
    </row>
    <row r="3495" spans="1:29" ht="13.8" hidden="1" x14ac:dyDescent="0.25">
      <c r="C3495" s="39" t="s">
        <v>49</v>
      </c>
      <c r="H3495" s="41">
        <f>I3483+I3484+I3486+I3490+I3491+SUM(I3487:I3489)</f>
        <v>68082.7</v>
      </c>
      <c r="I3495" s="41"/>
      <c r="J3495" s="41">
        <f>K3483+K3484+K3486+K3490+K3491+SUM(K3487:K3489)</f>
        <v>2287030.8400000003</v>
      </c>
      <c r="K3495" s="41"/>
      <c r="O3495" s="42">
        <f>I3483+I3484+I3486+I3490+I3491+SUM(I3487:I3489)</f>
        <v>68082.7</v>
      </c>
      <c r="P3495" s="42">
        <f>K3483+K3484+K3486+K3490+K3491+SUM(K3487:K3489)</f>
        <v>2287030.8400000003</v>
      </c>
    </row>
    <row r="3496" spans="1:29" hidden="1" x14ac:dyDescent="0.25"/>
    <row r="3497" spans="1:29" ht="41.4" hidden="1" x14ac:dyDescent="0.25">
      <c r="A3497" s="27">
        <v>355</v>
      </c>
      <c r="B3497" s="27" t="str">
        <f>[1]Source!F3361</f>
        <v>3.70-300-6</v>
      </c>
      <c r="C3497" s="27" t="s">
        <v>688</v>
      </c>
      <c r="D3497" s="28" t="str">
        <f>[1]Source!H3361</f>
        <v>100 м2</v>
      </c>
      <c r="E3497" s="29">
        <f>[1]Source!I3361</f>
        <v>14.78</v>
      </c>
      <c r="F3497" s="30"/>
      <c r="G3497" s="31"/>
      <c r="H3497" s="29"/>
      <c r="I3497" s="30"/>
      <c r="J3497" s="29"/>
      <c r="K3497" s="30"/>
      <c r="Q3497">
        <f>[1]Source!X3361</f>
        <v>10037.16</v>
      </c>
      <c r="R3497">
        <f>[1]Source!X3362</f>
        <v>565593.97</v>
      </c>
      <c r="S3497">
        <f>[1]Source!Y3361</f>
        <v>4684.01</v>
      </c>
      <c r="T3497">
        <f>[1]Source!Y3362</f>
        <v>263943.84999999998</v>
      </c>
      <c r="U3497">
        <f>ROUND((175/100)*ROUND([1]Source!R3361, 2), 2)</f>
        <v>35</v>
      </c>
      <c r="V3497">
        <f>ROUND((0/100)*ROUND([1]Source!R3362, 2), 2)</f>
        <v>0</v>
      </c>
      <c r="AC3497">
        <v>0</v>
      </c>
    </row>
    <row r="3498" spans="1:29" hidden="1" x14ac:dyDescent="0.25">
      <c r="C3498" s="32" t="str">
        <f>"Объем: "&amp;[1]Source!I3361&amp;"=1478/"&amp;"100"</f>
        <v>Объем: 14,78=1478/100</v>
      </c>
    </row>
    <row r="3499" spans="1:29" ht="14.4" hidden="1" x14ac:dyDescent="0.25">
      <c r="A3499" s="27"/>
      <c r="B3499" s="27"/>
      <c r="C3499" s="27" t="s">
        <v>36</v>
      </c>
      <c r="D3499" s="28"/>
      <c r="E3499" s="29"/>
      <c r="F3499" s="30">
        <f>[1]Source!AO3361</f>
        <v>532.49</v>
      </c>
      <c r="G3499" s="31" t="s">
        <v>37</v>
      </c>
      <c r="H3499" s="29">
        <f>[1]Source!AV3362</f>
        <v>1.0249999999999999</v>
      </c>
      <c r="I3499" s="30">
        <f>[1]Source!S3361</f>
        <v>11132.4</v>
      </c>
      <c r="J3499" s="29">
        <f>IF([1]Source!BA3362&lt;&gt; 0, [1]Source!BA3362, 1)</f>
        <v>56.35</v>
      </c>
      <c r="K3499" s="30">
        <f>[1]Source!S3362</f>
        <v>627310.74</v>
      </c>
    </row>
    <row r="3500" spans="1:29" ht="14.4" hidden="1" x14ac:dyDescent="0.25">
      <c r="A3500" s="27"/>
      <c r="B3500" s="27"/>
      <c r="C3500" s="27" t="s">
        <v>38</v>
      </c>
      <c r="D3500" s="28"/>
      <c r="E3500" s="29"/>
      <c r="F3500" s="30">
        <f>[1]Source!AM3361</f>
        <v>6.21</v>
      </c>
      <c r="G3500" s="31" t="s">
        <v>39</v>
      </c>
      <c r="H3500" s="29">
        <f>[1]Source!AV3362</f>
        <v>1.0249999999999999</v>
      </c>
      <c r="I3500" s="30">
        <f>[1]Source!Q3361</f>
        <v>141.12</v>
      </c>
      <c r="J3500" s="29">
        <f>IF([1]Source!BB3362&lt;&gt; 0, [1]Source!BB3362, 1)</f>
        <v>16.829999999999998</v>
      </c>
      <c r="K3500" s="30">
        <f>[1]Source!Q3362</f>
        <v>2375.0500000000002</v>
      </c>
    </row>
    <row r="3501" spans="1:29" ht="14.4" hidden="1" x14ac:dyDescent="0.25">
      <c r="A3501" s="27"/>
      <c r="B3501" s="27"/>
      <c r="C3501" s="27" t="s">
        <v>40</v>
      </c>
      <c r="D3501" s="28"/>
      <c r="E3501" s="29"/>
      <c r="F3501" s="30">
        <f>[1]Source!AN3361</f>
        <v>0.88</v>
      </c>
      <c r="G3501" s="31" t="s">
        <v>39</v>
      </c>
      <c r="H3501" s="29">
        <f>[1]Source!AV3362</f>
        <v>1.0249999999999999</v>
      </c>
      <c r="I3501" s="33">
        <f>[1]Source!R3361</f>
        <v>20</v>
      </c>
      <c r="J3501" s="29">
        <f>IF([1]Source!BS3362&lt;&gt; 0, [1]Source!BS3362, 1)</f>
        <v>56.35</v>
      </c>
      <c r="K3501" s="33">
        <f>[1]Source!R3362</f>
        <v>1127</v>
      </c>
    </row>
    <row r="3502" spans="1:29" ht="14.4" hidden="1" x14ac:dyDescent="0.25">
      <c r="A3502" s="27"/>
      <c r="B3502" s="27"/>
      <c r="C3502" s="27" t="s">
        <v>41</v>
      </c>
      <c r="D3502" s="28"/>
      <c r="E3502" s="29"/>
      <c r="F3502" s="30">
        <f>[1]Source!AL3361</f>
        <v>50.25</v>
      </c>
      <c r="G3502" s="31"/>
      <c r="H3502" s="29">
        <f>[1]Source!AW3362</f>
        <v>1</v>
      </c>
      <c r="I3502" s="30">
        <f>[1]Source!P3361</f>
        <v>742.7</v>
      </c>
      <c r="J3502" s="29">
        <f>IF([1]Source!BC3362&lt;&gt; 0, [1]Source!BC3362, 1)</f>
        <v>1.91</v>
      </c>
      <c r="K3502" s="30">
        <f>[1]Source!P3362</f>
        <v>1418.56</v>
      </c>
    </row>
    <row r="3503" spans="1:29" ht="151.80000000000001" hidden="1" x14ac:dyDescent="0.25">
      <c r="A3503" s="27" t="s">
        <v>693</v>
      </c>
      <c r="B3503" s="27" t="str">
        <f>[1]Source!F3363</f>
        <v>1.1-1-2844</v>
      </c>
      <c r="C3503" s="27" t="s">
        <v>694</v>
      </c>
      <c r="D3503" s="28" t="str">
        <f>[1]Source!H3363</f>
        <v>т</v>
      </c>
      <c r="E3503" s="29">
        <f>[1]Source!I3363</f>
        <v>0.331368</v>
      </c>
      <c r="F3503" s="30">
        <f>[1]Source!AK3363</f>
        <v>36003.01</v>
      </c>
      <c r="G3503" s="43" t="s">
        <v>54</v>
      </c>
      <c r="H3503" s="29">
        <f>[1]Source!AW3364</f>
        <v>1</v>
      </c>
      <c r="I3503" s="30">
        <f>[1]Source!O3363</f>
        <v>11930.25</v>
      </c>
      <c r="J3503" s="29">
        <f>IF([1]Source!BC3364&lt;&gt; 0, [1]Source!BC3364, 1)</f>
        <v>10.71</v>
      </c>
      <c r="K3503" s="30">
        <f>[1]Source!O3364</f>
        <v>127772.98</v>
      </c>
      <c r="Q3503">
        <f>[1]Source!X3363</f>
        <v>0</v>
      </c>
      <c r="R3503">
        <f>[1]Source!X3364</f>
        <v>0</v>
      </c>
      <c r="S3503">
        <f>[1]Source!Y3363</f>
        <v>0</v>
      </c>
      <c r="T3503">
        <f>[1]Source!Y3364</f>
        <v>0</v>
      </c>
      <c r="U3503">
        <f>ROUND((175/100)*ROUND([1]Source!R3363, 2), 2)</f>
        <v>0</v>
      </c>
      <c r="V3503">
        <f>ROUND((0/100)*ROUND([1]Source!R3364, 2), 2)</f>
        <v>0</v>
      </c>
      <c r="AC3503">
        <v>3</v>
      </c>
    </row>
    <row r="3504" spans="1:29" ht="69" hidden="1" x14ac:dyDescent="0.25">
      <c r="A3504" s="27" t="s">
        <v>695</v>
      </c>
      <c r="B3504" s="27" t="str">
        <f>[1]Source!F3365</f>
        <v>1.1-1-3108</v>
      </c>
      <c r="C3504" s="27" t="s">
        <v>79</v>
      </c>
      <c r="D3504" s="28" t="str">
        <f>[1]Source!H3365</f>
        <v>кг</v>
      </c>
      <c r="E3504" s="29">
        <f>[1]Source!I3365</f>
        <v>458.18</v>
      </c>
      <c r="F3504" s="30">
        <f>[1]Source!AK3365</f>
        <v>17.649999999999999</v>
      </c>
      <c r="G3504" s="43" t="s">
        <v>54</v>
      </c>
      <c r="H3504" s="29">
        <f>[1]Source!AW3366</f>
        <v>1</v>
      </c>
      <c r="I3504" s="30">
        <f>[1]Source!O3365</f>
        <v>8086.88</v>
      </c>
      <c r="J3504" s="29">
        <f>IF([1]Source!BC3366&lt;&gt; 0, [1]Source!BC3366, 1)</f>
        <v>5</v>
      </c>
      <c r="K3504" s="30">
        <f>[1]Source!O3366</f>
        <v>40434.400000000001</v>
      </c>
      <c r="Q3504">
        <f>[1]Source!X3365</f>
        <v>0</v>
      </c>
      <c r="R3504">
        <f>[1]Source!X3366</f>
        <v>0</v>
      </c>
      <c r="S3504">
        <f>[1]Source!Y3365</f>
        <v>0</v>
      </c>
      <c r="T3504">
        <f>[1]Source!Y3366</f>
        <v>0</v>
      </c>
      <c r="U3504">
        <f>ROUND((175/100)*ROUND([1]Source!R3365, 2), 2)</f>
        <v>0</v>
      </c>
      <c r="V3504">
        <f>ROUND((0/100)*ROUND([1]Source!R3366, 2), 2)</f>
        <v>0</v>
      </c>
      <c r="AC3504">
        <v>3</v>
      </c>
    </row>
    <row r="3505" spans="1:29" ht="110.4" hidden="1" x14ac:dyDescent="0.25">
      <c r="A3505" s="27" t="s">
        <v>696</v>
      </c>
      <c r="B3505" s="27" t="str">
        <f>[1]Source!F3367</f>
        <v>1.3-2-224</v>
      </c>
      <c r="C3505" s="27" t="s">
        <v>627</v>
      </c>
      <c r="D3505" s="28" t="str">
        <f>[1]Source!H3367</f>
        <v>кг</v>
      </c>
      <c r="E3505" s="29">
        <f>[1]Source!I3367</f>
        <v>1197.4756</v>
      </c>
      <c r="F3505" s="30">
        <f>[1]Source!AK3367</f>
        <v>3.91</v>
      </c>
      <c r="G3505" s="43" t="s">
        <v>54</v>
      </c>
      <c r="H3505" s="29">
        <f>[1]Source!AW3368</f>
        <v>1</v>
      </c>
      <c r="I3505" s="30">
        <f>[1]Source!O3367</f>
        <v>4682.13</v>
      </c>
      <c r="J3505" s="29">
        <f>IF([1]Source!BC3368&lt;&gt; 0, [1]Source!BC3368, 1)</f>
        <v>3.88</v>
      </c>
      <c r="K3505" s="30">
        <f>[1]Source!O3368</f>
        <v>18166.66</v>
      </c>
      <c r="Q3505">
        <f>[1]Source!X3367</f>
        <v>0</v>
      </c>
      <c r="R3505">
        <f>[1]Source!X3368</f>
        <v>0</v>
      </c>
      <c r="S3505">
        <f>[1]Source!Y3367</f>
        <v>0</v>
      </c>
      <c r="T3505">
        <f>[1]Source!Y3368</f>
        <v>0</v>
      </c>
      <c r="U3505">
        <f>ROUND((175/100)*ROUND([1]Source!R3367, 2), 2)</f>
        <v>0</v>
      </c>
      <c r="V3505">
        <f>ROUND((0/100)*ROUND([1]Source!R3368, 2), 2)</f>
        <v>0</v>
      </c>
      <c r="AC3505">
        <v>3</v>
      </c>
    </row>
    <row r="3506" spans="1:29" ht="14.4" hidden="1" x14ac:dyDescent="0.25">
      <c r="A3506" s="27"/>
      <c r="B3506" s="27"/>
      <c r="C3506" s="27" t="s">
        <v>42</v>
      </c>
      <c r="D3506" s="28" t="s">
        <v>43</v>
      </c>
      <c r="E3506" s="29">
        <f>[1]Source!BZ3362</f>
        <v>90</v>
      </c>
      <c r="F3506" s="30"/>
      <c r="G3506" s="31"/>
      <c r="H3506" s="29"/>
      <c r="I3506" s="30">
        <f>SUM(Q3497:Q3505)</f>
        <v>10037.16</v>
      </c>
      <c r="J3506" s="29">
        <f>[1]Source!AT3362</f>
        <v>90</v>
      </c>
      <c r="K3506" s="30">
        <f>SUM(R3497:R3505)</f>
        <v>565593.97</v>
      </c>
    </row>
    <row r="3507" spans="1:29" ht="14.4" hidden="1" x14ac:dyDescent="0.25">
      <c r="A3507" s="27"/>
      <c r="B3507" s="27"/>
      <c r="C3507" s="27" t="s">
        <v>44</v>
      </c>
      <c r="D3507" s="28" t="s">
        <v>43</v>
      </c>
      <c r="E3507" s="29">
        <f>[1]Source!CA3362</f>
        <v>42</v>
      </c>
      <c r="F3507" s="30"/>
      <c r="G3507" s="31"/>
      <c r="H3507" s="29"/>
      <c r="I3507" s="30">
        <f>SUM(S3497:S3506)</f>
        <v>4684.01</v>
      </c>
      <c r="J3507" s="29">
        <f>[1]Source!AU3362</f>
        <v>42</v>
      </c>
      <c r="K3507" s="30">
        <f>SUM(T3497:T3506)</f>
        <v>263943.84999999998</v>
      </c>
    </row>
    <row r="3508" spans="1:29" ht="14.4" hidden="1" x14ac:dyDescent="0.25">
      <c r="A3508" s="34"/>
      <c r="B3508" s="34"/>
      <c r="C3508" s="34" t="s">
        <v>45</v>
      </c>
      <c r="D3508" s="35" t="s">
        <v>46</v>
      </c>
      <c r="E3508" s="36">
        <f>[1]Source!AQ3361</f>
        <v>35.020000000000003</v>
      </c>
      <c r="F3508" s="37"/>
      <c r="G3508" s="38" t="s">
        <v>37</v>
      </c>
      <c r="H3508" s="36">
        <f>[1]Source!AV3362</f>
        <v>1.0249999999999999</v>
      </c>
      <c r="I3508" s="37">
        <f>[1]Source!U3361</f>
        <v>732.1389762</v>
      </c>
      <c r="J3508" s="36"/>
      <c r="K3508" s="37"/>
    </row>
    <row r="3509" spans="1:29" ht="13.8" hidden="1" x14ac:dyDescent="0.25">
      <c r="C3509" s="39" t="s">
        <v>47</v>
      </c>
      <c r="H3509" s="40">
        <f>I3499+I3500+I3502+I3506+I3507+SUM(I3503:I3505)-SUMIF(AC3503:AC3505, 5, I3503:I3505)-SUMIF(AC3503:AC3505, 6, I3503:I3505)</f>
        <v>51436.65</v>
      </c>
      <c r="I3509" s="40"/>
      <c r="J3509" s="40">
        <f>K3499+K3500+K3502+K3506+K3507+SUM(K3503:K3505)-SUMIF(AC3503:AC3505, 5, K3503:K3505)-SUMIF(AC3503:AC3505, 6, K3503:K3505)</f>
        <v>1647016.21</v>
      </c>
      <c r="K3509" s="40"/>
    </row>
    <row r="3510" spans="1:29" ht="13.8" hidden="1" x14ac:dyDescent="0.25">
      <c r="C3510" s="39" t="s">
        <v>48</v>
      </c>
      <c r="H3510" s="41">
        <f>SUMIF(AC3503:AC3505, 5, I3503:I3505)+SUMIF(AC3503:AC3505, 6, I3503:I3505)</f>
        <v>0</v>
      </c>
      <c r="I3510" s="41"/>
      <c r="J3510" s="41">
        <f>SUMIF(AC3503:AC3505, 5, K3503:K3505)+SUMIF(AC3503:AC3505, 6, K3503:K3505)</f>
        <v>0</v>
      </c>
      <c r="K3510" s="41"/>
    </row>
    <row r="3511" spans="1:29" ht="13.8" hidden="1" x14ac:dyDescent="0.25">
      <c r="C3511" s="39" t="s">
        <v>49</v>
      </c>
      <c r="H3511" s="41">
        <f>I3499+I3500+I3502+I3506+I3507+SUM(I3503:I3505)</f>
        <v>51436.65</v>
      </c>
      <c r="I3511" s="41"/>
      <c r="J3511" s="41">
        <f>K3499+K3500+K3502+K3506+K3507+SUM(K3503:K3505)</f>
        <v>1647016.21</v>
      </c>
      <c r="K3511" s="41"/>
      <c r="O3511" s="42">
        <f>I3499+I3500+I3502+I3506+I3507+SUM(I3503:I3505)</f>
        <v>51436.65</v>
      </c>
      <c r="P3511" s="42">
        <f>K3499+K3500+K3502+K3506+K3507+SUM(K3503:K3505)</f>
        <v>1647016.21</v>
      </c>
    </row>
    <row r="3512" spans="1:29" hidden="1" x14ac:dyDescent="0.25"/>
    <row r="3513" spans="1:29" ht="41.4" hidden="1" x14ac:dyDescent="0.25">
      <c r="A3513" s="27">
        <v>356</v>
      </c>
      <c r="B3513" s="27" t="str">
        <f>[1]Source!F3369</f>
        <v>3.70-257-1</v>
      </c>
      <c r="C3513" s="27" t="s">
        <v>173</v>
      </c>
      <c r="D3513" s="28" t="str">
        <f>[1]Source!H3369</f>
        <v>100 м2</v>
      </c>
      <c r="E3513" s="29">
        <f>[1]Source!I3369</f>
        <v>3.45</v>
      </c>
      <c r="F3513" s="30"/>
      <c r="G3513" s="31"/>
      <c r="H3513" s="29"/>
      <c r="I3513" s="30"/>
      <c r="J3513" s="29"/>
      <c r="K3513" s="30"/>
      <c r="Q3513">
        <f>[1]Source!X3369</f>
        <v>8348.9599999999991</v>
      </c>
      <c r="R3513">
        <f>[1]Source!X3370</f>
        <v>470463.78</v>
      </c>
      <c r="S3513">
        <f>[1]Source!Y3369</f>
        <v>3896.18</v>
      </c>
      <c r="T3513">
        <f>[1]Source!Y3370</f>
        <v>219549.76</v>
      </c>
      <c r="U3513">
        <f>ROUND((175/100)*ROUND([1]Source!R3369, 2), 2)</f>
        <v>59.06</v>
      </c>
      <c r="V3513">
        <f>ROUND((0/100)*ROUND([1]Source!R3370, 2), 2)</f>
        <v>0</v>
      </c>
      <c r="AC3513">
        <v>0</v>
      </c>
    </row>
    <row r="3514" spans="1:29" hidden="1" x14ac:dyDescent="0.25">
      <c r="C3514" s="32" t="str">
        <f>"Объем: "&amp;[1]Source!I3369&amp;"=(113+"&amp;"120+"&amp;"112)/"&amp;"100"</f>
        <v>Объем: 3,45=(113+120+112)/100</v>
      </c>
    </row>
    <row r="3515" spans="1:29" ht="14.4" hidden="1" x14ac:dyDescent="0.25">
      <c r="A3515" s="27"/>
      <c r="B3515" s="27"/>
      <c r="C3515" s="27" t="s">
        <v>36</v>
      </c>
      <c r="D3515" s="28"/>
      <c r="E3515" s="29"/>
      <c r="F3515" s="30">
        <f>[1]Source!AO3369</f>
        <v>1785.99</v>
      </c>
      <c r="G3515" s="31" t="s">
        <v>37</v>
      </c>
      <c r="H3515" s="29">
        <f>[1]Source!AV3370</f>
        <v>1.087</v>
      </c>
      <c r="I3515" s="30">
        <f>[1]Source!S3369</f>
        <v>9242.8700000000008</v>
      </c>
      <c r="J3515" s="29">
        <f>IF([1]Source!BA3370&lt;&gt; 0, [1]Source!BA3370, 1)</f>
        <v>56.35</v>
      </c>
      <c r="K3515" s="30">
        <f>[1]Source!S3370</f>
        <v>520835.72</v>
      </c>
    </row>
    <row r="3516" spans="1:29" ht="14.4" hidden="1" x14ac:dyDescent="0.25">
      <c r="A3516" s="27"/>
      <c r="B3516" s="27"/>
      <c r="C3516" s="27" t="s">
        <v>38</v>
      </c>
      <c r="D3516" s="28"/>
      <c r="E3516" s="29"/>
      <c r="F3516" s="30">
        <f>[1]Source!AM3369</f>
        <v>121.23</v>
      </c>
      <c r="G3516" s="31" t="s">
        <v>39</v>
      </c>
      <c r="H3516" s="29">
        <f>[1]Source!AV3370</f>
        <v>1.087</v>
      </c>
      <c r="I3516" s="30">
        <f>[1]Source!Q3369</f>
        <v>681.95</v>
      </c>
      <c r="J3516" s="29">
        <f>IF([1]Source!BB3370&lt;&gt; 0, [1]Source!BB3370, 1)</f>
        <v>12.47</v>
      </c>
      <c r="K3516" s="30">
        <f>[1]Source!Q3370</f>
        <v>8503.92</v>
      </c>
    </row>
    <row r="3517" spans="1:29" ht="14.4" hidden="1" x14ac:dyDescent="0.25">
      <c r="A3517" s="27"/>
      <c r="B3517" s="27"/>
      <c r="C3517" s="27" t="s">
        <v>40</v>
      </c>
      <c r="D3517" s="28"/>
      <c r="E3517" s="29"/>
      <c r="F3517" s="30">
        <f>[1]Source!AN3369</f>
        <v>6</v>
      </c>
      <c r="G3517" s="31" t="s">
        <v>39</v>
      </c>
      <c r="H3517" s="29">
        <f>[1]Source!AV3370</f>
        <v>1.087</v>
      </c>
      <c r="I3517" s="33">
        <f>[1]Source!R3369</f>
        <v>33.75</v>
      </c>
      <c r="J3517" s="29">
        <f>IF([1]Source!BS3370&lt;&gt; 0, [1]Source!BS3370, 1)</f>
        <v>56.35</v>
      </c>
      <c r="K3517" s="33">
        <f>[1]Source!R3370</f>
        <v>1901.81</v>
      </c>
    </row>
    <row r="3518" spans="1:29" ht="82.8" hidden="1" x14ac:dyDescent="0.25">
      <c r="A3518" s="27" t="s">
        <v>697</v>
      </c>
      <c r="B3518" s="27" t="str">
        <f>[1]Source!F3371</f>
        <v>1.6-2-192</v>
      </c>
      <c r="C3518" s="27" t="s">
        <v>698</v>
      </c>
      <c r="D3518" s="28" t="str">
        <f>[1]Source!H3371</f>
        <v>м2</v>
      </c>
      <c r="E3518" s="29">
        <f>[1]Source!I3371</f>
        <v>345</v>
      </c>
      <c r="F3518" s="30">
        <f>[1]Source!AK3371</f>
        <v>445.15</v>
      </c>
      <c r="G3518" s="43" t="s">
        <v>54</v>
      </c>
      <c r="H3518" s="29">
        <f>[1]Source!AW3372</f>
        <v>1</v>
      </c>
      <c r="I3518" s="30">
        <f>[1]Source!O3371</f>
        <v>153576.75</v>
      </c>
      <c r="J3518" s="29">
        <f>IF([1]Source!BC3372&lt;&gt; 0, [1]Source!BC3372, 1)</f>
        <v>2.95</v>
      </c>
      <c r="K3518" s="30">
        <f>[1]Source!O3372</f>
        <v>453051.41</v>
      </c>
      <c r="Q3518">
        <f>[1]Source!X3371</f>
        <v>0</v>
      </c>
      <c r="R3518">
        <f>[1]Source!X3372</f>
        <v>0</v>
      </c>
      <c r="S3518">
        <f>[1]Source!Y3371</f>
        <v>0</v>
      </c>
      <c r="T3518">
        <f>[1]Source!Y3372</f>
        <v>0</v>
      </c>
      <c r="U3518">
        <f>ROUND((175/100)*ROUND([1]Source!R3371, 2), 2)</f>
        <v>0</v>
      </c>
      <c r="V3518">
        <f>ROUND((0/100)*ROUND([1]Source!R3372, 2), 2)</f>
        <v>0</v>
      </c>
      <c r="AC3518">
        <v>3</v>
      </c>
    </row>
    <row r="3519" spans="1:29" ht="14.4" hidden="1" x14ac:dyDescent="0.25">
      <c r="A3519" s="27"/>
      <c r="B3519" s="27"/>
      <c r="C3519" s="27" t="s">
        <v>42</v>
      </c>
      <c r="D3519" s="28" t="s">
        <v>43</v>
      </c>
      <c r="E3519" s="29">
        <f>[1]Source!BZ3370</f>
        <v>90</v>
      </c>
      <c r="F3519" s="30"/>
      <c r="G3519" s="31"/>
      <c r="H3519" s="29"/>
      <c r="I3519" s="30">
        <f>SUM(Q3513:Q3518)</f>
        <v>8348.9599999999991</v>
      </c>
      <c r="J3519" s="29">
        <f>[1]Source!AT3370</f>
        <v>90</v>
      </c>
      <c r="K3519" s="30">
        <f>SUM(R3513:R3518)</f>
        <v>470463.78</v>
      </c>
    </row>
    <row r="3520" spans="1:29" ht="14.4" hidden="1" x14ac:dyDescent="0.25">
      <c r="A3520" s="27"/>
      <c r="B3520" s="27"/>
      <c r="C3520" s="27" t="s">
        <v>44</v>
      </c>
      <c r="D3520" s="28" t="s">
        <v>43</v>
      </c>
      <c r="E3520" s="29">
        <f>[1]Source!CA3370</f>
        <v>42</v>
      </c>
      <c r="F3520" s="30"/>
      <c r="G3520" s="31"/>
      <c r="H3520" s="29"/>
      <c r="I3520" s="30">
        <f>SUM(S3513:S3519)</f>
        <v>3896.18</v>
      </c>
      <c r="J3520" s="29">
        <f>[1]Source!AU3370</f>
        <v>42</v>
      </c>
      <c r="K3520" s="30">
        <f>SUM(T3513:T3519)</f>
        <v>219549.76</v>
      </c>
    </row>
    <row r="3521" spans="1:29" ht="14.4" hidden="1" x14ac:dyDescent="0.25">
      <c r="A3521" s="34"/>
      <c r="B3521" s="34"/>
      <c r="C3521" s="34" t="s">
        <v>45</v>
      </c>
      <c r="D3521" s="35" t="s">
        <v>46</v>
      </c>
      <c r="E3521" s="36">
        <f>[1]Source!AQ3369</f>
        <v>108.36</v>
      </c>
      <c r="F3521" s="37"/>
      <c r="G3521" s="38" t="s">
        <v>37</v>
      </c>
      <c r="H3521" s="36">
        <f>[1]Source!AV3370</f>
        <v>1.087</v>
      </c>
      <c r="I3521" s="37">
        <f>[1]Source!U3369</f>
        <v>560.78543051999998</v>
      </c>
      <c r="J3521" s="36"/>
      <c r="K3521" s="37"/>
    </row>
    <row r="3522" spans="1:29" ht="13.8" hidden="1" x14ac:dyDescent="0.25">
      <c r="C3522" s="39" t="s">
        <v>47</v>
      </c>
      <c r="H3522" s="40">
        <f>I3515+I3516+I3519+I3520+SUM(I3518:I3518)-SUMIF(AC3518:AC3518, 5, I3518:I3518)-SUMIF(AC3518:AC3518, 6, I3518:I3518)</f>
        <v>175746.71</v>
      </c>
      <c r="I3522" s="40"/>
      <c r="J3522" s="40">
        <f>K3515+K3516+K3519+K3520+SUM(K3518:K3518)-SUMIF(AC3518:AC3518, 5, K3518:K3518)-SUMIF(AC3518:AC3518, 6, K3518:K3518)</f>
        <v>1672404.59</v>
      </c>
      <c r="K3522" s="40"/>
    </row>
    <row r="3523" spans="1:29" ht="13.8" hidden="1" x14ac:dyDescent="0.25">
      <c r="C3523" s="39" t="s">
        <v>48</v>
      </c>
      <c r="H3523" s="41">
        <f>SUMIF(AC3518:AC3518, 5, I3518:I3518)+SUMIF(AC3518:AC3518, 6, I3518:I3518)</f>
        <v>0</v>
      </c>
      <c r="I3523" s="41"/>
      <c r="J3523" s="41">
        <f>SUMIF(AC3518:AC3518, 5, K3518:K3518)+SUMIF(AC3518:AC3518, 6, K3518:K3518)</f>
        <v>0</v>
      </c>
      <c r="K3523" s="41"/>
    </row>
    <row r="3524" spans="1:29" ht="13.8" hidden="1" x14ac:dyDescent="0.25">
      <c r="C3524" s="39" t="s">
        <v>49</v>
      </c>
      <c r="H3524" s="41">
        <f>I3515+I3516+I3519+I3520+SUM(I3518:I3518)</f>
        <v>175746.71</v>
      </c>
      <c r="I3524" s="41"/>
      <c r="J3524" s="41">
        <f>K3515+K3516+K3519+K3520+SUM(K3518:K3518)</f>
        <v>1672404.59</v>
      </c>
      <c r="K3524" s="41"/>
      <c r="O3524" s="42">
        <f>I3515+I3516+I3519+I3520+SUM(I3518:I3518)</f>
        <v>175746.71</v>
      </c>
      <c r="P3524" s="42">
        <f>K3515+K3516+K3519+K3520+SUM(K3518:K3518)</f>
        <v>1672404.59</v>
      </c>
    </row>
    <row r="3525" spans="1:29" hidden="1" x14ac:dyDescent="0.25"/>
    <row r="3526" spans="1:29" ht="69" hidden="1" x14ac:dyDescent="0.25">
      <c r="A3526" s="27">
        <v>357</v>
      </c>
      <c r="B3526" s="27" t="str">
        <f>[1]Source!F3373</f>
        <v>3.70-258-1</v>
      </c>
      <c r="C3526" s="27" t="s">
        <v>699</v>
      </c>
      <c r="D3526" s="28" t="str">
        <f>[1]Source!H3373</f>
        <v>100 м2</v>
      </c>
      <c r="E3526" s="29">
        <f>[1]Source!I3373</f>
        <v>2.5339999999999998</v>
      </c>
      <c r="F3526" s="30"/>
      <c r="G3526" s="31"/>
      <c r="H3526" s="29"/>
      <c r="I3526" s="30"/>
      <c r="J3526" s="29"/>
      <c r="K3526" s="30"/>
      <c r="Q3526">
        <f>[1]Source!X3373</f>
        <v>9060.14</v>
      </c>
      <c r="R3526">
        <f>[1]Source!X3374</f>
        <v>510538.78</v>
      </c>
      <c r="S3526">
        <f>[1]Source!Y3373</f>
        <v>4228.0600000000004</v>
      </c>
      <c r="T3526">
        <f>[1]Source!Y3374</f>
        <v>238251.43</v>
      </c>
      <c r="U3526">
        <f>ROUND((175/100)*ROUND([1]Source!R3373, 2), 2)</f>
        <v>12.88</v>
      </c>
      <c r="V3526">
        <f>ROUND((0/100)*ROUND([1]Source!R3374, 2), 2)</f>
        <v>0</v>
      </c>
      <c r="AC3526">
        <v>0</v>
      </c>
    </row>
    <row r="3527" spans="1:29" hidden="1" x14ac:dyDescent="0.25">
      <c r="C3527" s="32" t="str">
        <f>"Объем: "&amp;[1]Source!I3373&amp;"=(49,7+"&amp;"203,7)/"&amp;"100"</f>
        <v>Объем: 2,534=(49,7+203,7)/100</v>
      </c>
    </row>
    <row r="3528" spans="1:29" ht="14.4" hidden="1" x14ac:dyDescent="0.25">
      <c r="A3528" s="27"/>
      <c r="B3528" s="27"/>
      <c r="C3528" s="27" t="s">
        <v>36</v>
      </c>
      <c r="D3528" s="28"/>
      <c r="E3528" s="29"/>
      <c r="F3528" s="30">
        <f>[1]Source!AO3373</f>
        <v>2806.5</v>
      </c>
      <c r="G3528" s="31" t="s">
        <v>37</v>
      </c>
      <c r="H3528" s="29">
        <f>[1]Source!AV3374</f>
        <v>1.0249999999999999</v>
      </c>
      <c r="I3528" s="30">
        <f>[1]Source!S3373</f>
        <v>10059.459999999999</v>
      </c>
      <c r="J3528" s="29">
        <f>IF([1]Source!BA3374&lt;&gt; 0, [1]Source!BA3374, 1)</f>
        <v>56.35</v>
      </c>
      <c r="K3528" s="30">
        <f>[1]Source!S3374</f>
        <v>566850.56999999995</v>
      </c>
    </row>
    <row r="3529" spans="1:29" ht="14.4" hidden="1" x14ac:dyDescent="0.25">
      <c r="A3529" s="27"/>
      <c r="B3529" s="27"/>
      <c r="C3529" s="27" t="s">
        <v>38</v>
      </c>
      <c r="D3529" s="28"/>
      <c r="E3529" s="29"/>
      <c r="F3529" s="30">
        <f>[1]Source!AM3373</f>
        <v>17.48</v>
      </c>
      <c r="G3529" s="31" t="s">
        <v>39</v>
      </c>
      <c r="H3529" s="29">
        <f>[1]Source!AV3374</f>
        <v>1.0249999999999999</v>
      </c>
      <c r="I3529" s="30">
        <f>[1]Source!Q3373</f>
        <v>68.099999999999994</v>
      </c>
      <c r="J3529" s="29">
        <f>IF([1]Source!BB3374&lt;&gt; 0, [1]Source!BB3374, 1)</f>
        <v>14.89</v>
      </c>
      <c r="K3529" s="30">
        <f>[1]Source!Q3374</f>
        <v>1014.01</v>
      </c>
    </row>
    <row r="3530" spans="1:29" ht="14.4" hidden="1" x14ac:dyDescent="0.25">
      <c r="A3530" s="27"/>
      <c r="B3530" s="27"/>
      <c r="C3530" s="27" t="s">
        <v>40</v>
      </c>
      <c r="D3530" s="28"/>
      <c r="E3530" s="29"/>
      <c r="F3530" s="30">
        <f>[1]Source!AN3373</f>
        <v>1.89</v>
      </c>
      <c r="G3530" s="31" t="s">
        <v>39</v>
      </c>
      <c r="H3530" s="29">
        <f>[1]Source!AV3374</f>
        <v>1.0249999999999999</v>
      </c>
      <c r="I3530" s="33">
        <f>[1]Source!R3373</f>
        <v>7.36</v>
      </c>
      <c r="J3530" s="29">
        <f>IF([1]Source!BS3374&lt;&gt; 0, [1]Source!BS3374, 1)</f>
        <v>56.35</v>
      </c>
      <c r="K3530" s="33">
        <f>[1]Source!R3374</f>
        <v>414.74</v>
      </c>
    </row>
    <row r="3531" spans="1:29" ht="14.4" hidden="1" x14ac:dyDescent="0.25">
      <c r="A3531" s="27"/>
      <c r="B3531" s="27"/>
      <c r="C3531" s="27" t="s">
        <v>41</v>
      </c>
      <c r="D3531" s="28"/>
      <c r="E3531" s="29"/>
      <c r="F3531" s="30">
        <f>[1]Source!AL3373</f>
        <v>101.95</v>
      </c>
      <c r="G3531" s="31"/>
      <c r="H3531" s="29">
        <f>[1]Source!AW3374</f>
        <v>1</v>
      </c>
      <c r="I3531" s="30">
        <f>[1]Source!P3373</f>
        <v>258.33999999999997</v>
      </c>
      <c r="J3531" s="29">
        <f>IF([1]Source!BC3374&lt;&gt; 0, [1]Source!BC3374, 1)</f>
        <v>7.11</v>
      </c>
      <c r="K3531" s="30">
        <f>[1]Source!P3374</f>
        <v>1836.8</v>
      </c>
    </row>
    <row r="3532" spans="1:29" ht="43.2" hidden="1" x14ac:dyDescent="0.25">
      <c r="A3532" s="27" t="s">
        <v>700</v>
      </c>
      <c r="B3532" s="27" t="str">
        <f>[1]Source!F3375</f>
        <v>1.1-1-863</v>
      </c>
      <c r="C3532" s="27" t="s">
        <v>701</v>
      </c>
      <c r="D3532" s="28" t="str">
        <f>[1]Source!H3375</f>
        <v>КОМПЛЕКТ</v>
      </c>
      <c r="E3532" s="29">
        <f>[1]Source!I3375</f>
        <v>253.4</v>
      </c>
      <c r="F3532" s="30">
        <f>[1]Source!AK3375</f>
        <v>21.27</v>
      </c>
      <c r="G3532" s="43" t="s">
        <v>54</v>
      </c>
      <c r="H3532" s="29">
        <f>[1]Source!AW3376</f>
        <v>1</v>
      </c>
      <c r="I3532" s="30">
        <f>[1]Source!O3375</f>
        <v>5389.82</v>
      </c>
      <c r="J3532" s="29">
        <f>IF([1]Source!BC3376&lt;&gt; 0, [1]Source!BC3376, 1)</f>
        <v>4.2300000000000004</v>
      </c>
      <c r="K3532" s="30">
        <f>[1]Source!O3376</f>
        <v>22798.94</v>
      </c>
      <c r="Q3532">
        <f>[1]Source!X3375</f>
        <v>0</v>
      </c>
      <c r="R3532">
        <f>[1]Source!X3376</f>
        <v>0</v>
      </c>
      <c r="S3532">
        <f>[1]Source!Y3375</f>
        <v>0</v>
      </c>
      <c r="T3532">
        <f>[1]Source!Y3376</f>
        <v>0</v>
      </c>
      <c r="U3532">
        <f>ROUND((175/100)*ROUND([1]Source!R3375, 2), 2)</f>
        <v>0</v>
      </c>
      <c r="V3532">
        <f>ROUND((0/100)*ROUND([1]Source!R3376, 2), 2)</f>
        <v>0</v>
      </c>
      <c r="AC3532">
        <v>3</v>
      </c>
    </row>
    <row r="3533" spans="1:29" ht="14.4" hidden="1" x14ac:dyDescent="0.25">
      <c r="A3533" s="27"/>
      <c r="B3533" s="27"/>
      <c r="C3533" s="27" t="s">
        <v>42</v>
      </c>
      <c r="D3533" s="28" t="s">
        <v>43</v>
      </c>
      <c r="E3533" s="29">
        <f>[1]Source!BZ3374</f>
        <v>90</v>
      </c>
      <c r="F3533" s="30"/>
      <c r="G3533" s="31"/>
      <c r="H3533" s="29"/>
      <c r="I3533" s="30">
        <f>SUM(Q3526:Q3532)</f>
        <v>9060.14</v>
      </c>
      <c r="J3533" s="29">
        <f>[1]Source!AT3374</f>
        <v>90</v>
      </c>
      <c r="K3533" s="30">
        <f>SUM(R3526:R3532)</f>
        <v>510538.78</v>
      </c>
    </row>
    <row r="3534" spans="1:29" ht="14.4" hidden="1" x14ac:dyDescent="0.25">
      <c r="A3534" s="27"/>
      <c r="B3534" s="27"/>
      <c r="C3534" s="27" t="s">
        <v>44</v>
      </c>
      <c r="D3534" s="28" t="s">
        <v>43</v>
      </c>
      <c r="E3534" s="29">
        <f>[1]Source!CA3374</f>
        <v>42</v>
      </c>
      <c r="F3534" s="30"/>
      <c r="G3534" s="31"/>
      <c r="H3534" s="29"/>
      <c r="I3534" s="30">
        <f>SUM(S3526:S3533)</f>
        <v>4228.0600000000004</v>
      </c>
      <c r="J3534" s="29">
        <f>[1]Source!AU3374</f>
        <v>42</v>
      </c>
      <c r="K3534" s="30">
        <f>SUM(T3526:T3533)</f>
        <v>238251.43</v>
      </c>
    </row>
    <row r="3535" spans="1:29" ht="14.4" hidden="1" x14ac:dyDescent="0.25">
      <c r="A3535" s="34"/>
      <c r="B3535" s="34"/>
      <c r="C3535" s="34" t="s">
        <v>45</v>
      </c>
      <c r="D3535" s="35" t="s">
        <v>46</v>
      </c>
      <c r="E3535" s="36">
        <f>[1]Source!AQ3373</f>
        <v>176</v>
      </c>
      <c r="F3535" s="37"/>
      <c r="G3535" s="38" t="s">
        <v>37</v>
      </c>
      <c r="H3535" s="36">
        <f>[1]Source!AV3374</f>
        <v>1.0249999999999999</v>
      </c>
      <c r="I3535" s="37">
        <f>[1]Source!U3373</f>
        <v>630.8443679999998</v>
      </c>
      <c r="J3535" s="36"/>
      <c r="K3535" s="37"/>
    </row>
    <row r="3536" spans="1:29" ht="13.8" hidden="1" x14ac:dyDescent="0.25">
      <c r="C3536" s="39" t="s">
        <v>47</v>
      </c>
      <c r="H3536" s="40">
        <f>I3528+I3529+I3531+I3533+I3534+SUM(I3532:I3532)-SUMIF(AC3532:AC3532, 5, I3532:I3532)-SUMIF(AC3532:AC3532, 6, I3532:I3532)</f>
        <v>29063.920000000002</v>
      </c>
      <c r="I3536" s="40"/>
      <c r="J3536" s="40">
        <f>K3528+K3529+K3531+K3533+K3534+SUM(K3532:K3532)-SUMIF(AC3532:AC3532, 5, K3532:K3532)-SUMIF(AC3532:AC3532, 6, K3532:K3532)</f>
        <v>1341290.53</v>
      </c>
      <c r="K3536" s="40"/>
    </row>
    <row r="3537" spans="1:29" ht="13.8" hidden="1" x14ac:dyDescent="0.25">
      <c r="C3537" s="39" t="s">
        <v>48</v>
      </c>
      <c r="H3537" s="41">
        <f>SUMIF(AC3532:AC3532, 5, I3532:I3532)+SUMIF(AC3532:AC3532, 6, I3532:I3532)</f>
        <v>0</v>
      </c>
      <c r="I3537" s="41"/>
      <c r="J3537" s="41">
        <f>SUMIF(AC3532:AC3532, 5, K3532:K3532)+SUMIF(AC3532:AC3532, 6, K3532:K3532)</f>
        <v>0</v>
      </c>
      <c r="K3537" s="41"/>
    </row>
    <row r="3538" spans="1:29" ht="13.8" hidden="1" x14ac:dyDescent="0.25">
      <c r="C3538" s="39" t="s">
        <v>49</v>
      </c>
      <c r="H3538" s="41">
        <f>I3528+I3529+I3531+I3533+I3534+SUM(I3532:I3532)</f>
        <v>29063.920000000002</v>
      </c>
      <c r="I3538" s="41"/>
      <c r="J3538" s="41">
        <f>K3528+K3529+K3531+K3533+K3534+SUM(K3532:K3532)</f>
        <v>1341290.53</v>
      </c>
      <c r="K3538" s="41"/>
      <c r="O3538" s="42">
        <f>I3528+I3529+I3531+I3533+I3534+SUM(I3532:I3532)</f>
        <v>29063.920000000002</v>
      </c>
      <c r="P3538" s="42">
        <f>K3528+K3529+K3531+K3533+K3534+SUM(K3532:K3532)</f>
        <v>1341290.53</v>
      </c>
    </row>
    <row r="3539" spans="1:29" hidden="1" x14ac:dyDescent="0.25"/>
    <row r="3540" spans="1:29" ht="138" hidden="1" x14ac:dyDescent="0.25">
      <c r="A3540" s="34">
        <v>358</v>
      </c>
      <c r="B3540" s="34" t="str">
        <f>[1]Source!F3377</f>
        <v>1.1-1-8211</v>
      </c>
      <c r="C3540" s="34" t="s">
        <v>702</v>
      </c>
      <c r="D3540" s="35" t="str">
        <f>[1]Source!H3377</f>
        <v>м2</v>
      </c>
      <c r="E3540" s="36">
        <f>[1]Source!I3377</f>
        <v>253.4</v>
      </c>
      <c r="F3540" s="37">
        <f>[1]Source!AL3377</f>
        <v>254.97</v>
      </c>
      <c r="G3540" s="38"/>
      <c r="H3540" s="36">
        <f>[1]Source!AW3378</f>
        <v>1</v>
      </c>
      <c r="I3540" s="37">
        <f>[1]Source!P3377</f>
        <v>64609.4</v>
      </c>
      <c r="J3540" s="36">
        <f>IF([1]Source!BC3378&lt;&gt; 0, [1]Source!BC3378, 1)</f>
        <v>7.43</v>
      </c>
      <c r="K3540" s="37">
        <f>[1]Source!P3378</f>
        <v>480047.84</v>
      </c>
      <c r="Q3540">
        <f>[1]Source!X3377</f>
        <v>0</v>
      </c>
      <c r="R3540">
        <f>[1]Source!X3378</f>
        <v>0</v>
      </c>
      <c r="S3540">
        <f>[1]Source!Y3377</f>
        <v>0</v>
      </c>
      <c r="T3540">
        <f>[1]Source!Y3378</f>
        <v>0</v>
      </c>
      <c r="U3540">
        <f>ROUND((175/100)*ROUND([1]Source!R3377, 2), 2)</f>
        <v>0</v>
      </c>
      <c r="V3540">
        <f>ROUND((0/100)*ROUND([1]Source!R3378, 2), 2)</f>
        <v>0</v>
      </c>
      <c r="AC3540">
        <v>3</v>
      </c>
    </row>
    <row r="3541" spans="1:29" ht="13.8" hidden="1" x14ac:dyDescent="0.25">
      <c r="C3541" s="39" t="s">
        <v>49</v>
      </c>
      <c r="H3541" s="40">
        <f>I3540+0</f>
        <v>64609.4</v>
      </c>
      <c r="I3541" s="40"/>
      <c r="J3541" s="40">
        <f>K3540+0</f>
        <v>480047.84</v>
      </c>
      <c r="K3541" s="40"/>
      <c r="O3541" s="42">
        <f>I3540+0</f>
        <v>64609.4</v>
      </c>
      <c r="P3541" s="42">
        <f>K3540+0</f>
        <v>480047.84</v>
      </c>
    </row>
    <row r="3542" spans="1:29" hidden="1" x14ac:dyDescent="0.25"/>
    <row r="3543" spans="1:29" ht="41.4" hidden="1" x14ac:dyDescent="0.25">
      <c r="A3543" s="27">
        <v>359</v>
      </c>
      <c r="B3543" s="27" t="str">
        <f>[1]Source!F3379</f>
        <v>3.70-50-1</v>
      </c>
      <c r="C3543" s="27" t="s">
        <v>703</v>
      </c>
      <c r="D3543" s="28" t="str">
        <f>[1]Source!H3379</f>
        <v>100 м2</v>
      </c>
      <c r="E3543" s="29">
        <f>[1]Source!I3379</f>
        <v>2.71</v>
      </c>
      <c r="F3543" s="30"/>
      <c r="G3543" s="31"/>
      <c r="H3543" s="29"/>
      <c r="I3543" s="30"/>
      <c r="J3543" s="29"/>
      <c r="K3543" s="30"/>
      <c r="Q3543">
        <f>[1]Source!X3379</f>
        <v>18740.099999999999</v>
      </c>
      <c r="R3543">
        <f>[1]Source!X3380</f>
        <v>1056004.5</v>
      </c>
      <c r="S3543">
        <f>[1]Source!Y3379</f>
        <v>11824.11</v>
      </c>
      <c r="T3543">
        <f>[1]Source!Y3380</f>
        <v>666288.56000000006</v>
      </c>
      <c r="U3543">
        <f>ROUND((175/100)*ROUND([1]Source!R3379, 2), 2)</f>
        <v>33.64</v>
      </c>
      <c r="V3543">
        <f>ROUND((0/100)*ROUND([1]Source!R3380, 2), 2)</f>
        <v>0</v>
      </c>
      <c r="AC3543">
        <v>0</v>
      </c>
    </row>
    <row r="3544" spans="1:29" hidden="1" x14ac:dyDescent="0.25">
      <c r="C3544" s="32" t="str">
        <f>"Объем: "&amp;[1]Source!I3379&amp;"=271/"&amp;"100"</f>
        <v>Объем: 2,71=271/100</v>
      </c>
    </row>
    <row r="3545" spans="1:29" ht="14.4" hidden="1" x14ac:dyDescent="0.25">
      <c r="A3545" s="27"/>
      <c r="B3545" s="27"/>
      <c r="C3545" s="27" t="s">
        <v>36</v>
      </c>
      <c r="D3545" s="28"/>
      <c r="E3545" s="29"/>
      <c r="F3545" s="30">
        <f>[1]Source!AO3379</f>
        <v>5483.28</v>
      </c>
      <c r="G3545" s="31" t="s">
        <v>37</v>
      </c>
      <c r="H3545" s="29">
        <f>[1]Source!AV3380</f>
        <v>1.087</v>
      </c>
      <c r="I3545" s="30">
        <f>[1]Source!S3379</f>
        <v>22290.42</v>
      </c>
      <c r="J3545" s="29">
        <f>IF([1]Source!BA3380&lt;&gt; 0, [1]Source!BA3380, 1)</f>
        <v>56.35</v>
      </c>
      <c r="K3545" s="30">
        <f>[1]Source!S3380</f>
        <v>1256065.17</v>
      </c>
    </row>
    <row r="3546" spans="1:29" ht="14.4" hidden="1" x14ac:dyDescent="0.25">
      <c r="A3546" s="27"/>
      <c r="B3546" s="27"/>
      <c r="C3546" s="27" t="s">
        <v>38</v>
      </c>
      <c r="D3546" s="28"/>
      <c r="E3546" s="29"/>
      <c r="F3546" s="30">
        <f>[1]Source!AM3379</f>
        <v>109.2</v>
      </c>
      <c r="G3546" s="31" t="s">
        <v>39</v>
      </c>
      <c r="H3546" s="29">
        <f>[1]Source!AV3380</f>
        <v>1.087</v>
      </c>
      <c r="I3546" s="30">
        <f>[1]Source!Q3379</f>
        <v>482.52</v>
      </c>
      <c r="J3546" s="29">
        <f>IF([1]Source!BB3380&lt;&gt; 0, [1]Source!BB3380, 1)</f>
        <v>12.2</v>
      </c>
      <c r="K3546" s="30">
        <f>[1]Source!Q3380</f>
        <v>5886.74</v>
      </c>
    </row>
    <row r="3547" spans="1:29" ht="14.4" hidden="1" x14ac:dyDescent="0.25">
      <c r="A3547" s="27"/>
      <c r="B3547" s="27"/>
      <c r="C3547" s="27" t="s">
        <v>40</v>
      </c>
      <c r="D3547" s="28"/>
      <c r="E3547" s="29"/>
      <c r="F3547" s="30">
        <f>[1]Source!AN3379</f>
        <v>4.3499999999999996</v>
      </c>
      <c r="G3547" s="31" t="s">
        <v>39</v>
      </c>
      <c r="H3547" s="29">
        <f>[1]Source!AV3380</f>
        <v>1.087</v>
      </c>
      <c r="I3547" s="33">
        <f>[1]Source!R3379</f>
        <v>19.22</v>
      </c>
      <c r="J3547" s="29">
        <f>IF([1]Source!BS3380&lt;&gt; 0, [1]Source!BS3380, 1)</f>
        <v>56.35</v>
      </c>
      <c r="K3547" s="33">
        <f>[1]Source!R3380</f>
        <v>1083.05</v>
      </c>
    </row>
    <row r="3548" spans="1:29" ht="14.4" hidden="1" x14ac:dyDescent="0.25">
      <c r="A3548" s="27"/>
      <c r="B3548" s="27"/>
      <c r="C3548" s="27" t="s">
        <v>41</v>
      </c>
      <c r="D3548" s="28"/>
      <c r="E3548" s="29"/>
      <c r="F3548" s="30">
        <f>[1]Source!AL3379</f>
        <v>797.19</v>
      </c>
      <c r="G3548" s="31"/>
      <c r="H3548" s="29">
        <f>[1]Source!AW3380</f>
        <v>1</v>
      </c>
      <c r="I3548" s="30">
        <f>[1]Source!P3379</f>
        <v>2160.38</v>
      </c>
      <c r="J3548" s="29">
        <f>IF([1]Source!BC3380&lt;&gt; 0, [1]Source!BC3380, 1)</f>
        <v>8.33</v>
      </c>
      <c r="K3548" s="30">
        <f>[1]Source!P3380</f>
        <v>17995.97</v>
      </c>
    </row>
    <row r="3549" spans="1:29" ht="41.4" hidden="1" x14ac:dyDescent="0.25">
      <c r="A3549" s="27" t="s">
        <v>704</v>
      </c>
      <c r="B3549" s="27" t="str">
        <f>[1]Source!F3381</f>
        <v>1.6-2-103</v>
      </c>
      <c r="C3549" s="27" t="s">
        <v>705</v>
      </c>
      <c r="D3549" s="28" t="str">
        <f>[1]Source!H3381</f>
        <v>м2</v>
      </c>
      <c r="E3549" s="29">
        <f>[1]Source!I3381</f>
        <v>271</v>
      </c>
      <c r="F3549" s="30">
        <f>[1]Source!AK3381</f>
        <v>161.1</v>
      </c>
      <c r="G3549" s="43" t="s">
        <v>54</v>
      </c>
      <c r="H3549" s="29">
        <f>[1]Source!AW3382</f>
        <v>1</v>
      </c>
      <c r="I3549" s="30">
        <f>[1]Source!O3381</f>
        <v>43658.1</v>
      </c>
      <c r="J3549" s="29">
        <f>IF([1]Source!BC3382&lt;&gt; 0, [1]Source!BC3382, 1)</f>
        <v>4.87</v>
      </c>
      <c r="K3549" s="30">
        <f>[1]Source!O3382</f>
        <v>212614.95</v>
      </c>
      <c r="Q3549">
        <f>[1]Source!X3381</f>
        <v>0</v>
      </c>
      <c r="R3549">
        <f>[1]Source!X3382</f>
        <v>0</v>
      </c>
      <c r="S3549">
        <f>[1]Source!Y3381</f>
        <v>0</v>
      </c>
      <c r="T3549">
        <f>[1]Source!Y3382</f>
        <v>0</v>
      </c>
      <c r="U3549">
        <f>ROUND((175/100)*ROUND([1]Source!R3381, 2), 2)</f>
        <v>0</v>
      </c>
      <c r="V3549">
        <f>ROUND((0/100)*ROUND([1]Source!R3382, 2), 2)</f>
        <v>0</v>
      </c>
      <c r="AC3549">
        <v>3</v>
      </c>
    </row>
    <row r="3550" spans="1:29" ht="14.4" hidden="1" x14ac:dyDescent="0.25">
      <c r="A3550" s="27"/>
      <c r="B3550" s="27"/>
      <c r="C3550" s="27" t="s">
        <v>42</v>
      </c>
      <c r="D3550" s="28" t="s">
        <v>43</v>
      </c>
      <c r="E3550" s="29">
        <f>[1]Source!BZ3380</f>
        <v>84</v>
      </c>
      <c r="F3550" s="30"/>
      <c r="G3550" s="31"/>
      <c r="H3550" s="29"/>
      <c r="I3550" s="30">
        <f>SUM(Q3543:Q3549)</f>
        <v>18740.099999999999</v>
      </c>
      <c r="J3550" s="29">
        <f>[1]Source!AT3380</f>
        <v>84</v>
      </c>
      <c r="K3550" s="30">
        <f>SUM(R3543:R3549)</f>
        <v>1056004.5</v>
      </c>
    </row>
    <row r="3551" spans="1:29" ht="14.4" hidden="1" x14ac:dyDescent="0.25">
      <c r="A3551" s="27"/>
      <c r="B3551" s="27"/>
      <c r="C3551" s="27" t="s">
        <v>44</v>
      </c>
      <c r="D3551" s="28" t="s">
        <v>43</v>
      </c>
      <c r="E3551" s="29">
        <f>[1]Source!CA3380</f>
        <v>53</v>
      </c>
      <c r="F3551" s="30"/>
      <c r="G3551" s="31"/>
      <c r="H3551" s="29"/>
      <c r="I3551" s="30">
        <f>SUM(S3543:S3550)</f>
        <v>11824.11</v>
      </c>
      <c r="J3551" s="29">
        <f>[1]Source!AU3380</f>
        <v>53</v>
      </c>
      <c r="K3551" s="30">
        <f>SUM(T3543:T3550)</f>
        <v>666288.56000000006</v>
      </c>
    </row>
    <row r="3552" spans="1:29" ht="14.4" hidden="1" x14ac:dyDescent="0.25">
      <c r="A3552" s="34"/>
      <c r="B3552" s="34"/>
      <c r="C3552" s="34" t="s">
        <v>45</v>
      </c>
      <c r="D3552" s="35" t="s">
        <v>46</v>
      </c>
      <c r="E3552" s="36">
        <f>[1]Source!AQ3379</f>
        <v>310</v>
      </c>
      <c r="F3552" s="37"/>
      <c r="G3552" s="38" t="s">
        <v>37</v>
      </c>
      <c r="H3552" s="36">
        <f>[1]Source!AV3380</f>
        <v>1.087</v>
      </c>
      <c r="I3552" s="37">
        <f>[1]Source!U3379</f>
        <v>1260.2004059999999</v>
      </c>
      <c r="J3552" s="36"/>
      <c r="K3552" s="37"/>
    </row>
    <row r="3553" spans="1:29" ht="13.8" hidden="1" x14ac:dyDescent="0.25">
      <c r="C3553" s="39" t="s">
        <v>47</v>
      </c>
      <c r="H3553" s="40">
        <f>I3545+I3546+I3548+I3550+I3551+SUM(I3549:I3549)-SUMIF(AC3549:AC3549, 5, I3549:I3549)-SUMIF(AC3549:AC3549, 6, I3549:I3549)</f>
        <v>99155.63</v>
      </c>
      <c r="I3553" s="40"/>
      <c r="J3553" s="40">
        <f>K3545+K3546+K3548+K3550+K3551+SUM(K3549:K3549)-SUMIF(AC3549:AC3549, 5, K3549:K3549)-SUMIF(AC3549:AC3549, 6, K3549:K3549)</f>
        <v>3214855.89</v>
      </c>
      <c r="K3553" s="40"/>
    </row>
    <row r="3554" spans="1:29" ht="13.8" hidden="1" x14ac:dyDescent="0.25">
      <c r="C3554" s="39" t="s">
        <v>48</v>
      </c>
      <c r="H3554" s="41">
        <f>SUMIF(AC3549:AC3549, 5, I3549:I3549)+SUMIF(AC3549:AC3549, 6, I3549:I3549)</f>
        <v>0</v>
      </c>
      <c r="I3554" s="41"/>
      <c r="J3554" s="41">
        <f>SUMIF(AC3549:AC3549, 5, K3549:K3549)+SUMIF(AC3549:AC3549, 6, K3549:K3549)</f>
        <v>0</v>
      </c>
      <c r="K3554" s="41"/>
    </row>
    <row r="3555" spans="1:29" ht="13.8" hidden="1" x14ac:dyDescent="0.25">
      <c r="C3555" s="39" t="s">
        <v>49</v>
      </c>
      <c r="H3555" s="41">
        <f>I3545+I3546+I3548+I3550+I3551+SUM(I3549:I3549)</f>
        <v>99155.63</v>
      </c>
      <c r="I3555" s="41"/>
      <c r="J3555" s="41">
        <f>K3545+K3546+K3548+K3550+K3551+SUM(K3549:K3549)</f>
        <v>3214855.89</v>
      </c>
      <c r="K3555" s="41"/>
      <c r="O3555" s="42">
        <f>I3545+I3546+I3548+I3550+I3551+SUM(I3549:I3549)</f>
        <v>99155.63</v>
      </c>
      <c r="P3555" s="42">
        <f>K3545+K3546+K3548+K3550+K3551+SUM(K3549:K3549)</f>
        <v>3214855.89</v>
      </c>
    </row>
    <row r="3556" spans="1:29" hidden="1" x14ac:dyDescent="0.25"/>
    <row r="3557" spans="1:29" ht="55.2" hidden="1" x14ac:dyDescent="0.25">
      <c r="A3557" s="27">
        <v>360</v>
      </c>
      <c r="B3557" s="27" t="str">
        <f>[1]Source!F3383</f>
        <v>3.70-255-3</v>
      </c>
      <c r="C3557" s="27" t="s">
        <v>706</v>
      </c>
      <c r="D3557" s="28" t="str">
        <f>[1]Source!H3383</f>
        <v>100 м2</v>
      </c>
      <c r="E3557" s="29">
        <f>[1]Source!I3383</f>
        <v>19.46</v>
      </c>
      <c r="F3557" s="30"/>
      <c r="G3557" s="31"/>
      <c r="H3557" s="29"/>
      <c r="I3557" s="30"/>
      <c r="J3557" s="29"/>
      <c r="K3557" s="30"/>
      <c r="Q3557">
        <f>[1]Source!X3383</f>
        <v>76565.23</v>
      </c>
      <c r="R3557">
        <f>[1]Source!X3384</f>
        <v>4314450.83</v>
      </c>
      <c r="S3557">
        <f>[1]Source!Y3383</f>
        <v>35730.44</v>
      </c>
      <c r="T3557">
        <f>[1]Source!Y3384</f>
        <v>2013410.39</v>
      </c>
      <c r="U3557">
        <f>ROUND((175/100)*ROUND([1]Source!R3383, 2), 2)</f>
        <v>158.66</v>
      </c>
      <c r="V3557">
        <f>ROUND((0/100)*ROUND([1]Source!R3384, 2), 2)</f>
        <v>0</v>
      </c>
      <c r="AC3557">
        <v>0</v>
      </c>
    </row>
    <row r="3558" spans="1:29" hidden="1" x14ac:dyDescent="0.25">
      <c r="C3558" s="32" t="str">
        <f>"Объем: "&amp;[1]Source!I3383&amp;"=1946/"&amp;"100"</f>
        <v>Объем: 19,46=1946/100</v>
      </c>
    </row>
    <row r="3559" spans="1:29" ht="14.4" hidden="1" x14ac:dyDescent="0.25">
      <c r="A3559" s="27"/>
      <c r="B3559" s="27"/>
      <c r="C3559" s="27" t="s">
        <v>36</v>
      </c>
      <c r="D3559" s="28"/>
      <c r="E3559" s="29"/>
      <c r="F3559" s="30">
        <f>[1]Source!AO3383</f>
        <v>3087.31</v>
      </c>
      <c r="G3559" s="31" t="s">
        <v>37</v>
      </c>
      <c r="H3559" s="29">
        <f>[1]Source!AV3384</f>
        <v>1.0249999999999999</v>
      </c>
      <c r="I3559" s="30">
        <f>[1]Source!S3383</f>
        <v>84981.82</v>
      </c>
      <c r="J3559" s="29">
        <f>IF([1]Source!BA3384&lt;&gt; 0, [1]Source!BA3384, 1)</f>
        <v>56.35</v>
      </c>
      <c r="K3559" s="30">
        <f>[1]Source!S3384</f>
        <v>4788725.5599999996</v>
      </c>
    </row>
    <row r="3560" spans="1:29" ht="14.4" hidden="1" x14ac:dyDescent="0.25">
      <c r="A3560" s="27"/>
      <c r="B3560" s="27"/>
      <c r="C3560" s="27" t="s">
        <v>38</v>
      </c>
      <c r="D3560" s="28"/>
      <c r="E3560" s="29"/>
      <c r="F3560" s="30">
        <f>[1]Source!AM3383</f>
        <v>49.57</v>
      </c>
      <c r="G3560" s="31" t="s">
        <v>39</v>
      </c>
      <c r="H3560" s="29">
        <f>[1]Source!AV3384</f>
        <v>1.0249999999999999</v>
      </c>
      <c r="I3560" s="30">
        <f>[1]Source!Q3383</f>
        <v>1483.12</v>
      </c>
      <c r="J3560" s="29">
        <f>IF([1]Source!BB3384&lt;&gt; 0, [1]Source!BB3384, 1)</f>
        <v>12.7</v>
      </c>
      <c r="K3560" s="30">
        <f>[1]Source!Q3384</f>
        <v>18835.62</v>
      </c>
    </row>
    <row r="3561" spans="1:29" ht="14.4" hidden="1" x14ac:dyDescent="0.25">
      <c r="A3561" s="27"/>
      <c r="B3561" s="27"/>
      <c r="C3561" s="27" t="s">
        <v>40</v>
      </c>
      <c r="D3561" s="28"/>
      <c r="E3561" s="29"/>
      <c r="F3561" s="30">
        <f>[1]Source!AN3383</f>
        <v>3.03</v>
      </c>
      <c r="G3561" s="31" t="s">
        <v>39</v>
      </c>
      <c r="H3561" s="29">
        <f>[1]Source!AV3384</f>
        <v>1.0249999999999999</v>
      </c>
      <c r="I3561" s="33">
        <f>[1]Source!R3383</f>
        <v>90.66</v>
      </c>
      <c r="J3561" s="29">
        <f>IF([1]Source!BS3384&lt;&gt; 0, [1]Source!BS3384, 1)</f>
        <v>56.35</v>
      </c>
      <c r="K3561" s="33">
        <f>[1]Source!R3384</f>
        <v>5108.6899999999996</v>
      </c>
    </row>
    <row r="3562" spans="1:29" ht="14.4" hidden="1" x14ac:dyDescent="0.25">
      <c r="A3562" s="27"/>
      <c r="B3562" s="27"/>
      <c r="C3562" s="27" t="s">
        <v>41</v>
      </c>
      <c r="D3562" s="28"/>
      <c r="E3562" s="29"/>
      <c r="F3562" s="30">
        <f>[1]Source!AL3383</f>
        <v>2817.37</v>
      </c>
      <c r="G3562" s="31"/>
      <c r="H3562" s="29">
        <f>[1]Source!AW3384</f>
        <v>1</v>
      </c>
      <c r="I3562" s="30">
        <f>[1]Source!P3383</f>
        <v>54826.02</v>
      </c>
      <c r="J3562" s="29">
        <f>IF([1]Source!BC3384&lt;&gt; 0, [1]Source!BC3384, 1)</f>
        <v>5.7</v>
      </c>
      <c r="K3562" s="30">
        <f>[1]Source!P3384</f>
        <v>312508.31</v>
      </c>
    </row>
    <row r="3563" spans="1:29" ht="41.4" hidden="1" x14ac:dyDescent="0.25">
      <c r="A3563" s="27" t="s">
        <v>707</v>
      </c>
      <c r="B3563" s="27" t="str">
        <f>[1]Source!F3385</f>
        <v>1.7-3-121</v>
      </c>
      <c r="C3563" s="27" t="s">
        <v>708</v>
      </c>
      <c r="D3563" s="28" t="str">
        <f>[1]Source!H3385</f>
        <v>шт.</v>
      </c>
      <c r="E3563" s="29">
        <f>[1]Source!I3385</f>
        <v>1.336902</v>
      </c>
      <c r="F3563" s="30">
        <f>[1]Source!AK3385</f>
        <v>10.53</v>
      </c>
      <c r="G3563" s="43" t="s">
        <v>54</v>
      </c>
      <c r="H3563" s="29">
        <f>[1]Source!AW3386</f>
        <v>1</v>
      </c>
      <c r="I3563" s="30">
        <f>[1]Source!O3385</f>
        <v>14.08</v>
      </c>
      <c r="J3563" s="29">
        <f>IF([1]Source!BC3386&lt;&gt; 0, [1]Source!BC3386, 1)</f>
        <v>9.85</v>
      </c>
      <c r="K3563" s="30">
        <f>[1]Source!O3386</f>
        <v>138.69</v>
      </c>
      <c r="Q3563">
        <f>[1]Source!X3385</f>
        <v>0</v>
      </c>
      <c r="R3563">
        <f>[1]Source!X3386</f>
        <v>0</v>
      </c>
      <c r="S3563">
        <f>[1]Source!Y3385</f>
        <v>0</v>
      </c>
      <c r="T3563">
        <f>[1]Source!Y3386</f>
        <v>0</v>
      </c>
      <c r="U3563">
        <f>ROUND((175/100)*ROUND([1]Source!R3385, 2), 2)</f>
        <v>0</v>
      </c>
      <c r="V3563">
        <f>ROUND((0/100)*ROUND([1]Source!R3386, 2), 2)</f>
        <v>0</v>
      </c>
      <c r="AC3563">
        <v>3</v>
      </c>
    </row>
    <row r="3564" spans="1:29" ht="43.2" hidden="1" x14ac:dyDescent="0.25">
      <c r="A3564" s="27" t="s">
        <v>709</v>
      </c>
      <c r="B3564" s="27" t="str">
        <f>[1]Source!F3387</f>
        <v>1.1-1-863</v>
      </c>
      <c r="C3564" s="27" t="s">
        <v>701</v>
      </c>
      <c r="D3564" s="28" t="str">
        <f>[1]Source!H3387</f>
        <v>КОМПЛЕКТ</v>
      </c>
      <c r="E3564" s="29">
        <f>[1]Source!I3387</f>
        <v>3282.1235999999999</v>
      </c>
      <c r="F3564" s="30">
        <f>[1]Source!AK3387</f>
        <v>21.27</v>
      </c>
      <c r="G3564" s="43" t="s">
        <v>54</v>
      </c>
      <c r="H3564" s="29">
        <f>[1]Source!AW3388</f>
        <v>1</v>
      </c>
      <c r="I3564" s="30">
        <f>[1]Source!O3387</f>
        <v>69810.77</v>
      </c>
      <c r="J3564" s="29">
        <f>IF([1]Source!BC3388&lt;&gt; 0, [1]Source!BC3388, 1)</f>
        <v>4.2300000000000004</v>
      </c>
      <c r="K3564" s="30">
        <f>[1]Source!O3388</f>
        <v>295299.56</v>
      </c>
      <c r="Q3564">
        <f>[1]Source!X3387</f>
        <v>0</v>
      </c>
      <c r="R3564">
        <f>[1]Source!X3388</f>
        <v>0</v>
      </c>
      <c r="S3564">
        <f>[1]Source!Y3387</f>
        <v>0</v>
      </c>
      <c r="T3564">
        <f>[1]Source!Y3388</f>
        <v>0</v>
      </c>
      <c r="U3564">
        <f>ROUND((175/100)*ROUND([1]Source!R3387, 2), 2)</f>
        <v>0</v>
      </c>
      <c r="V3564">
        <f>ROUND((0/100)*ROUND([1]Source!R3388, 2), 2)</f>
        <v>0</v>
      </c>
      <c r="AC3564">
        <v>3</v>
      </c>
    </row>
    <row r="3565" spans="1:29" ht="14.4" hidden="1" x14ac:dyDescent="0.25">
      <c r="A3565" s="27"/>
      <c r="B3565" s="27"/>
      <c r="C3565" s="27" t="s">
        <v>42</v>
      </c>
      <c r="D3565" s="28" t="s">
        <v>43</v>
      </c>
      <c r="E3565" s="29">
        <f>[1]Source!BZ3384</f>
        <v>90</v>
      </c>
      <c r="F3565" s="30"/>
      <c r="G3565" s="31"/>
      <c r="H3565" s="29"/>
      <c r="I3565" s="30">
        <f>SUM(Q3557:Q3564)</f>
        <v>76565.23</v>
      </c>
      <c r="J3565" s="29">
        <f>[1]Source!AT3384</f>
        <v>90</v>
      </c>
      <c r="K3565" s="30">
        <f>SUM(R3557:R3564)</f>
        <v>4314450.83</v>
      </c>
    </row>
    <row r="3566" spans="1:29" ht="14.4" hidden="1" x14ac:dyDescent="0.25">
      <c r="A3566" s="27"/>
      <c r="B3566" s="27"/>
      <c r="C3566" s="27" t="s">
        <v>44</v>
      </c>
      <c r="D3566" s="28" t="s">
        <v>43</v>
      </c>
      <c r="E3566" s="29">
        <f>[1]Source!CA3384</f>
        <v>42</v>
      </c>
      <c r="F3566" s="30"/>
      <c r="G3566" s="31"/>
      <c r="H3566" s="29"/>
      <c r="I3566" s="30">
        <f>SUM(S3557:S3565)</f>
        <v>35730.44</v>
      </c>
      <c r="J3566" s="29">
        <f>[1]Source!AU3384</f>
        <v>42</v>
      </c>
      <c r="K3566" s="30">
        <f>SUM(T3557:T3565)</f>
        <v>2013410.39</v>
      </c>
    </row>
    <row r="3567" spans="1:29" ht="14.4" hidden="1" x14ac:dyDescent="0.25">
      <c r="A3567" s="34"/>
      <c r="B3567" s="34"/>
      <c r="C3567" s="34" t="s">
        <v>45</v>
      </c>
      <c r="D3567" s="35" t="s">
        <v>46</v>
      </c>
      <c r="E3567" s="36">
        <f>[1]Source!AQ3383</f>
        <v>182.76</v>
      </c>
      <c r="F3567" s="37"/>
      <c r="G3567" s="38" t="s">
        <v>37</v>
      </c>
      <c r="H3567" s="36">
        <f>[1]Source!AV3384</f>
        <v>1.0249999999999999</v>
      </c>
      <c r="I3567" s="37">
        <f>[1]Source!U3383</f>
        <v>5030.6828291999991</v>
      </c>
      <c r="J3567" s="36"/>
      <c r="K3567" s="37"/>
    </row>
    <row r="3568" spans="1:29" ht="13.8" hidden="1" x14ac:dyDescent="0.25">
      <c r="C3568" s="39" t="s">
        <v>47</v>
      </c>
      <c r="H3568" s="40">
        <f>I3559+I3560+I3562+I3565+I3566+SUM(I3563:I3564)-SUMIF(AC3563:AC3564, 5, I3563:I3564)-SUMIF(AC3563:AC3564, 6, I3563:I3564)</f>
        <v>323411.48</v>
      </c>
      <c r="I3568" s="40"/>
      <c r="J3568" s="40">
        <f>K3559+K3560+K3562+K3565+K3566+SUM(K3563:K3564)-SUMIF(AC3563:AC3564, 5, K3563:K3564)-SUMIF(AC3563:AC3564, 6, K3563:K3564)</f>
        <v>11743368.960000001</v>
      </c>
      <c r="K3568" s="40"/>
    </row>
    <row r="3569" spans="1:29" ht="13.8" hidden="1" x14ac:dyDescent="0.25">
      <c r="C3569" s="39" t="s">
        <v>48</v>
      </c>
      <c r="H3569" s="41">
        <f>SUMIF(AC3563:AC3564, 5, I3563:I3564)+SUMIF(AC3563:AC3564, 6, I3563:I3564)</f>
        <v>0</v>
      </c>
      <c r="I3569" s="41"/>
      <c r="J3569" s="41">
        <f>SUMIF(AC3563:AC3564, 5, K3563:K3564)+SUMIF(AC3563:AC3564, 6, K3563:K3564)</f>
        <v>0</v>
      </c>
      <c r="K3569" s="41"/>
    </row>
    <row r="3570" spans="1:29" ht="13.8" hidden="1" x14ac:dyDescent="0.25">
      <c r="C3570" s="39" t="s">
        <v>49</v>
      </c>
      <c r="H3570" s="41">
        <f>I3559+I3560+I3562+I3565+I3566+SUM(I3563:I3564)</f>
        <v>323411.48</v>
      </c>
      <c r="I3570" s="41"/>
      <c r="J3570" s="41">
        <f>K3559+K3560+K3562+K3565+K3566+SUM(K3563:K3564)</f>
        <v>11743368.960000001</v>
      </c>
      <c r="K3570" s="41"/>
      <c r="O3570" s="42">
        <f>I3559+I3560+I3562+I3565+I3566+SUM(I3563:I3564)</f>
        <v>323411.48</v>
      </c>
      <c r="P3570" s="42">
        <f>K3559+K3560+K3562+K3565+K3566+SUM(K3563:K3564)</f>
        <v>11743368.960000001</v>
      </c>
    </row>
    <row r="3571" spans="1:29" hidden="1" x14ac:dyDescent="0.25"/>
    <row r="3572" spans="1:29" ht="54.6" x14ac:dyDescent="0.25">
      <c r="A3572" s="46">
        <v>361</v>
      </c>
      <c r="B3572" s="46" t="str">
        <f>[1]Source!F3389</f>
        <v>КА 186</v>
      </c>
      <c r="C3572" s="46" t="s">
        <v>710</v>
      </c>
      <c r="D3572" s="47" t="str">
        <f>[1]Source!H3389</f>
        <v>м2</v>
      </c>
      <c r="E3572" s="48">
        <f>[1]Source!I3389</f>
        <v>1946</v>
      </c>
      <c r="F3572" s="37">
        <f>[1]Source!AL3389</f>
        <v>379.62</v>
      </c>
      <c r="G3572" s="38"/>
      <c r="H3572" s="36">
        <f>[1]Source!AW3390</f>
        <v>1</v>
      </c>
      <c r="I3572" s="37">
        <f>[1]Source!P3389</f>
        <v>738740.52</v>
      </c>
      <c r="J3572" s="36">
        <f>IF([1]Source!BC3390&lt;&gt; 0, [1]Source!BC3390, 1)</f>
        <v>9.84</v>
      </c>
      <c r="K3572" s="49">
        <f>[1]Source!P3390</f>
        <v>7269206.7199999997</v>
      </c>
      <c r="L3572">
        <v>4468</v>
      </c>
      <c r="M3572" s="50">
        <f>L3572*E3572</f>
        <v>8694728</v>
      </c>
      <c r="N3572" s="59" t="s">
        <v>180</v>
      </c>
      <c r="Q3572">
        <f>[1]Source!X3389</f>
        <v>0</v>
      </c>
      <c r="R3572">
        <f>[1]Source!X3390</f>
        <v>0</v>
      </c>
      <c r="S3572">
        <f>[1]Source!Y3389</f>
        <v>0</v>
      </c>
      <c r="T3572">
        <f>[1]Source!Y3390</f>
        <v>0</v>
      </c>
      <c r="U3572">
        <f>ROUND((175/100)*ROUND([1]Source!R3389, 2), 2)</f>
        <v>0</v>
      </c>
      <c r="V3572">
        <f>ROUND((0/100)*ROUND([1]Source!R3390, 2), 2)</f>
        <v>0</v>
      </c>
      <c r="AC3572">
        <v>3</v>
      </c>
    </row>
    <row r="3573" spans="1:29" ht="13.8" hidden="1" x14ac:dyDescent="0.25">
      <c r="C3573" s="39" t="s">
        <v>49</v>
      </c>
      <c r="H3573" s="40">
        <f>I3572+0</f>
        <v>738740.52</v>
      </c>
      <c r="I3573" s="40"/>
      <c r="J3573" s="40">
        <f>K3572+0</f>
        <v>7269206.7199999997</v>
      </c>
      <c r="K3573" s="40"/>
      <c r="O3573" s="42">
        <f>I3572+0</f>
        <v>738740.52</v>
      </c>
      <c r="P3573" s="42">
        <f>K3572+0</f>
        <v>7269206.7199999997</v>
      </c>
    </row>
    <row r="3574" spans="1:29" hidden="1" x14ac:dyDescent="0.25"/>
    <row r="3575" spans="1:29" hidden="1" x14ac:dyDescent="0.25"/>
    <row r="3576" spans="1:29" ht="13.8" hidden="1" x14ac:dyDescent="0.25">
      <c r="A3576" s="44" t="str">
        <f>CONCATENATE("Итого по подразделу: ",IF([1]Source!G3392&lt;&gt;"Новый подраздел", [1]Source!G3392, ""))</f>
        <v>Итого по подразделу: Отделочные работы</v>
      </c>
      <c r="B3576" s="44"/>
      <c r="C3576" s="44"/>
      <c r="D3576" s="44"/>
      <c r="E3576" s="44"/>
      <c r="F3576" s="44"/>
      <c r="G3576" s="44"/>
      <c r="H3576" s="41">
        <f>SUM(O3464:O3575)</f>
        <v>1763635.84</v>
      </c>
      <c r="I3576" s="45"/>
      <c r="J3576" s="41">
        <f>SUM(P3464:P3575)</f>
        <v>39447993.080000006</v>
      </c>
      <c r="K3576" s="45"/>
    </row>
    <row r="3577" spans="1:29" hidden="1" x14ac:dyDescent="0.25">
      <c r="A3577" t="s">
        <v>55</v>
      </c>
      <c r="I3577">
        <f>SUM(W3464:W3576)</f>
        <v>0</v>
      </c>
      <c r="J3577">
        <f>SUM(X3464:X3576)</f>
        <v>0</v>
      </c>
    </row>
    <row r="3578" spans="1:29" hidden="1" x14ac:dyDescent="0.25">
      <c r="A3578" t="s">
        <v>56</v>
      </c>
      <c r="I3578">
        <f>SUM(Y3464:Y3577)</f>
        <v>0</v>
      </c>
      <c r="J3578">
        <f>SUM(Z3464:Z3577)</f>
        <v>0</v>
      </c>
    </row>
    <row r="3579" spans="1:29" hidden="1" x14ac:dyDescent="0.25"/>
    <row r="3580" spans="1:29" ht="13.8" hidden="1" x14ac:dyDescent="0.25">
      <c r="A3580" s="44" t="str">
        <f>CONCATENATE("Итого по разделу: ",IF([1]Source!G3422&lt;&gt;"Новый раздел", [1]Source!G3422, ""))</f>
        <v>Итого по разделу: Отделка потолков</v>
      </c>
      <c r="B3580" s="44"/>
      <c r="C3580" s="44"/>
      <c r="D3580" s="44"/>
      <c r="E3580" s="44"/>
      <c r="F3580" s="44"/>
      <c r="G3580" s="44"/>
      <c r="H3580" s="41">
        <f>SUM(O3423:O3579)</f>
        <v>1868464.06</v>
      </c>
      <c r="I3580" s="45"/>
      <c r="J3580" s="41">
        <f>SUM(P3423:P3579)</f>
        <v>45335798.460000001</v>
      </c>
      <c r="K3580" s="45"/>
    </row>
    <row r="3581" spans="1:29" hidden="1" x14ac:dyDescent="0.25">
      <c r="A3581" t="s">
        <v>55</v>
      </c>
      <c r="I3581">
        <f>SUM(W3423:W3580)</f>
        <v>0</v>
      </c>
      <c r="J3581">
        <f>SUM(X3423:X3580)</f>
        <v>0</v>
      </c>
    </row>
    <row r="3582" spans="1:29" hidden="1" x14ac:dyDescent="0.25">
      <c r="A3582" t="s">
        <v>56</v>
      </c>
      <c r="I3582">
        <f>SUM(Y3423:Y3581)</f>
        <v>0</v>
      </c>
      <c r="J3582">
        <f>SUM(Z3423:Z3581)</f>
        <v>0</v>
      </c>
    </row>
    <row r="3583" spans="1:29" hidden="1" x14ac:dyDescent="0.25"/>
    <row r="3584" spans="1:29" ht="16.8" hidden="1" x14ac:dyDescent="0.25">
      <c r="A3584" s="11" t="str">
        <f>CONCATENATE("Раздел: ",IF([1]Source!G3452&lt;&gt;"Новый раздел", [1]Source!G3452, ""))</f>
        <v>Раздел: Отделка полов</v>
      </c>
      <c r="B3584" s="11"/>
      <c r="C3584" s="11"/>
      <c r="D3584" s="11"/>
      <c r="E3584" s="11"/>
      <c r="F3584" s="11"/>
      <c r="G3584" s="11"/>
      <c r="H3584" s="11"/>
      <c r="I3584" s="11"/>
      <c r="J3584" s="11"/>
      <c r="K3584" s="11"/>
    </row>
    <row r="3585" spans="1:29" hidden="1" x14ac:dyDescent="0.25"/>
    <row r="3586" spans="1:29" ht="16.8" hidden="1" x14ac:dyDescent="0.25">
      <c r="A3586" s="11" t="str">
        <f>CONCATENATE("Подраздел: ",IF([1]Source!G3456&lt;&gt;"Новый подраздел", [1]Source!G3456, ""))</f>
        <v>Подраздел: Демонтажные работы</v>
      </c>
      <c r="B3586" s="11"/>
      <c r="C3586" s="11"/>
      <c r="D3586" s="11"/>
      <c r="E3586" s="11"/>
      <c r="F3586" s="11"/>
      <c r="G3586" s="11"/>
      <c r="H3586" s="11"/>
      <c r="I3586" s="11"/>
      <c r="J3586" s="11"/>
      <c r="K3586" s="11"/>
    </row>
    <row r="3587" spans="1:29" ht="57.6" hidden="1" x14ac:dyDescent="0.25">
      <c r="A3587" s="27">
        <v>362</v>
      </c>
      <c r="B3587" s="27" t="str">
        <f>[1]Source!F3460</f>
        <v>6.70-63-5</v>
      </c>
      <c r="C3587" s="27" t="s">
        <v>711</v>
      </c>
      <c r="D3587" s="28" t="str">
        <f>[1]Source!H3460</f>
        <v>100 м2 покрытия</v>
      </c>
      <c r="E3587" s="29">
        <f>[1]Source!I3460</f>
        <v>0.46</v>
      </c>
      <c r="F3587" s="30"/>
      <c r="G3587" s="31"/>
      <c r="H3587" s="29"/>
      <c r="I3587" s="30"/>
      <c r="J3587" s="29"/>
      <c r="K3587" s="30"/>
      <c r="Q3587">
        <f>[1]Source!X3460</f>
        <v>80.23</v>
      </c>
      <c r="R3587">
        <f>[1]Source!X3461</f>
        <v>4521.16</v>
      </c>
      <c r="S3587">
        <f>[1]Source!Y3460</f>
        <v>44.17</v>
      </c>
      <c r="T3587">
        <f>[1]Source!Y3461</f>
        <v>2489.1799999999998</v>
      </c>
      <c r="U3587">
        <f>ROUND((175/100)*ROUND([1]Source!R3460, 2), 2)</f>
        <v>0</v>
      </c>
      <c r="V3587">
        <f>ROUND((0/100)*ROUND([1]Source!R3461, 2), 2)</f>
        <v>0</v>
      </c>
      <c r="AC3587">
        <v>0</v>
      </c>
    </row>
    <row r="3588" spans="1:29" hidden="1" x14ac:dyDescent="0.25">
      <c r="C3588" s="32" t="str">
        <f>"Объем: "&amp;[1]Source!I3460&amp;"=46/"&amp;"100"</f>
        <v>Объем: 0,46=46/100</v>
      </c>
    </row>
    <row r="3589" spans="1:29" ht="14.4" hidden="1" x14ac:dyDescent="0.25">
      <c r="A3589" s="27"/>
      <c r="B3589" s="27"/>
      <c r="C3589" s="27" t="s">
        <v>36</v>
      </c>
      <c r="D3589" s="28"/>
      <c r="E3589" s="29"/>
      <c r="F3589" s="30">
        <f>[1]Source!AO3460</f>
        <v>155.99</v>
      </c>
      <c r="G3589" s="31" t="s">
        <v>58</v>
      </c>
      <c r="H3589" s="29">
        <f>[1]Source!AV3461</f>
        <v>1.0469999999999999</v>
      </c>
      <c r="I3589" s="30">
        <f>[1]Source!S3460</f>
        <v>90.15</v>
      </c>
      <c r="J3589" s="29">
        <f>IF([1]Source!BA3461&lt;&gt; 0, [1]Source!BA3461, 1)</f>
        <v>56.35</v>
      </c>
      <c r="K3589" s="30">
        <f>[1]Source!S3461</f>
        <v>5079.95</v>
      </c>
    </row>
    <row r="3590" spans="1:29" ht="14.4" hidden="1" x14ac:dyDescent="0.25">
      <c r="A3590" s="27"/>
      <c r="B3590" s="27"/>
      <c r="C3590" s="27" t="s">
        <v>42</v>
      </c>
      <c r="D3590" s="28" t="s">
        <v>43</v>
      </c>
      <c r="E3590" s="29">
        <f>[1]Source!BZ3461</f>
        <v>89</v>
      </c>
      <c r="F3590" s="30"/>
      <c r="G3590" s="31"/>
      <c r="H3590" s="29"/>
      <c r="I3590" s="30">
        <f>SUM(Q3587:Q3589)</f>
        <v>80.23</v>
      </c>
      <c r="J3590" s="29">
        <f>[1]Source!AT3461</f>
        <v>89</v>
      </c>
      <c r="K3590" s="30">
        <f>SUM(R3587:R3589)</f>
        <v>4521.16</v>
      </c>
    </row>
    <row r="3591" spans="1:29" ht="14.4" hidden="1" x14ac:dyDescent="0.25">
      <c r="A3591" s="27"/>
      <c r="B3591" s="27"/>
      <c r="C3591" s="27" t="s">
        <v>44</v>
      </c>
      <c r="D3591" s="28" t="s">
        <v>43</v>
      </c>
      <c r="E3591" s="29">
        <f>[1]Source!CA3461</f>
        <v>49</v>
      </c>
      <c r="F3591" s="30"/>
      <c r="G3591" s="31"/>
      <c r="H3591" s="29"/>
      <c r="I3591" s="30">
        <f>SUM(S3587:S3590)</f>
        <v>44.17</v>
      </c>
      <c r="J3591" s="29">
        <f>[1]Source!AU3461</f>
        <v>49</v>
      </c>
      <c r="K3591" s="30">
        <f>SUM(T3587:T3590)</f>
        <v>2489.1799999999998</v>
      </c>
    </row>
    <row r="3592" spans="1:29" ht="14.4" hidden="1" x14ac:dyDescent="0.25">
      <c r="A3592" s="34"/>
      <c r="B3592" s="34"/>
      <c r="C3592" s="34" t="s">
        <v>45</v>
      </c>
      <c r="D3592" s="35" t="s">
        <v>46</v>
      </c>
      <c r="E3592" s="36">
        <f>[1]Source!AQ3460</f>
        <v>11.39</v>
      </c>
      <c r="F3592" s="37"/>
      <c r="G3592" s="38" t="s">
        <v>58</v>
      </c>
      <c r="H3592" s="36">
        <f>[1]Source!AV3461</f>
        <v>1.0469999999999999</v>
      </c>
      <c r="I3592" s="37">
        <f>[1]Source!U3460</f>
        <v>6.5827821600000007</v>
      </c>
      <c r="J3592" s="36"/>
      <c r="K3592" s="37"/>
    </row>
    <row r="3593" spans="1:29" ht="13.8" hidden="1" x14ac:dyDescent="0.25">
      <c r="C3593" s="39" t="s">
        <v>47</v>
      </c>
      <c r="H3593" s="40">
        <f>I3589+I3590+I3591+0-0-0</f>
        <v>214.55</v>
      </c>
      <c r="I3593" s="40"/>
      <c r="J3593" s="40">
        <f>K3589+K3590+K3591+0-0-0</f>
        <v>12090.29</v>
      </c>
      <c r="K3593" s="40"/>
    </row>
    <row r="3594" spans="1:29" ht="13.8" hidden="1" x14ac:dyDescent="0.25">
      <c r="C3594" s="39" t="s">
        <v>48</v>
      </c>
      <c r="H3594" s="41">
        <f>0+0</f>
        <v>0</v>
      </c>
      <c r="I3594" s="41"/>
      <c r="J3594" s="41">
        <f>0+0</f>
        <v>0</v>
      </c>
      <c r="K3594" s="41"/>
    </row>
    <row r="3595" spans="1:29" ht="13.8" hidden="1" x14ac:dyDescent="0.25">
      <c r="C3595" s="39" t="s">
        <v>49</v>
      </c>
      <c r="H3595" s="41">
        <f>I3589+I3590+I3591+0</f>
        <v>214.55</v>
      </c>
      <c r="I3595" s="41"/>
      <c r="J3595" s="41">
        <f>K3589+K3590+K3591+0</f>
        <v>12090.29</v>
      </c>
      <c r="K3595" s="41"/>
      <c r="O3595" s="42">
        <f>I3589+I3590+I3591+0</f>
        <v>214.55</v>
      </c>
      <c r="P3595" s="42">
        <f>K3589+K3590+K3591+0</f>
        <v>12090.29</v>
      </c>
    </row>
    <row r="3596" spans="1:29" hidden="1" x14ac:dyDescent="0.25"/>
    <row r="3597" spans="1:29" ht="57.6" hidden="1" x14ac:dyDescent="0.25">
      <c r="A3597" s="27">
        <v>363</v>
      </c>
      <c r="B3597" s="27" t="str">
        <f>[1]Source!F3462</f>
        <v>6.70-63-7</v>
      </c>
      <c r="C3597" s="27" t="s">
        <v>712</v>
      </c>
      <c r="D3597" s="28" t="str">
        <f>[1]Source!H3462</f>
        <v>100 м2 покрытия</v>
      </c>
      <c r="E3597" s="29">
        <f>[1]Source!I3462</f>
        <v>19.75</v>
      </c>
      <c r="F3597" s="30"/>
      <c r="G3597" s="31"/>
      <c r="H3597" s="29"/>
      <c r="I3597" s="30"/>
      <c r="J3597" s="29"/>
      <c r="K3597" s="30"/>
      <c r="Q3597">
        <f>[1]Source!X3462</f>
        <v>23517.87</v>
      </c>
      <c r="R3597">
        <f>[1]Source!X3463</f>
        <v>1325231.82</v>
      </c>
      <c r="S3597">
        <f>[1]Source!Y3462</f>
        <v>12948.04</v>
      </c>
      <c r="T3597">
        <f>[1]Source!Y3463</f>
        <v>729622.01</v>
      </c>
      <c r="U3597">
        <f>ROUND((175/100)*ROUND([1]Source!R3462, 2), 2)</f>
        <v>789.02</v>
      </c>
      <c r="V3597">
        <f>ROUND((0/100)*ROUND([1]Source!R3463, 2), 2)</f>
        <v>0</v>
      </c>
      <c r="AC3597">
        <v>0</v>
      </c>
    </row>
    <row r="3598" spans="1:29" hidden="1" x14ac:dyDescent="0.25">
      <c r="C3598" s="32" t="str">
        <f>"Объем: "&amp;[1]Source!I3462&amp;"=1975/"&amp;"100"</f>
        <v>Объем: 19,75=1975/100</v>
      </c>
    </row>
    <row r="3599" spans="1:29" ht="14.4" hidden="1" x14ac:dyDescent="0.25">
      <c r="A3599" s="27"/>
      <c r="B3599" s="27"/>
      <c r="C3599" s="27" t="s">
        <v>36</v>
      </c>
      <c r="D3599" s="28"/>
      <c r="E3599" s="29"/>
      <c r="F3599" s="30">
        <f>[1]Source!AO3462</f>
        <v>1046.74</v>
      </c>
      <c r="G3599" s="31" t="s">
        <v>58</v>
      </c>
      <c r="H3599" s="29">
        <f>[1]Source!AV3463</f>
        <v>1.0469999999999999</v>
      </c>
      <c r="I3599" s="30">
        <f>[1]Source!S3462</f>
        <v>25973.7</v>
      </c>
      <c r="J3599" s="29">
        <f>IF([1]Source!BA3463&lt;&gt; 0, [1]Source!BA3463, 1)</f>
        <v>56.35</v>
      </c>
      <c r="K3599" s="30">
        <f>[1]Source!S3463</f>
        <v>1463618</v>
      </c>
    </row>
    <row r="3600" spans="1:29" ht="14.4" hidden="1" x14ac:dyDescent="0.25">
      <c r="A3600" s="27"/>
      <c r="B3600" s="27"/>
      <c r="C3600" s="27" t="s">
        <v>38</v>
      </c>
      <c r="D3600" s="28"/>
      <c r="E3600" s="29"/>
      <c r="F3600" s="30">
        <f>[1]Source!AM3462</f>
        <v>50.37</v>
      </c>
      <c r="G3600" s="31" t="s">
        <v>58</v>
      </c>
      <c r="H3600" s="29">
        <f>[1]Source!AV3463</f>
        <v>1.0469999999999999</v>
      </c>
      <c r="I3600" s="30">
        <f>[1]Source!Q3462</f>
        <v>1249.8800000000001</v>
      </c>
      <c r="J3600" s="29">
        <f>IF([1]Source!BB3463&lt;&gt; 0, [1]Source!BB3463, 1)</f>
        <v>28.05</v>
      </c>
      <c r="K3600" s="30">
        <f>[1]Source!Q3463</f>
        <v>35059.129999999997</v>
      </c>
    </row>
    <row r="3601" spans="1:29" ht="14.4" hidden="1" x14ac:dyDescent="0.25">
      <c r="A3601" s="27"/>
      <c r="B3601" s="27"/>
      <c r="C3601" s="27" t="s">
        <v>40</v>
      </c>
      <c r="D3601" s="28"/>
      <c r="E3601" s="29"/>
      <c r="F3601" s="30">
        <f>[1]Source!AN3462</f>
        <v>18.170000000000002</v>
      </c>
      <c r="G3601" s="31" t="s">
        <v>58</v>
      </c>
      <c r="H3601" s="29">
        <f>[1]Source!AV3463</f>
        <v>1.0469999999999999</v>
      </c>
      <c r="I3601" s="33">
        <f>[1]Source!R3462</f>
        <v>450.87</v>
      </c>
      <c r="J3601" s="29">
        <f>IF([1]Source!BS3463&lt;&gt; 0, [1]Source!BS3463, 1)</f>
        <v>56.35</v>
      </c>
      <c r="K3601" s="33">
        <f>[1]Source!R3463</f>
        <v>25406.52</v>
      </c>
    </row>
    <row r="3602" spans="1:29" ht="14.4" hidden="1" x14ac:dyDescent="0.25">
      <c r="A3602" s="27"/>
      <c r="B3602" s="27"/>
      <c r="C3602" s="27" t="s">
        <v>42</v>
      </c>
      <c r="D3602" s="28" t="s">
        <v>43</v>
      </c>
      <c r="E3602" s="29">
        <f>[1]Source!BZ3463</f>
        <v>89</v>
      </c>
      <c r="F3602" s="30"/>
      <c r="G3602" s="31"/>
      <c r="H3602" s="29"/>
      <c r="I3602" s="30">
        <f>SUM(Q3597:Q3601)</f>
        <v>23517.87</v>
      </c>
      <c r="J3602" s="29">
        <f>[1]Source!AT3463</f>
        <v>89</v>
      </c>
      <c r="K3602" s="30">
        <f>SUM(R3597:R3601)</f>
        <v>1325231.82</v>
      </c>
    </row>
    <row r="3603" spans="1:29" ht="14.4" hidden="1" x14ac:dyDescent="0.25">
      <c r="A3603" s="27"/>
      <c r="B3603" s="27"/>
      <c r="C3603" s="27" t="s">
        <v>44</v>
      </c>
      <c r="D3603" s="28" t="s">
        <v>43</v>
      </c>
      <c r="E3603" s="29">
        <f>[1]Source!CA3463</f>
        <v>49</v>
      </c>
      <c r="F3603" s="30"/>
      <c r="G3603" s="31"/>
      <c r="H3603" s="29"/>
      <c r="I3603" s="30">
        <f>SUM(S3597:S3602)</f>
        <v>12948.04</v>
      </c>
      <c r="J3603" s="29">
        <f>[1]Source!AU3463</f>
        <v>49</v>
      </c>
      <c r="K3603" s="30">
        <f>SUM(T3597:T3602)</f>
        <v>729622.01</v>
      </c>
    </row>
    <row r="3604" spans="1:29" ht="14.4" hidden="1" x14ac:dyDescent="0.25">
      <c r="A3604" s="34"/>
      <c r="B3604" s="34"/>
      <c r="C3604" s="34" t="s">
        <v>45</v>
      </c>
      <c r="D3604" s="35" t="s">
        <v>46</v>
      </c>
      <c r="E3604" s="36">
        <f>[1]Source!AQ3462</f>
        <v>69.87</v>
      </c>
      <c r="F3604" s="37"/>
      <c r="G3604" s="38" t="s">
        <v>58</v>
      </c>
      <c r="H3604" s="36">
        <f>[1]Source!AV3463</f>
        <v>1.0469999999999999</v>
      </c>
      <c r="I3604" s="37">
        <f>[1]Source!U3462</f>
        <v>1733.7471929999999</v>
      </c>
      <c r="J3604" s="36"/>
      <c r="K3604" s="37"/>
    </row>
    <row r="3605" spans="1:29" ht="13.8" hidden="1" x14ac:dyDescent="0.25">
      <c r="C3605" s="39" t="s">
        <v>47</v>
      </c>
      <c r="H3605" s="40">
        <f>I3599+I3600+I3602+I3603+0-0-0</f>
        <v>63689.49</v>
      </c>
      <c r="I3605" s="40"/>
      <c r="J3605" s="40">
        <f>K3599+K3600+K3602+K3603+0-0-0</f>
        <v>3553530.96</v>
      </c>
      <c r="K3605" s="40"/>
    </row>
    <row r="3606" spans="1:29" ht="13.8" hidden="1" x14ac:dyDescent="0.25">
      <c r="C3606" s="39" t="s">
        <v>48</v>
      </c>
      <c r="H3606" s="41">
        <f>0+0</f>
        <v>0</v>
      </c>
      <c r="I3606" s="41"/>
      <c r="J3606" s="41">
        <f>0+0</f>
        <v>0</v>
      </c>
      <c r="K3606" s="41"/>
    </row>
    <row r="3607" spans="1:29" ht="13.8" hidden="1" x14ac:dyDescent="0.25">
      <c r="C3607" s="39" t="s">
        <v>49</v>
      </c>
      <c r="H3607" s="41">
        <f>I3599+I3600+I3602+I3603+0</f>
        <v>63689.49</v>
      </c>
      <c r="I3607" s="41"/>
      <c r="J3607" s="41">
        <f>K3599+K3600+K3602+K3603+0</f>
        <v>3553530.96</v>
      </c>
      <c r="K3607" s="41"/>
      <c r="O3607" s="42">
        <f>I3599+I3600+I3602+I3603+0</f>
        <v>63689.49</v>
      </c>
      <c r="P3607" s="42">
        <f>K3599+K3600+K3602+K3603+0</f>
        <v>3553530.96</v>
      </c>
    </row>
    <row r="3608" spans="1:29" hidden="1" x14ac:dyDescent="0.25"/>
    <row r="3609" spans="1:29" ht="57.6" hidden="1" x14ac:dyDescent="0.25">
      <c r="A3609" s="27">
        <v>364</v>
      </c>
      <c r="B3609" s="27" t="str">
        <f>[1]Source!F3464</f>
        <v>6.70-63-1</v>
      </c>
      <c r="C3609" s="27" t="s">
        <v>713</v>
      </c>
      <c r="D3609" s="28" t="str">
        <f>[1]Source!H3464</f>
        <v>100 м2 покрытия</v>
      </c>
      <c r="E3609" s="29">
        <f>[1]Source!I3464</f>
        <v>33.43</v>
      </c>
      <c r="F3609" s="30"/>
      <c r="G3609" s="31"/>
      <c r="H3609" s="29"/>
      <c r="I3609" s="30"/>
      <c r="J3609" s="29"/>
      <c r="K3609" s="30"/>
      <c r="Q3609">
        <f>[1]Source!X3464</f>
        <v>17200.63</v>
      </c>
      <c r="R3609">
        <f>[1]Source!X3465</f>
        <v>969255.47</v>
      </c>
      <c r="S3609">
        <f>[1]Source!Y3464</f>
        <v>9470.01</v>
      </c>
      <c r="T3609">
        <f>[1]Source!Y3465</f>
        <v>533635.03</v>
      </c>
      <c r="U3609">
        <f>ROUND((175/100)*ROUND([1]Source!R3464, 2), 2)</f>
        <v>0</v>
      </c>
      <c r="V3609">
        <f>ROUND((0/100)*ROUND([1]Source!R3465, 2), 2)</f>
        <v>0</v>
      </c>
      <c r="AC3609">
        <v>0</v>
      </c>
    </row>
    <row r="3610" spans="1:29" hidden="1" x14ac:dyDescent="0.25">
      <c r="C3610" s="32" t="str">
        <f>"Объем: "&amp;[1]Source!I3464&amp;"=3343/"&amp;"100"</f>
        <v>Объем: 33,43=3343/100</v>
      </c>
    </row>
    <row r="3611" spans="1:29" ht="14.4" hidden="1" x14ac:dyDescent="0.25">
      <c r="A3611" s="27"/>
      <c r="B3611" s="27"/>
      <c r="C3611" s="27" t="s">
        <v>36</v>
      </c>
      <c r="D3611" s="28"/>
      <c r="E3611" s="29"/>
      <c r="F3611" s="30">
        <f>[1]Source!AO3464</f>
        <v>460.14</v>
      </c>
      <c r="G3611" s="31" t="s">
        <v>58</v>
      </c>
      <c r="H3611" s="29">
        <f>[1]Source!AV3465</f>
        <v>1.0469999999999999</v>
      </c>
      <c r="I3611" s="30">
        <f>[1]Source!S3464</f>
        <v>19326.55</v>
      </c>
      <c r="J3611" s="29">
        <f>IF([1]Source!BA3465&lt;&gt; 0, [1]Source!BA3465, 1)</f>
        <v>56.35</v>
      </c>
      <c r="K3611" s="30">
        <f>[1]Source!S3465</f>
        <v>1089051.0900000001</v>
      </c>
    </row>
    <row r="3612" spans="1:29" ht="14.4" hidden="1" x14ac:dyDescent="0.25">
      <c r="A3612" s="27"/>
      <c r="B3612" s="27"/>
      <c r="C3612" s="27" t="s">
        <v>42</v>
      </c>
      <c r="D3612" s="28" t="s">
        <v>43</v>
      </c>
      <c r="E3612" s="29">
        <f>[1]Source!BZ3465</f>
        <v>89</v>
      </c>
      <c r="F3612" s="30"/>
      <c r="G3612" s="31"/>
      <c r="H3612" s="29"/>
      <c r="I3612" s="30">
        <f>SUM(Q3609:Q3611)</f>
        <v>17200.63</v>
      </c>
      <c r="J3612" s="29">
        <f>[1]Source!AT3465</f>
        <v>89</v>
      </c>
      <c r="K3612" s="30">
        <f>SUM(R3609:R3611)</f>
        <v>969255.47</v>
      </c>
    </row>
    <row r="3613" spans="1:29" ht="14.4" hidden="1" x14ac:dyDescent="0.25">
      <c r="A3613" s="27"/>
      <c r="B3613" s="27"/>
      <c r="C3613" s="27" t="s">
        <v>44</v>
      </c>
      <c r="D3613" s="28" t="s">
        <v>43</v>
      </c>
      <c r="E3613" s="29">
        <f>[1]Source!CA3465</f>
        <v>49</v>
      </c>
      <c r="F3613" s="30"/>
      <c r="G3613" s="31"/>
      <c r="H3613" s="29"/>
      <c r="I3613" s="30">
        <f>SUM(S3609:S3612)</f>
        <v>9470.01</v>
      </c>
      <c r="J3613" s="29">
        <f>[1]Source!AU3465</f>
        <v>49</v>
      </c>
      <c r="K3613" s="30">
        <f>SUM(T3609:T3612)</f>
        <v>533635.03</v>
      </c>
    </row>
    <row r="3614" spans="1:29" ht="14.4" hidden="1" x14ac:dyDescent="0.25">
      <c r="A3614" s="34"/>
      <c r="B3614" s="34"/>
      <c r="C3614" s="34" t="s">
        <v>45</v>
      </c>
      <c r="D3614" s="35" t="s">
        <v>46</v>
      </c>
      <c r="E3614" s="36">
        <f>[1]Source!AQ3464</f>
        <v>33.6</v>
      </c>
      <c r="F3614" s="37"/>
      <c r="G3614" s="38" t="s">
        <v>58</v>
      </c>
      <c r="H3614" s="36">
        <f>[1]Source!AV3465</f>
        <v>1.0469999999999999</v>
      </c>
      <c r="I3614" s="37">
        <f>[1]Source!U3464</f>
        <v>1411.2487871999999</v>
      </c>
      <c r="J3614" s="36"/>
      <c r="K3614" s="37"/>
    </row>
    <row r="3615" spans="1:29" ht="13.8" hidden="1" x14ac:dyDescent="0.25">
      <c r="C3615" s="39" t="s">
        <v>47</v>
      </c>
      <c r="H3615" s="40">
        <f>I3611+I3612+I3613+0-0-0</f>
        <v>45997.19</v>
      </c>
      <c r="I3615" s="40"/>
      <c r="J3615" s="40">
        <f>K3611+K3612+K3613+0-0-0</f>
        <v>2591941.59</v>
      </c>
      <c r="K3615" s="40"/>
    </row>
    <row r="3616" spans="1:29" ht="13.8" hidden="1" x14ac:dyDescent="0.25">
      <c r="C3616" s="39" t="s">
        <v>48</v>
      </c>
      <c r="H3616" s="41">
        <f>0+0</f>
        <v>0</v>
      </c>
      <c r="I3616" s="41"/>
      <c r="J3616" s="41">
        <f>0+0</f>
        <v>0</v>
      </c>
      <c r="K3616" s="41"/>
    </row>
    <row r="3617" spans="1:29" ht="13.8" hidden="1" x14ac:dyDescent="0.25">
      <c r="C3617" s="39" t="s">
        <v>49</v>
      </c>
      <c r="H3617" s="41">
        <f>I3611+I3612+I3613+0</f>
        <v>45997.19</v>
      </c>
      <c r="I3617" s="41"/>
      <c r="J3617" s="41">
        <f>K3611+K3612+K3613+0</f>
        <v>2591941.59</v>
      </c>
      <c r="K3617" s="41"/>
      <c r="O3617" s="42">
        <f>I3611+I3612+I3613+0</f>
        <v>45997.19</v>
      </c>
      <c r="P3617" s="42">
        <f>K3611+K3612+K3613+0</f>
        <v>2591941.59</v>
      </c>
    </row>
    <row r="3618" spans="1:29" hidden="1" x14ac:dyDescent="0.25"/>
    <row r="3619" spans="1:29" ht="57.6" hidden="1" x14ac:dyDescent="0.25">
      <c r="A3619" s="27">
        <v>365</v>
      </c>
      <c r="B3619" s="27" t="str">
        <f>[1]Source!F3466</f>
        <v>6.70-63-8</v>
      </c>
      <c r="C3619" s="27" t="s">
        <v>714</v>
      </c>
      <c r="D3619" s="28" t="str">
        <f>[1]Source!H3466</f>
        <v>100 м2 покрытия</v>
      </c>
      <c r="E3619" s="29">
        <f>[1]Source!I3466</f>
        <v>48.48</v>
      </c>
      <c r="F3619" s="30"/>
      <c r="G3619" s="31"/>
      <c r="H3619" s="29"/>
      <c r="I3619" s="30"/>
      <c r="J3619" s="29"/>
      <c r="K3619" s="30"/>
      <c r="Q3619">
        <f>[1]Source!X3466</f>
        <v>27093.68</v>
      </c>
      <c r="R3619">
        <f>[1]Source!X3467</f>
        <v>1526729.01</v>
      </c>
      <c r="S3619">
        <f>[1]Source!Y3466</f>
        <v>14916.75</v>
      </c>
      <c r="T3619">
        <f>[1]Source!Y3467</f>
        <v>840558.67</v>
      </c>
      <c r="U3619">
        <f>ROUND((175/100)*ROUND([1]Source!R3466, 2), 2)</f>
        <v>13990.32</v>
      </c>
      <c r="V3619">
        <f>ROUND((0/100)*ROUND([1]Source!R3467, 2), 2)</f>
        <v>0</v>
      </c>
      <c r="AC3619">
        <v>0</v>
      </c>
    </row>
    <row r="3620" spans="1:29" hidden="1" x14ac:dyDescent="0.25">
      <c r="C3620" s="32" t="str">
        <f>"Объем: "&amp;[1]Source!I3466&amp;"=4848/"&amp;"100"</f>
        <v>Объем: 48,48=4848/100</v>
      </c>
    </row>
    <row r="3621" spans="1:29" ht="14.4" hidden="1" x14ac:dyDescent="0.25">
      <c r="A3621" s="27"/>
      <c r="B3621" s="27"/>
      <c r="C3621" s="27" t="s">
        <v>36</v>
      </c>
      <c r="D3621" s="28"/>
      <c r="E3621" s="29"/>
      <c r="F3621" s="30">
        <f>[1]Source!AO3466</f>
        <v>368.54</v>
      </c>
      <c r="G3621" s="31" t="s">
        <v>58</v>
      </c>
      <c r="H3621" s="29">
        <f>[1]Source!AV3467</f>
        <v>1.0469999999999999</v>
      </c>
      <c r="I3621" s="30">
        <f>[1]Source!S3466</f>
        <v>22447.87</v>
      </c>
      <c r="J3621" s="29">
        <f>IF([1]Source!BA3467&lt;&gt; 0, [1]Source!BA3467, 1)</f>
        <v>56.35</v>
      </c>
      <c r="K3621" s="30">
        <f>[1]Source!S3467</f>
        <v>1264937.47</v>
      </c>
    </row>
    <row r="3622" spans="1:29" ht="14.4" hidden="1" x14ac:dyDescent="0.25">
      <c r="A3622" s="27"/>
      <c r="B3622" s="27"/>
      <c r="C3622" s="27" t="s">
        <v>38</v>
      </c>
      <c r="D3622" s="28"/>
      <c r="E3622" s="29"/>
      <c r="F3622" s="30">
        <f>[1]Source!AM3466</f>
        <v>363.79</v>
      </c>
      <c r="G3622" s="31" t="s">
        <v>58</v>
      </c>
      <c r="H3622" s="29">
        <f>[1]Source!AV3467</f>
        <v>1.0469999999999999</v>
      </c>
      <c r="I3622" s="30">
        <f>[1]Source!Q3466</f>
        <v>22158.55</v>
      </c>
      <c r="J3622" s="29">
        <f>IF([1]Source!BB3467&lt;&gt; 0, [1]Source!BB3467, 1)</f>
        <v>28.05</v>
      </c>
      <c r="K3622" s="30">
        <f>[1]Source!Q3467</f>
        <v>621547.32999999996</v>
      </c>
    </row>
    <row r="3623" spans="1:29" ht="14.4" hidden="1" x14ac:dyDescent="0.25">
      <c r="A3623" s="27"/>
      <c r="B3623" s="27"/>
      <c r="C3623" s="27" t="s">
        <v>40</v>
      </c>
      <c r="D3623" s="28"/>
      <c r="E3623" s="29"/>
      <c r="F3623" s="30">
        <f>[1]Source!AN3466</f>
        <v>131.25</v>
      </c>
      <c r="G3623" s="31" t="s">
        <v>58</v>
      </c>
      <c r="H3623" s="29">
        <f>[1]Source!AV3467</f>
        <v>1.0469999999999999</v>
      </c>
      <c r="I3623" s="33">
        <f>[1]Source!R3466</f>
        <v>7994.47</v>
      </c>
      <c r="J3623" s="29">
        <f>IF([1]Source!BS3467&lt;&gt; 0, [1]Source!BS3467, 1)</f>
        <v>56.35</v>
      </c>
      <c r="K3623" s="33">
        <f>[1]Source!R3467</f>
        <v>450488.38</v>
      </c>
    </row>
    <row r="3624" spans="1:29" ht="14.4" hidden="1" x14ac:dyDescent="0.25">
      <c r="A3624" s="27"/>
      <c r="B3624" s="27"/>
      <c r="C3624" s="27" t="s">
        <v>42</v>
      </c>
      <c r="D3624" s="28" t="s">
        <v>43</v>
      </c>
      <c r="E3624" s="29">
        <f>[1]Source!BZ3467</f>
        <v>89</v>
      </c>
      <c r="F3624" s="30"/>
      <c r="G3624" s="31"/>
      <c r="H3624" s="29"/>
      <c r="I3624" s="30">
        <f>SUM(Q3619:Q3623)</f>
        <v>27093.68</v>
      </c>
      <c r="J3624" s="29">
        <f>[1]Source!AT3467</f>
        <v>89</v>
      </c>
      <c r="K3624" s="30">
        <f>SUM(R3619:R3623)</f>
        <v>1526729.01</v>
      </c>
    </row>
    <row r="3625" spans="1:29" ht="14.4" hidden="1" x14ac:dyDescent="0.25">
      <c r="A3625" s="27"/>
      <c r="B3625" s="27"/>
      <c r="C3625" s="27" t="s">
        <v>44</v>
      </c>
      <c r="D3625" s="28" t="s">
        <v>43</v>
      </c>
      <c r="E3625" s="29">
        <f>[1]Source!CA3467</f>
        <v>49</v>
      </c>
      <c r="F3625" s="30"/>
      <c r="G3625" s="31"/>
      <c r="H3625" s="29"/>
      <c r="I3625" s="30">
        <f>SUM(S3619:S3624)</f>
        <v>14916.75</v>
      </c>
      <c r="J3625" s="29">
        <f>[1]Source!AU3467</f>
        <v>49</v>
      </c>
      <c r="K3625" s="30">
        <f>SUM(T3619:T3624)</f>
        <v>840558.67</v>
      </c>
    </row>
    <row r="3626" spans="1:29" ht="14.4" hidden="1" x14ac:dyDescent="0.25">
      <c r="A3626" s="34"/>
      <c r="B3626" s="34"/>
      <c r="C3626" s="34" t="s">
        <v>45</v>
      </c>
      <c r="D3626" s="35" t="s">
        <v>46</v>
      </c>
      <c r="E3626" s="36">
        <f>[1]Source!AQ3466</f>
        <v>24.6</v>
      </c>
      <c r="F3626" s="37"/>
      <c r="G3626" s="38" t="s">
        <v>58</v>
      </c>
      <c r="H3626" s="36">
        <f>[1]Source!AV3467</f>
        <v>1.0469999999999999</v>
      </c>
      <c r="I3626" s="37">
        <f>[1]Source!U3466</f>
        <v>1498.3926911999997</v>
      </c>
      <c r="J3626" s="36"/>
      <c r="K3626" s="37"/>
    </row>
    <row r="3627" spans="1:29" ht="13.8" hidden="1" x14ac:dyDescent="0.25">
      <c r="C3627" s="39" t="s">
        <v>47</v>
      </c>
      <c r="H3627" s="40">
        <f>I3621+I3622+I3624+I3625+0-0-0</f>
        <v>86616.85</v>
      </c>
      <c r="I3627" s="40"/>
      <c r="J3627" s="40">
        <f>K3621+K3622+K3624+K3625+0-0-0</f>
        <v>4253772.4799999995</v>
      </c>
      <c r="K3627" s="40"/>
    </row>
    <row r="3628" spans="1:29" ht="13.8" hidden="1" x14ac:dyDescent="0.25">
      <c r="C3628" s="39" t="s">
        <v>48</v>
      </c>
      <c r="H3628" s="41">
        <f>0+0</f>
        <v>0</v>
      </c>
      <c r="I3628" s="41"/>
      <c r="J3628" s="41">
        <f>0+0</f>
        <v>0</v>
      </c>
      <c r="K3628" s="41"/>
    </row>
    <row r="3629" spans="1:29" ht="13.8" hidden="1" x14ac:dyDescent="0.25">
      <c r="C3629" s="39" t="s">
        <v>49</v>
      </c>
      <c r="H3629" s="41">
        <f>I3621+I3622+I3624+I3625+0</f>
        <v>86616.85</v>
      </c>
      <c r="I3629" s="41"/>
      <c r="J3629" s="41">
        <f>K3621+K3622+K3624+K3625+0</f>
        <v>4253772.4799999995</v>
      </c>
      <c r="K3629" s="41"/>
      <c r="O3629" s="42">
        <f>I3621+I3622+I3624+I3625+0</f>
        <v>86616.85</v>
      </c>
      <c r="P3629" s="42">
        <f>K3621+K3622+K3624+K3625+0</f>
        <v>4253772.4799999995</v>
      </c>
    </row>
    <row r="3630" spans="1:29" hidden="1" x14ac:dyDescent="0.25"/>
    <row r="3631" spans="1:29" ht="57.6" hidden="1" x14ac:dyDescent="0.25">
      <c r="A3631" s="27">
        <v>366</v>
      </c>
      <c r="B3631" s="27" t="str">
        <f>[1]Source!F3468</f>
        <v>6.70-63-16</v>
      </c>
      <c r="C3631" s="27" t="s">
        <v>715</v>
      </c>
      <c r="D3631" s="28" t="str">
        <f>[1]Source!H3468</f>
        <v>100 м2 покрытия</v>
      </c>
      <c r="E3631" s="29">
        <f>[1]Source!I3468</f>
        <v>48.48</v>
      </c>
      <c r="F3631" s="30"/>
      <c r="G3631" s="31"/>
      <c r="H3631" s="29"/>
      <c r="I3631" s="30"/>
      <c r="J3631" s="29"/>
      <c r="K3631" s="30"/>
      <c r="Q3631">
        <f>[1]Source!X3468</f>
        <v>14617.23</v>
      </c>
      <c r="R3631">
        <f>[1]Source!X3469</f>
        <v>823680.72</v>
      </c>
      <c r="S3631">
        <f>[1]Source!Y3468</f>
        <v>8047.69</v>
      </c>
      <c r="T3631">
        <f>[1]Source!Y3469</f>
        <v>453487.14</v>
      </c>
      <c r="U3631">
        <f>ROUND((175/100)*ROUND([1]Source!R3468, 2), 2)</f>
        <v>0</v>
      </c>
      <c r="V3631">
        <f>ROUND((0/100)*ROUND([1]Source!R3469, 2), 2)</f>
        <v>0</v>
      </c>
      <c r="AC3631">
        <v>0</v>
      </c>
    </row>
    <row r="3632" spans="1:29" hidden="1" x14ac:dyDescent="0.25">
      <c r="C3632" s="32" t="str">
        <f>"Объем: "&amp;[1]Source!I3468&amp;"=4848/"&amp;"100"</f>
        <v>Объем: 48,48=4848/100</v>
      </c>
    </row>
    <row r="3633" spans="1:29" ht="14.4" hidden="1" x14ac:dyDescent="0.25">
      <c r="A3633" s="27"/>
      <c r="B3633" s="27"/>
      <c r="C3633" s="27" t="s">
        <v>36</v>
      </c>
      <c r="D3633" s="28"/>
      <c r="E3633" s="29"/>
      <c r="F3633" s="30">
        <f>[1]Source!AO3468</f>
        <v>44.94</v>
      </c>
      <c r="G3633" s="31" t="s">
        <v>716</v>
      </c>
      <c r="H3633" s="29">
        <f>[1]Source!AV3469</f>
        <v>1.0469999999999999</v>
      </c>
      <c r="I3633" s="30">
        <f>[1]Source!S3468</f>
        <v>16423.849999999999</v>
      </c>
      <c r="J3633" s="29">
        <f>IF([1]Source!BA3469&lt;&gt; 0, [1]Source!BA3469, 1)</f>
        <v>56.35</v>
      </c>
      <c r="K3633" s="30">
        <f>[1]Source!S3469</f>
        <v>925483.95</v>
      </c>
    </row>
    <row r="3634" spans="1:29" ht="14.4" hidden="1" x14ac:dyDescent="0.25">
      <c r="A3634" s="27"/>
      <c r="B3634" s="27"/>
      <c r="C3634" s="27" t="s">
        <v>42</v>
      </c>
      <c r="D3634" s="28" t="s">
        <v>43</v>
      </c>
      <c r="E3634" s="29">
        <f>[1]Source!BZ3469</f>
        <v>89</v>
      </c>
      <c r="F3634" s="30"/>
      <c r="G3634" s="31"/>
      <c r="H3634" s="29"/>
      <c r="I3634" s="30">
        <f>SUM(Q3631:Q3633)</f>
        <v>14617.23</v>
      </c>
      <c r="J3634" s="29">
        <f>[1]Source!AT3469</f>
        <v>89</v>
      </c>
      <c r="K3634" s="30">
        <f>SUM(R3631:R3633)</f>
        <v>823680.72</v>
      </c>
    </row>
    <row r="3635" spans="1:29" ht="14.4" hidden="1" x14ac:dyDescent="0.25">
      <c r="A3635" s="27"/>
      <c r="B3635" s="27"/>
      <c r="C3635" s="27" t="s">
        <v>44</v>
      </c>
      <c r="D3635" s="28" t="s">
        <v>43</v>
      </c>
      <c r="E3635" s="29">
        <f>[1]Source!CA3469</f>
        <v>49</v>
      </c>
      <c r="F3635" s="30"/>
      <c r="G3635" s="31"/>
      <c r="H3635" s="29"/>
      <c r="I3635" s="30">
        <f>SUM(S3631:S3634)</f>
        <v>8047.69</v>
      </c>
      <c r="J3635" s="29">
        <f>[1]Source!AU3469</f>
        <v>49</v>
      </c>
      <c r="K3635" s="30">
        <f>SUM(T3631:T3634)</f>
        <v>453487.14</v>
      </c>
    </row>
    <row r="3636" spans="1:29" ht="14.4" hidden="1" x14ac:dyDescent="0.25">
      <c r="A3636" s="34"/>
      <c r="B3636" s="34"/>
      <c r="C3636" s="34" t="s">
        <v>45</v>
      </c>
      <c r="D3636" s="35" t="s">
        <v>46</v>
      </c>
      <c r="E3636" s="36">
        <f>[1]Source!AQ3468</f>
        <v>3</v>
      </c>
      <c r="F3636" s="37"/>
      <c r="G3636" s="38" t="s">
        <v>716</v>
      </c>
      <c r="H3636" s="36">
        <f>[1]Source!AV3469</f>
        <v>1.0469999999999999</v>
      </c>
      <c r="I3636" s="37">
        <f>[1]Source!U3468</f>
        <v>1096.3848959999998</v>
      </c>
      <c r="J3636" s="36"/>
      <c r="K3636" s="37"/>
    </row>
    <row r="3637" spans="1:29" ht="13.8" hidden="1" x14ac:dyDescent="0.25">
      <c r="C3637" s="39" t="s">
        <v>47</v>
      </c>
      <c r="H3637" s="40">
        <f>I3633+I3634+I3635+0-0-0</f>
        <v>39088.769999999997</v>
      </c>
      <c r="I3637" s="40"/>
      <c r="J3637" s="40">
        <f>K3633+K3634+K3635+0-0-0</f>
        <v>2202651.81</v>
      </c>
      <c r="K3637" s="40"/>
    </row>
    <row r="3638" spans="1:29" ht="13.8" hidden="1" x14ac:dyDescent="0.25">
      <c r="C3638" s="39" t="s">
        <v>48</v>
      </c>
      <c r="H3638" s="41">
        <f>0+0</f>
        <v>0</v>
      </c>
      <c r="I3638" s="41"/>
      <c r="J3638" s="41">
        <f>0+0</f>
        <v>0</v>
      </c>
      <c r="K3638" s="41"/>
    </row>
    <row r="3639" spans="1:29" ht="13.8" hidden="1" x14ac:dyDescent="0.25">
      <c r="C3639" s="39" t="s">
        <v>49</v>
      </c>
      <c r="H3639" s="41">
        <f>I3633+I3634+I3635+0</f>
        <v>39088.769999999997</v>
      </c>
      <c r="I3639" s="41"/>
      <c r="J3639" s="41">
        <f>K3633+K3634+K3635+0</f>
        <v>2202651.81</v>
      </c>
      <c r="K3639" s="41"/>
      <c r="O3639" s="42">
        <f>I3633+I3634+I3635+0</f>
        <v>39088.769999999997</v>
      </c>
      <c r="P3639" s="42">
        <f>K3633+K3634+K3635+0</f>
        <v>2202651.81</v>
      </c>
    </row>
    <row r="3640" spans="1:29" hidden="1" x14ac:dyDescent="0.25"/>
    <row r="3641" spans="1:29" hidden="1" x14ac:dyDescent="0.25"/>
    <row r="3642" spans="1:29" ht="13.8" hidden="1" x14ac:dyDescent="0.25">
      <c r="A3642" s="44" t="str">
        <f>CONCATENATE("Итого по подразделу: ",IF([1]Source!G3471&lt;&gt;"Новый подраздел", [1]Source!G3471, ""))</f>
        <v>Итого по подразделу: Демонтажные работы</v>
      </c>
      <c r="B3642" s="44"/>
      <c r="C3642" s="44"/>
      <c r="D3642" s="44"/>
      <c r="E3642" s="44"/>
      <c r="F3642" s="44"/>
      <c r="G3642" s="44"/>
      <c r="H3642" s="41">
        <f>SUM(O3586:O3641)</f>
        <v>235606.85</v>
      </c>
      <c r="I3642" s="45"/>
      <c r="J3642" s="41">
        <f>SUM(P3586:P3641)</f>
        <v>12613987.130000001</v>
      </c>
      <c r="K3642" s="45"/>
    </row>
    <row r="3643" spans="1:29" hidden="1" x14ac:dyDescent="0.25">
      <c r="A3643" t="s">
        <v>55</v>
      </c>
      <c r="I3643">
        <f>SUM(W3586:W3642)</f>
        <v>0</v>
      </c>
      <c r="J3643">
        <f>SUM(X3586:X3642)</f>
        <v>0</v>
      </c>
    </row>
    <row r="3644" spans="1:29" hidden="1" x14ac:dyDescent="0.25">
      <c r="A3644" t="s">
        <v>56</v>
      </c>
      <c r="I3644">
        <f>SUM(Y3586:Y3643)</f>
        <v>0</v>
      </c>
      <c r="J3644">
        <f>SUM(Z3586:Z3643)</f>
        <v>0</v>
      </c>
    </row>
    <row r="3645" spans="1:29" hidden="1" x14ac:dyDescent="0.25"/>
    <row r="3646" spans="1:29" ht="16.8" hidden="1" x14ac:dyDescent="0.25">
      <c r="A3646" s="11" t="str">
        <f>CONCATENATE("Подраздел: ",IF([1]Source!G3501&lt;&gt;"Новый подраздел", [1]Source!G3501, ""))</f>
        <v>Подраздел: Подвал. Керамогранит 1195х600 мм</v>
      </c>
      <c r="B3646" s="11"/>
      <c r="C3646" s="11"/>
      <c r="D3646" s="11"/>
      <c r="E3646" s="11"/>
      <c r="F3646" s="11"/>
      <c r="G3646" s="11"/>
      <c r="H3646" s="11"/>
      <c r="I3646" s="11"/>
      <c r="J3646" s="11"/>
      <c r="K3646" s="11"/>
    </row>
    <row r="3647" spans="1:29" ht="57.6" hidden="1" x14ac:dyDescent="0.25">
      <c r="A3647" s="27">
        <v>367</v>
      </c>
      <c r="B3647" s="27" t="str">
        <f>[1]Source!F3505</f>
        <v>3.70-159-1</v>
      </c>
      <c r="C3647" s="27" t="s">
        <v>717</v>
      </c>
      <c r="D3647" s="28" t="str">
        <f>[1]Source!H3505</f>
        <v>100 м2 стяжки</v>
      </c>
      <c r="E3647" s="29">
        <f>[1]Source!I3505</f>
        <v>0.89</v>
      </c>
      <c r="F3647" s="30"/>
      <c r="G3647" s="31"/>
      <c r="H3647" s="29"/>
      <c r="I3647" s="30"/>
      <c r="J3647" s="29"/>
      <c r="K3647" s="30"/>
      <c r="Q3647">
        <f>[1]Source!X3505</f>
        <v>422.69</v>
      </c>
      <c r="R3647">
        <f>[1]Source!X3506</f>
        <v>23818.3</v>
      </c>
      <c r="S3647">
        <f>[1]Source!Y3505</f>
        <v>230.18</v>
      </c>
      <c r="T3647">
        <f>[1]Source!Y3506</f>
        <v>12970.36</v>
      </c>
      <c r="U3647">
        <f>ROUND((175/100)*ROUND([1]Source!R3505, 2), 2)</f>
        <v>0</v>
      </c>
      <c r="V3647">
        <f>ROUND((0/100)*ROUND([1]Source!R3506, 2), 2)</f>
        <v>0</v>
      </c>
      <c r="AC3647">
        <v>0</v>
      </c>
    </row>
    <row r="3648" spans="1:29" hidden="1" x14ac:dyDescent="0.25">
      <c r="C3648" s="32" t="str">
        <f>"Объем: "&amp;[1]Source!I3505&amp;"=89/"&amp;"100"</f>
        <v>Объем: 0,89=89/100</v>
      </c>
    </row>
    <row r="3649" spans="1:29" ht="14.4" hidden="1" x14ac:dyDescent="0.25">
      <c r="A3649" s="27"/>
      <c r="B3649" s="27"/>
      <c r="C3649" s="27" t="s">
        <v>36</v>
      </c>
      <c r="D3649" s="28"/>
      <c r="E3649" s="29"/>
      <c r="F3649" s="30">
        <f>[1]Source!AO3505</f>
        <v>325.45</v>
      </c>
      <c r="G3649" s="31" t="s">
        <v>37</v>
      </c>
      <c r="H3649" s="29">
        <f>[1]Source!AV3506</f>
        <v>1.0469999999999999</v>
      </c>
      <c r="I3649" s="30">
        <f>[1]Source!S3505</f>
        <v>418.5</v>
      </c>
      <c r="J3649" s="29">
        <f>IF([1]Source!BA3506&lt;&gt; 0, [1]Source!BA3506, 1)</f>
        <v>56.35</v>
      </c>
      <c r="K3649" s="30">
        <f>[1]Source!S3506</f>
        <v>23582.48</v>
      </c>
    </row>
    <row r="3650" spans="1:29" ht="14.4" hidden="1" x14ac:dyDescent="0.25">
      <c r="A3650" s="27"/>
      <c r="B3650" s="27"/>
      <c r="C3650" s="27" t="s">
        <v>38</v>
      </c>
      <c r="D3650" s="28"/>
      <c r="E3650" s="29"/>
      <c r="F3650" s="30">
        <f>[1]Source!AM3505</f>
        <v>1.8</v>
      </c>
      <c r="G3650" s="31" t="s">
        <v>39</v>
      </c>
      <c r="H3650" s="29">
        <f>[1]Source!AV3506</f>
        <v>1.0469999999999999</v>
      </c>
      <c r="I3650" s="30">
        <f>[1]Source!Q3505</f>
        <v>2.52</v>
      </c>
      <c r="J3650" s="29">
        <f>IF([1]Source!BB3506&lt;&gt; 0, [1]Source!BB3506, 1)</f>
        <v>11.69</v>
      </c>
      <c r="K3650" s="30">
        <f>[1]Source!Q3506</f>
        <v>29.46</v>
      </c>
    </row>
    <row r="3651" spans="1:29" ht="14.4" hidden="1" x14ac:dyDescent="0.25">
      <c r="A3651" s="27"/>
      <c r="B3651" s="27"/>
      <c r="C3651" s="27" t="s">
        <v>41</v>
      </c>
      <c r="D3651" s="28"/>
      <c r="E3651" s="29"/>
      <c r="F3651" s="30">
        <f>[1]Source!AL3505</f>
        <v>24.75</v>
      </c>
      <c r="G3651" s="31"/>
      <c r="H3651" s="29">
        <f>[1]Source!AW3506</f>
        <v>1</v>
      </c>
      <c r="I3651" s="30">
        <f>[1]Source!P3505</f>
        <v>22.03</v>
      </c>
      <c r="J3651" s="29">
        <f>IF([1]Source!BC3506&lt;&gt; 0, [1]Source!BC3506, 1)</f>
        <v>7.75</v>
      </c>
      <c r="K3651" s="30">
        <f>[1]Source!P3506</f>
        <v>170.73</v>
      </c>
    </row>
    <row r="3652" spans="1:29" ht="27.6" hidden="1" x14ac:dyDescent="0.25">
      <c r="A3652" s="27" t="s">
        <v>718</v>
      </c>
      <c r="B3652" s="27" t="str">
        <f>[1]Source!F3507</f>
        <v>1.3-2-6</v>
      </c>
      <c r="C3652" s="27" t="s">
        <v>149</v>
      </c>
      <c r="D3652" s="28" t="str">
        <f>[1]Source!H3507</f>
        <v>м3</v>
      </c>
      <c r="E3652" s="29">
        <f>[1]Source!I3507</f>
        <v>1.8156000000000001</v>
      </c>
      <c r="F3652" s="30">
        <f>[1]Source!AK3507</f>
        <v>467.32</v>
      </c>
      <c r="G3652" s="43" t="s">
        <v>54</v>
      </c>
      <c r="H3652" s="29">
        <f>[1]Source!AW3508</f>
        <v>1</v>
      </c>
      <c r="I3652" s="30">
        <f>[1]Source!O3507</f>
        <v>848.47</v>
      </c>
      <c r="J3652" s="29">
        <f>IF([1]Source!BC3508&lt;&gt; 0, [1]Source!BC3508, 1)</f>
        <v>11.07</v>
      </c>
      <c r="K3652" s="30">
        <f>[1]Source!O3508</f>
        <v>9392.56</v>
      </c>
      <c r="Q3652">
        <f>[1]Source!X3507</f>
        <v>0</v>
      </c>
      <c r="R3652">
        <f>[1]Source!X3508</f>
        <v>0</v>
      </c>
      <c r="S3652">
        <f>[1]Source!Y3507</f>
        <v>0</v>
      </c>
      <c r="T3652">
        <f>[1]Source!Y3508</f>
        <v>0</v>
      </c>
      <c r="U3652">
        <f>ROUND((175/100)*ROUND([1]Source!R3507, 2), 2)</f>
        <v>0</v>
      </c>
      <c r="V3652">
        <f>ROUND((0/100)*ROUND([1]Source!R3508, 2), 2)</f>
        <v>0</v>
      </c>
      <c r="AC3652">
        <v>3</v>
      </c>
    </row>
    <row r="3653" spans="1:29" ht="14.4" hidden="1" x14ac:dyDescent="0.25">
      <c r="A3653" s="27"/>
      <c r="B3653" s="27"/>
      <c r="C3653" s="27" t="s">
        <v>42</v>
      </c>
      <c r="D3653" s="28" t="s">
        <v>43</v>
      </c>
      <c r="E3653" s="29">
        <f>[1]Source!BZ3506</f>
        <v>101</v>
      </c>
      <c r="F3653" s="30"/>
      <c r="G3653" s="31"/>
      <c r="H3653" s="29"/>
      <c r="I3653" s="30">
        <f>SUM(Q3647:Q3652)</f>
        <v>422.69</v>
      </c>
      <c r="J3653" s="29">
        <f>[1]Source!AT3506</f>
        <v>101</v>
      </c>
      <c r="K3653" s="30">
        <f>SUM(R3647:R3652)</f>
        <v>23818.3</v>
      </c>
    </row>
    <row r="3654" spans="1:29" ht="14.4" hidden="1" x14ac:dyDescent="0.25">
      <c r="A3654" s="27"/>
      <c r="B3654" s="27"/>
      <c r="C3654" s="27" t="s">
        <v>44</v>
      </c>
      <c r="D3654" s="28" t="s">
        <v>43</v>
      </c>
      <c r="E3654" s="29">
        <f>[1]Source!CA3506</f>
        <v>55</v>
      </c>
      <c r="F3654" s="30"/>
      <c r="G3654" s="31"/>
      <c r="H3654" s="29"/>
      <c r="I3654" s="30">
        <f>SUM(S3647:S3653)</f>
        <v>230.18</v>
      </c>
      <c r="J3654" s="29">
        <f>[1]Source!AU3506</f>
        <v>55</v>
      </c>
      <c r="K3654" s="30">
        <f>SUM(T3647:T3653)</f>
        <v>12970.36</v>
      </c>
    </row>
    <row r="3655" spans="1:29" ht="14.4" hidden="1" x14ac:dyDescent="0.25">
      <c r="A3655" s="34"/>
      <c r="B3655" s="34"/>
      <c r="C3655" s="34" t="s">
        <v>45</v>
      </c>
      <c r="D3655" s="35" t="s">
        <v>46</v>
      </c>
      <c r="E3655" s="36">
        <f>[1]Source!AQ3505</f>
        <v>23.33</v>
      </c>
      <c r="F3655" s="37"/>
      <c r="G3655" s="38" t="s">
        <v>37</v>
      </c>
      <c r="H3655" s="36">
        <f>[1]Source!AV3506</f>
        <v>1.0469999999999999</v>
      </c>
      <c r="I3655" s="37">
        <f>[1]Source!U3505</f>
        <v>30.000639581999994</v>
      </c>
      <c r="J3655" s="36"/>
      <c r="K3655" s="37"/>
    </row>
    <row r="3656" spans="1:29" ht="13.8" hidden="1" x14ac:dyDescent="0.25">
      <c r="C3656" s="39" t="s">
        <v>47</v>
      </c>
      <c r="H3656" s="40">
        <f>I3649+I3650+I3651+I3653+I3654+SUM(I3652:I3652)-SUMIF(AC3652:AC3652, 5, I3652:I3652)-SUMIF(AC3652:AC3652, 6, I3652:I3652)</f>
        <v>1944.39</v>
      </c>
      <c r="I3656" s="40"/>
      <c r="J3656" s="40">
        <f>K3649+K3650+K3651+K3653+K3654+SUM(K3652:K3652)-SUMIF(AC3652:AC3652, 5, K3652:K3652)-SUMIF(AC3652:AC3652, 6, K3652:K3652)</f>
        <v>69963.89</v>
      </c>
      <c r="K3656" s="40"/>
    </row>
    <row r="3657" spans="1:29" ht="13.8" hidden="1" x14ac:dyDescent="0.25">
      <c r="C3657" s="39" t="s">
        <v>48</v>
      </c>
      <c r="H3657" s="41">
        <f>SUMIF(AC3652:AC3652, 5, I3652:I3652)+SUMIF(AC3652:AC3652, 6, I3652:I3652)</f>
        <v>0</v>
      </c>
      <c r="I3657" s="41"/>
      <c r="J3657" s="41">
        <f>SUMIF(AC3652:AC3652, 5, K3652:K3652)+SUMIF(AC3652:AC3652, 6, K3652:K3652)</f>
        <v>0</v>
      </c>
      <c r="K3657" s="41"/>
    </row>
    <row r="3658" spans="1:29" ht="13.8" hidden="1" x14ac:dyDescent="0.25">
      <c r="C3658" s="39" t="s">
        <v>49</v>
      </c>
      <c r="H3658" s="41">
        <f>I3649+I3650+I3651+I3653+I3654+SUM(I3652:I3652)</f>
        <v>1944.39</v>
      </c>
      <c r="I3658" s="41"/>
      <c r="J3658" s="41">
        <f>K3649+K3650+K3651+K3653+K3654+SUM(K3652:K3652)</f>
        <v>69963.89</v>
      </c>
      <c r="K3658" s="41"/>
      <c r="O3658" s="42">
        <f>I3649+I3650+I3651+I3653+I3654+SUM(I3652:I3652)</f>
        <v>1944.39</v>
      </c>
      <c r="P3658" s="42">
        <f>K3649+K3650+K3651+K3653+K3654+SUM(K3652:K3652)</f>
        <v>69963.89</v>
      </c>
    </row>
    <row r="3659" spans="1:29" hidden="1" x14ac:dyDescent="0.25"/>
    <row r="3660" spans="1:29" ht="57.6" hidden="1" x14ac:dyDescent="0.25">
      <c r="A3660" s="27">
        <v>368</v>
      </c>
      <c r="B3660" s="27" t="str">
        <f>[1]Source!F3509</f>
        <v>3.70-159-2</v>
      </c>
      <c r="C3660" s="27" t="s">
        <v>719</v>
      </c>
      <c r="D3660" s="28" t="str">
        <f>[1]Source!H3509</f>
        <v>100 м2 стяжки</v>
      </c>
      <c r="E3660" s="29">
        <f>[1]Source!I3509</f>
        <v>0.89</v>
      </c>
      <c r="F3660" s="30"/>
      <c r="G3660" s="31"/>
      <c r="H3660" s="29"/>
      <c r="I3660" s="30"/>
      <c r="J3660" s="29"/>
      <c r="K3660" s="30"/>
      <c r="Q3660">
        <f>[1]Source!X3509</f>
        <v>62.65</v>
      </c>
      <c r="R3660">
        <f>[1]Source!X3510</f>
        <v>3530.34</v>
      </c>
      <c r="S3660">
        <f>[1]Source!Y3509</f>
        <v>34.119999999999997</v>
      </c>
      <c r="T3660">
        <f>[1]Source!Y3510</f>
        <v>1922.46</v>
      </c>
      <c r="U3660">
        <f>ROUND((175/100)*ROUND([1]Source!R3509, 2), 2)</f>
        <v>0</v>
      </c>
      <c r="V3660">
        <f>ROUND((0/100)*ROUND([1]Source!R3510, 2), 2)</f>
        <v>0</v>
      </c>
      <c r="AC3660">
        <v>0</v>
      </c>
    </row>
    <row r="3661" spans="1:29" hidden="1" x14ac:dyDescent="0.25">
      <c r="C3661" s="32" t="str">
        <f>"Объем: "&amp;[1]Source!I3509&amp;"=89/"&amp;"100"</f>
        <v>Объем: 0,89=89/100</v>
      </c>
    </row>
    <row r="3662" spans="1:29" ht="14.4" hidden="1" x14ac:dyDescent="0.25">
      <c r="A3662" s="27"/>
      <c r="B3662" s="27"/>
      <c r="C3662" s="27" t="s">
        <v>36</v>
      </c>
      <c r="D3662" s="28"/>
      <c r="E3662" s="29"/>
      <c r="F3662" s="30">
        <f>[1]Source!AO3509</f>
        <v>6.03</v>
      </c>
      <c r="G3662" s="31" t="s">
        <v>720</v>
      </c>
      <c r="H3662" s="29">
        <f>[1]Source!AV3510</f>
        <v>1.0469999999999999</v>
      </c>
      <c r="I3662" s="30">
        <f>[1]Source!S3509</f>
        <v>62.03</v>
      </c>
      <c r="J3662" s="29">
        <f>IF([1]Source!BA3510&lt;&gt; 0, [1]Source!BA3510, 1)</f>
        <v>56.35</v>
      </c>
      <c r="K3662" s="30">
        <f>[1]Source!S3510</f>
        <v>3495.39</v>
      </c>
    </row>
    <row r="3663" spans="1:29" ht="14.4" hidden="1" x14ac:dyDescent="0.25">
      <c r="A3663" s="27"/>
      <c r="B3663" s="27"/>
      <c r="C3663" s="27" t="s">
        <v>38</v>
      </c>
      <c r="D3663" s="28"/>
      <c r="E3663" s="29"/>
      <c r="F3663" s="30">
        <f>[1]Source!AM3509</f>
        <v>0.46</v>
      </c>
      <c r="G3663" s="31" t="s">
        <v>721</v>
      </c>
      <c r="H3663" s="29">
        <f>[1]Source!AV3510</f>
        <v>1.0469999999999999</v>
      </c>
      <c r="I3663" s="30">
        <f>[1]Source!Q3509</f>
        <v>5.14</v>
      </c>
      <c r="J3663" s="29">
        <f>IF([1]Source!BB3510&lt;&gt; 0, [1]Source!BB3510, 1)</f>
        <v>11.7</v>
      </c>
      <c r="K3663" s="30">
        <f>[1]Source!Q3510</f>
        <v>60.14</v>
      </c>
    </row>
    <row r="3664" spans="1:29" ht="27.6" hidden="1" x14ac:dyDescent="0.25">
      <c r="A3664" s="27" t="s">
        <v>722</v>
      </c>
      <c r="B3664" s="27" t="str">
        <f>[1]Source!F3511</f>
        <v>1.3-2-6</v>
      </c>
      <c r="C3664" s="27" t="s">
        <v>149</v>
      </c>
      <c r="D3664" s="28" t="str">
        <f>[1]Source!H3511</f>
        <v>м3</v>
      </c>
      <c r="E3664" s="29">
        <f>[1]Source!I3511</f>
        <v>3.6312000000000002</v>
      </c>
      <c r="F3664" s="30">
        <f>[1]Source!AK3511</f>
        <v>467.32</v>
      </c>
      <c r="G3664" s="43" t="s">
        <v>54</v>
      </c>
      <c r="H3664" s="29">
        <f>[1]Source!AW3512</f>
        <v>1</v>
      </c>
      <c r="I3664" s="30">
        <f>[1]Source!O3511</f>
        <v>1696.93</v>
      </c>
      <c r="J3664" s="29">
        <f>IF([1]Source!BC3512&lt;&gt; 0, [1]Source!BC3512, 1)</f>
        <v>11.07</v>
      </c>
      <c r="K3664" s="30">
        <f>[1]Source!O3512</f>
        <v>18785.02</v>
      </c>
      <c r="Q3664">
        <f>[1]Source!X3511</f>
        <v>0</v>
      </c>
      <c r="R3664">
        <f>[1]Source!X3512</f>
        <v>0</v>
      </c>
      <c r="S3664">
        <f>[1]Source!Y3511</f>
        <v>0</v>
      </c>
      <c r="T3664">
        <f>[1]Source!Y3512</f>
        <v>0</v>
      </c>
      <c r="U3664">
        <f>ROUND((175/100)*ROUND([1]Source!R3511, 2), 2)</f>
        <v>0</v>
      </c>
      <c r="V3664">
        <f>ROUND((0/100)*ROUND([1]Source!R3512, 2), 2)</f>
        <v>0</v>
      </c>
      <c r="AC3664">
        <v>3</v>
      </c>
    </row>
    <row r="3665" spans="1:29" ht="14.4" hidden="1" x14ac:dyDescent="0.25">
      <c r="A3665" s="27"/>
      <c r="B3665" s="27"/>
      <c r="C3665" s="27" t="s">
        <v>42</v>
      </c>
      <c r="D3665" s="28" t="s">
        <v>43</v>
      </c>
      <c r="E3665" s="29">
        <f>[1]Source!BZ3510</f>
        <v>101</v>
      </c>
      <c r="F3665" s="30"/>
      <c r="G3665" s="31"/>
      <c r="H3665" s="29"/>
      <c r="I3665" s="30">
        <f>SUM(Q3660:Q3664)</f>
        <v>62.65</v>
      </c>
      <c r="J3665" s="29">
        <f>[1]Source!AT3510</f>
        <v>101</v>
      </c>
      <c r="K3665" s="30">
        <f>SUM(R3660:R3664)</f>
        <v>3530.34</v>
      </c>
    </row>
    <row r="3666" spans="1:29" ht="14.4" hidden="1" x14ac:dyDescent="0.25">
      <c r="A3666" s="27"/>
      <c r="B3666" s="27"/>
      <c r="C3666" s="27" t="s">
        <v>44</v>
      </c>
      <c r="D3666" s="28" t="s">
        <v>43</v>
      </c>
      <c r="E3666" s="29">
        <f>[1]Source!CA3510</f>
        <v>55</v>
      </c>
      <c r="F3666" s="30"/>
      <c r="G3666" s="31"/>
      <c r="H3666" s="29"/>
      <c r="I3666" s="30">
        <f>SUM(S3660:S3665)</f>
        <v>34.119999999999997</v>
      </c>
      <c r="J3666" s="29">
        <f>[1]Source!AU3510</f>
        <v>55</v>
      </c>
      <c r="K3666" s="30">
        <f>SUM(T3660:T3665)</f>
        <v>1922.46</v>
      </c>
    </row>
    <row r="3667" spans="1:29" ht="14.4" hidden="1" x14ac:dyDescent="0.25">
      <c r="A3667" s="34"/>
      <c r="B3667" s="34"/>
      <c r="C3667" s="34" t="s">
        <v>45</v>
      </c>
      <c r="D3667" s="35" t="s">
        <v>46</v>
      </c>
      <c r="E3667" s="36">
        <f>[1]Source!AQ3509</f>
        <v>0.44</v>
      </c>
      <c r="F3667" s="37"/>
      <c r="G3667" s="38" t="s">
        <v>720</v>
      </c>
      <c r="H3667" s="36">
        <f>[1]Source!AV3510</f>
        <v>1.0469999999999999</v>
      </c>
      <c r="I3667" s="37">
        <f>[1]Source!U3509</f>
        <v>4.5264574079999997</v>
      </c>
      <c r="J3667" s="36"/>
      <c r="K3667" s="37"/>
    </row>
    <row r="3668" spans="1:29" ht="13.8" hidden="1" x14ac:dyDescent="0.25">
      <c r="C3668" s="39" t="s">
        <v>47</v>
      </c>
      <c r="H3668" s="40">
        <f>I3662+I3663+I3665+I3666+SUM(I3664:I3664)-SUMIF(AC3664:AC3664, 5, I3664:I3664)-SUMIF(AC3664:AC3664, 6, I3664:I3664)</f>
        <v>1860.8700000000001</v>
      </c>
      <c r="I3668" s="40"/>
      <c r="J3668" s="40">
        <f>K3662+K3663+K3665+K3666+SUM(K3664:K3664)-SUMIF(AC3664:AC3664, 5, K3664:K3664)-SUMIF(AC3664:AC3664, 6, K3664:K3664)</f>
        <v>27793.35</v>
      </c>
      <c r="K3668" s="40"/>
    </row>
    <row r="3669" spans="1:29" ht="13.8" hidden="1" x14ac:dyDescent="0.25">
      <c r="C3669" s="39" t="s">
        <v>48</v>
      </c>
      <c r="H3669" s="41">
        <f>SUMIF(AC3664:AC3664, 5, I3664:I3664)+SUMIF(AC3664:AC3664, 6, I3664:I3664)</f>
        <v>0</v>
      </c>
      <c r="I3669" s="41"/>
      <c r="J3669" s="41">
        <f>SUMIF(AC3664:AC3664, 5, K3664:K3664)+SUMIF(AC3664:AC3664, 6, K3664:K3664)</f>
        <v>0</v>
      </c>
      <c r="K3669" s="41"/>
    </row>
    <row r="3670" spans="1:29" ht="13.8" hidden="1" x14ac:dyDescent="0.25">
      <c r="C3670" s="39" t="s">
        <v>49</v>
      </c>
      <c r="H3670" s="41">
        <f>I3662+I3663+I3665+I3666+SUM(I3664:I3664)</f>
        <v>1860.8700000000001</v>
      </c>
      <c r="I3670" s="41"/>
      <c r="J3670" s="41">
        <f>K3662+K3663+K3665+K3666+SUM(K3664:K3664)</f>
        <v>27793.35</v>
      </c>
      <c r="K3670" s="41"/>
      <c r="O3670" s="42">
        <f>I3662+I3663+I3665+I3666+SUM(I3664:I3664)</f>
        <v>1860.8700000000001</v>
      </c>
      <c r="P3670" s="42">
        <f>K3662+K3663+K3665+K3666+SUM(K3664:K3664)</f>
        <v>27793.35</v>
      </c>
    </row>
    <row r="3671" spans="1:29" hidden="1" x14ac:dyDescent="0.25"/>
    <row r="3672" spans="1:29" ht="27.6" hidden="1" x14ac:dyDescent="0.25">
      <c r="A3672" s="27">
        <v>369</v>
      </c>
      <c r="B3672" s="27" t="str">
        <f>[1]Source!F3513</f>
        <v>3.70-43-6</v>
      </c>
      <c r="C3672" s="27" t="s">
        <v>723</v>
      </c>
      <c r="D3672" s="28" t="str">
        <f>[1]Source!H3513</f>
        <v>1 Т</v>
      </c>
      <c r="E3672" s="29">
        <f>[1]Source!I3513</f>
        <v>0.24475</v>
      </c>
      <c r="F3672" s="30"/>
      <c r="G3672" s="31"/>
      <c r="H3672" s="29"/>
      <c r="I3672" s="30"/>
      <c r="J3672" s="29"/>
      <c r="K3672" s="30"/>
      <c r="Q3672">
        <f>[1]Source!X3513</f>
        <v>60.5</v>
      </c>
      <c r="R3672">
        <f>[1]Source!X3514</f>
        <v>3409.13</v>
      </c>
      <c r="S3672">
        <f>[1]Source!Y3513</f>
        <v>32.22</v>
      </c>
      <c r="T3672">
        <f>[1]Source!Y3514</f>
        <v>1815.73</v>
      </c>
      <c r="U3672">
        <f>ROUND((175/100)*ROUND([1]Source!R3513, 2), 2)</f>
        <v>3.4</v>
      </c>
      <c r="V3672">
        <f>ROUND((0/100)*ROUND([1]Source!R3514, 2), 2)</f>
        <v>0</v>
      </c>
      <c r="AC3672">
        <v>0</v>
      </c>
    </row>
    <row r="3673" spans="1:29" hidden="1" x14ac:dyDescent="0.25">
      <c r="C3673" s="32" t="str">
        <f>"Объем: "&amp;[1]Source!I3513&amp;"=(2,75*"&amp;"89)/"&amp;"1000"</f>
        <v>Объем: 0,24475=(2,75*89)/1000</v>
      </c>
    </row>
    <row r="3674" spans="1:29" ht="14.4" hidden="1" x14ac:dyDescent="0.25">
      <c r="A3674" s="27"/>
      <c r="B3674" s="27"/>
      <c r="C3674" s="27" t="s">
        <v>36</v>
      </c>
      <c r="D3674" s="28"/>
      <c r="E3674" s="29"/>
      <c r="F3674" s="30">
        <f>[1]Source!AO3513</f>
        <v>180.47</v>
      </c>
      <c r="G3674" s="31" t="s">
        <v>37</v>
      </c>
      <c r="H3674" s="29">
        <f>[1]Source!AV3514</f>
        <v>1.0469999999999999</v>
      </c>
      <c r="I3674" s="30">
        <f>[1]Source!S3513</f>
        <v>63.82</v>
      </c>
      <c r="J3674" s="29">
        <f>IF([1]Source!BA3514&lt;&gt; 0, [1]Source!BA3514, 1)</f>
        <v>56.35</v>
      </c>
      <c r="K3674" s="30">
        <f>[1]Source!S3514</f>
        <v>3596.26</v>
      </c>
    </row>
    <row r="3675" spans="1:29" ht="14.4" hidden="1" x14ac:dyDescent="0.25">
      <c r="A3675" s="27"/>
      <c r="B3675" s="27"/>
      <c r="C3675" s="27" t="s">
        <v>38</v>
      </c>
      <c r="D3675" s="28"/>
      <c r="E3675" s="29"/>
      <c r="F3675" s="30">
        <f>[1]Source!AM3513</f>
        <v>43.5</v>
      </c>
      <c r="G3675" s="31" t="s">
        <v>39</v>
      </c>
      <c r="H3675" s="29">
        <f>[1]Source!AV3514</f>
        <v>1.0469999999999999</v>
      </c>
      <c r="I3675" s="30">
        <f>[1]Source!Q3513</f>
        <v>16.72</v>
      </c>
      <c r="J3675" s="29">
        <f>IF([1]Source!BB3514&lt;&gt; 0, [1]Source!BB3514, 1)</f>
        <v>15.44</v>
      </c>
      <c r="K3675" s="30">
        <f>[1]Source!Q3514</f>
        <v>258.16000000000003</v>
      </c>
    </row>
    <row r="3676" spans="1:29" ht="14.4" hidden="1" x14ac:dyDescent="0.25">
      <c r="A3676" s="27"/>
      <c r="B3676" s="27"/>
      <c r="C3676" s="27" t="s">
        <v>40</v>
      </c>
      <c r="D3676" s="28"/>
      <c r="E3676" s="29"/>
      <c r="F3676" s="30">
        <f>[1]Source!AN3513</f>
        <v>5.0599999999999996</v>
      </c>
      <c r="G3676" s="31" t="s">
        <v>39</v>
      </c>
      <c r="H3676" s="29">
        <f>[1]Source!AV3514</f>
        <v>1.0469999999999999</v>
      </c>
      <c r="I3676" s="33">
        <f>[1]Source!R3513</f>
        <v>1.94</v>
      </c>
      <c r="J3676" s="29">
        <f>IF([1]Source!BS3514&lt;&gt; 0, [1]Source!BS3514, 1)</f>
        <v>56.35</v>
      </c>
      <c r="K3676" s="33">
        <f>[1]Source!R3514</f>
        <v>109.32</v>
      </c>
    </row>
    <row r="3677" spans="1:29" ht="14.4" hidden="1" x14ac:dyDescent="0.25">
      <c r="A3677" s="27"/>
      <c r="B3677" s="27"/>
      <c r="C3677" s="27" t="s">
        <v>41</v>
      </c>
      <c r="D3677" s="28"/>
      <c r="E3677" s="29"/>
      <c r="F3677" s="30">
        <f>[1]Source!AL3513</f>
        <v>258.67</v>
      </c>
      <c r="G3677" s="31"/>
      <c r="H3677" s="29">
        <f>[1]Source!AW3514</f>
        <v>1.022</v>
      </c>
      <c r="I3677" s="30">
        <f>[1]Source!P3513</f>
        <v>64.7</v>
      </c>
      <c r="J3677" s="29">
        <f>IF([1]Source!BC3514&lt;&gt; 0, [1]Source!BC3514, 1)</f>
        <v>7.5</v>
      </c>
      <c r="K3677" s="30">
        <f>[1]Source!P3514</f>
        <v>485.25</v>
      </c>
    </row>
    <row r="3678" spans="1:29" ht="55.2" hidden="1" x14ac:dyDescent="0.25">
      <c r="A3678" s="27" t="s">
        <v>724</v>
      </c>
      <c r="B3678" s="27" t="str">
        <f>[1]Source!F3515</f>
        <v>1.3-4-75</v>
      </c>
      <c r="C3678" s="27" t="s">
        <v>725</v>
      </c>
      <c r="D3678" s="28" t="str">
        <f>[1]Source!H3515</f>
        <v>т</v>
      </c>
      <c r="E3678" s="29">
        <f>[1]Source!I3515</f>
        <v>0.24475</v>
      </c>
      <c r="F3678" s="30">
        <f>[1]Source!AK3515</f>
        <v>9724.69</v>
      </c>
      <c r="G3678" s="43" t="s">
        <v>54</v>
      </c>
      <c r="H3678" s="29">
        <f>[1]Source!AW3516</f>
        <v>1.022</v>
      </c>
      <c r="I3678" s="30">
        <f>[1]Source!O3515</f>
        <v>2432.48</v>
      </c>
      <c r="J3678" s="29">
        <f>IF([1]Source!BC3516&lt;&gt; 0, [1]Source!BC3516, 1)</f>
        <v>3.88</v>
      </c>
      <c r="K3678" s="30">
        <f>[1]Source!O3516</f>
        <v>9438.02</v>
      </c>
      <c r="Q3678">
        <f>[1]Source!X3515</f>
        <v>0</v>
      </c>
      <c r="R3678">
        <f>[1]Source!X3516</f>
        <v>0</v>
      </c>
      <c r="S3678">
        <f>[1]Source!Y3515</f>
        <v>0</v>
      </c>
      <c r="T3678">
        <f>[1]Source!Y3516</f>
        <v>0</v>
      </c>
      <c r="U3678">
        <f>ROUND((175/100)*ROUND([1]Source!R3515, 2), 2)</f>
        <v>0</v>
      </c>
      <c r="V3678">
        <f>ROUND((0/100)*ROUND([1]Source!R3516, 2), 2)</f>
        <v>0</v>
      </c>
      <c r="AC3678">
        <v>3</v>
      </c>
    </row>
    <row r="3679" spans="1:29" ht="14.4" hidden="1" x14ac:dyDescent="0.25">
      <c r="A3679" s="27"/>
      <c r="B3679" s="27"/>
      <c r="C3679" s="27" t="s">
        <v>42</v>
      </c>
      <c r="D3679" s="28" t="s">
        <v>43</v>
      </c>
      <c r="E3679" s="29">
        <f>[1]Source!BZ3514</f>
        <v>92</v>
      </c>
      <c r="F3679" s="30"/>
      <c r="G3679" s="31"/>
      <c r="H3679" s="29"/>
      <c r="I3679" s="30">
        <f>SUM(Q3672:Q3678)</f>
        <v>60.5</v>
      </c>
      <c r="J3679" s="29">
        <f>[1]Source!AT3514</f>
        <v>92</v>
      </c>
      <c r="K3679" s="30">
        <f>SUM(R3672:R3678)</f>
        <v>3409.13</v>
      </c>
    </row>
    <row r="3680" spans="1:29" ht="14.4" hidden="1" x14ac:dyDescent="0.25">
      <c r="A3680" s="27"/>
      <c r="B3680" s="27"/>
      <c r="C3680" s="27" t="s">
        <v>44</v>
      </c>
      <c r="D3680" s="28" t="s">
        <v>43</v>
      </c>
      <c r="E3680" s="29">
        <f>[1]Source!CA3514</f>
        <v>49</v>
      </c>
      <c r="F3680" s="30"/>
      <c r="G3680" s="31"/>
      <c r="H3680" s="29"/>
      <c r="I3680" s="30">
        <f>SUM(S3672:S3679)</f>
        <v>32.22</v>
      </c>
      <c r="J3680" s="29">
        <f>[1]Source!AU3514</f>
        <v>49</v>
      </c>
      <c r="K3680" s="30">
        <f>SUM(T3672:T3679)</f>
        <v>1815.73</v>
      </c>
    </row>
    <row r="3681" spans="1:29" ht="14.4" hidden="1" x14ac:dyDescent="0.25">
      <c r="A3681" s="34"/>
      <c r="B3681" s="34"/>
      <c r="C3681" s="34" t="s">
        <v>45</v>
      </c>
      <c r="D3681" s="35" t="s">
        <v>46</v>
      </c>
      <c r="E3681" s="36">
        <f>[1]Source!AQ3513</f>
        <v>11.6</v>
      </c>
      <c r="F3681" s="37"/>
      <c r="G3681" s="38" t="s">
        <v>37</v>
      </c>
      <c r="H3681" s="36">
        <f>[1]Source!AV3514</f>
        <v>1.0469999999999999</v>
      </c>
      <c r="I3681" s="37">
        <f>[1]Source!U3513</f>
        <v>4.1021020259999981</v>
      </c>
      <c r="J3681" s="36"/>
      <c r="K3681" s="37"/>
    </row>
    <row r="3682" spans="1:29" ht="13.8" hidden="1" x14ac:dyDescent="0.25">
      <c r="C3682" s="39" t="s">
        <v>47</v>
      </c>
      <c r="H3682" s="40">
        <f>I3674+I3675+I3677+I3679+I3680+SUM(I3678:I3678)-SUMIF(AC3678:AC3678, 5, I3678:I3678)-SUMIF(AC3678:AC3678, 6, I3678:I3678)</f>
        <v>2670.44</v>
      </c>
      <c r="I3682" s="40"/>
      <c r="J3682" s="40">
        <f>K3674+K3675+K3677+K3679+K3680+SUM(K3678:K3678)-SUMIF(AC3678:AC3678, 5, K3678:K3678)-SUMIF(AC3678:AC3678, 6, K3678:K3678)</f>
        <v>19002.550000000003</v>
      </c>
      <c r="K3682" s="40"/>
    </row>
    <row r="3683" spans="1:29" ht="13.8" hidden="1" x14ac:dyDescent="0.25">
      <c r="C3683" s="39" t="s">
        <v>48</v>
      </c>
      <c r="H3683" s="41">
        <f>SUMIF(AC3678:AC3678, 5, I3678:I3678)+SUMIF(AC3678:AC3678, 6, I3678:I3678)</f>
        <v>0</v>
      </c>
      <c r="I3683" s="41"/>
      <c r="J3683" s="41">
        <f>SUMIF(AC3678:AC3678, 5, K3678:K3678)+SUMIF(AC3678:AC3678, 6, K3678:K3678)</f>
        <v>0</v>
      </c>
      <c r="K3683" s="41"/>
    </row>
    <row r="3684" spans="1:29" ht="13.8" hidden="1" x14ac:dyDescent="0.25">
      <c r="C3684" s="39" t="s">
        <v>49</v>
      </c>
      <c r="H3684" s="41">
        <f>I3674+I3675+I3677+I3679+I3680+SUM(I3678:I3678)</f>
        <v>2670.44</v>
      </c>
      <c r="I3684" s="41"/>
      <c r="J3684" s="41">
        <f>K3674+K3675+K3677+K3679+K3680+SUM(K3678:K3678)</f>
        <v>19002.550000000003</v>
      </c>
      <c r="K3684" s="41"/>
      <c r="O3684" s="42">
        <f>I3674+I3675+I3677+I3679+I3680+SUM(I3678:I3678)</f>
        <v>2670.44</v>
      </c>
      <c r="P3684" s="42">
        <f>K3674+K3675+K3677+K3679+K3680+SUM(K3678:K3678)</f>
        <v>19002.550000000003</v>
      </c>
    </row>
    <row r="3685" spans="1:29" hidden="1" x14ac:dyDescent="0.25"/>
    <row r="3686" spans="1:29" ht="55.2" hidden="1" x14ac:dyDescent="0.25">
      <c r="A3686" s="27">
        <v>370</v>
      </c>
      <c r="B3686" s="27" t="str">
        <f>[1]Source!F3517</f>
        <v>3.70-2-1</v>
      </c>
      <c r="C3686" s="27" t="s">
        <v>726</v>
      </c>
      <c r="D3686" s="28" t="str">
        <f>[1]Source!H3517</f>
        <v>100 м2</v>
      </c>
      <c r="E3686" s="29">
        <f>[1]Source!I3517</f>
        <v>0.89</v>
      </c>
      <c r="F3686" s="30"/>
      <c r="G3686" s="31"/>
      <c r="H3686" s="29"/>
      <c r="I3686" s="30"/>
      <c r="J3686" s="29"/>
      <c r="K3686" s="30"/>
      <c r="Q3686">
        <f>[1]Source!X3517</f>
        <v>1826.23</v>
      </c>
      <c r="R3686">
        <f>[1]Source!X3518</f>
        <v>102908.24</v>
      </c>
      <c r="S3686">
        <f>[1]Source!Y3517</f>
        <v>1088.3599999999999</v>
      </c>
      <c r="T3686">
        <f>[1]Source!Y3518</f>
        <v>61329.15</v>
      </c>
      <c r="U3686">
        <f>ROUND((175/100)*ROUND([1]Source!R3517, 2), 2)</f>
        <v>19.690000000000001</v>
      </c>
      <c r="V3686">
        <f>ROUND((0/100)*ROUND([1]Source!R3518, 2), 2)</f>
        <v>0</v>
      </c>
      <c r="AC3686">
        <v>0</v>
      </c>
    </row>
    <row r="3687" spans="1:29" hidden="1" x14ac:dyDescent="0.25">
      <c r="C3687" s="32" t="str">
        <f>"Объем: "&amp;[1]Source!I3517&amp;"=89/"&amp;"100"</f>
        <v>Объем: 0,89=89/100</v>
      </c>
    </row>
    <row r="3688" spans="1:29" ht="14.4" hidden="1" x14ac:dyDescent="0.25">
      <c r="A3688" s="27"/>
      <c r="B3688" s="27"/>
      <c r="C3688" s="27" t="s">
        <v>36</v>
      </c>
      <c r="D3688" s="28"/>
      <c r="E3688" s="29"/>
      <c r="F3688" s="30">
        <f>[1]Source!AO3517</f>
        <v>1425.77</v>
      </c>
      <c r="G3688" s="31" t="s">
        <v>37</v>
      </c>
      <c r="H3688" s="29">
        <f>[1]Source!AV3518</f>
        <v>1.0469999999999999</v>
      </c>
      <c r="I3688" s="30">
        <f>[1]Source!S3517</f>
        <v>1833.43</v>
      </c>
      <c r="J3688" s="29">
        <f>IF([1]Source!BA3518&lt;&gt; 0, [1]Source!BA3518, 1)</f>
        <v>56.35</v>
      </c>
      <c r="K3688" s="30">
        <f>[1]Source!S3518</f>
        <v>103313.78</v>
      </c>
    </row>
    <row r="3689" spans="1:29" ht="14.4" hidden="1" x14ac:dyDescent="0.25">
      <c r="A3689" s="27"/>
      <c r="B3689" s="27"/>
      <c r="C3689" s="27" t="s">
        <v>38</v>
      </c>
      <c r="D3689" s="28"/>
      <c r="E3689" s="29"/>
      <c r="F3689" s="30">
        <f>[1]Source!AM3517</f>
        <v>9.41</v>
      </c>
      <c r="G3689" s="31" t="s">
        <v>39</v>
      </c>
      <c r="H3689" s="29">
        <f>[1]Source!AV3518</f>
        <v>1.0469999999999999</v>
      </c>
      <c r="I3689" s="30">
        <f>[1]Source!Q3517</f>
        <v>13.15</v>
      </c>
      <c r="J3689" s="29">
        <f>IF([1]Source!BB3518&lt;&gt; 0, [1]Source!BB3518, 1)</f>
        <v>54.4</v>
      </c>
      <c r="K3689" s="30">
        <f>[1]Source!Q3518</f>
        <v>715.36</v>
      </c>
    </row>
    <row r="3690" spans="1:29" ht="14.4" hidden="1" x14ac:dyDescent="0.25">
      <c r="A3690" s="27"/>
      <c r="B3690" s="27"/>
      <c r="C3690" s="27" t="s">
        <v>40</v>
      </c>
      <c r="D3690" s="28"/>
      <c r="E3690" s="29"/>
      <c r="F3690" s="30">
        <f>[1]Source!AN3517</f>
        <v>8.0500000000000007</v>
      </c>
      <c r="G3690" s="31" t="s">
        <v>39</v>
      </c>
      <c r="H3690" s="29">
        <f>[1]Source!AV3518</f>
        <v>1.0469999999999999</v>
      </c>
      <c r="I3690" s="33">
        <f>[1]Source!R3517</f>
        <v>11.25</v>
      </c>
      <c r="J3690" s="29">
        <f>IF([1]Source!BS3518&lt;&gt; 0, [1]Source!BS3518, 1)</f>
        <v>56.35</v>
      </c>
      <c r="K3690" s="33">
        <f>[1]Source!R3518</f>
        <v>633.94000000000005</v>
      </c>
    </row>
    <row r="3691" spans="1:29" ht="14.4" hidden="1" x14ac:dyDescent="0.25">
      <c r="A3691" s="27"/>
      <c r="B3691" s="27"/>
      <c r="C3691" s="27" t="s">
        <v>41</v>
      </c>
      <c r="D3691" s="28"/>
      <c r="E3691" s="29"/>
      <c r="F3691" s="30">
        <f>[1]Source!AL3517</f>
        <v>0.78</v>
      </c>
      <c r="G3691" s="31"/>
      <c r="H3691" s="29">
        <f>[1]Source!AW3518</f>
        <v>1</v>
      </c>
      <c r="I3691" s="30">
        <f>[1]Source!P3517</f>
        <v>0.69</v>
      </c>
      <c r="J3691" s="29">
        <f>IF([1]Source!BC3518&lt;&gt; 0, [1]Source!BC3518, 1)</f>
        <v>7.73</v>
      </c>
      <c r="K3691" s="30">
        <f>[1]Source!P3518</f>
        <v>5.33</v>
      </c>
    </row>
    <row r="3692" spans="1:29" ht="276" hidden="1" x14ac:dyDescent="0.25">
      <c r="A3692" s="27" t="s">
        <v>727</v>
      </c>
      <c r="B3692" s="27" t="str">
        <f>[1]Source!F3519</f>
        <v>1.3-2-97</v>
      </c>
      <c r="C3692" s="27" t="s">
        <v>728</v>
      </c>
      <c r="D3692" s="28" t="str">
        <f>[1]Source!H3519</f>
        <v>кг</v>
      </c>
      <c r="E3692" s="29">
        <f>[1]Source!I3519</f>
        <v>277.68</v>
      </c>
      <c r="F3692" s="30">
        <f>[1]Source!AK3519</f>
        <v>12.4</v>
      </c>
      <c r="G3692" s="43" t="s">
        <v>54</v>
      </c>
      <c r="H3692" s="29">
        <f>[1]Source!AW3520</f>
        <v>1</v>
      </c>
      <c r="I3692" s="30">
        <f>[1]Source!O3519</f>
        <v>3443.23</v>
      </c>
      <c r="J3692" s="29">
        <f>IF([1]Source!BC3520&lt;&gt; 0, [1]Source!BC3520, 1)</f>
        <v>4.7300000000000004</v>
      </c>
      <c r="K3692" s="30">
        <f>[1]Source!O3520</f>
        <v>16286.48</v>
      </c>
      <c r="Q3692">
        <f>[1]Source!X3519</f>
        <v>0</v>
      </c>
      <c r="R3692">
        <f>[1]Source!X3520</f>
        <v>0</v>
      </c>
      <c r="S3692">
        <f>[1]Source!Y3519</f>
        <v>0</v>
      </c>
      <c r="T3692">
        <f>[1]Source!Y3520</f>
        <v>0</v>
      </c>
      <c r="U3692">
        <f>ROUND((175/100)*ROUND([1]Source!R3519, 2), 2)</f>
        <v>0</v>
      </c>
      <c r="V3692">
        <f>ROUND((0/100)*ROUND([1]Source!R3520, 2), 2)</f>
        <v>0</v>
      </c>
      <c r="AC3692">
        <v>3</v>
      </c>
    </row>
    <row r="3693" spans="1:29" ht="14.4" hidden="1" x14ac:dyDescent="0.25">
      <c r="A3693" s="27"/>
      <c r="B3693" s="27"/>
      <c r="C3693" s="27" t="s">
        <v>42</v>
      </c>
      <c r="D3693" s="28" t="s">
        <v>43</v>
      </c>
      <c r="E3693" s="29">
        <f>[1]Source!BZ3518</f>
        <v>99</v>
      </c>
      <c r="F3693" s="30"/>
      <c r="G3693" s="31"/>
      <c r="H3693" s="29"/>
      <c r="I3693" s="30">
        <f>SUM(Q3686:Q3692)</f>
        <v>1826.23</v>
      </c>
      <c r="J3693" s="29">
        <f>[1]Source!AT3518</f>
        <v>99</v>
      </c>
      <c r="K3693" s="30">
        <f>SUM(R3686:R3692)</f>
        <v>102908.24</v>
      </c>
    </row>
    <row r="3694" spans="1:29" ht="14.4" hidden="1" x14ac:dyDescent="0.25">
      <c r="A3694" s="27"/>
      <c r="B3694" s="27"/>
      <c r="C3694" s="27" t="s">
        <v>44</v>
      </c>
      <c r="D3694" s="28" t="s">
        <v>43</v>
      </c>
      <c r="E3694" s="29">
        <f>[1]Source!CA3518</f>
        <v>59</v>
      </c>
      <c r="F3694" s="30"/>
      <c r="G3694" s="31"/>
      <c r="H3694" s="29"/>
      <c r="I3694" s="30">
        <f>SUM(S3686:S3693)</f>
        <v>1088.3599999999999</v>
      </c>
      <c r="J3694" s="29">
        <f>[1]Source!AU3518</f>
        <v>59</v>
      </c>
      <c r="K3694" s="30">
        <f>SUM(T3686:T3693)</f>
        <v>61329.15</v>
      </c>
    </row>
    <row r="3695" spans="1:29" ht="14.4" hidden="1" x14ac:dyDescent="0.25">
      <c r="A3695" s="34"/>
      <c r="B3695" s="34"/>
      <c r="C3695" s="34" t="s">
        <v>45</v>
      </c>
      <c r="D3695" s="35" t="s">
        <v>46</v>
      </c>
      <c r="E3695" s="36">
        <f>[1]Source!AQ3517</f>
        <v>85.24</v>
      </c>
      <c r="F3695" s="37"/>
      <c r="G3695" s="38" t="s">
        <v>37</v>
      </c>
      <c r="H3695" s="36">
        <f>[1]Source!AV3518</f>
        <v>1.0469999999999999</v>
      </c>
      <c r="I3695" s="37">
        <f>[1]Source!U3517</f>
        <v>109.61228109599998</v>
      </c>
      <c r="J3695" s="36"/>
      <c r="K3695" s="37"/>
    </row>
    <row r="3696" spans="1:29" ht="13.8" hidden="1" x14ac:dyDescent="0.25">
      <c r="C3696" s="39" t="s">
        <v>47</v>
      </c>
      <c r="H3696" s="40">
        <f>I3688+I3689+I3691+I3693+I3694+SUM(I3692:I3692)-SUMIF(AC3692:AC3692, 5, I3692:I3692)-SUMIF(AC3692:AC3692, 6, I3692:I3692)</f>
        <v>8205.09</v>
      </c>
      <c r="I3696" s="40"/>
      <c r="J3696" s="40">
        <f>K3688+K3689+K3691+K3693+K3694+SUM(K3692:K3692)-SUMIF(AC3692:AC3692, 5, K3692:K3692)-SUMIF(AC3692:AC3692, 6, K3692:K3692)</f>
        <v>284558.34000000003</v>
      </c>
      <c r="K3696" s="40"/>
    </row>
    <row r="3697" spans="1:29" ht="13.8" hidden="1" x14ac:dyDescent="0.25">
      <c r="C3697" s="39" t="s">
        <v>48</v>
      </c>
      <c r="H3697" s="41">
        <f>SUMIF(AC3692:AC3692, 5, I3692:I3692)+SUMIF(AC3692:AC3692, 6, I3692:I3692)</f>
        <v>0</v>
      </c>
      <c r="I3697" s="41"/>
      <c r="J3697" s="41">
        <f>SUMIF(AC3692:AC3692, 5, K3692:K3692)+SUMIF(AC3692:AC3692, 6, K3692:K3692)</f>
        <v>0</v>
      </c>
      <c r="K3697" s="41"/>
    </row>
    <row r="3698" spans="1:29" ht="13.8" hidden="1" x14ac:dyDescent="0.25">
      <c r="C3698" s="39" t="s">
        <v>49</v>
      </c>
      <c r="H3698" s="41">
        <f>I3688+I3689+I3691+I3693+I3694+SUM(I3692:I3692)</f>
        <v>8205.09</v>
      </c>
      <c r="I3698" s="41"/>
      <c r="J3698" s="41">
        <f>K3688+K3689+K3691+K3693+K3694+SUM(K3692:K3692)</f>
        <v>284558.34000000003</v>
      </c>
      <c r="K3698" s="41"/>
      <c r="O3698" s="42">
        <f>I3688+I3689+I3691+I3693+I3694+SUM(I3692:I3692)</f>
        <v>8205.09</v>
      </c>
      <c r="P3698" s="42">
        <f>K3688+K3689+K3691+K3693+K3694+SUM(K3692:K3692)</f>
        <v>284558.34000000003</v>
      </c>
    </row>
    <row r="3699" spans="1:29" hidden="1" x14ac:dyDescent="0.25"/>
    <row r="3700" spans="1:29" ht="69" hidden="1" x14ac:dyDescent="0.25">
      <c r="A3700" s="27">
        <v>371</v>
      </c>
      <c r="B3700" s="27" t="str">
        <f>[1]Source!F3521</f>
        <v>3.70-198-7</v>
      </c>
      <c r="C3700" s="27" t="s">
        <v>729</v>
      </c>
      <c r="D3700" s="28" t="str">
        <f>[1]Source!H3521</f>
        <v>100 м2</v>
      </c>
      <c r="E3700" s="29">
        <f>[1]Source!I3521</f>
        <v>0.89</v>
      </c>
      <c r="F3700" s="30"/>
      <c r="G3700" s="31"/>
      <c r="H3700" s="29"/>
      <c r="I3700" s="30"/>
      <c r="J3700" s="29"/>
      <c r="K3700" s="30"/>
      <c r="Q3700">
        <f>[1]Source!X3521</f>
        <v>1696.05</v>
      </c>
      <c r="R3700">
        <f>[1]Source!X3522</f>
        <v>95572.57</v>
      </c>
      <c r="S3700">
        <f>[1]Source!Y3521</f>
        <v>923.59</v>
      </c>
      <c r="T3700">
        <f>[1]Source!Y3522</f>
        <v>52044.47</v>
      </c>
      <c r="U3700">
        <f>ROUND((175/100)*ROUND([1]Source!R3521, 2), 2)</f>
        <v>34.880000000000003</v>
      </c>
      <c r="V3700">
        <f>ROUND((0/100)*ROUND([1]Source!R3522, 2), 2)</f>
        <v>0</v>
      </c>
      <c r="AC3700">
        <v>0</v>
      </c>
    </row>
    <row r="3701" spans="1:29" hidden="1" x14ac:dyDescent="0.25">
      <c r="C3701" s="32" t="str">
        <f>"Объем: "&amp;[1]Source!I3521&amp;"=89/"&amp;"100"</f>
        <v>Объем: 0,89=89/100</v>
      </c>
    </row>
    <row r="3702" spans="1:29" ht="14.4" hidden="1" x14ac:dyDescent="0.25">
      <c r="A3702" s="27"/>
      <c r="B3702" s="27"/>
      <c r="C3702" s="27" t="s">
        <v>36</v>
      </c>
      <c r="D3702" s="28"/>
      <c r="E3702" s="29"/>
      <c r="F3702" s="30">
        <f>[1]Source!AO3521</f>
        <v>1290.3800000000001</v>
      </c>
      <c r="G3702" s="31" t="s">
        <v>37</v>
      </c>
      <c r="H3702" s="29">
        <f>[1]Source!AV3522</f>
        <v>1.0469999999999999</v>
      </c>
      <c r="I3702" s="30">
        <f>[1]Source!S3521</f>
        <v>1659.33</v>
      </c>
      <c r="J3702" s="29">
        <f>IF([1]Source!BA3522&lt;&gt; 0, [1]Source!BA3522, 1)</f>
        <v>56.35</v>
      </c>
      <c r="K3702" s="30">
        <f>[1]Source!S3522</f>
        <v>93503.25</v>
      </c>
    </row>
    <row r="3703" spans="1:29" ht="14.4" hidden="1" x14ac:dyDescent="0.25">
      <c r="A3703" s="27"/>
      <c r="B3703" s="27"/>
      <c r="C3703" s="27" t="s">
        <v>38</v>
      </c>
      <c r="D3703" s="28"/>
      <c r="E3703" s="29"/>
      <c r="F3703" s="30">
        <f>[1]Source!AM3521</f>
        <v>81.06</v>
      </c>
      <c r="G3703" s="31" t="s">
        <v>39</v>
      </c>
      <c r="H3703" s="29">
        <f>[1]Source!AV3522</f>
        <v>1.0469999999999999</v>
      </c>
      <c r="I3703" s="30">
        <f>[1]Source!Q3521</f>
        <v>113.3</v>
      </c>
      <c r="J3703" s="29">
        <f>IF([1]Source!BB3522&lt;&gt; 0, [1]Source!BB3522, 1)</f>
        <v>18.920000000000002</v>
      </c>
      <c r="K3703" s="30">
        <f>[1]Source!Q3522</f>
        <v>2143.64</v>
      </c>
    </row>
    <row r="3704" spans="1:29" ht="14.4" hidden="1" x14ac:dyDescent="0.25">
      <c r="A3704" s="27"/>
      <c r="B3704" s="27"/>
      <c r="C3704" s="27" t="s">
        <v>40</v>
      </c>
      <c r="D3704" s="28"/>
      <c r="E3704" s="29"/>
      <c r="F3704" s="30">
        <f>[1]Source!AN3521</f>
        <v>14.26</v>
      </c>
      <c r="G3704" s="31" t="s">
        <v>39</v>
      </c>
      <c r="H3704" s="29">
        <f>[1]Source!AV3522</f>
        <v>1.0469999999999999</v>
      </c>
      <c r="I3704" s="33">
        <f>[1]Source!R3521</f>
        <v>19.93</v>
      </c>
      <c r="J3704" s="29">
        <f>IF([1]Source!BS3522&lt;&gt; 0, [1]Source!BS3522, 1)</f>
        <v>56.35</v>
      </c>
      <c r="K3704" s="33">
        <f>[1]Source!R3522</f>
        <v>1123.06</v>
      </c>
    </row>
    <row r="3705" spans="1:29" ht="14.4" hidden="1" x14ac:dyDescent="0.25">
      <c r="A3705" s="27"/>
      <c r="B3705" s="27"/>
      <c r="C3705" s="27" t="s">
        <v>41</v>
      </c>
      <c r="D3705" s="28"/>
      <c r="E3705" s="29"/>
      <c r="F3705" s="30">
        <f>[1]Source!AL3521</f>
        <v>9.2200000000000006</v>
      </c>
      <c r="G3705" s="31"/>
      <c r="H3705" s="29">
        <f>[1]Source!AW3522</f>
        <v>1</v>
      </c>
      <c r="I3705" s="30">
        <f>[1]Source!P3521</f>
        <v>8.2100000000000009</v>
      </c>
      <c r="J3705" s="29">
        <f>IF([1]Source!BC3522&lt;&gt; 0, [1]Source!BC3522, 1)</f>
        <v>4.5999999999999996</v>
      </c>
      <c r="K3705" s="30">
        <f>[1]Source!P3522</f>
        <v>37.770000000000003</v>
      </c>
    </row>
    <row r="3706" spans="1:29" ht="41.4" hidden="1" x14ac:dyDescent="0.25">
      <c r="A3706" s="27" t="s">
        <v>730</v>
      </c>
      <c r="B3706" s="27" t="str">
        <f>[1]Source!F3523</f>
        <v>1.1-1-8205</v>
      </c>
      <c r="C3706" s="27" t="s">
        <v>731</v>
      </c>
      <c r="D3706" s="28" t="str">
        <f>[1]Source!H3523</f>
        <v>100 шт.</v>
      </c>
      <c r="E3706" s="29">
        <f>[1]Source!I3523</f>
        <v>6.0964999999999998</v>
      </c>
      <c r="F3706" s="30">
        <f>[1]Source!AK3523</f>
        <v>4.26</v>
      </c>
      <c r="G3706" s="43" t="s">
        <v>54</v>
      </c>
      <c r="H3706" s="29">
        <f>[1]Source!AW3524</f>
        <v>1</v>
      </c>
      <c r="I3706" s="30">
        <f>[1]Source!O3523</f>
        <v>25.97</v>
      </c>
      <c r="J3706" s="29">
        <f>IF([1]Source!BC3524&lt;&gt; 0, [1]Source!BC3524, 1)</f>
        <v>9.99</v>
      </c>
      <c r="K3706" s="30">
        <f>[1]Source!O3524</f>
        <v>259.44</v>
      </c>
      <c r="Q3706">
        <f>[1]Source!X3523</f>
        <v>0</v>
      </c>
      <c r="R3706">
        <f>[1]Source!X3524</f>
        <v>0</v>
      </c>
      <c r="S3706">
        <f>[1]Source!Y3523</f>
        <v>0</v>
      </c>
      <c r="T3706">
        <f>[1]Source!Y3524</f>
        <v>0</v>
      </c>
      <c r="U3706">
        <f>ROUND((175/100)*ROUND([1]Source!R3523, 2), 2)</f>
        <v>0</v>
      </c>
      <c r="V3706">
        <f>ROUND((0/100)*ROUND([1]Source!R3524, 2), 2)</f>
        <v>0</v>
      </c>
      <c r="AC3706">
        <v>3</v>
      </c>
    </row>
    <row r="3707" spans="1:29" ht="41.4" hidden="1" x14ac:dyDescent="0.25">
      <c r="A3707" s="27" t="s">
        <v>732</v>
      </c>
      <c r="B3707" s="27" t="str">
        <f>[1]Source!F3525</f>
        <v>1.1-1-3257</v>
      </c>
      <c r="C3707" s="27" t="s">
        <v>129</v>
      </c>
      <c r="D3707" s="28" t="str">
        <f>[1]Source!H3525</f>
        <v>кг</v>
      </c>
      <c r="E3707" s="29">
        <f>[1]Source!I3525</f>
        <v>12.46</v>
      </c>
      <c r="F3707" s="30">
        <f>[1]Source!AK3525</f>
        <v>17.3</v>
      </c>
      <c r="G3707" s="43" t="s">
        <v>54</v>
      </c>
      <c r="H3707" s="29">
        <f>[1]Source!AW3526</f>
        <v>1</v>
      </c>
      <c r="I3707" s="30">
        <f>[1]Source!O3525</f>
        <v>215.56</v>
      </c>
      <c r="J3707" s="29">
        <f>IF([1]Source!BC3526&lt;&gt; 0, [1]Source!BC3526, 1)</f>
        <v>5.93</v>
      </c>
      <c r="K3707" s="30">
        <f>[1]Source!O3526</f>
        <v>1278.27</v>
      </c>
      <c r="Q3707">
        <f>[1]Source!X3525</f>
        <v>0</v>
      </c>
      <c r="R3707">
        <f>[1]Source!X3526</f>
        <v>0</v>
      </c>
      <c r="S3707">
        <f>[1]Source!Y3525</f>
        <v>0</v>
      </c>
      <c r="T3707">
        <f>[1]Source!Y3526</f>
        <v>0</v>
      </c>
      <c r="U3707">
        <f>ROUND((175/100)*ROUND([1]Source!R3525, 2), 2)</f>
        <v>0</v>
      </c>
      <c r="V3707">
        <f>ROUND((0/100)*ROUND([1]Source!R3526, 2), 2)</f>
        <v>0</v>
      </c>
      <c r="AC3707">
        <v>3</v>
      </c>
    </row>
    <row r="3708" spans="1:29" ht="96.6" hidden="1" x14ac:dyDescent="0.25">
      <c r="A3708" s="27" t="s">
        <v>733</v>
      </c>
      <c r="B3708" s="27" t="str">
        <f>[1]Source!F3527</f>
        <v>1.3-2-50</v>
      </c>
      <c r="C3708" s="27" t="s">
        <v>131</v>
      </c>
      <c r="D3708" s="28" t="str">
        <f>[1]Source!H3527</f>
        <v>т</v>
      </c>
      <c r="E3708" s="29">
        <f>[1]Source!I3527</f>
        <v>3.56E-2</v>
      </c>
      <c r="F3708" s="30">
        <f>[1]Source!AK3527</f>
        <v>5978.05</v>
      </c>
      <c r="G3708" s="43" t="s">
        <v>54</v>
      </c>
      <c r="H3708" s="29">
        <f>[1]Source!AW3528</f>
        <v>1</v>
      </c>
      <c r="I3708" s="30">
        <f>[1]Source!O3527</f>
        <v>212.82</v>
      </c>
      <c r="J3708" s="29">
        <f>IF([1]Source!BC3528&lt;&gt; 0, [1]Source!BC3528, 1)</f>
        <v>15.31</v>
      </c>
      <c r="K3708" s="30">
        <f>[1]Source!O3528</f>
        <v>3258.27</v>
      </c>
      <c r="Q3708">
        <f>[1]Source!X3527</f>
        <v>0</v>
      </c>
      <c r="R3708">
        <f>[1]Source!X3528</f>
        <v>0</v>
      </c>
      <c r="S3708">
        <f>[1]Source!Y3527</f>
        <v>0</v>
      </c>
      <c r="T3708">
        <f>[1]Source!Y3528</f>
        <v>0</v>
      </c>
      <c r="U3708">
        <f>ROUND((175/100)*ROUND([1]Source!R3527, 2), 2)</f>
        <v>0</v>
      </c>
      <c r="V3708">
        <f>ROUND((0/100)*ROUND([1]Source!R3528, 2), 2)</f>
        <v>0</v>
      </c>
      <c r="AC3708">
        <v>3</v>
      </c>
    </row>
    <row r="3709" spans="1:29" ht="69" hidden="1" x14ac:dyDescent="0.25">
      <c r="A3709" s="27" t="s">
        <v>734</v>
      </c>
      <c r="B3709" s="27" t="str">
        <f>[1]Source!F3529</f>
        <v>1.3-2-35</v>
      </c>
      <c r="C3709" s="27" t="s">
        <v>634</v>
      </c>
      <c r="D3709" s="28" t="str">
        <f>[1]Source!H3529</f>
        <v>т</v>
      </c>
      <c r="E3709" s="29">
        <f>[1]Source!I3529</f>
        <v>0.641459</v>
      </c>
      <c r="F3709" s="30">
        <f>[1]Source!AK3529</f>
        <v>1669.7</v>
      </c>
      <c r="G3709" s="43" t="s">
        <v>54</v>
      </c>
      <c r="H3709" s="29">
        <f>[1]Source!AW3530</f>
        <v>1</v>
      </c>
      <c r="I3709" s="30">
        <f>[1]Source!O3529</f>
        <v>1071.04</v>
      </c>
      <c r="J3709" s="29">
        <f>IF([1]Source!BC3530&lt;&gt; 0, [1]Source!BC3530, 1)</f>
        <v>8</v>
      </c>
      <c r="K3709" s="30">
        <f>[1]Source!O3530</f>
        <v>8568.32</v>
      </c>
      <c r="Q3709">
        <f>[1]Source!X3529</f>
        <v>0</v>
      </c>
      <c r="R3709">
        <f>[1]Source!X3530</f>
        <v>0</v>
      </c>
      <c r="S3709">
        <f>[1]Source!Y3529</f>
        <v>0</v>
      </c>
      <c r="T3709">
        <f>[1]Source!Y3530</f>
        <v>0</v>
      </c>
      <c r="U3709">
        <f>ROUND((175/100)*ROUND([1]Source!R3529, 2), 2)</f>
        <v>0</v>
      </c>
      <c r="V3709">
        <f>ROUND((0/100)*ROUND([1]Source!R3530, 2), 2)</f>
        <v>0</v>
      </c>
      <c r="AC3709">
        <v>3</v>
      </c>
    </row>
    <row r="3710" spans="1:29" ht="41.4" hidden="1" x14ac:dyDescent="0.25">
      <c r="A3710" s="27" t="s">
        <v>735</v>
      </c>
      <c r="B3710" s="27" t="str">
        <f>[1]Source!F3531</f>
        <v>1.1-1-8134</v>
      </c>
      <c r="C3710" s="27" t="s">
        <v>650</v>
      </c>
      <c r="D3710" s="28" t="str">
        <f>[1]Source!H3531</f>
        <v>м2</v>
      </c>
      <c r="E3710" s="29">
        <f>[1]Source!I3531</f>
        <v>98.79</v>
      </c>
      <c r="F3710" s="30">
        <f>[1]Source!AK3531</f>
        <v>127.87</v>
      </c>
      <c r="G3710" s="43" t="s">
        <v>54</v>
      </c>
      <c r="H3710" s="29">
        <f>[1]Source!AW3532</f>
        <v>1</v>
      </c>
      <c r="I3710" s="30">
        <f>[1]Source!O3531</f>
        <v>12632.28</v>
      </c>
      <c r="J3710" s="29">
        <f>IF([1]Source!BC3532&lt;&gt; 0, [1]Source!BC3532, 1)</f>
        <v>8.2200000000000006</v>
      </c>
      <c r="K3710" s="30">
        <f>[1]Source!O3532</f>
        <v>103837.34</v>
      </c>
      <c r="Q3710">
        <f>[1]Source!X3531</f>
        <v>0</v>
      </c>
      <c r="R3710">
        <f>[1]Source!X3532</f>
        <v>0</v>
      </c>
      <c r="S3710">
        <f>[1]Source!Y3531</f>
        <v>0</v>
      </c>
      <c r="T3710">
        <f>[1]Source!Y3532</f>
        <v>0</v>
      </c>
      <c r="U3710">
        <f>ROUND((175/100)*ROUND([1]Source!R3531, 2), 2)</f>
        <v>0</v>
      </c>
      <c r="V3710">
        <f>ROUND((0/100)*ROUND([1]Source!R3532, 2), 2)</f>
        <v>0</v>
      </c>
      <c r="AC3710">
        <v>3</v>
      </c>
    </row>
    <row r="3711" spans="1:29" ht="14.4" hidden="1" x14ac:dyDescent="0.25">
      <c r="A3711" s="27"/>
      <c r="B3711" s="27"/>
      <c r="C3711" s="27" t="s">
        <v>42</v>
      </c>
      <c r="D3711" s="28" t="s">
        <v>43</v>
      </c>
      <c r="E3711" s="29">
        <f>[1]Source!BZ3522</f>
        <v>101</v>
      </c>
      <c r="F3711" s="30"/>
      <c r="G3711" s="31"/>
      <c r="H3711" s="29"/>
      <c r="I3711" s="30">
        <f>SUM(Q3700:Q3710)</f>
        <v>1696.05</v>
      </c>
      <c r="J3711" s="29">
        <f>[1]Source!AT3522</f>
        <v>101</v>
      </c>
      <c r="K3711" s="30">
        <f>SUM(R3700:R3710)</f>
        <v>95572.57</v>
      </c>
    </row>
    <row r="3712" spans="1:29" ht="14.4" hidden="1" x14ac:dyDescent="0.25">
      <c r="A3712" s="27"/>
      <c r="B3712" s="27"/>
      <c r="C3712" s="27" t="s">
        <v>44</v>
      </c>
      <c r="D3712" s="28" t="s">
        <v>43</v>
      </c>
      <c r="E3712" s="29">
        <f>[1]Source!CA3522</f>
        <v>55</v>
      </c>
      <c r="F3712" s="30"/>
      <c r="G3712" s="31"/>
      <c r="H3712" s="29"/>
      <c r="I3712" s="30">
        <f>SUM(S3700:S3711)</f>
        <v>923.59</v>
      </c>
      <c r="J3712" s="29">
        <f>[1]Source!AU3522</f>
        <v>55</v>
      </c>
      <c r="K3712" s="30">
        <f>SUM(T3700:T3711)</f>
        <v>52044.47</v>
      </c>
    </row>
    <row r="3713" spans="1:29" ht="14.4" hidden="1" x14ac:dyDescent="0.25">
      <c r="A3713" s="34"/>
      <c r="B3713" s="34"/>
      <c r="C3713" s="34" t="s">
        <v>45</v>
      </c>
      <c r="D3713" s="35" t="s">
        <v>46</v>
      </c>
      <c r="E3713" s="36">
        <f>[1]Source!AQ3521</f>
        <v>78.099999999999994</v>
      </c>
      <c r="F3713" s="37"/>
      <c r="G3713" s="38" t="s">
        <v>37</v>
      </c>
      <c r="H3713" s="36">
        <f>[1]Source!AV3522</f>
        <v>1.0469999999999999</v>
      </c>
      <c r="I3713" s="37">
        <f>[1]Source!U3521</f>
        <v>100.43077373999998</v>
      </c>
      <c r="J3713" s="36"/>
      <c r="K3713" s="37"/>
    </row>
    <row r="3714" spans="1:29" ht="13.8" hidden="1" x14ac:dyDescent="0.25">
      <c r="C3714" s="39" t="s">
        <v>47</v>
      </c>
      <c r="H3714" s="40">
        <f>I3702+I3703+I3705+I3711+I3712+SUM(I3706:I3710)-SUMIF(AC3706:AC3710, 5, I3706:I3710)-SUMIF(AC3706:AC3710, 6, I3706:I3710)</f>
        <v>18558.150000000001</v>
      </c>
      <c r="I3714" s="40"/>
      <c r="J3714" s="40">
        <f>K3702+K3703+K3705+K3711+K3712+SUM(K3706:K3710)-SUMIF(AC3706:AC3710, 5, K3706:K3710)-SUMIF(AC3706:AC3710, 6, K3706:K3710)</f>
        <v>360503.34</v>
      </c>
      <c r="K3714" s="40"/>
    </row>
    <row r="3715" spans="1:29" ht="13.8" hidden="1" x14ac:dyDescent="0.25">
      <c r="C3715" s="39" t="s">
        <v>48</v>
      </c>
      <c r="H3715" s="41">
        <f>SUMIF(AC3706:AC3710, 5, I3706:I3710)+SUMIF(AC3706:AC3710, 6, I3706:I3710)</f>
        <v>0</v>
      </c>
      <c r="I3715" s="41"/>
      <c r="J3715" s="41">
        <f>SUMIF(AC3706:AC3710, 5, K3706:K3710)+SUMIF(AC3706:AC3710, 6, K3706:K3710)</f>
        <v>0</v>
      </c>
      <c r="K3715" s="41"/>
    </row>
    <row r="3716" spans="1:29" ht="13.8" hidden="1" x14ac:dyDescent="0.25">
      <c r="C3716" s="39" t="s">
        <v>49</v>
      </c>
      <c r="H3716" s="41">
        <f>I3702+I3703+I3705+I3711+I3712+SUM(I3706:I3710)</f>
        <v>18558.150000000001</v>
      </c>
      <c r="I3716" s="41"/>
      <c r="J3716" s="41">
        <f>K3702+K3703+K3705+K3711+K3712+SUM(K3706:K3710)</f>
        <v>360503.34</v>
      </c>
      <c r="K3716" s="41"/>
      <c r="O3716" s="42">
        <f>I3702+I3703+I3705+I3711+I3712+SUM(I3706:I3710)</f>
        <v>18558.150000000001</v>
      </c>
      <c r="P3716" s="42">
        <f>K3702+K3703+K3705+K3711+K3712+SUM(K3706:K3710)</f>
        <v>360503.34</v>
      </c>
    </row>
    <row r="3717" spans="1:29" hidden="1" x14ac:dyDescent="0.25"/>
    <row r="3718" spans="1:29" hidden="1" x14ac:dyDescent="0.25"/>
    <row r="3719" spans="1:29" ht="13.8" hidden="1" x14ac:dyDescent="0.25">
      <c r="A3719" s="44" t="str">
        <f>CONCATENATE("Итого по подразделу: ",IF([1]Source!G3534&lt;&gt;"Новый подраздел", [1]Source!G3534, ""))</f>
        <v>Итого по подразделу: Подвал. Керамогранит 1195х600 мм</v>
      </c>
      <c r="B3719" s="44"/>
      <c r="C3719" s="44"/>
      <c r="D3719" s="44"/>
      <c r="E3719" s="44"/>
      <c r="F3719" s="44"/>
      <c r="G3719" s="44"/>
      <c r="H3719" s="41">
        <f>SUM(O3646:O3718)</f>
        <v>33238.94</v>
      </c>
      <c r="I3719" s="45"/>
      <c r="J3719" s="41">
        <f>SUM(P3646:P3718)</f>
        <v>761821.47</v>
      </c>
      <c r="K3719" s="45"/>
    </row>
    <row r="3720" spans="1:29" hidden="1" x14ac:dyDescent="0.25">
      <c r="A3720" t="s">
        <v>55</v>
      </c>
      <c r="I3720">
        <f>SUM(W3646:W3719)</f>
        <v>0</v>
      </c>
      <c r="J3720">
        <f>SUM(X3646:X3719)</f>
        <v>0</v>
      </c>
    </row>
    <row r="3721" spans="1:29" hidden="1" x14ac:dyDescent="0.25">
      <c r="A3721" t="s">
        <v>56</v>
      </c>
      <c r="I3721">
        <f>SUM(Y3646:Y3720)</f>
        <v>0</v>
      </c>
      <c r="J3721">
        <f>SUM(Z3646:Z3720)</f>
        <v>0</v>
      </c>
    </row>
    <row r="3722" spans="1:29" hidden="1" x14ac:dyDescent="0.25"/>
    <row r="3723" spans="1:29" ht="16.8" hidden="1" x14ac:dyDescent="0.25">
      <c r="A3723" s="11" t="str">
        <f>CONCATENATE("Подраздел: ",IF([1]Source!G3564&lt;&gt;"Новый подраздел", [1]Source!G3564, ""))</f>
        <v>Подраздел: Подвал. Керамогранит 600х600+звукоизоляционная лента по периметру</v>
      </c>
      <c r="B3723" s="11"/>
      <c r="C3723" s="11"/>
      <c r="D3723" s="11"/>
      <c r="E3723" s="11"/>
      <c r="F3723" s="11"/>
      <c r="G3723" s="11"/>
      <c r="H3723" s="11"/>
      <c r="I3723" s="11"/>
      <c r="J3723" s="11"/>
      <c r="K3723" s="11"/>
    </row>
    <row r="3724" spans="1:29" ht="57.6" hidden="1" x14ac:dyDescent="0.25">
      <c r="A3724" s="27">
        <v>372</v>
      </c>
      <c r="B3724" s="27" t="str">
        <f>[1]Source!F3568</f>
        <v>3.70-159-1</v>
      </c>
      <c r="C3724" s="27" t="s">
        <v>736</v>
      </c>
      <c r="D3724" s="28" t="str">
        <f>[1]Source!H3568</f>
        <v>100 м2 стяжки</v>
      </c>
      <c r="E3724" s="29">
        <f>[1]Source!I3568</f>
        <v>3.09</v>
      </c>
      <c r="F3724" s="30"/>
      <c r="G3724" s="31"/>
      <c r="H3724" s="29"/>
      <c r="I3724" s="30"/>
      <c r="J3724" s="29"/>
      <c r="K3724" s="30"/>
      <c r="Q3724">
        <f>[1]Source!X3568</f>
        <v>1467.54</v>
      </c>
      <c r="R3724">
        <f>[1]Source!X3569</f>
        <v>82695.88</v>
      </c>
      <c r="S3724">
        <f>[1]Source!Y3568</f>
        <v>799.16</v>
      </c>
      <c r="T3724">
        <f>[1]Source!Y3569</f>
        <v>45032.41</v>
      </c>
      <c r="U3724">
        <f>ROUND((175/100)*ROUND([1]Source!R3568, 2), 2)</f>
        <v>0</v>
      </c>
      <c r="V3724">
        <f>ROUND((0/100)*ROUND([1]Source!R3569, 2), 2)</f>
        <v>0</v>
      </c>
      <c r="AC3724">
        <v>0</v>
      </c>
    </row>
    <row r="3725" spans="1:29" hidden="1" x14ac:dyDescent="0.25">
      <c r="C3725" s="32" t="str">
        <f>"Объем: "&amp;[1]Source!I3568&amp;"=(293+"&amp;"16)/"&amp;"100"</f>
        <v>Объем: 3,09=(293+16)/100</v>
      </c>
    </row>
    <row r="3726" spans="1:29" ht="14.4" hidden="1" x14ac:dyDescent="0.25">
      <c r="A3726" s="27"/>
      <c r="B3726" s="27"/>
      <c r="C3726" s="27" t="s">
        <v>36</v>
      </c>
      <c r="D3726" s="28"/>
      <c r="E3726" s="29"/>
      <c r="F3726" s="30">
        <f>[1]Source!AO3568</f>
        <v>325.45</v>
      </c>
      <c r="G3726" s="31" t="s">
        <v>37</v>
      </c>
      <c r="H3726" s="29">
        <f>[1]Source!AV3569</f>
        <v>1.0469999999999999</v>
      </c>
      <c r="I3726" s="30">
        <f>[1]Source!S3568</f>
        <v>1453.01</v>
      </c>
      <c r="J3726" s="29">
        <f>IF([1]Source!BA3569&lt;&gt; 0, [1]Source!BA3569, 1)</f>
        <v>56.35</v>
      </c>
      <c r="K3726" s="30">
        <f>[1]Source!S3569</f>
        <v>81877.11</v>
      </c>
    </row>
    <row r="3727" spans="1:29" ht="14.4" hidden="1" x14ac:dyDescent="0.25">
      <c r="A3727" s="27"/>
      <c r="B3727" s="27"/>
      <c r="C3727" s="27" t="s">
        <v>38</v>
      </c>
      <c r="D3727" s="28"/>
      <c r="E3727" s="29"/>
      <c r="F3727" s="30">
        <f>[1]Source!AM3568</f>
        <v>1.8</v>
      </c>
      <c r="G3727" s="31" t="s">
        <v>39</v>
      </c>
      <c r="H3727" s="29">
        <f>[1]Source!AV3569</f>
        <v>1.0469999999999999</v>
      </c>
      <c r="I3727" s="30">
        <f>[1]Source!Q3568</f>
        <v>8.74</v>
      </c>
      <c r="J3727" s="29">
        <f>IF([1]Source!BB3569&lt;&gt; 0, [1]Source!BB3569, 1)</f>
        <v>11.69</v>
      </c>
      <c r="K3727" s="30">
        <f>[1]Source!Q3569</f>
        <v>102.17</v>
      </c>
    </row>
    <row r="3728" spans="1:29" ht="14.4" hidden="1" x14ac:dyDescent="0.25">
      <c r="A3728" s="27"/>
      <c r="B3728" s="27"/>
      <c r="C3728" s="27" t="s">
        <v>41</v>
      </c>
      <c r="D3728" s="28"/>
      <c r="E3728" s="29"/>
      <c r="F3728" s="30">
        <f>[1]Source!AL3568</f>
        <v>24.75</v>
      </c>
      <c r="G3728" s="31"/>
      <c r="H3728" s="29">
        <f>[1]Source!AW3569</f>
        <v>1</v>
      </c>
      <c r="I3728" s="30">
        <f>[1]Source!P3568</f>
        <v>76.48</v>
      </c>
      <c r="J3728" s="29">
        <f>IF([1]Source!BC3569&lt;&gt; 0, [1]Source!BC3569, 1)</f>
        <v>7.75</v>
      </c>
      <c r="K3728" s="30">
        <f>[1]Source!P3569</f>
        <v>592.72</v>
      </c>
    </row>
    <row r="3729" spans="1:29" ht="27.6" hidden="1" x14ac:dyDescent="0.25">
      <c r="A3729" s="27" t="s">
        <v>737</v>
      </c>
      <c r="B3729" s="27" t="str">
        <f>[1]Source!F3570</f>
        <v>1.3-2-6</v>
      </c>
      <c r="C3729" s="27" t="s">
        <v>149</v>
      </c>
      <c r="D3729" s="28" t="str">
        <f>[1]Source!H3570</f>
        <v>м3</v>
      </c>
      <c r="E3729" s="29">
        <f>[1]Source!I3570</f>
        <v>6.3035999999999994</v>
      </c>
      <c r="F3729" s="30">
        <f>[1]Source!AK3570</f>
        <v>467.32</v>
      </c>
      <c r="G3729" s="43" t="s">
        <v>54</v>
      </c>
      <c r="H3729" s="29">
        <f>[1]Source!AW3571</f>
        <v>1</v>
      </c>
      <c r="I3729" s="30">
        <f>[1]Source!O3570</f>
        <v>2945.8</v>
      </c>
      <c r="J3729" s="29">
        <f>IF([1]Source!BC3571&lt;&gt; 0, [1]Source!BC3571, 1)</f>
        <v>11.07</v>
      </c>
      <c r="K3729" s="30">
        <f>[1]Source!O3571</f>
        <v>32610.01</v>
      </c>
      <c r="Q3729">
        <f>[1]Source!X3570</f>
        <v>0</v>
      </c>
      <c r="R3729">
        <f>[1]Source!X3571</f>
        <v>0</v>
      </c>
      <c r="S3729">
        <f>[1]Source!Y3570</f>
        <v>0</v>
      </c>
      <c r="T3729">
        <f>[1]Source!Y3571</f>
        <v>0</v>
      </c>
      <c r="U3729">
        <f>ROUND((175/100)*ROUND([1]Source!R3570, 2), 2)</f>
        <v>0</v>
      </c>
      <c r="V3729">
        <f>ROUND((0/100)*ROUND([1]Source!R3571, 2), 2)</f>
        <v>0</v>
      </c>
      <c r="AC3729">
        <v>3</v>
      </c>
    </row>
    <row r="3730" spans="1:29" ht="14.4" hidden="1" x14ac:dyDescent="0.25">
      <c r="A3730" s="27"/>
      <c r="B3730" s="27"/>
      <c r="C3730" s="27" t="s">
        <v>42</v>
      </c>
      <c r="D3730" s="28" t="s">
        <v>43</v>
      </c>
      <c r="E3730" s="29">
        <f>[1]Source!BZ3569</f>
        <v>101</v>
      </c>
      <c r="F3730" s="30"/>
      <c r="G3730" s="31"/>
      <c r="H3730" s="29"/>
      <c r="I3730" s="30">
        <f>SUM(Q3724:Q3729)</f>
        <v>1467.54</v>
      </c>
      <c r="J3730" s="29">
        <f>[1]Source!AT3569</f>
        <v>101</v>
      </c>
      <c r="K3730" s="30">
        <f>SUM(R3724:R3729)</f>
        <v>82695.88</v>
      </c>
    </row>
    <row r="3731" spans="1:29" ht="14.4" hidden="1" x14ac:dyDescent="0.25">
      <c r="A3731" s="27"/>
      <c r="B3731" s="27"/>
      <c r="C3731" s="27" t="s">
        <v>44</v>
      </c>
      <c r="D3731" s="28" t="s">
        <v>43</v>
      </c>
      <c r="E3731" s="29">
        <f>[1]Source!CA3569</f>
        <v>55</v>
      </c>
      <c r="F3731" s="30"/>
      <c r="G3731" s="31"/>
      <c r="H3731" s="29"/>
      <c r="I3731" s="30">
        <f>SUM(S3724:S3730)</f>
        <v>799.16</v>
      </c>
      <c r="J3731" s="29">
        <f>[1]Source!AU3569</f>
        <v>55</v>
      </c>
      <c r="K3731" s="30">
        <f>SUM(T3724:T3730)</f>
        <v>45032.41</v>
      </c>
    </row>
    <row r="3732" spans="1:29" ht="14.4" hidden="1" x14ac:dyDescent="0.25">
      <c r="A3732" s="34"/>
      <c r="B3732" s="34"/>
      <c r="C3732" s="34" t="s">
        <v>45</v>
      </c>
      <c r="D3732" s="35" t="s">
        <v>46</v>
      </c>
      <c r="E3732" s="36">
        <f>[1]Source!AQ3568</f>
        <v>23.33</v>
      </c>
      <c r="F3732" s="37"/>
      <c r="G3732" s="38" t="s">
        <v>37</v>
      </c>
      <c r="H3732" s="36">
        <f>[1]Source!AV3569</f>
        <v>1.0469999999999999</v>
      </c>
      <c r="I3732" s="37">
        <f>[1]Source!U3568</f>
        <v>104.15952394199998</v>
      </c>
      <c r="J3732" s="36"/>
      <c r="K3732" s="37"/>
    </row>
    <row r="3733" spans="1:29" ht="13.8" hidden="1" x14ac:dyDescent="0.25">
      <c r="C3733" s="39" t="s">
        <v>47</v>
      </c>
      <c r="H3733" s="40">
        <f>I3726+I3727+I3728+I3730+I3731+SUM(I3729:I3729)-SUMIF(AC3729:AC3729, 5, I3729:I3729)-SUMIF(AC3729:AC3729, 6, I3729:I3729)</f>
        <v>6750.73</v>
      </c>
      <c r="I3733" s="40"/>
      <c r="J3733" s="40">
        <f>K3726+K3727+K3728+K3730+K3731+SUM(K3729:K3729)-SUMIF(AC3729:AC3729, 5, K3729:K3729)-SUMIF(AC3729:AC3729, 6, K3729:K3729)</f>
        <v>242910.30000000002</v>
      </c>
      <c r="K3733" s="40"/>
    </row>
    <row r="3734" spans="1:29" ht="13.8" hidden="1" x14ac:dyDescent="0.25">
      <c r="C3734" s="39" t="s">
        <v>48</v>
      </c>
      <c r="H3734" s="41">
        <f>SUMIF(AC3729:AC3729, 5, I3729:I3729)+SUMIF(AC3729:AC3729, 6, I3729:I3729)</f>
        <v>0</v>
      </c>
      <c r="I3734" s="41"/>
      <c r="J3734" s="41">
        <f>SUMIF(AC3729:AC3729, 5, K3729:K3729)+SUMIF(AC3729:AC3729, 6, K3729:K3729)</f>
        <v>0</v>
      </c>
      <c r="K3734" s="41"/>
    </row>
    <row r="3735" spans="1:29" ht="13.8" hidden="1" x14ac:dyDescent="0.25">
      <c r="C3735" s="39" t="s">
        <v>49</v>
      </c>
      <c r="H3735" s="41">
        <f>I3726+I3727+I3728+I3730+I3731+SUM(I3729:I3729)</f>
        <v>6750.73</v>
      </c>
      <c r="I3735" s="41"/>
      <c r="J3735" s="41">
        <f>K3726+K3727+K3728+K3730+K3731+SUM(K3729:K3729)</f>
        <v>242910.30000000002</v>
      </c>
      <c r="K3735" s="41"/>
      <c r="O3735" s="42">
        <f>I3726+I3727+I3728+I3730+I3731+SUM(I3729:I3729)</f>
        <v>6750.73</v>
      </c>
      <c r="P3735" s="42">
        <f>K3726+K3727+K3728+K3730+K3731+SUM(K3729:K3729)</f>
        <v>242910.30000000002</v>
      </c>
    </row>
    <row r="3736" spans="1:29" hidden="1" x14ac:dyDescent="0.25"/>
    <row r="3737" spans="1:29" ht="57.6" hidden="1" x14ac:dyDescent="0.25">
      <c r="A3737" s="27">
        <v>373</v>
      </c>
      <c r="B3737" s="27" t="str">
        <f>[1]Source!F3572</f>
        <v>3.70-159-2</v>
      </c>
      <c r="C3737" s="27" t="s">
        <v>719</v>
      </c>
      <c r="D3737" s="28" t="str">
        <f>[1]Source!H3572</f>
        <v>100 м2 стяжки</v>
      </c>
      <c r="E3737" s="29">
        <f>[1]Source!I3572</f>
        <v>3.09</v>
      </c>
      <c r="F3737" s="30"/>
      <c r="G3737" s="31"/>
      <c r="H3737" s="29"/>
      <c r="I3737" s="30"/>
      <c r="J3737" s="29"/>
      <c r="K3737" s="30"/>
      <c r="Q3737">
        <f>[1]Source!X3572</f>
        <v>288.22000000000003</v>
      </c>
      <c r="R3737">
        <f>[1]Source!X3573</f>
        <v>16241.41</v>
      </c>
      <c r="S3737">
        <f>[1]Source!Y3572</f>
        <v>156.94999999999999</v>
      </c>
      <c r="T3737">
        <f>[1]Source!Y3573</f>
        <v>8844.33</v>
      </c>
      <c r="U3737">
        <f>ROUND((175/100)*ROUND([1]Source!R3572, 2), 2)</f>
        <v>0</v>
      </c>
      <c r="V3737">
        <f>ROUND((0/100)*ROUND([1]Source!R3573, 2), 2)</f>
        <v>0</v>
      </c>
      <c r="AC3737">
        <v>0</v>
      </c>
    </row>
    <row r="3738" spans="1:29" hidden="1" x14ac:dyDescent="0.25">
      <c r="C3738" s="32" t="str">
        <f>"Объем: "&amp;[1]Source!I3572&amp;"=(293+"&amp;"16)/"&amp;"100"</f>
        <v>Объем: 3,09=(293+16)/100</v>
      </c>
    </row>
    <row r="3739" spans="1:29" ht="27.6" hidden="1" x14ac:dyDescent="0.25">
      <c r="A3739" s="27"/>
      <c r="B3739" s="27"/>
      <c r="C3739" s="27" t="s">
        <v>36</v>
      </c>
      <c r="D3739" s="28"/>
      <c r="E3739" s="29"/>
      <c r="F3739" s="30">
        <f>[1]Source!AO3572</f>
        <v>6.03</v>
      </c>
      <c r="G3739" s="31" t="s">
        <v>738</v>
      </c>
      <c r="H3739" s="29">
        <f>[1]Source!AV3573</f>
        <v>1.0469999999999999</v>
      </c>
      <c r="I3739" s="30">
        <f>[1]Source!S3572</f>
        <v>285.37</v>
      </c>
      <c r="J3739" s="29">
        <f>IF([1]Source!BA3573&lt;&gt; 0, [1]Source!BA3573, 1)</f>
        <v>56.35</v>
      </c>
      <c r="K3739" s="30">
        <f>[1]Source!S3573</f>
        <v>16080.6</v>
      </c>
    </row>
    <row r="3740" spans="1:29" ht="27.6" hidden="1" x14ac:dyDescent="0.25">
      <c r="A3740" s="27"/>
      <c r="B3740" s="27"/>
      <c r="C3740" s="27" t="s">
        <v>38</v>
      </c>
      <c r="D3740" s="28"/>
      <c r="E3740" s="29"/>
      <c r="F3740" s="30">
        <f>[1]Source!AM3572</f>
        <v>0.46</v>
      </c>
      <c r="G3740" s="31" t="s">
        <v>739</v>
      </c>
      <c r="H3740" s="29">
        <f>[1]Source!AV3573</f>
        <v>1.0469999999999999</v>
      </c>
      <c r="I3740" s="30">
        <f>[1]Source!Q3572</f>
        <v>23.66</v>
      </c>
      <c r="J3740" s="29">
        <f>IF([1]Source!BB3573&lt;&gt; 0, [1]Source!BB3573, 1)</f>
        <v>11.7</v>
      </c>
      <c r="K3740" s="30">
        <f>[1]Source!Q3573</f>
        <v>276.82</v>
      </c>
    </row>
    <row r="3741" spans="1:29" ht="27.6" hidden="1" x14ac:dyDescent="0.25">
      <c r="A3741" s="27" t="s">
        <v>740</v>
      </c>
      <c r="B3741" s="27" t="str">
        <f>[1]Source!F3574</f>
        <v>1.3-2-6</v>
      </c>
      <c r="C3741" s="27" t="s">
        <v>149</v>
      </c>
      <c r="D3741" s="28" t="str">
        <f>[1]Source!H3574</f>
        <v>м3</v>
      </c>
      <c r="E3741" s="29">
        <f>[1]Source!I3574</f>
        <v>16.704540000000001</v>
      </c>
      <c r="F3741" s="30">
        <f>[1]Source!AK3574</f>
        <v>467.32</v>
      </c>
      <c r="G3741" s="43" t="s">
        <v>54</v>
      </c>
      <c r="H3741" s="29">
        <f>[1]Source!AW3575</f>
        <v>1</v>
      </c>
      <c r="I3741" s="30">
        <f>[1]Source!O3574</f>
        <v>7806.37</v>
      </c>
      <c r="J3741" s="29">
        <f>IF([1]Source!BC3575&lt;&gt; 0, [1]Source!BC3575, 1)</f>
        <v>11.07</v>
      </c>
      <c r="K3741" s="30">
        <f>[1]Source!O3575</f>
        <v>86416.52</v>
      </c>
      <c r="Q3741">
        <f>[1]Source!X3574</f>
        <v>0</v>
      </c>
      <c r="R3741">
        <f>[1]Source!X3575</f>
        <v>0</v>
      </c>
      <c r="S3741">
        <f>[1]Source!Y3574</f>
        <v>0</v>
      </c>
      <c r="T3741">
        <f>[1]Source!Y3575</f>
        <v>0</v>
      </c>
      <c r="U3741">
        <f>ROUND((175/100)*ROUND([1]Source!R3574, 2), 2)</f>
        <v>0</v>
      </c>
      <c r="V3741">
        <f>ROUND((0/100)*ROUND([1]Source!R3575, 2), 2)</f>
        <v>0</v>
      </c>
      <c r="AC3741">
        <v>3</v>
      </c>
    </row>
    <row r="3742" spans="1:29" ht="14.4" hidden="1" x14ac:dyDescent="0.25">
      <c r="A3742" s="27"/>
      <c r="B3742" s="27"/>
      <c r="C3742" s="27" t="s">
        <v>42</v>
      </c>
      <c r="D3742" s="28" t="s">
        <v>43</v>
      </c>
      <c r="E3742" s="29">
        <f>[1]Source!BZ3573</f>
        <v>101</v>
      </c>
      <c r="F3742" s="30"/>
      <c r="G3742" s="31"/>
      <c r="H3742" s="29"/>
      <c r="I3742" s="30">
        <f>SUM(Q3737:Q3741)</f>
        <v>288.22000000000003</v>
      </c>
      <c r="J3742" s="29">
        <f>[1]Source!AT3573</f>
        <v>101</v>
      </c>
      <c r="K3742" s="30">
        <f>SUM(R3737:R3741)</f>
        <v>16241.41</v>
      </c>
    </row>
    <row r="3743" spans="1:29" ht="14.4" hidden="1" x14ac:dyDescent="0.25">
      <c r="A3743" s="27"/>
      <c r="B3743" s="27"/>
      <c r="C3743" s="27" t="s">
        <v>44</v>
      </c>
      <c r="D3743" s="28" t="s">
        <v>43</v>
      </c>
      <c r="E3743" s="29">
        <f>[1]Source!CA3573</f>
        <v>55</v>
      </c>
      <c r="F3743" s="30"/>
      <c r="G3743" s="31"/>
      <c r="H3743" s="29"/>
      <c r="I3743" s="30">
        <f>SUM(S3737:S3742)</f>
        <v>156.94999999999999</v>
      </c>
      <c r="J3743" s="29">
        <f>[1]Source!AU3573</f>
        <v>55</v>
      </c>
      <c r="K3743" s="30">
        <f>SUM(T3737:T3742)</f>
        <v>8844.33</v>
      </c>
    </row>
    <row r="3744" spans="1:29" ht="27.6" hidden="1" x14ac:dyDescent="0.25">
      <c r="A3744" s="34"/>
      <c r="B3744" s="34"/>
      <c r="C3744" s="34" t="s">
        <v>45</v>
      </c>
      <c r="D3744" s="35" t="s">
        <v>46</v>
      </c>
      <c r="E3744" s="36">
        <f>[1]Source!AQ3572</f>
        <v>0.44</v>
      </c>
      <c r="F3744" s="37"/>
      <c r="G3744" s="38" t="s">
        <v>738</v>
      </c>
      <c r="H3744" s="36">
        <f>[1]Source!AV3573</f>
        <v>1.0469999999999999</v>
      </c>
      <c r="I3744" s="37">
        <f>[1]Source!U3572</f>
        <v>20.822975553599996</v>
      </c>
      <c r="J3744" s="36"/>
      <c r="K3744" s="37"/>
    </row>
    <row r="3745" spans="1:29" ht="13.8" hidden="1" x14ac:dyDescent="0.25">
      <c r="C3745" s="39" t="s">
        <v>47</v>
      </c>
      <c r="H3745" s="40">
        <f>I3739+I3740+I3742+I3743+SUM(I3741:I3741)-SUMIF(AC3741:AC3741, 5, I3741:I3741)-SUMIF(AC3741:AC3741, 6, I3741:I3741)</f>
        <v>8560.57</v>
      </c>
      <c r="I3745" s="40"/>
      <c r="J3745" s="40">
        <f>K3739+K3740+K3742+K3743+SUM(K3741:K3741)-SUMIF(AC3741:AC3741, 5, K3741:K3741)-SUMIF(AC3741:AC3741, 6, K3741:K3741)</f>
        <v>127859.68000000001</v>
      </c>
      <c r="K3745" s="40"/>
    </row>
    <row r="3746" spans="1:29" ht="13.8" hidden="1" x14ac:dyDescent="0.25">
      <c r="C3746" s="39" t="s">
        <v>48</v>
      </c>
      <c r="H3746" s="41">
        <f>SUMIF(AC3741:AC3741, 5, I3741:I3741)+SUMIF(AC3741:AC3741, 6, I3741:I3741)</f>
        <v>0</v>
      </c>
      <c r="I3746" s="41"/>
      <c r="J3746" s="41">
        <f>SUMIF(AC3741:AC3741, 5, K3741:K3741)+SUMIF(AC3741:AC3741, 6, K3741:K3741)</f>
        <v>0</v>
      </c>
      <c r="K3746" s="41"/>
    </row>
    <row r="3747" spans="1:29" ht="13.8" hidden="1" x14ac:dyDescent="0.25">
      <c r="C3747" s="39" t="s">
        <v>49</v>
      </c>
      <c r="H3747" s="41">
        <f>I3739+I3740+I3742+I3743+SUM(I3741:I3741)</f>
        <v>8560.57</v>
      </c>
      <c r="I3747" s="41"/>
      <c r="J3747" s="41">
        <f>K3739+K3740+K3742+K3743+SUM(K3741:K3741)</f>
        <v>127859.68000000001</v>
      </c>
      <c r="K3747" s="41"/>
      <c r="O3747" s="42">
        <f>I3739+I3740+I3742+I3743+SUM(I3741:I3741)</f>
        <v>8560.57</v>
      </c>
      <c r="P3747" s="42">
        <f>K3739+K3740+K3742+K3743+SUM(K3741:K3741)</f>
        <v>127859.68000000001</v>
      </c>
    </row>
    <row r="3748" spans="1:29" hidden="1" x14ac:dyDescent="0.25"/>
    <row r="3749" spans="1:29" ht="27.6" hidden="1" x14ac:dyDescent="0.25">
      <c r="A3749" s="27">
        <v>374</v>
      </c>
      <c r="B3749" s="27" t="str">
        <f>[1]Source!F3576</f>
        <v>3.70-43-6</v>
      </c>
      <c r="C3749" s="27" t="s">
        <v>723</v>
      </c>
      <c r="D3749" s="28" t="str">
        <f>[1]Source!H3576</f>
        <v>1 Т</v>
      </c>
      <c r="E3749" s="29">
        <f>[1]Source!I3576</f>
        <v>0.84975000000000001</v>
      </c>
      <c r="F3749" s="30"/>
      <c r="G3749" s="31"/>
      <c r="H3749" s="29"/>
      <c r="I3749" s="30"/>
      <c r="J3749" s="29"/>
      <c r="K3749" s="30"/>
      <c r="Q3749">
        <f>[1]Source!X3576</f>
        <v>210.06</v>
      </c>
      <c r="R3749">
        <f>[1]Source!X3577</f>
        <v>11837.08</v>
      </c>
      <c r="S3749">
        <f>[1]Source!Y3576</f>
        <v>111.88</v>
      </c>
      <c r="T3749">
        <f>[1]Source!Y3577</f>
        <v>6304.53</v>
      </c>
      <c r="U3749">
        <f>ROUND((175/100)*ROUND([1]Source!R3576, 2), 2)</f>
        <v>11.81</v>
      </c>
      <c r="V3749">
        <f>ROUND((0/100)*ROUND([1]Source!R3577, 2), 2)</f>
        <v>0</v>
      </c>
      <c r="AC3749">
        <v>0</v>
      </c>
    </row>
    <row r="3750" spans="1:29" hidden="1" x14ac:dyDescent="0.25">
      <c r="C3750" s="32" t="str">
        <f>"Объем: "&amp;[1]Source!I3576&amp;"=(2,75*"&amp;"(293+"&amp;"16))/"&amp;"1000"</f>
        <v>Объем: 0,84975=(2,75*(293+16))/1000</v>
      </c>
    </row>
    <row r="3751" spans="1:29" ht="14.4" hidden="1" x14ac:dyDescent="0.25">
      <c r="A3751" s="27"/>
      <c r="B3751" s="27"/>
      <c r="C3751" s="27" t="s">
        <v>36</v>
      </c>
      <c r="D3751" s="28"/>
      <c r="E3751" s="29"/>
      <c r="F3751" s="30">
        <f>[1]Source!AO3576</f>
        <v>180.47</v>
      </c>
      <c r="G3751" s="31" t="s">
        <v>37</v>
      </c>
      <c r="H3751" s="29">
        <f>[1]Source!AV3577</f>
        <v>1.0469999999999999</v>
      </c>
      <c r="I3751" s="30">
        <f>[1]Source!S3576</f>
        <v>221.58</v>
      </c>
      <c r="J3751" s="29">
        <f>IF([1]Source!BA3577&lt;&gt; 0, [1]Source!BA3577, 1)</f>
        <v>56.35</v>
      </c>
      <c r="K3751" s="30">
        <f>[1]Source!S3577</f>
        <v>12486.03</v>
      </c>
    </row>
    <row r="3752" spans="1:29" ht="14.4" hidden="1" x14ac:dyDescent="0.25">
      <c r="A3752" s="27"/>
      <c r="B3752" s="27"/>
      <c r="C3752" s="27" t="s">
        <v>38</v>
      </c>
      <c r="D3752" s="28"/>
      <c r="E3752" s="29"/>
      <c r="F3752" s="30">
        <f>[1]Source!AM3576</f>
        <v>43.5</v>
      </c>
      <c r="G3752" s="31" t="s">
        <v>39</v>
      </c>
      <c r="H3752" s="29">
        <f>[1]Source!AV3577</f>
        <v>1.0469999999999999</v>
      </c>
      <c r="I3752" s="30">
        <f>[1]Source!Q3576</f>
        <v>58.05</v>
      </c>
      <c r="J3752" s="29">
        <f>IF([1]Source!BB3577&lt;&gt; 0, [1]Source!BB3577, 1)</f>
        <v>15.44</v>
      </c>
      <c r="K3752" s="30">
        <f>[1]Source!Q3577</f>
        <v>896.29</v>
      </c>
    </row>
    <row r="3753" spans="1:29" ht="14.4" hidden="1" x14ac:dyDescent="0.25">
      <c r="A3753" s="27"/>
      <c r="B3753" s="27"/>
      <c r="C3753" s="27" t="s">
        <v>40</v>
      </c>
      <c r="D3753" s="28"/>
      <c r="E3753" s="29"/>
      <c r="F3753" s="30">
        <f>[1]Source!AN3576</f>
        <v>5.0599999999999996</v>
      </c>
      <c r="G3753" s="31" t="s">
        <v>39</v>
      </c>
      <c r="H3753" s="29">
        <f>[1]Source!AV3577</f>
        <v>1.0469999999999999</v>
      </c>
      <c r="I3753" s="33">
        <f>[1]Source!R3576</f>
        <v>6.75</v>
      </c>
      <c r="J3753" s="29">
        <f>IF([1]Source!BS3577&lt;&gt; 0, [1]Source!BS3577, 1)</f>
        <v>56.35</v>
      </c>
      <c r="K3753" s="33">
        <f>[1]Source!R3577</f>
        <v>380.36</v>
      </c>
    </row>
    <row r="3754" spans="1:29" ht="14.4" hidden="1" x14ac:dyDescent="0.25">
      <c r="A3754" s="27"/>
      <c r="B3754" s="27"/>
      <c r="C3754" s="27" t="s">
        <v>41</v>
      </c>
      <c r="D3754" s="28"/>
      <c r="E3754" s="29"/>
      <c r="F3754" s="30">
        <f>[1]Source!AL3576</f>
        <v>258.67</v>
      </c>
      <c r="G3754" s="31"/>
      <c r="H3754" s="29">
        <f>[1]Source!AW3577</f>
        <v>1.022</v>
      </c>
      <c r="I3754" s="30">
        <f>[1]Source!P3576</f>
        <v>224.64</v>
      </c>
      <c r="J3754" s="29">
        <f>IF([1]Source!BC3577&lt;&gt; 0, [1]Source!BC3577, 1)</f>
        <v>7.5</v>
      </c>
      <c r="K3754" s="30">
        <f>[1]Source!P3577</f>
        <v>1684.8</v>
      </c>
    </row>
    <row r="3755" spans="1:29" ht="55.2" hidden="1" x14ac:dyDescent="0.25">
      <c r="A3755" s="27" t="s">
        <v>741</v>
      </c>
      <c r="B3755" s="27" t="str">
        <f>[1]Source!F3578</f>
        <v>1.3-4-75</v>
      </c>
      <c r="C3755" s="27" t="s">
        <v>725</v>
      </c>
      <c r="D3755" s="28" t="str">
        <f>[1]Source!H3578</f>
        <v>т</v>
      </c>
      <c r="E3755" s="29">
        <f>[1]Source!I3578</f>
        <v>0.84975000000000001</v>
      </c>
      <c r="F3755" s="30">
        <f>[1]Source!AK3578</f>
        <v>9724.69</v>
      </c>
      <c r="G3755" s="43" t="s">
        <v>54</v>
      </c>
      <c r="H3755" s="29">
        <f>[1]Source!AW3579</f>
        <v>1.022</v>
      </c>
      <c r="I3755" s="30">
        <f>[1]Source!O3578</f>
        <v>8445.35</v>
      </c>
      <c r="J3755" s="29">
        <f>IF([1]Source!BC3579&lt;&gt; 0, [1]Source!BC3579, 1)</f>
        <v>3.88</v>
      </c>
      <c r="K3755" s="30">
        <f>[1]Source!O3579</f>
        <v>32767.96</v>
      </c>
      <c r="Q3755">
        <f>[1]Source!X3578</f>
        <v>0</v>
      </c>
      <c r="R3755">
        <f>[1]Source!X3579</f>
        <v>0</v>
      </c>
      <c r="S3755">
        <f>[1]Source!Y3578</f>
        <v>0</v>
      </c>
      <c r="T3755">
        <f>[1]Source!Y3579</f>
        <v>0</v>
      </c>
      <c r="U3755">
        <f>ROUND((175/100)*ROUND([1]Source!R3578, 2), 2)</f>
        <v>0</v>
      </c>
      <c r="V3755">
        <f>ROUND((0/100)*ROUND([1]Source!R3579, 2), 2)</f>
        <v>0</v>
      </c>
      <c r="AC3755">
        <v>3</v>
      </c>
    </row>
    <row r="3756" spans="1:29" ht="14.4" hidden="1" x14ac:dyDescent="0.25">
      <c r="A3756" s="27"/>
      <c r="B3756" s="27"/>
      <c r="C3756" s="27" t="s">
        <v>42</v>
      </c>
      <c r="D3756" s="28" t="s">
        <v>43</v>
      </c>
      <c r="E3756" s="29">
        <f>[1]Source!BZ3577</f>
        <v>92</v>
      </c>
      <c r="F3756" s="30"/>
      <c r="G3756" s="31"/>
      <c r="H3756" s="29"/>
      <c r="I3756" s="30">
        <f>SUM(Q3749:Q3755)</f>
        <v>210.06</v>
      </c>
      <c r="J3756" s="29">
        <f>[1]Source!AT3577</f>
        <v>92</v>
      </c>
      <c r="K3756" s="30">
        <f>SUM(R3749:R3755)</f>
        <v>11837.08</v>
      </c>
    </row>
    <row r="3757" spans="1:29" ht="14.4" hidden="1" x14ac:dyDescent="0.25">
      <c r="A3757" s="27"/>
      <c r="B3757" s="27"/>
      <c r="C3757" s="27" t="s">
        <v>44</v>
      </c>
      <c r="D3757" s="28" t="s">
        <v>43</v>
      </c>
      <c r="E3757" s="29">
        <f>[1]Source!CA3577</f>
        <v>49</v>
      </c>
      <c r="F3757" s="30"/>
      <c r="G3757" s="31"/>
      <c r="H3757" s="29"/>
      <c r="I3757" s="30">
        <f>SUM(S3749:S3756)</f>
        <v>111.88</v>
      </c>
      <c r="J3757" s="29">
        <f>[1]Source!AU3577</f>
        <v>49</v>
      </c>
      <c r="K3757" s="30">
        <f>SUM(T3749:T3756)</f>
        <v>6304.53</v>
      </c>
    </row>
    <row r="3758" spans="1:29" ht="14.4" hidden="1" x14ac:dyDescent="0.25">
      <c r="A3758" s="34"/>
      <c r="B3758" s="34"/>
      <c r="C3758" s="34" t="s">
        <v>45</v>
      </c>
      <c r="D3758" s="35" t="s">
        <v>46</v>
      </c>
      <c r="E3758" s="36">
        <f>[1]Source!AQ3576</f>
        <v>11.6</v>
      </c>
      <c r="F3758" s="37"/>
      <c r="G3758" s="38" t="s">
        <v>37</v>
      </c>
      <c r="H3758" s="36">
        <f>[1]Source!AV3577</f>
        <v>1.0469999999999999</v>
      </c>
      <c r="I3758" s="37">
        <f>[1]Source!U3576</f>
        <v>14.242129505999994</v>
      </c>
      <c r="J3758" s="36"/>
      <c r="K3758" s="37"/>
    </row>
    <row r="3759" spans="1:29" ht="13.8" hidden="1" x14ac:dyDescent="0.25">
      <c r="C3759" s="39" t="s">
        <v>47</v>
      </c>
      <c r="H3759" s="40">
        <f>I3751+I3752+I3754+I3756+I3757+SUM(I3755:I3755)-SUMIF(AC3755:AC3755, 5, I3755:I3755)-SUMIF(AC3755:AC3755, 6, I3755:I3755)</f>
        <v>9271.56</v>
      </c>
      <c r="I3759" s="40"/>
      <c r="J3759" s="40">
        <f>K3751+K3752+K3754+K3756+K3757+SUM(K3755:K3755)-SUMIF(AC3755:AC3755, 5, K3755:K3755)-SUMIF(AC3755:AC3755, 6, K3755:K3755)</f>
        <v>65976.69</v>
      </c>
      <c r="K3759" s="40"/>
    </row>
    <row r="3760" spans="1:29" ht="13.8" hidden="1" x14ac:dyDescent="0.25">
      <c r="C3760" s="39" t="s">
        <v>48</v>
      </c>
      <c r="H3760" s="41">
        <f>SUMIF(AC3755:AC3755, 5, I3755:I3755)+SUMIF(AC3755:AC3755, 6, I3755:I3755)</f>
        <v>0</v>
      </c>
      <c r="I3760" s="41"/>
      <c r="J3760" s="41">
        <f>SUMIF(AC3755:AC3755, 5, K3755:K3755)+SUMIF(AC3755:AC3755, 6, K3755:K3755)</f>
        <v>0</v>
      </c>
      <c r="K3760" s="41"/>
    </row>
    <row r="3761" spans="1:29" ht="13.8" hidden="1" x14ac:dyDescent="0.25">
      <c r="C3761" s="39" t="s">
        <v>49</v>
      </c>
      <c r="H3761" s="41">
        <f>I3751+I3752+I3754+I3756+I3757+SUM(I3755:I3755)</f>
        <v>9271.56</v>
      </c>
      <c r="I3761" s="41"/>
      <c r="J3761" s="41">
        <f>K3751+K3752+K3754+K3756+K3757+SUM(K3755:K3755)</f>
        <v>65976.69</v>
      </c>
      <c r="K3761" s="41"/>
      <c r="O3761" s="42">
        <f>I3751+I3752+I3754+I3756+I3757+SUM(I3755:I3755)</f>
        <v>9271.56</v>
      </c>
      <c r="P3761" s="42">
        <f>K3751+K3752+K3754+K3756+K3757+SUM(K3755:K3755)</f>
        <v>65976.69</v>
      </c>
    </row>
    <row r="3762" spans="1:29" hidden="1" x14ac:dyDescent="0.25"/>
    <row r="3763" spans="1:29" ht="55.2" hidden="1" x14ac:dyDescent="0.25">
      <c r="A3763" s="27">
        <v>375</v>
      </c>
      <c r="B3763" s="27" t="str">
        <f>[1]Source!F3580</f>
        <v>3.70-2-1</v>
      </c>
      <c r="C3763" s="27" t="s">
        <v>726</v>
      </c>
      <c r="D3763" s="28" t="str">
        <f>[1]Source!H3580</f>
        <v>100 м2</v>
      </c>
      <c r="E3763" s="29">
        <f>[1]Source!I3580</f>
        <v>3.09</v>
      </c>
      <c r="F3763" s="30"/>
      <c r="G3763" s="31"/>
      <c r="H3763" s="29"/>
      <c r="I3763" s="30"/>
      <c r="J3763" s="29"/>
      <c r="K3763" s="30"/>
      <c r="Q3763">
        <f>[1]Source!X3580</f>
        <v>6340.54</v>
      </c>
      <c r="R3763">
        <f>[1]Source!X3581</f>
        <v>357289.65</v>
      </c>
      <c r="S3763">
        <f>[1]Source!Y3580</f>
        <v>3778.71</v>
      </c>
      <c r="T3763">
        <f>[1]Source!Y3581</f>
        <v>212930.2</v>
      </c>
      <c r="U3763">
        <f>ROUND((175/100)*ROUND([1]Source!R3580, 2), 2)</f>
        <v>68.37</v>
      </c>
      <c r="V3763">
        <f>ROUND((0/100)*ROUND([1]Source!R3581, 2), 2)</f>
        <v>0</v>
      </c>
      <c r="AC3763">
        <v>0</v>
      </c>
    </row>
    <row r="3764" spans="1:29" hidden="1" x14ac:dyDescent="0.25">
      <c r="C3764" s="32" t="str">
        <f>"Объем: "&amp;[1]Source!I3580&amp;"=(293+"&amp;"16)/"&amp;"100"</f>
        <v>Объем: 3,09=(293+16)/100</v>
      </c>
    </row>
    <row r="3765" spans="1:29" ht="14.4" hidden="1" x14ac:dyDescent="0.25">
      <c r="A3765" s="27"/>
      <c r="B3765" s="27"/>
      <c r="C3765" s="27" t="s">
        <v>36</v>
      </c>
      <c r="D3765" s="28"/>
      <c r="E3765" s="29"/>
      <c r="F3765" s="30">
        <f>[1]Source!AO3580</f>
        <v>1425.77</v>
      </c>
      <c r="G3765" s="31" t="s">
        <v>37</v>
      </c>
      <c r="H3765" s="29">
        <f>[1]Source!AV3581</f>
        <v>1.0469999999999999</v>
      </c>
      <c r="I3765" s="30">
        <f>[1]Source!S3580</f>
        <v>6365.52</v>
      </c>
      <c r="J3765" s="29">
        <f>IF([1]Source!BA3581&lt;&gt; 0, [1]Source!BA3581, 1)</f>
        <v>56.35</v>
      </c>
      <c r="K3765" s="30">
        <f>[1]Source!S3581</f>
        <v>358697.05</v>
      </c>
    </row>
    <row r="3766" spans="1:29" ht="14.4" hidden="1" x14ac:dyDescent="0.25">
      <c r="A3766" s="27"/>
      <c r="B3766" s="27"/>
      <c r="C3766" s="27" t="s">
        <v>38</v>
      </c>
      <c r="D3766" s="28"/>
      <c r="E3766" s="29"/>
      <c r="F3766" s="30">
        <f>[1]Source!AM3580</f>
        <v>9.41</v>
      </c>
      <c r="G3766" s="31" t="s">
        <v>39</v>
      </c>
      <c r="H3766" s="29">
        <f>[1]Source!AV3581</f>
        <v>1.0469999999999999</v>
      </c>
      <c r="I3766" s="30">
        <f>[1]Source!Q3580</f>
        <v>45.67</v>
      </c>
      <c r="J3766" s="29">
        <f>IF([1]Source!BB3581&lt;&gt; 0, [1]Source!BB3581, 1)</f>
        <v>54.4</v>
      </c>
      <c r="K3766" s="30">
        <f>[1]Source!Q3581</f>
        <v>2484.4499999999998</v>
      </c>
    </row>
    <row r="3767" spans="1:29" ht="14.4" hidden="1" x14ac:dyDescent="0.25">
      <c r="A3767" s="27"/>
      <c r="B3767" s="27"/>
      <c r="C3767" s="27" t="s">
        <v>40</v>
      </c>
      <c r="D3767" s="28"/>
      <c r="E3767" s="29"/>
      <c r="F3767" s="30">
        <f>[1]Source!AN3580</f>
        <v>8.0500000000000007</v>
      </c>
      <c r="G3767" s="31" t="s">
        <v>39</v>
      </c>
      <c r="H3767" s="29">
        <f>[1]Source!AV3581</f>
        <v>1.0469999999999999</v>
      </c>
      <c r="I3767" s="33">
        <f>[1]Source!R3580</f>
        <v>39.07</v>
      </c>
      <c r="J3767" s="29">
        <f>IF([1]Source!BS3581&lt;&gt; 0, [1]Source!BS3581, 1)</f>
        <v>56.35</v>
      </c>
      <c r="K3767" s="33">
        <f>[1]Source!R3581</f>
        <v>2201.59</v>
      </c>
    </row>
    <row r="3768" spans="1:29" ht="14.4" hidden="1" x14ac:dyDescent="0.25">
      <c r="A3768" s="27"/>
      <c r="B3768" s="27"/>
      <c r="C3768" s="27" t="s">
        <v>41</v>
      </c>
      <c r="D3768" s="28"/>
      <c r="E3768" s="29"/>
      <c r="F3768" s="30">
        <f>[1]Source!AL3580</f>
        <v>0.78</v>
      </c>
      <c r="G3768" s="31"/>
      <c r="H3768" s="29">
        <f>[1]Source!AW3581</f>
        <v>1</v>
      </c>
      <c r="I3768" s="30">
        <f>[1]Source!P3580</f>
        <v>2.41</v>
      </c>
      <c r="J3768" s="29">
        <f>IF([1]Source!BC3581&lt;&gt; 0, [1]Source!BC3581, 1)</f>
        <v>7.73</v>
      </c>
      <c r="K3768" s="30">
        <f>[1]Source!P3581</f>
        <v>18.63</v>
      </c>
    </row>
    <row r="3769" spans="1:29" ht="276" hidden="1" x14ac:dyDescent="0.25">
      <c r="A3769" s="27" t="s">
        <v>742</v>
      </c>
      <c r="B3769" s="27" t="str">
        <f>[1]Source!F3582</f>
        <v>1.3-2-97</v>
      </c>
      <c r="C3769" s="27" t="s">
        <v>728</v>
      </c>
      <c r="D3769" s="28" t="str">
        <f>[1]Source!H3582</f>
        <v>кг</v>
      </c>
      <c r="E3769" s="29">
        <f>[1]Source!I3582</f>
        <v>964.07999999999993</v>
      </c>
      <c r="F3769" s="30">
        <f>[1]Source!AK3582</f>
        <v>12.4</v>
      </c>
      <c r="G3769" s="43" t="s">
        <v>54</v>
      </c>
      <c r="H3769" s="29">
        <f>[1]Source!AW3583</f>
        <v>1</v>
      </c>
      <c r="I3769" s="30">
        <f>[1]Source!O3582</f>
        <v>11954.59</v>
      </c>
      <c r="J3769" s="29">
        <f>IF([1]Source!BC3583&lt;&gt; 0, [1]Source!BC3583, 1)</f>
        <v>4.7300000000000004</v>
      </c>
      <c r="K3769" s="30">
        <f>[1]Source!O3583</f>
        <v>56545.21</v>
      </c>
      <c r="Q3769">
        <f>[1]Source!X3582</f>
        <v>0</v>
      </c>
      <c r="R3769">
        <f>[1]Source!X3583</f>
        <v>0</v>
      </c>
      <c r="S3769">
        <f>[1]Source!Y3582</f>
        <v>0</v>
      </c>
      <c r="T3769">
        <f>[1]Source!Y3583</f>
        <v>0</v>
      </c>
      <c r="U3769">
        <f>ROUND((175/100)*ROUND([1]Source!R3582, 2), 2)</f>
        <v>0</v>
      </c>
      <c r="V3769">
        <f>ROUND((0/100)*ROUND([1]Source!R3583, 2), 2)</f>
        <v>0</v>
      </c>
      <c r="AC3769">
        <v>3</v>
      </c>
    </row>
    <row r="3770" spans="1:29" ht="14.4" hidden="1" x14ac:dyDescent="0.25">
      <c r="A3770" s="27"/>
      <c r="B3770" s="27"/>
      <c r="C3770" s="27" t="s">
        <v>42</v>
      </c>
      <c r="D3770" s="28" t="s">
        <v>43</v>
      </c>
      <c r="E3770" s="29">
        <f>[1]Source!BZ3581</f>
        <v>99</v>
      </c>
      <c r="F3770" s="30"/>
      <c r="G3770" s="31"/>
      <c r="H3770" s="29"/>
      <c r="I3770" s="30">
        <f>SUM(Q3763:Q3769)</f>
        <v>6340.54</v>
      </c>
      <c r="J3770" s="29">
        <f>[1]Source!AT3581</f>
        <v>99</v>
      </c>
      <c r="K3770" s="30">
        <f>SUM(R3763:R3769)</f>
        <v>357289.65</v>
      </c>
    </row>
    <row r="3771" spans="1:29" ht="14.4" hidden="1" x14ac:dyDescent="0.25">
      <c r="A3771" s="27"/>
      <c r="B3771" s="27"/>
      <c r="C3771" s="27" t="s">
        <v>44</v>
      </c>
      <c r="D3771" s="28" t="s">
        <v>43</v>
      </c>
      <c r="E3771" s="29">
        <f>[1]Source!CA3581</f>
        <v>59</v>
      </c>
      <c r="F3771" s="30"/>
      <c r="G3771" s="31"/>
      <c r="H3771" s="29"/>
      <c r="I3771" s="30">
        <f>SUM(S3763:S3770)</f>
        <v>3778.71</v>
      </c>
      <c r="J3771" s="29">
        <f>[1]Source!AU3581</f>
        <v>59</v>
      </c>
      <c r="K3771" s="30">
        <f>SUM(T3763:T3770)</f>
        <v>212930.2</v>
      </c>
    </row>
    <row r="3772" spans="1:29" ht="14.4" hidden="1" x14ac:dyDescent="0.25">
      <c r="A3772" s="34"/>
      <c r="B3772" s="34"/>
      <c r="C3772" s="34" t="s">
        <v>45</v>
      </c>
      <c r="D3772" s="35" t="s">
        <v>46</v>
      </c>
      <c r="E3772" s="36">
        <f>[1]Source!AQ3580</f>
        <v>85.24</v>
      </c>
      <c r="F3772" s="37"/>
      <c r="G3772" s="38" t="s">
        <v>37</v>
      </c>
      <c r="H3772" s="36">
        <f>[1]Source!AV3581</f>
        <v>1.0469999999999999</v>
      </c>
      <c r="I3772" s="37">
        <f>[1]Source!U3580</f>
        <v>380.5639871759999</v>
      </c>
      <c r="J3772" s="36"/>
      <c r="K3772" s="37"/>
    </row>
    <row r="3773" spans="1:29" ht="13.8" hidden="1" x14ac:dyDescent="0.25">
      <c r="C3773" s="39" t="s">
        <v>47</v>
      </c>
      <c r="H3773" s="40">
        <f>I3765+I3766+I3768+I3770+I3771+SUM(I3769:I3769)-SUMIF(AC3769:AC3769, 5, I3769:I3769)-SUMIF(AC3769:AC3769, 6, I3769:I3769)</f>
        <v>28487.439999999999</v>
      </c>
      <c r="I3773" s="40"/>
      <c r="J3773" s="40">
        <f>K3765+K3766+K3768+K3770+K3771+SUM(K3769:K3769)-SUMIF(AC3769:AC3769, 5, K3769:K3769)-SUMIF(AC3769:AC3769, 6, K3769:K3769)</f>
        <v>987965.19</v>
      </c>
      <c r="K3773" s="40"/>
    </row>
    <row r="3774" spans="1:29" ht="13.8" hidden="1" x14ac:dyDescent="0.25">
      <c r="C3774" s="39" t="s">
        <v>48</v>
      </c>
      <c r="H3774" s="41">
        <f>SUMIF(AC3769:AC3769, 5, I3769:I3769)+SUMIF(AC3769:AC3769, 6, I3769:I3769)</f>
        <v>0</v>
      </c>
      <c r="I3774" s="41"/>
      <c r="J3774" s="41">
        <f>SUMIF(AC3769:AC3769, 5, K3769:K3769)+SUMIF(AC3769:AC3769, 6, K3769:K3769)</f>
        <v>0</v>
      </c>
      <c r="K3774" s="41"/>
    </row>
    <row r="3775" spans="1:29" ht="13.8" hidden="1" x14ac:dyDescent="0.25">
      <c r="C3775" s="39" t="s">
        <v>49</v>
      </c>
      <c r="H3775" s="41">
        <f>I3765+I3766+I3768+I3770+I3771+SUM(I3769:I3769)</f>
        <v>28487.439999999999</v>
      </c>
      <c r="I3775" s="41"/>
      <c r="J3775" s="41">
        <f>K3765+K3766+K3768+K3770+K3771+SUM(K3769:K3769)</f>
        <v>987965.19</v>
      </c>
      <c r="K3775" s="41"/>
      <c r="O3775" s="42">
        <f>I3765+I3766+I3768+I3770+I3771+SUM(I3769:I3769)</f>
        <v>28487.439999999999</v>
      </c>
      <c r="P3775" s="42">
        <f>K3765+K3766+K3768+K3770+K3771+SUM(K3769:K3769)</f>
        <v>987965.19</v>
      </c>
    </row>
    <row r="3776" spans="1:29" hidden="1" x14ac:dyDescent="0.25"/>
    <row r="3777" spans="1:29" ht="55.2" hidden="1" x14ac:dyDescent="0.25">
      <c r="A3777" s="27">
        <v>376</v>
      </c>
      <c r="B3777" s="27" t="str">
        <f>[1]Source!F3584</f>
        <v>3.70-165-1</v>
      </c>
      <c r="C3777" s="27" t="s">
        <v>743</v>
      </c>
      <c r="D3777" s="28" t="str">
        <f>[1]Source!H3584</f>
        <v>100 м2</v>
      </c>
      <c r="E3777" s="29">
        <f>[1]Source!I3584</f>
        <v>0.98</v>
      </c>
      <c r="F3777" s="30"/>
      <c r="G3777" s="31"/>
      <c r="H3777" s="29"/>
      <c r="I3777" s="30"/>
      <c r="J3777" s="29"/>
      <c r="K3777" s="30"/>
      <c r="Q3777">
        <f>[1]Source!X3584</f>
        <v>84.35</v>
      </c>
      <c r="R3777">
        <f>[1]Source!X3585</f>
        <v>4752.8500000000004</v>
      </c>
      <c r="S3777">
        <f>[1]Source!Y3584</f>
        <v>45.93</v>
      </c>
      <c r="T3777">
        <f>[1]Source!Y3585</f>
        <v>2588.1799999999998</v>
      </c>
      <c r="U3777">
        <f>ROUND((175/100)*ROUND([1]Source!R3584, 2), 2)</f>
        <v>0.67</v>
      </c>
      <c r="V3777">
        <f>ROUND((0/100)*ROUND([1]Source!R3585, 2), 2)</f>
        <v>0</v>
      </c>
      <c r="AC3777">
        <v>0</v>
      </c>
    </row>
    <row r="3778" spans="1:29" hidden="1" x14ac:dyDescent="0.25">
      <c r="C3778" s="32" t="str">
        <f>"Объем: "&amp;[1]Source!I3584&amp;"=98/"&amp;"100"</f>
        <v>Объем: 0,98=98/100</v>
      </c>
    </row>
    <row r="3779" spans="1:29" ht="14.4" hidden="1" x14ac:dyDescent="0.25">
      <c r="A3779" s="27"/>
      <c r="B3779" s="27"/>
      <c r="C3779" s="27" t="s">
        <v>36</v>
      </c>
      <c r="D3779" s="28"/>
      <c r="E3779" s="29"/>
      <c r="F3779" s="30">
        <f>[1]Source!AO3584</f>
        <v>58.71</v>
      </c>
      <c r="G3779" s="31" t="s">
        <v>37</v>
      </c>
      <c r="H3779" s="29">
        <f>[1]Source!AV3585</f>
        <v>1.0469999999999999</v>
      </c>
      <c r="I3779" s="30">
        <f>[1]Source!S3584</f>
        <v>83.13</v>
      </c>
      <c r="J3779" s="29">
        <f>IF([1]Source!BA3585&lt;&gt; 0, [1]Source!BA3585, 1)</f>
        <v>56.35</v>
      </c>
      <c r="K3779" s="30">
        <f>[1]Source!S3585</f>
        <v>4684.38</v>
      </c>
    </row>
    <row r="3780" spans="1:29" ht="14.4" hidden="1" x14ac:dyDescent="0.25">
      <c r="A3780" s="27"/>
      <c r="B3780" s="27"/>
      <c r="C3780" s="27" t="s">
        <v>38</v>
      </c>
      <c r="D3780" s="28"/>
      <c r="E3780" s="29"/>
      <c r="F3780" s="30">
        <f>[1]Source!AM3584</f>
        <v>1.66</v>
      </c>
      <c r="G3780" s="31" t="s">
        <v>39</v>
      </c>
      <c r="H3780" s="29">
        <f>[1]Source!AV3585</f>
        <v>1.0469999999999999</v>
      </c>
      <c r="I3780" s="30">
        <f>[1]Source!Q3584</f>
        <v>2.5499999999999998</v>
      </c>
      <c r="J3780" s="29">
        <f>IF([1]Source!BB3585&lt;&gt; 0, [1]Source!BB3585, 1)</f>
        <v>17.09</v>
      </c>
      <c r="K3780" s="30">
        <f>[1]Source!Q3585</f>
        <v>43.58</v>
      </c>
    </row>
    <row r="3781" spans="1:29" ht="14.4" hidden="1" x14ac:dyDescent="0.25">
      <c r="A3781" s="27"/>
      <c r="B3781" s="27"/>
      <c r="C3781" s="27" t="s">
        <v>40</v>
      </c>
      <c r="D3781" s="28"/>
      <c r="E3781" s="29"/>
      <c r="F3781" s="30">
        <f>[1]Source!AN3584</f>
        <v>0.25</v>
      </c>
      <c r="G3781" s="31" t="s">
        <v>39</v>
      </c>
      <c r="H3781" s="29">
        <f>[1]Source!AV3585</f>
        <v>1.0469999999999999</v>
      </c>
      <c r="I3781" s="33">
        <f>[1]Source!R3584</f>
        <v>0.38</v>
      </c>
      <c r="J3781" s="29">
        <f>IF([1]Source!BS3585&lt;&gt; 0, [1]Source!BS3585, 1)</f>
        <v>56.35</v>
      </c>
      <c r="K3781" s="33">
        <f>[1]Source!R3585</f>
        <v>21.41</v>
      </c>
    </row>
    <row r="3782" spans="1:29" ht="14.4" hidden="1" x14ac:dyDescent="0.25">
      <c r="A3782" s="27"/>
      <c r="B3782" s="27"/>
      <c r="C3782" s="27" t="s">
        <v>41</v>
      </c>
      <c r="D3782" s="28"/>
      <c r="E3782" s="29"/>
      <c r="F3782" s="30">
        <f>[1]Source!AL3584</f>
        <v>100.8</v>
      </c>
      <c r="G3782" s="31"/>
      <c r="H3782" s="29">
        <f>[1]Source!AW3585</f>
        <v>1</v>
      </c>
      <c r="I3782" s="30">
        <f>[1]Source!P3584</f>
        <v>98.78</v>
      </c>
      <c r="J3782" s="29">
        <f>IF([1]Source!BC3585&lt;&gt; 0, [1]Source!BC3585, 1)</f>
        <v>8.6300000000000008</v>
      </c>
      <c r="K3782" s="30">
        <f>[1]Source!P3585</f>
        <v>852.47</v>
      </c>
    </row>
    <row r="3783" spans="1:29" ht="110.4" hidden="1" x14ac:dyDescent="0.25">
      <c r="A3783" s="27" t="s">
        <v>744</v>
      </c>
      <c r="B3783" s="27" t="str">
        <f>[1]Source!F3586</f>
        <v>1.1-1-4083</v>
      </c>
      <c r="C3783" s="27" t="s">
        <v>745</v>
      </c>
      <c r="D3783" s="28" t="str">
        <f>[1]Source!H3586</f>
        <v>м2</v>
      </c>
      <c r="E3783" s="29">
        <f>[1]Source!I3586</f>
        <v>100.94</v>
      </c>
      <c r="F3783" s="30">
        <f>[1]Source!AK3586</f>
        <v>6.56</v>
      </c>
      <c r="G3783" s="43" t="s">
        <v>54</v>
      </c>
      <c r="H3783" s="29">
        <f>[1]Source!AW3587</f>
        <v>1</v>
      </c>
      <c r="I3783" s="30">
        <f>[1]Source!O3586</f>
        <v>662.17</v>
      </c>
      <c r="J3783" s="29">
        <f>IF([1]Source!BC3587&lt;&gt; 0, [1]Source!BC3587, 1)</f>
        <v>14.39</v>
      </c>
      <c r="K3783" s="30">
        <f>[1]Source!O3587</f>
        <v>9528.6299999999992</v>
      </c>
      <c r="Q3783">
        <f>[1]Source!X3586</f>
        <v>0</v>
      </c>
      <c r="R3783">
        <f>[1]Source!X3587</f>
        <v>0</v>
      </c>
      <c r="S3783">
        <f>[1]Source!Y3586</f>
        <v>0</v>
      </c>
      <c r="T3783">
        <f>[1]Source!Y3587</f>
        <v>0</v>
      </c>
      <c r="U3783">
        <f>ROUND((175/100)*ROUND([1]Source!R3586, 2), 2)</f>
        <v>0</v>
      </c>
      <c r="V3783">
        <f>ROUND((0/100)*ROUND([1]Source!R3587, 2), 2)</f>
        <v>0</v>
      </c>
      <c r="AC3783">
        <v>3</v>
      </c>
    </row>
    <row r="3784" spans="1:29" ht="14.4" hidden="1" x14ac:dyDescent="0.25">
      <c r="A3784" s="27"/>
      <c r="B3784" s="27"/>
      <c r="C3784" s="27" t="s">
        <v>42</v>
      </c>
      <c r="D3784" s="28" t="s">
        <v>43</v>
      </c>
      <c r="E3784" s="29">
        <f>[1]Source!BZ3585</f>
        <v>101</v>
      </c>
      <c r="F3784" s="30"/>
      <c r="G3784" s="31"/>
      <c r="H3784" s="29"/>
      <c r="I3784" s="30">
        <f>SUM(Q3777:Q3783)</f>
        <v>84.35</v>
      </c>
      <c r="J3784" s="29">
        <f>[1]Source!AT3585</f>
        <v>101</v>
      </c>
      <c r="K3784" s="30">
        <f>SUM(R3777:R3783)</f>
        <v>4752.8500000000004</v>
      </c>
    </row>
    <row r="3785" spans="1:29" ht="14.4" hidden="1" x14ac:dyDescent="0.25">
      <c r="A3785" s="27"/>
      <c r="B3785" s="27"/>
      <c r="C3785" s="27" t="s">
        <v>44</v>
      </c>
      <c r="D3785" s="28" t="s">
        <v>43</v>
      </c>
      <c r="E3785" s="29">
        <f>[1]Source!CA3585</f>
        <v>55</v>
      </c>
      <c r="F3785" s="30"/>
      <c r="G3785" s="31"/>
      <c r="H3785" s="29"/>
      <c r="I3785" s="30">
        <f>SUM(S3777:S3784)</f>
        <v>45.93</v>
      </c>
      <c r="J3785" s="29">
        <f>[1]Source!AU3585</f>
        <v>55</v>
      </c>
      <c r="K3785" s="30">
        <f>SUM(T3777:T3784)</f>
        <v>2588.1799999999998</v>
      </c>
    </row>
    <row r="3786" spans="1:29" ht="14.4" hidden="1" x14ac:dyDescent="0.25">
      <c r="A3786" s="34"/>
      <c r="B3786" s="34"/>
      <c r="C3786" s="34" t="s">
        <v>45</v>
      </c>
      <c r="D3786" s="35" t="s">
        <v>46</v>
      </c>
      <c r="E3786" s="36">
        <f>[1]Source!AQ3584</f>
        <v>3.74</v>
      </c>
      <c r="F3786" s="37"/>
      <c r="G3786" s="38" t="s">
        <v>37</v>
      </c>
      <c r="H3786" s="36">
        <f>[1]Source!AV3585</f>
        <v>1.0469999999999999</v>
      </c>
      <c r="I3786" s="37">
        <f>[1]Source!U3584</f>
        <v>5.2957008719999994</v>
      </c>
      <c r="J3786" s="36"/>
      <c r="K3786" s="37"/>
    </row>
    <row r="3787" spans="1:29" ht="13.8" hidden="1" x14ac:dyDescent="0.25">
      <c r="C3787" s="39" t="s">
        <v>47</v>
      </c>
      <c r="H3787" s="40">
        <f>I3779+I3780+I3782+I3784+I3785+SUM(I3783:I3783)-SUMIF(AC3783:AC3783, 5, I3783:I3783)-SUMIF(AC3783:AC3783, 6, I3783:I3783)</f>
        <v>976.90999999999985</v>
      </c>
      <c r="I3787" s="40"/>
      <c r="J3787" s="40">
        <f>K3779+K3780+K3782+K3784+K3785+SUM(K3783:K3783)-SUMIF(AC3783:AC3783, 5, K3783:K3783)-SUMIF(AC3783:AC3783, 6, K3783:K3783)</f>
        <v>22450.09</v>
      </c>
      <c r="K3787" s="40"/>
    </row>
    <row r="3788" spans="1:29" ht="13.8" hidden="1" x14ac:dyDescent="0.25">
      <c r="C3788" s="39" t="s">
        <v>48</v>
      </c>
      <c r="H3788" s="41">
        <f>SUMIF(AC3783:AC3783, 5, I3783:I3783)+SUMIF(AC3783:AC3783, 6, I3783:I3783)</f>
        <v>0</v>
      </c>
      <c r="I3788" s="41"/>
      <c r="J3788" s="41">
        <f>SUMIF(AC3783:AC3783, 5, K3783:K3783)+SUMIF(AC3783:AC3783, 6, K3783:K3783)</f>
        <v>0</v>
      </c>
      <c r="K3788" s="41"/>
    </row>
    <row r="3789" spans="1:29" ht="13.8" hidden="1" x14ac:dyDescent="0.25">
      <c r="C3789" s="39" t="s">
        <v>49</v>
      </c>
      <c r="H3789" s="41">
        <f>I3779+I3780+I3782+I3784+I3785+SUM(I3783:I3783)</f>
        <v>976.90999999999985</v>
      </c>
      <c r="I3789" s="41"/>
      <c r="J3789" s="41">
        <f>K3779+K3780+K3782+K3784+K3785+SUM(K3783:K3783)</f>
        <v>22450.09</v>
      </c>
      <c r="K3789" s="41"/>
      <c r="O3789" s="42">
        <f>I3779+I3780+I3782+I3784+I3785+SUM(I3783:I3783)</f>
        <v>976.90999999999985</v>
      </c>
      <c r="P3789" s="42">
        <f>K3779+K3780+K3782+K3784+K3785+SUM(K3783:K3783)</f>
        <v>22450.09</v>
      </c>
    </row>
    <row r="3790" spans="1:29" hidden="1" x14ac:dyDescent="0.25"/>
    <row r="3791" spans="1:29" ht="69" hidden="1" x14ac:dyDescent="0.25">
      <c r="A3791" s="27">
        <v>377</v>
      </c>
      <c r="B3791" s="27" t="str">
        <f>[1]Source!F3588</f>
        <v>3.70-198-6</v>
      </c>
      <c r="C3791" s="27" t="s">
        <v>136</v>
      </c>
      <c r="D3791" s="28" t="str">
        <f>[1]Source!H3588</f>
        <v>100 м2</v>
      </c>
      <c r="E3791" s="29">
        <f>[1]Source!I3588</f>
        <v>3.09</v>
      </c>
      <c r="F3791" s="30"/>
      <c r="G3791" s="31"/>
      <c r="H3791" s="29"/>
      <c r="I3791" s="30"/>
      <c r="J3791" s="29"/>
      <c r="K3791" s="30"/>
      <c r="Q3791">
        <f>[1]Source!X3588</f>
        <v>4634.91</v>
      </c>
      <c r="R3791">
        <f>[1]Source!X3589</f>
        <v>261177.19</v>
      </c>
      <c r="S3791">
        <f>[1]Source!Y3588</f>
        <v>2523.96</v>
      </c>
      <c r="T3791">
        <f>[1]Source!Y3589</f>
        <v>142225.20000000001</v>
      </c>
      <c r="U3791">
        <f>ROUND((175/100)*ROUND([1]Source!R3588, 2), 2)</f>
        <v>115.75</v>
      </c>
      <c r="V3791">
        <f>ROUND((0/100)*ROUND([1]Source!R3589, 2), 2)</f>
        <v>0</v>
      </c>
      <c r="AC3791">
        <v>0</v>
      </c>
    </row>
    <row r="3792" spans="1:29" hidden="1" x14ac:dyDescent="0.25">
      <c r="C3792" s="32" t="str">
        <f>"Объем: "&amp;[1]Source!I3588&amp;"=(293+"&amp;"16)/"&amp;"100"</f>
        <v>Объем: 3,09=(293+16)/100</v>
      </c>
    </row>
    <row r="3793" spans="1:29" ht="14.4" hidden="1" x14ac:dyDescent="0.25">
      <c r="A3793" s="27"/>
      <c r="B3793" s="27"/>
      <c r="C3793" s="27" t="s">
        <v>36</v>
      </c>
      <c r="D3793" s="28"/>
      <c r="E3793" s="29"/>
      <c r="F3793" s="30">
        <f>[1]Source!AO3588</f>
        <v>1013.05</v>
      </c>
      <c r="G3793" s="31" t="s">
        <v>37</v>
      </c>
      <c r="H3793" s="29">
        <f>[1]Source!AV3589</f>
        <v>1.0469999999999999</v>
      </c>
      <c r="I3793" s="30">
        <f>[1]Source!S3588</f>
        <v>4522.88</v>
      </c>
      <c r="J3793" s="29">
        <f>IF([1]Source!BA3589&lt;&gt; 0, [1]Source!BA3589, 1)</f>
        <v>56.35</v>
      </c>
      <c r="K3793" s="30">
        <f>[1]Source!S3589</f>
        <v>254864.29</v>
      </c>
    </row>
    <row r="3794" spans="1:29" ht="14.4" hidden="1" x14ac:dyDescent="0.25">
      <c r="A3794" s="27"/>
      <c r="B3794" s="27"/>
      <c r="C3794" s="27" t="s">
        <v>38</v>
      </c>
      <c r="D3794" s="28"/>
      <c r="E3794" s="29"/>
      <c r="F3794" s="30">
        <f>[1]Source!AM3588</f>
        <v>77.48</v>
      </c>
      <c r="G3794" s="31" t="s">
        <v>39</v>
      </c>
      <c r="H3794" s="29">
        <f>[1]Source!AV3589</f>
        <v>1.0469999999999999</v>
      </c>
      <c r="I3794" s="30">
        <f>[1]Source!Q3588</f>
        <v>376</v>
      </c>
      <c r="J3794" s="29">
        <f>IF([1]Source!BB3589&lt;&gt; 0, [1]Source!BB3589, 1)</f>
        <v>18.91</v>
      </c>
      <c r="K3794" s="30">
        <f>[1]Source!Q3589</f>
        <v>7110.16</v>
      </c>
    </row>
    <row r="3795" spans="1:29" ht="14.4" hidden="1" x14ac:dyDescent="0.25">
      <c r="A3795" s="27"/>
      <c r="B3795" s="27"/>
      <c r="C3795" s="27" t="s">
        <v>40</v>
      </c>
      <c r="D3795" s="28"/>
      <c r="E3795" s="29"/>
      <c r="F3795" s="30">
        <f>[1]Source!AN3588</f>
        <v>13.63</v>
      </c>
      <c r="G3795" s="31" t="s">
        <v>39</v>
      </c>
      <c r="H3795" s="29">
        <f>[1]Source!AV3589</f>
        <v>1.0469999999999999</v>
      </c>
      <c r="I3795" s="33">
        <f>[1]Source!R3588</f>
        <v>66.14</v>
      </c>
      <c r="J3795" s="29">
        <f>IF([1]Source!BS3589&lt;&gt; 0, [1]Source!BS3589, 1)</f>
        <v>56.35</v>
      </c>
      <c r="K3795" s="33">
        <f>[1]Source!R3589</f>
        <v>3726.99</v>
      </c>
    </row>
    <row r="3796" spans="1:29" ht="14.4" hidden="1" x14ac:dyDescent="0.25">
      <c r="A3796" s="27"/>
      <c r="B3796" s="27"/>
      <c r="C3796" s="27" t="s">
        <v>41</v>
      </c>
      <c r="D3796" s="28"/>
      <c r="E3796" s="29"/>
      <c r="F3796" s="30">
        <f>[1]Source!AL3588</f>
        <v>7.2</v>
      </c>
      <c r="G3796" s="31"/>
      <c r="H3796" s="29">
        <f>[1]Source!AW3589</f>
        <v>1</v>
      </c>
      <c r="I3796" s="30">
        <f>[1]Source!P3588</f>
        <v>22.25</v>
      </c>
      <c r="J3796" s="29">
        <f>IF([1]Source!BC3589&lt;&gt; 0, [1]Source!BC3589, 1)</f>
        <v>5.07</v>
      </c>
      <c r="K3796" s="30">
        <f>[1]Source!P3589</f>
        <v>112.81</v>
      </c>
    </row>
    <row r="3797" spans="1:29" ht="41.4" hidden="1" x14ac:dyDescent="0.25">
      <c r="A3797" s="27" t="s">
        <v>746</v>
      </c>
      <c r="B3797" s="27" t="str">
        <f>[1]Source!F3590</f>
        <v>1.1-1-8205</v>
      </c>
      <c r="C3797" s="27" t="s">
        <v>731</v>
      </c>
      <c r="D3797" s="28" t="str">
        <f>[1]Source!H3590</f>
        <v>100 шт.</v>
      </c>
      <c r="E3797" s="29">
        <f>[1]Source!I3590</f>
        <v>35.813099999999999</v>
      </c>
      <c r="F3797" s="30">
        <f>[1]Source!AK3590</f>
        <v>4.26</v>
      </c>
      <c r="G3797" s="43" t="s">
        <v>54</v>
      </c>
      <c r="H3797" s="29">
        <f>[1]Source!AW3591</f>
        <v>1</v>
      </c>
      <c r="I3797" s="30">
        <f>[1]Source!O3590</f>
        <v>152.56</v>
      </c>
      <c r="J3797" s="29">
        <f>IF([1]Source!BC3591&lt;&gt; 0, [1]Source!BC3591, 1)</f>
        <v>9.99</v>
      </c>
      <c r="K3797" s="30">
        <f>[1]Source!O3591</f>
        <v>1524.07</v>
      </c>
      <c r="Q3797">
        <f>[1]Source!X3590</f>
        <v>0</v>
      </c>
      <c r="R3797">
        <f>[1]Source!X3591</f>
        <v>0</v>
      </c>
      <c r="S3797">
        <f>[1]Source!Y3590</f>
        <v>0</v>
      </c>
      <c r="T3797">
        <f>[1]Source!Y3591</f>
        <v>0</v>
      </c>
      <c r="U3797">
        <f>ROUND((175/100)*ROUND([1]Source!R3590, 2), 2)</f>
        <v>0</v>
      </c>
      <c r="V3797">
        <f>ROUND((0/100)*ROUND([1]Source!R3591, 2), 2)</f>
        <v>0</v>
      </c>
      <c r="AC3797">
        <v>3</v>
      </c>
    </row>
    <row r="3798" spans="1:29" ht="41.4" hidden="1" x14ac:dyDescent="0.25">
      <c r="A3798" s="27" t="s">
        <v>747</v>
      </c>
      <c r="B3798" s="27" t="str">
        <f>[1]Source!F3592</f>
        <v>1.1-1-3257</v>
      </c>
      <c r="C3798" s="27" t="s">
        <v>129</v>
      </c>
      <c r="D3798" s="28" t="str">
        <f>[1]Source!H3592</f>
        <v>кг</v>
      </c>
      <c r="E3798" s="29">
        <f>[1]Source!I3592</f>
        <v>43.26</v>
      </c>
      <c r="F3798" s="30">
        <f>[1]Source!AK3592</f>
        <v>17.3</v>
      </c>
      <c r="G3798" s="43" t="s">
        <v>54</v>
      </c>
      <c r="H3798" s="29">
        <f>[1]Source!AW3593</f>
        <v>1</v>
      </c>
      <c r="I3798" s="30">
        <f>[1]Source!O3592</f>
        <v>748.4</v>
      </c>
      <c r="J3798" s="29">
        <f>IF([1]Source!BC3593&lt;&gt; 0, [1]Source!BC3593, 1)</f>
        <v>5.93</v>
      </c>
      <c r="K3798" s="30">
        <f>[1]Source!O3593</f>
        <v>4438.01</v>
      </c>
      <c r="Q3798">
        <f>[1]Source!X3592</f>
        <v>0</v>
      </c>
      <c r="R3798">
        <f>[1]Source!X3593</f>
        <v>0</v>
      </c>
      <c r="S3798">
        <f>[1]Source!Y3592</f>
        <v>0</v>
      </c>
      <c r="T3798">
        <f>[1]Source!Y3593</f>
        <v>0</v>
      </c>
      <c r="U3798">
        <f>ROUND((175/100)*ROUND([1]Source!R3592, 2), 2)</f>
        <v>0</v>
      </c>
      <c r="V3798">
        <f>ROUND((0/100)*ROUND([1]Source!R3593, 2), 2)</f>
        <v>0</v>
      </c>
      <c r="AC3798">
        <v>3</v>
      </c>
    </row>
    <row r="3799" spans="1:29" ht="96.6" hidden="1" x14ac:dyDescent="0.25">
      <c r="A3799" s="27" t="s">
        <v>748</v>
      </c>
      <c r="B3799" s="27" t="str">
        <f>[1]Source!F3594</f>
        <v>1.3-2-50</v>
      </c>
      <c r="C3799" s="27" t="s">
        <v>131</v>
      </c>
      <c r="D3799" s="28" t="str">
        <f>[1]Source!H3594</f>
        <v>т</v>
      </c>
      <c r="E3799" s="29">
        <f>[1]Source!I3594</f>
        <v>0.1236</v>
      </c>
      <c r="F3799" s="30">
        <f>[1]Source!AK3594</f>
        <v>5978.05</v>
      </c>
      <c r="G3799" s="43" t="s">
        <v>54</v>
      </c>
      <c r="H3799" s="29">
        <f>[1]Source!AW3595</f>
        <v>1</v>
      </c>
      <c r="I3799" s="30">
        <f>[1]Source!O3594</f>
        <v>738.89</v>
      </c>
      <c r="J3799" s="29">
        <f>IF([1]Source!BC3595&lt;&gt; 0, [1]Source!BC3595, 1)</f>
        <v>15.31</v>
      </c>
      <c r="K3799" s="30">
        <f>[1]Source!O3595</f>
        <v>11312.41</v>
      </c>
      <c r="Q3799">
        <f>[1]Source!X3594</f>
        <v>0</v>
      </c>
      <c r="R3799">
        <f>[1]Source!X3595</f>
        <v>0</v>
      </c>
      <c r="S3799">
        <f>[1]Source!Y3594</f>
        <v>0</v>
      </c>
      <c r="T3799">
        <f>[1]Source!Y3595</f>
        <v>0</v>
      </c>
      <c r="U3799">
        <f>ROUND((175/100)*ROUND([1]Source!R3594, 2), 2)</f>
        <v>0</v>
      </c>
      <c r="V3799">
        <f>ROUND((0/100)*ROUND([1]Source!R3595, 2), 2)</f>
        <v>0</v>
      </c>
      <c r="AC3799">
        <v>3</v>
      </c>
    </row>
    <row r="3800" spans="1:29" ht="69" hidden="1" x14ac:dyDescent="0.25">
      <c r="A3800" s="27" t="s">
        <v>749</v>
      </c>
      <c r="B3800" s="27" t="str">
        <f>[1]Source!F3596</f>
        <v>1.3-2-35</v>
      </c>
      <c r="C3800" s="27" t="s">
        <v>634</v>
      </c>
      <c r="D3800" s="28" t="str">
        <f>[1]Source!H3596</f>
        <v>т</v>
      </c>
      <c r="E3800" s="29">
        <f>[1]Source!I3596</f>
        <v>2.227087</v>
      </c>
      <c r="F3800" s="30">
        <f>[1]Source!AK3596</f>
        <v>1669.7</v>
      </c>
      <c r="G3800" s="43" t="s">
        <v>54</v>
      </c>
      <c r="H3800" s="29">
        <f>[1]Source!AW3597</f>
        <v>1</v>
      </c>
      <c r="I3800" s="30">
        <f>[1]Source!O3596</f>
        <v>3718.57</v>
      </c>
      <c r="J3800" s="29">
        <f>IF([1]Source!BC3597&lt;&gt; 0, [1]Source!BC3597, 1)</f>
        <v>8</v>
      </c>
      <c r="K3800" s="30">
        <f>[1]Source!O3597</f>
        <v>29748.560000000001</v>
      </c>
      <c r="Q3800">
        <f>[1]Source!X3596</f>
        <v>0</v>
      </c>
      <c r="R3800">
        <f>[1]Source!X3597</f>
        <v>0</v>
      </c>
      <c r="S3800">
        <f>[1]Source!Y3596</f>
        <v>0</v>
      </c>
      <c r="T3800">
        <f>[1]Source!Y3597</f>
        <v>0</v>
      </c>
      <c r="U3800">
        <f>ROUND((175/100)*ROUND([1]Source!R3596, 2), 2)</f>
        <v>0</v>
      </c>
      <c r="V3800">
        <f>ROUND((0/100)*ROUND([1]Source!R3597, 2), 2)</f>
        <v>0</v>
      </c>
      <c r="AC3800">
        <v>3</v>
      </c>
    </row>
    <row r="3801" spans="1:29" ht="55.2" hidden="1" x14ac:dyDescent="0.25">
      <c r="A3801" s="27" t="s">
        <v>750</v>
      </c>
      <c r="B3801" s="27" t="str">
        <f>[1]Source!F3598</f>
        <v>1.1-1-3225</v>
      </c>
      <c r="C3801" s="27" t="s">
        <v>126</v>
      </c>
      <c r="D3801" s="28" t="str">
        <f>[1]Source!H3598</f>
        <v>м2</v>
      </c>
      <c r="E3801" s="29">
        <f>[1]Source!I3598</f>
        <v>333.72</v>
      </c>
      <c r="F3801" s="30">
        <f>[1]Source!AK3598</f>
        <v>124.57</v>
      </c>
      <c r="G3801" s="43" t="s">
        <v>54</v>
      </c>
      <c r="H3801" s="29">
        <f>[1]Source!AW3599</f>
        <v>1</v>
      </c>
      <c r="I3801" s="30">
        <f>[1]Source!O3598</f>
        <v>41571.5</v>
      </c>
      <c r="J3801" s="29">
        <f>IF([1]Source!BC3599&lt;&gt; 0, [1]Source!BC3599, 1)</f>
        <v>6.63</v>
      </c>
      <c r="K3801" s="30">
        <f>[1]Source!O3599</f>
        <v>275619.05</v>
      </c>
      <c r="Q3801">
        <f>[1]Source!X3598</f>
        <v>0</v>
      </c>
      <c r="R3801">
        <f>[1]Source!X3599</f>
        <v>0</v>
      </c>
      <c r="S3801">
        <f>[1]Source!Y3598</f>
        <v>0</v>
      </c>
      <c r="T3801">
        <f>[1]Source!Y3599</f>
        <v>0</v>
      </c>
      <c r="U3801">
        <f>ROUND((175/100)*ROUND([1]Source!R3598, 2), 2)</f>
        <v>0</v>
      </c>
      <c r="V3801">
        <f>ROUND((0/100)*ROUND([1]Source!R3599, 2), 2)</f>
        <v>0</v>
      </c>
      <c r="AC3801">
        <v>3</v>
      </c>
    </row>
    <row r="3802" spans="1:29" ht="14.4" hidden="1" x14ac:dyDescent="0.25">
      <c r="A3802" s="27"/>
      <c r="B3802" s="27"/>
      <c r="C3802" s="27" t="s">
        <v>42</v>
      </c>
      <c r="D3802" s="28" t="s">
        <v>43</v>
      </c>
      <c r="E3802" s="29">
        <f>[1]Source!BZ3589</f>
        <v>101</v>
      </c>
      <c r="F3802" s="30"/>
      <c r="G3802" s="31"/>
      <c r="H3802" s="29"/>
      <c r="I3802" s="30">
        <f>SUM(Q3791:Q3801)</f>
        <v>4634.91</v>
      </c>
      <c r="J3802" s="29">
        <f>[1]Source!AT3589</f>
        <v>101</v>
      </c>
      <c r="K3802" s="30">
        <f>SUM(R3791:R3801)</f>
        <v>261177.19</v>
      </c>
    </row>
    <row r="3803" spans="1:29" ht="14.4" hidden="1" x14ac:dyDescent="0.25">
      <c r="A3803" s="27"/>
      <c r="B3803" s="27"/>
      <c r="C3803" s="27" t="s">
        <v>44</v>
      </c>
      <c r="D3803" s="28" t="s">
        <v>43</v>
      </c>
      <c r="E3803" s="29">
        <f>[1]Source!CA3589</f>
        <v>55</v>
      </c>
      <c r="F3803" s="30"/>
      <c r="G3803" s="31"/>
      <c r="H3803" s="29"/>
      <c r="I3803" s="30">
        <f>SUM(S3791:S3802)</f>
        <v>2523.96</v>
      </c>
      <c r="J3803" s="29">
        <f>[1]Source!AU3589</f>
        <v>55</v>
      </c>
      <c r="K3803" s="30">
        <f>SUM(T3791:T3802)</f>
        <v>142225.20000000001</v>
      </c>
    </row>
    <row r="3804" spans="1:29" ht="14.4" hidden="1" x14ac:dyDescent="0.25">
      <c r="A3804" s="34"/>
      <c r="B3804" s="34"/>
      <c r="C3804" s="34" t="s">
        <v>45</v>
      </c>
      <c r="D3804" s="35" t="s">
        <v>46</v>
      </c>
      <c r="E3804" s="36">
        <f>[1]Source!AQ3588</f>
        <v>61.6</v>
      </c>
      <c r="F3804" s="37"/>
      <c r="G3804" s="38" t="s">
        <v>37</v>
      </c>
      <c r="H3804" s="36">
        <f>[1]Source!AV3589</f>
        <v>1.0469999999999999</v>
      </c>
      <c r="I3804" s="37">
        <f>[1]Source!U3588</f>
        <v>275.0204318399999</v>
      </c>
      <c r="J3804" s="36"/>
      <c r="K3804" s="37"/>
    </row>
    <row r="3805" spans="1:29" ht="13.8" hidden="1" x14ac:dyDescent="0.25">
      <c r="C3805" s="39" t="s">
        <v>47</v>
      </c>
      <c r="H3805" s="40">
        <f>I3793+I3794+I3796+I3802+I3803+SUM(I3797:I3801)-SUMIF(AC3797:AC3801, 5, I3797:I3801)-SUMIF(AC3797:AC3801, 6, I3797:I3801)</f>
        <v>59009.919999999998</v>
      </c>
      <c r="I3805" s="40"/>
      <c r="J3805" s="40">
        <f>K3793+K3794+K3796+K3802+K3803+SUM(K3797:K3801)-SUMIF(AC3797:AC3801, 5, K3797:K3801)-SUMIF(AC3797:AC3801, 6, K3797:K3801)</f>
        <v>988131.75</v>
      </c>
      <c r="K3805" s="40"/>
    </row>
    <row r="3806" spans="1:29" ht="13.8" hidden="1" x14ac:dyDescent="0.25">
      <c r="C3806" s="39" t="s">
        <v>48</v>
      </c>
      <c r="H3806" s="41">
        <f>SUMIF(AC3797:AC3801, 5, I3797:I3801)+SUMIF(AC3797:AC3801, 6, I3797:I3801)</f>
        <v>0</v>
      </c>
      <c r="I3806" s="41"/>
      <c r="J3806" s="41">
        <f>SUMIF(AC3797:AC3801, 5, K3797:K3801)+SUMIF(AC3797:AC3801, 6, K3797:K3801)</f>
        <v>0</v>
      </c>
      <c r="K3806" s="41"/>
    </row>
    <row r="3807" spans="1:29" ht="13.8" hidden="1" x14ac:dyDescent="0.25">
      <c r="C3807" s="39" t="s">
        <v>49</v>
      </c>
      <c r="H3807" s="41">
        <f>I3793+I3794+I3796+I3802+I3803+SUM(I3797:I3801)</f>
        <v>59009.919999999998</v>
      </c>
      <c r="I3807" s="41"/>
      <c r="J3807" s="41">
        <f>K3793+K3794+K3796+K3802+K3803+SUM(K3797:K3801)</f>
        <v>988131.75</v>
      </c>
      <c r="K3807" s="41"/>
      <c r="O3807" s="42">
        <f>I3793+I3794+I3796+I3802+I3803+SUM(I3797:I3801)</f>
        <v>59009.919999999998</v>
      </c>
      <c r="P3807" s="42">
        <f>K3793+K3794+K3796+K3802+K3803+SUM(K3797:K3801)</f>
        <v>988131.75</v>
      </c>
    </row>
    <row r="3808" spans="1:29" hidden="1" x14ac:dyDescent="0.25"/>
    <row r="3809" spans="1:43" hidden="1" x14ac:dyDescent="0.25"/>
    <row r="3810" spans="1:43" ht="27.6" hidden="1" x14ac:dyDescent="0.25">
      <c r="A3810" s="44" t="str">
        <f>CONCATENATE("Итого по подразделу: ",IF([1]Source!G3601&lt;&gt;"Новый подраздел", [1]Source!G3601, ""))</f>
        <v>Итого по подразделу: Подвал. Керамогранит 600х600+звукоизоляционная лента по периметру</v>
      </c>
      <c r="B3810" s="44"/>
      <c r="C3810" s="44"/>
      <c r="D3810" s="44"/>
      <c r="E3810" s="44"/>
      <c r="F3810" s="44"/>
      <c r="G3810" s="44"/>
      <c r="H3810" s="41">
        <f>SUM(O3723:O3809)</f>
        <v>113057.13</v>
      </c>
      <c r="I3810" s="45"/>
      <c r="J3810" s="41">
        <f>SUM(P3723:P3809)</f>
        <v>2435293.7000000002</v>
      </c>
      <c r="K3810" s="45"/>
      <c r="AQ3810" s="52" t="str">
        <f>CONCATENATE("Итого по подразделу: ",IF([1]Source!G3601&lt;&gt;"Новый подраздел", [1]Source!G3601, ""))</f>
        <v>Итого по подразделу: Подвал. Керамогранит 600х600+звукоизоляционная лента по периметру</v>
      </c>
    </row>
    <row r="3811" spans="1:43" hidden="1" x14ac:dyDescent="0.25">
      <c r="A3811" t="s">
        <v>55</v>
      </c>
      <c r="I3811">
        <f>SUM(W3723:W3810)</f>
        <v>0</v>
      </c>
      <c r="J3811">
        <f>SUM(X3723:X3810)</f>
        <v>0</v>
      </c>
    </row>
    <row r="3812" spans="1:43" hidden="1" x14ac:dyDescent="0.25">
      <c r="A3812" t="s">
        <v>56</v>
      </c>
      <c r="I3812">
        <f>SUM(Y3723:Y3811)</f>
        <v>0</v>
      </c>
      <c r="J3812">
        <f>SUM(Z3723:Z3811)</f>
        <v>0</v>
      </c>
    </row>
    <row r="3813" spans="1:43" hidden="1" x14ac:dyDescent="0.25"/>
    <row r="3814" spans="1:43" ht="16.8" hidden="1" x14ac:dyDescent="0.25">
      <c r="A3814" s="11" t="str">
        <f>CONCATENATE("Подраздел: ",IF([1]Source!G3631&lt;&gt;"Новый подраздел", [1]Source!G3631, ""))</f>
        <v>Подраздел: Подвал.  Паркетная доска</v>
      </c>
      <c r="B3814" s="11"/>
      <c r="C3814" s="11"/>
      <c r="D3814" s="11"/>
      <c r="E3814" s="11"/>
      <c r="F3814" s="11"/>
      <c r="G3814" s="11"/>
      <c r="H3814" s="11"/>
      <c r="I3814" s="11"/>
      <c r="J3814" s="11"/>
      <c r="K3814" s="11"/>
    </row>
    <row r="3815" spans="1:43" ht="57.6" hidden="1" x14ac:dyDescent="0.25">
      <c r="A3815" s="27">
        <v>378</v>
      </c>
      <c r="B3815" s="27" t="str">
        <f>[1]Source!F3635</f>
        <v>3.70-159-1</v>
      </c>
      <c r="C3815" s="27" t="s">
        <v>166</v>
      </c>
      <c r="D3815" s="28" t="str">
        <f>[1]Source!H3635</f>
        <v>100 м2 стяжки</v>
      </c>
      <c r="E3815" s="29">
        <f>[1]Source!I3635</f>
        <v>1.25</v>
      </c>
      <c r="F3815" s="30"/>
      <c r="G3815" s="31"/>
      <c r="H3815" s="29"/>
      <c r="I3815" s="30"/>
      <c r="J3815" s="29"/>
      <c r="K3815" s="30"/>
      <c r="Q3815">
        <f>[1]Source!X3635</f>
        <v>593.66999999999996</v>
      </c>
      <c r="R3815">
        <f>[1]Source!X3636</f>
        <v>33453.19</v>
      </c>
      <c r="S3815">
        <f>[1]Source!Y3635</f>
        <v>323.27999999999997</v>
      </c>
      <c r="T3815">
        <f>[1]Source!Y3636</f>
        <v>18217.080000000002</v>
      </c>
      <c r="U3815">
        <f>ROUND((175/100)*ROUND([1]Source!R3635, 2), 2)</f>
        <v>0</v>
      </c>
      <c r="V3815">
        <f>ROUND((0/100)*ROUND([1]Source!R3636, 2), 2)</f>
        <v>0</v>
      </c>
      <c r="AC3815">
        <v>0</v>
      </c>
    </row>
    <row r="3816" spans="1:43" hidden="1" x14ac:dyDescent="0.25">
      <c r="C3816" s="32" t="str">
        <f>"Объем: "&amp;[1]Source!I3635&amp;"=125/"&amp;"100"</f>
        <v>Объем: 1,25=125/100</v>
      </c>
    </row>
    <row r="3817" spans="1:43" ht="14.4" hidden="1" x14ac:dyDescent="0.25">
      <c r="A3817" s="27"/>
      <c r="B3817" s="27"/>
      <c r="C3817" s="27" t="s">
        <v>36</v>
      </c>
      <c r="D3817" s="28"/>
      <c r="E3817" s="29"/>
      <c r="F3817" s="30">
        <f>[1]Source!AO3635</f>
        <v>325.45</v>
      </c>
      <c r="G3817" s="31" t="s">
        <v>37</v>
      </c>
      <c r="H3817" s="29">
        <f>[1]Source!AV3636</f>
        <v>1.0469999999999999</v>
      </c>
      <c r="I3817" s="30">
        <f>[1]Source!S3635</f>
        <v>587.79</v>
      </c>
      <c r="J3817" s="29">
        <f>IF([1]Source!BA3636&lt;&gt; 0, [1]Source!BA3636, 1)</f>
        <v>56.35</v>
      </c>
      <c r="K3817" s="30">
        <f>[1]Source!S3636</f>
        <v>33121.97</v>
      </c>
    </row>
    <row r="3818" spans="1:43" ht="14.4" hidden="1" x14ac:dyDescent="0.25">
      <c r="A3818" s="27"/>
      <c r="B3818" s="27"/>
      <c r="C3818" s="27" t="s">
        <v>38</v>
      </c>
      <c r="D3818" s="28"/>
      <c r="E3818" s="29"/>
      <c r="F3818" s="30">
        <f>[1]Source!AM3635</f>
        <v>1.8</v>
      </c>
      <c r="G3818" s="31" t="s">
        <v>39</v>
      </c>
      <c r="H3818" s="29">
        <f>[1]Source!AV3636</f>
        <v>1.0469999999999999</v>
      </c>
      <c r="I3818" s="30">
        <f>[1]Source!Q3635</f>
        <v>3.53</v>
      </c>
      <c r="J3818" s="29">
        <f>IF([1]Source!BB3636&lt;&gt; 0, [1]Source!BB3636, 1)</f>
        <v>11.69</v>
      </c>
      <c r="K3818" s="30">
        <f>[1]Source!Q3636</f>
        <v>41.27</v>
      </c>
    </row>
    <row r="3819" spans="1:43" ht="14.4" hidden="1" x14ac:dyDescent="0.25">
      <c r="A3819" s="27"/>
      <c r="B3819" s="27"/>
      <c r="C3819" s="27" t="s">
        <v>41</v>
      </c>
      <c r="D3819" s="28"/>
      <c r="E3819" s="29"/>
      <c r="F3819" s="30">
        <f>[1]Source!AL3635</f>
        <v>24.75</v>
      </c>
      <c r="G3819" s="31"/>
      <c r="H3819" s="29">
        <f>[1]Source!AW3636</f>
        <v>1</v>
      </c>
      <c r="I3819" s="30">
        <f>[1]Source!P3635</f>
        <v>30.94</v>
      </c>
      <c r="J3819" s="29">
        <f>IF([1]Source!BC3636&lt;&gt; 0, [1]Source!BC3636, 1)</f>
        <v>7.75</v>
      </c>
      <c r="K3819" s="30">
        <f>[1]Source!P3636</f>
        <v>239.79</v>
      </c>
    </row>
    <row r="3820" spans="1:43" ht="27.6" hidden="1" x14ac:dyDescent="0.25">
      <c r="A3820" s="27" t="s">
        <v>751</v>
      </c>
      <c r="B3820" s="27" t="str">
        <f>[1]Source!F3637</f>
        <v>1.3-2-7</v>
      </c>
      <c r="C3820" s="27" t="s">
        <v>752</v>
      </c>
      <c r="D3820" s="28" t="str">
        <f>[1]Source!H3637</f>
        <v>м3</v>
      </c>
      <c r="E3820" s="29">
        <f>[1]Source!I3637</f>
        <v>2.5499999999999998</v>
      </c>
      <c r="F3820" s="30">
        <f>[1]Source!AK3637</f>
        <v>507.97</v>
      </c>
      <c r="G3820" s="43" t="s">
        <v>54</v>
      </c>
      <c r="H3820" s="29">
        <f>[1]Source!AW3638</f>
        <v>1</v>
      </c>
      <c r="I3820" s="30">
        <f>[1]Source!O3637</f>
        <v>1295.32</v>
      </c>
      <c r="J3820" s="29">
        <f>IF([1]Source!BC3638&lt;&gt; 0, [1]Source!BC3638, 1)</f>
        <v>10.98</v>
      </c>
      <c r="K3820" s="30">
        <f>[1]Source!O3638</f>
        <v>14222.61</v>
      </c>
      <c r="Q3820">
        <f>[1]Source!X3637</f>
        <v>0</v>
      </c>
      <c r="R3820">
        <f>[1]Source!X3638</f>
        <v>0</v>
      </c>
      <c r="S3820">
        <f>[1]Source!Y3637</f>
        <v>0</v>
      </c>
      <c r="T3820">
        <f>[1]Source!Y3638</f>
        <v>0</v>
      </c>
      <c r="U3820">
        <f>ROUND((175/100)*ROUND([1]Source!R3637, 2), 2)</f>
        <v>0</v>
      </c>
      <c r="V3820">
        <f>ROUND((0/100)*ROUND([1]Source!R3638, 2), 2)</f>
        <v>0</v>
      </c>
      <c r="AC3820">
        <v>3</v>
      </c>
    </row>
    <row r="3821" spans="1:43" ht="14.4" hidden="1" x14ac:dyDescent="0.25">
      <c r="A3821" s="27"/>
      <c r="B3821" s="27"/>
      <c r="C3821" s="27" t="s">
        <v>42</v>
      </c>
      <c r="D3821" s="28" t="s">
        <v>43</v>
      </c>
      <c r="E3821" s="29">
        <f>[1]Source!BZ3636</f>
        <v>101</v>
      </c>
      <c r="F3821" s="30"/>
      <c r="G3821" s="31"/>
      <c r="H3821" s="29"/>
      <c r="I3821" s="30">
        <f>SUM(Q3815:Q3820)</f>
        <v>593.66999999999996</v>
      </c>
      <c r="J3821" s="29">
        <f>[1]Source!AT3636</f>
        <v>101</v>
      </c>
      <c r="K3821" s="30">
        <f>SUM(R3815:R3820)</f>
        <v>33453.19</v>
      </c>
    </row>
    <row r="3822" spans="1:43" ht="14.4" hidden="1" x14ac:dyDescent="0.25">
      <c r="A3822" s="27"/>
      <c r="B3822" s="27"/>
      <c r="C3822" s="27" t="s">
        <v>44</v>
      </c>
      <c r="D3822" s="28" t="s">
        <v>43</v>
      </c>
      <c r="E3822" s="29">
        <f>[1]Source!CA3636</f>
        <v>55</v>
      </c>
      <c r="F3822" s="30"/>
      <c r="G3822" s="31"/>
      <c r="H3822" s="29"/>
      <c r="I3822" s="30">
        <f>SUM(S3815:S3821)</f>
        <v>323.27999999999997</v>
      </c>
      <c r="J3822" s="29">
        <f>[1]Source!AU3636</f>
        <v>55</v>
      </c>
      <c r="K3822" s="30">
        <f>SUM(T3815:T3821)</f>
        <v>18217.080000000002</v>
      </c>
    </row>
    <row r="3823" spans="1:43" ht="14.4" hidden="1" x14ac:dyDescent="0.25">
      <c r="A3823" s="34"/>
      <c r="B3823" s="34"/>
      <c r="C3823" s="34" t="s">
        <v>45</v>
      </c>
      <c r="D3823" s="35" t="s">
        <v>46</v>
      </c>
      <c r="E3823" s="36">
        <f>[1]Source!AQ3635</f>
        <v>23.33</v>
      </c>
      <c r="F3823" s="37"/>
      <c r="G3823" s="38" t="s">
        <v>37</v>
      </c>
      <c r="H3823" s="36">
        <f>[1]Source!AV3636</f>
        <v>1.0469999999999999</v>
      </c>
      <c r="I3823" s="37">
        <f>[1]Source!U3635</f>
        <v>42.135729749999989</v>
      </c>
      <c r="J3823" s="36"/>
      <c r="K3823" s="37"/>
    </row>
    <row r="3824" spans="1:43" ht="13.8" hidden="1" x14ac:dyDescent="0.25">
      <c r="C3824" s="39" t="s">
        <v>47</v>
      </c>
      <c r="H3824" s="40">
        <f>I3817+I3818+I3819+I3821+I3822+SUM(I3820:I3820)-SUMIF(AC3820:AC3820, 5, I3820:I3820)-SUMIF(AC3820:AC3820, 6, I3820:I3820)</f>
        <v>2834.5299999999997</v>
      </c>
      <c r="I3824" s="40"/>
      <c r="J3824" s="40">
        <f>K3817+K3818+K3819+K3821+K3822+SUM(K3820:K3820)-SUMIF(AC3820:AC3820, 5, K3820:K3820)-SUMIF(AC3820:AC3820, 6, K3820:K3820)</f>
        <v>99295.91</v>
      </c>
      <c r="K3824" s="40"/>
    </row>
    <row r="3825" spans="1:29" ht="13.8" hidden="1" x14ac:dyDescent="0.25">
      <c r="C3825" s="39" t="s">
        <v>48</v>
      </c>
      <c r="H3825" s="41">
        <f>SUMIF(AC3820:AC3820, 5, I3820:I3820)+SUMIF(AC3820:AC3820, 6, I3820:I3820)</f>
        <v>0</v>
      </c>
      <c r="I3825" s="41"/>
      <c r="J3825" s="41">
        <f>SUMIF(AC3820:AC3820, 5, K3820:K3820)+SUMIF(AC3820:AC3820, 6, K3820:K3820)</f>
        <v>0</v>
      </c>
      <c r="K3825" s="41"/>
    </row>
    <row r="3826" spans="1:29" ht="13.8" hidden="1" x14ac:dyDescent="0.25">
      <c r="C3826" s="39" t="s">
        <v>49</v>
      </c>
      <c r="H3826" s="41">
        <f>I3817+I3818+I3819+I3821+I3822+SUM(I3820:I3820)</f>
        <v>2834.5299999999997</v>
      </c>
      <c r="I3826" s="41"/>
      <c r="J3826" s="41">
        <f>K3817+K3818+K3819+K3821+K3822+SUM(K3820:K3820)</f>
        <v>99295.91</v>
      </c>
      <c r="K3826" s="41"/>
      <c r="O3826" s="42">
        <f>I3817+I3818+I3819+I3821+I3822+SUM(I3820:I3820)</f>
        <v>2834.5299999999997</v>
      </c>
      <c r="P3826" s="42">
        <f>K3817+K3818+K3819+K3821+K3822+SUM(K3820:K3820)</f>
        <v>99295.91</v>
      </c>
    </row>
    <row r="3827" spans="1:29" hidden="1" x14ac:dyDescent="0.25"/>
    <row r="3828" spans="1:29" ht="41.4" hidden="1" x14ac:dyDescent="0.25">
      <c r="A3828" s="27">
        <v>379</v>
      </c>
      <c r="B3828" s="27" t="str">
        <f>[1]Source!F3639</f>
        <v>3.70-164-1</v>
      </c>
      <c r="C3828" s="27" t="s">
        <v>753</v>
      </c>
      <c r="D3828" s="28" t="str">
        <f>[1]Source!H3639</f>
        <v>100 м2</v>
      </c>
      <c r="E3828" s="29">
        <f>[1]Source!I3639</f>
        <v>1.25</v>
      </c>
      <c r="F3828" s="30"/>
      <c r="G3828" s="31"/>
      <c r="H3828" s="29"/>
      <c r="I3828" s="30"/>
      <c r="J3828" s="29"/>
      <c r="K3828" s="30"/>
      <c r="Q3828">
        <f>[1]Source!X3639</f>
        <v>2458.69</v>
      </c>
      <c r="R3828">
        <f>[1]Source!X3640</f>
        <v>138547.38</v>
      </c>
      <c r="S3828">
        <f>[1]Source!Y3639</f>
        <v>1338.89</v>
      </c>
      <c r="T3828">
        <f>[1]Source!Y3640</f>
        <v>75446.59</v>
      </c>
      <c r="U3828">
        <f>ROUND((175/100)*ROUND([1]Source!R3639, 2), 2)</f>
        <v>2.61</v>
      </c>
      <c r="V3828">
        <f>ROUND((0/100)*ROUND([1]Source!R3640, 2), 2)</f>
        <v>0</v>
      </c>
      <c r="AC3828">
        <v>0</v>
      </c>
    </row>
    <row r="3829" spans="1:29" hidden="1" x14ac:dyDescent="0.25">
      <c r="C3829" s="32" t="str">
        <f>"Объем: "&amp;[1]Source!I3639&amp;"=125/"&amp;"100"</f>
        <v>Объем: 1,25=125/100</v>
      </c>
    </row>
    <row r="3830" spans="1:29" ht="14.4" hidden="1" x14ac:dyDescent="0.25">
      <c r="A3830" s="27"/>
      <c r="B3830" s="27"/>
      <c r="C3830" s="27" t="s">
        <v>36</v>
      </c>
      <c r="D3830" s="28"/>
      <c r="E3830" s="29"/>
      <c r="F3830" s="30">
        <f>[1]Source!AO3639</f>
        <v>1347.04</v>
      </c>
      <c r="G3830" s="31" t="s">
        <v>37</v>
      </c>
      <c r="H3830" s="29">
        <f>[1]Source!AV3640</f>
        <v>1.0469999999999999</v>
      </c>
      <c r="I3830" s="30">
        <f>[1]Source!S3639</f>
        <v>2432.86</v>
      </c>
      <c r="J3830" s="29">
        <f>IF([1]Source!BA3640&lt;&gt; 0, [1]Source!BA3640, 1)</f>
        <v>56.35</v>
      </c>
      <c r="K3830" s="30">
        <f>[1]Source!S3640</f>
        <v>137091.66</v>
      </c>
    </row>
    <row r="3831" spans="1:29" ht="14.4" hidden="1" x14ac:dyDescent="0.25">
      <c r="A3831" s="27"/>
      <c r="B3831" s="27"/>
      <c r="C3831" s="27" t="s">
        <v>38</v>
      </c>
      <c r="D3831" s="28"/>
      <c r="E3831" s="29"/>
      <c r="F3831" s="30">
        <f>[1]Source!AM3639</f>
        <v>43.45</v>
      </c>
      <c r="G3831" s="31" t="s">
        <v>39</v>
      </c>
      <c r="H3831" s="29">
        <f>[1]Source!AV3640</f>
        <v>1.0469999999999999</v>
      </c>
      <c r="I3831" s="30">
        <f>[1]Source!Q3639</f>
        <v>85.3</v>
      </c>
      <c r="J3831" s="29">
        <f>IF([1]Source!BB3640&lt;&gt; 0, [1]Source!BB3640, 1)</f>
        <v>10.91</v>
      </c>
      <c r="K3831" s="30">
        <f>[1]Source!Q3640</f>
        <v>930.62</v>
      </c>
    </row>
    <row r="3832" spans="1:29" ht="14.4" hidden="1" x14ac:dyDescent="0.25">
      <c r="A3832" s="27"/>
      <c r="B3832" s="27"/>
      <c r="C3832" s="27" t="s">
        <v>40</v>
      </c>
      <c r="D3832" s="28"/>
      <c r="E3832" s="29"/>
      <c r="F3832" s="30">
        <f>[1]Source!AN3639</f>
        <v>0.76</v>
      </c>
      <c r="G3832" s="31" t="s">
        <v>39</v>
      </c>
      <c r="H3832" s="29">
        <f>[1]Source!AV3640</f>
        <v>1.0469999999999999</v>
      </c>
      <c r="I3832" s="33">
        <f>[1]Source!R3639</f>
        <v>1.49</v>
      </c>
      <c r="J3832" s="29">
        <f>IF([1]Source!BS3640&lt;&gt; 0, [1]Source!BS3640, 1)</f>
        <v>56.35</v>
      </c>
      <c r="K3832" s="33">
        <f>[1]Source!R3640</f>
        <v>83.96</v>
      </c>
    </row>
    <row r="3833" spans="1:29" ht="14.4" hidden="1" x14ac:dyDescent="0.25">
      <c r="A3833" s="27"/>
      <c r="B3833" s="27"/>
      <c r="C3833" s="27" t="s">
        <v>41</v>
      </c>
      <c r="D3833" s="28"/>
      <c r="E3833" s="29"/>
      <c r="F3833" s="30">
        <f>[1]Source!AL3639</f>
        <v>108.37</v>
      </c>
      <c r="G3833" s="31"/>
      <c r="H3833" s="29">
        <f>[1]Source!AW3640</f>
        <v>1</v>
      </c>
      <c r="I3833" s="30">
        <f>[1]Source!P3639</f>
        <v>135.46</v>
      </c>
      <c r="J3833" s="29">
        <f>IF([1]Source!BC3640&lt;&gt; 0, [1]Source!BC3640, 1)</f>
        <v>14.11</v>
      </c>
      <c r="K3833" s="30">
        <f>[1]Source!P3640</f>
        <v>1911.34</v>
      </c>
    </row>
    <row r="3834" spans="1:29" ht="28.8" hidden="1" x14ac:dyDescent="0.25">
      <c r="A3834" s="27" t="s">
        <v>754</v>
      </c>
      <c r="B3834" s="27" t="str">
        <f>[1]Source!F3641</f>
        <v>1.1-1-3383</v>
      </c>
      <c r="C3834" s="27" t="s">
        <v>755</v>
      </c>
      <c r="D3834" s="28" t="str">
        <f>[1]Source!H3641</f>
        <v>100 шт.</v>
      </c>
      <c r="E3834" s="29">
        <f>[1]Source!I3641</f>
        <v>19</v>
      </c>
      <c r="F3834" s="30">
        <f>[1]Source!AK3641</f>
        <v>94.93</v>
      </c>
      <c r="G3834" s="43" t="s">
        <v>54</v>
      </c>
      <c r="H3834" s="29">
        <f>[1]Source!AW3642</f>
        <v>1</v>
      </c>
      <c r="I3834" s="30">
        <f>[1]Source!O3641</f>
        <v>1803.67</v>
      </c>
      <c r="J3834" s="29">
        <f>IF([1]Source!BC3642&lt;&gt; 0, [1]Source!BC3642, 1)</f>
        <v>3.7</v>
      </c>
      <c r="K3834" s="30">
        <f>[1]Source!O3642</f>
        <v>6673.58</v>
      </c>
      <c r="Q3834">
        <f>[1]Source!X3641</f>
        <v>0</v>
      </c>
      <c r="R3834">
        <f>[1]Source!X3642</f>
        <v>0</v>
      </c>
      <c r="S3834">
        <f>[1]Source!Y3641</f>
        <v>0</v>
      </c>
      <c r="T3834">
        <f>[1]Source!Y3642</f>
        <v>0</v>
      </c>
      <c r="U3834">
        <f>ROUND((175/100)*ROUND([1]Source!R3641, 2), 2)</f>
        <v>0</v>
      </c>
      <c r="V3834">
        <f>ROUND((0/100)*ROUND([1]Source!R3642, 2), 2)</f>
        <v>0</v>
      </c>
      <c r="AC3834">
        <v>3</v>
      </c>
    </row>
    <row r="3835" spans="1:29" ht="27.6" hidden="1" x14ac:dyDescent="0.25">
      <c r="A3835" s="27" t="s">
        <v>756</v>
      </c>
      <c r="B3835" s="27" t="str">
        <f>[1]Source!F3643</f>
        <v>1.1-1-394</v>
      </c>
      <c r="C3835" s="27" t="s">
        <v>757</v>
      </c>
      <c r="D3835" s="28" t="str">
        <f>[1]Source!H3643</f>
        <v>кг</v>
      </c>
      <c r="E3835" s="29">
        <f>[1]Source!I3643</f>
        <v>100</v>
      </c>
      <c r="F3835" s="30">
        <f>[1]Source!AK3643</f>
        <v>9.98</v>
      </c>
      <c r="G3835" s="43" t="s">
        <v>54</v>
      </c>
      <c r="H3835" s="29">
        <f>[1]Source!AW3644</f>
        <v>1</v>
      </c>
      <c r="I3835" s="30">
        <f>[1]Source!O3643</f>
        <v>998</v>
      </c>
      <c r="J3835" s="29">
        <f>IF([1]Source!BC3644&lt;&gt; 0, [1]Source!BC3644, 1)</f>
        <v>8.49</v>
      </c>
      <c r="K3835" s="30">
        <f>[1]Source!O3644</f>
        <v>8473.02</v>
      </c>
      <c r="Q3835">
        <f>[1]Source!X3643</f>
        <v>0</v>
      </c>
      <c r="R3835">
        <f>[1]Source!X3644</f>
        <v>0</v>
      </c>
      <c r="S3835">
        <f>[1]Source!Y3643</f>
        <v>0</v>
      </c>
      <c r="T3835">
        <f>[1]Source!Y3644</f>
        <v>0</v>
      </c>
      <c r="U3835">
        <f>ROUND((175/100)*ROUND([1]Source!R3643, 2), 2)</f>
        <v>0</v>
      </c>
      <c r="V3835">
        <f>ROUND((0/100)*ROUND([1]Source!R3644, 2), 2)</f>
        <v>0</v>
      </c>
      <c r="AC3835">
        <v>3</v>
      </c>
    </row>
    <row r="3836" spans="1:29" ht="14.4" hidden="1" x14ac:dyDescent="0.25">
      <c r="A3836" s="27"/>
      <c r="B3836" s="27"/>
      <c r="C3836" s="27" t="s">
        <v>42</v>
      </c>
      <c r="D3836" s="28" t="s">
        <v>43</v>
      </c>
      <c r="E3836" s="29">
        <f>[1]Source!BZ3640</f>
        <v>101</v>
      </c>
      <c r="F3836" s="30"/>
      <c r="G3836" s="31"/>
      <c r="H3836" s="29"/>
      <c r="I3836" s="30">
        <f>SUM(Q3828:Q3835)</f>
        <v>2458.69</v>
      </c>
      <c r="J3836" s="29">
        <f>[1]Source!AT3640</f>
        <v>101</v>
      </c>
      <c r="K3836" s="30">
        <f>SUM(R3828:R3835)</f>
        <v>138547.38</v>
      </c>
    </row>
    <row r="3837" spans="1:29" ht="14.4" hidden="1" x14ac:dyDescent="0.25">
      <c r="A3837" s="27"/>
      <c r="B3837" s="27"/>
      <c r="C3837" s="27" t="s">
        <v>44</v>
      </c>
      <c r="D3837" s="28" t="s">
        <v>43</v>
      </c>
      <c r="E3837" s="29">
        <f>[1]Source!CA3640</f>
        <v>55</v>
      </c>
      <c r="F3837" s="30"/>
      <c r="G3837" s="31"/>
      <c r="H3837" s="29"/>
      <c r="I3837" s="30">
        <f>SUM(S3828:S3836)</f>
        <v>1338.89</v>
      </c>
      <c r="J3837" s="29">
        <f>[1]Source!AU3640</f>
        <v>55</v>
      </c>
      <c r="K3837" s="30">
        <f>SUM(T3828:T3836)</f>
        <v>75446.59</v>
      </c>
    </row>
    <row r="3838" spans="1:29" ht="14.4" hidden="1" x14ac:dyDescent="0.25">
      <c r="A3838" s="34"/>
      <c r="B3838" s="34"/>
      <c r="C3838" s="34" t="s">
        <v>45</v>
      </c>
      <c r="D3838" s="35" t="s">
        <v>46</v>
      </c>
      <c r="E3838" s="36">
        <f>[1]Source!AQ3639</f>
        <v>83.04</v>
      </c>
      <c r="F3838" s="37"/>
      <c r="G3838" s="38" t="s">
        <v>37</v>
      </c>
      <c r="H3838" s="36">
        <f>[1]Source!AV3640</f>
        <v>1.0469999999999999</v>
      </c>
      <c r="I3838" s="37">
        <f>[1]Source!U3639</f>
        <v>149.97646799999998</v>
      </c>
      <c r="J3838" s="36"/>
      <c r="K3838" s="37"/>
    </row>
    <row r="3839" spans="1:29" ht="13.8" hidden="1" x14ac:dyDescent="0.25">
      <c r="C3839" s="39" t="s">
        <v>47</v>
      </c>
      <c r="H3839" s="40">
        <f>I3830+I3831+I3833+I3836+I3837+SUM(I3834:I3835)-SUMIF(AC3834:AC3835, 5, I3834:I3835)-SUMIF(AC3834:AC3835, 6, I3834:I3835)</f>
        <v>9252.8700000000008</v>
      </c>
      <c r="I3839" s="40"/>
      <c r="J3839" s="40">
        <f>K3830+K3831+K3833+K3836+K3837+SUM(K3834:K3835)-SUMIF(AC3834:AC3835, 5, K3834:K3835)-SUMIF(AC3834:AC3835, 6, K3834:K3835)</f>
        <v>369074.18999999994</v>
      </c>
      <c r="K3839" s="40"/>
    </row>
    <row r="3840" spans="1:29" ht="13.8" hidden="1" x14ac:dyDescent="0.25">
      <c r="C3840" s="39" t="s">
        <v>48</v>
      </c>
      <c r="H3840" s="41">
        <f>SUMIF(AC3834:AC3835, 5, I3834:I3835)+SUMIF(AC3834:AC3835, 6, I3834:I3835)</f>
        <v>0</v>
      </c>
      <c r="I3840" s="41"/>
      <c r="J3840" s="41">
        <f>SUMIF(AC3834:AC3835, 5, K3834:K3835)+SUMIF(AC3834:AC3835, 6, K3834:K3835)</f>
        <v>0</v>
      </c>
      <c r="K3840" s="41"/>
    </row>
    <row r="3841" spans="1:29" ht="13.8" hidden="1" x14ac:dyDescent="0.25">
      <c r="C3841" s="39" t="s">
        <v>49</v>
      </c>
      <c r="H3841" s="41">
        <f>I3830+I3831+I3833+I3836+I3837+SUM(I3834:I3835)</f>
        <v>9252.8700000000008</v>
      </c>
      <c r="I3841" s="41"/>
      <c r="J3841" s="41">
        <f>K3830+K3831+K3833+K3836+K3837+SUM(K3834:K3835)</f>
        <v>369074.18999999994</v>
      </c>
      <c r="K3841" s="41"/>
      <c r="O3841" s="42">
        <f>I3830+I3831+I3833+I3836+I3837+SUM(I3834:I3835)</f>
        <v>9252.8700000000008</v>
      </c>
      <c r="P3841" s="42">
        <f>K3830+K3831+K3833+K3836+K3837+SUM(K3834:K3835)</f>
        <v>369074.18999999994</v>
      </c>
    </row>
    <row r="3842" spans="1:29" hidden="1" x14ac:dyDescent="0.25"/>
    <row r="3843" spans="1:29" ht="69" hidden="1" x14ac:dyDescent="0.25">
      <c r="A3843" s="34">
        <v>380</v>
      </c>
      <c r="B3843" s="34" t="str">
        <f>[1]Source!F3645</f>
        <v>1.1-1-1308</v>
      </c>
      <c r="C3843" s="34" t="s">
        <v>758</v>
      </c>
      <c r="D3843" s="35" t="str">
        <f>[1]Source!H3645</f>
        <v>м3</v>
      </c>
      <c r="E3843" s="36">
        <f>[1]Source!I3645</f>
        <v>1.5</v>
      </c>
      <c r="F3843" s="37">
        <f>[1]Source!AL3645</f>
        <v>2520.42</v>
      </c>
      <c r="G3843" s="38"/>
      <c r="H3843" s="36">
        <f>[1]Source!AW3646</f>
        <v>1</v>
      </c>
      <c r="I3843" s="37">
        <f>[1]Source!P3645</f>
        <v>3780.63</v>
      </c>
      <c r="J3843" s="36">
        <f>IF([1]Source!BC3646&lt;&gt; 0, [1]Source!BC3646, 1)</f>
        <v>20.51</v>
      </c>
      <c r="K3843" s="37">
        <f>[1]Source!P3646</f>
        <v>77540.72</v>
      </c>
      <c r="Q3843">
        <f>[1]Source!X3645</f>
        <v>0</v>
      </c>
      <c r="R3843">
        <f>[1]Source!X3646</f>
        <v>0</v>
      </c>
      <c r="S3843">
        <f>[1]Source!Y3645</f>
        <v>0</v>
      </c>
      <c r="T3843">
        <f>[1]Source!Y3646</f>
        <v>0</v>
      </c>
      <c r="U3843">
        <f>ROUND((175/100)*ROUND([1]Source!R3645, 2), 2)</f>
        <v>0</v>
      </c>
      <c r="V3843">
        <f>ROUND((0/100)*ROUND([1]Source!R3646, 2), 2)</f>
        <v>0</v>
      </c>
      <c r="AC3843">
        <v>3</v>
      </c>
    </row>
    <row r="3844" spans="1:29" ht="13.8" hidden="1" x14ac:dyDescent="0.25">
      <c r="C3844" s="39" t="s">
        <v>49</v>
      </c>
      <c r="H3844" s="40">
        <f>I3843+0</f>
        <v>3780.63</v>
      </c>
      <c r="I3844" s="40"/>
      <c r="J3844" s="40">
        <f>K3843+0</f>
        <v>77540.72</v>
      </c>
      <c r="K3844" s="40"/>
      <c r="O3844" s="42">
        <f>I3843+0</f>
        <v>3780.63</v>
      </c>
      <c r="P3844" s="42">
        <f>K3843+0</f>
        <v>77540.72</v>
      </c>
    </row>
    <row r="3845" spans="1:29" hidden="1" x14ac:dyDescent="0.25"/>
    <row r="3846" spans="1:29" ht="41.4" hidden="1" x14ac:dyDescent="0.25">
      <c r="A3846" s="27">
        <v>381</v>
      </c>
      <c r="B3846" s="27" t="str">
        <f>[1]Source!F3647</f>
        <v>3.70-164-1</v>
      </c>
      <c r="C3846" s="27" t="s">
        <v>759</v>
      </c>
      <c r="D3846" s="28" t="str">
        <f>[1]Source!H3647</f>
        <v>100 м2</v>
      </c>
      <c r="E3846" s="29">
        <f>[1]Source!I3647</f>
        <v>1.25</v>
      </c>
      <c r="F3846" s="30"/>
      <c r="G3846" s="31"/>
      <c r="H3846" s="29"/>
      <c r="I3846" s="30"/>
      <c r="J3846" s="29"/>
      <c r="K3846" s="30"/>
      <c r="Q3846">
        <f>[1]Source!X3647</f>
        <v>2458.69</v>
      </c>
      <c r="R3846">
        <f>[1]Source!X3648</f>
        <v>138547.38</v>
      </c>
      <c r="S3846">
        <f>[1]Source!Y3647</f>
        <v>1338.89</v>
      </c>
      <c r="T3846">
        <f>[1]Source!Y3648</f>
        <v>75446.59</v>
      </c>
      <c r="U3846">
        <f>ROUND((175/100)*ROUND([1]Source!R3647, 2), 2)</f>
        <v>2.61</v>
      </c>
      <c r="V3846">
        <f>ROUND((0/100)*ROUND([1]Source!R3648, 2), 2)</f>
        <v>0</v>
      </c>
      <c r="AC3846">
        <v>0</v>
      </c>
    </row>
    <row r="3847" spans="1:29" hidden="1" x14ac:dyDescent="0.25">
      <c r="C3847" s="32" t="str">
        <f>"Объем: "&amp;[1]Source!I3647&amp;"=125/"&amp;"100"</f>
        <v>Объем: 1,25=125/100</v>
      </c>
    </row>
    <row r="3848" spans="1:29" ht="14.4" hidden="1" x14ac:dyDescent="0.25">
      <c r="A3848" s="27"/>
      <c r="B3848" s="27"/>
      <c r="C3848" s="27" t="s">
        <v>36</v>
      </c>
      <c r="D3848" s="28"/>
      <c r="E3848" s="29"/>
      <c r="F3848" s="30">
        <f>[1]Source!AO3647</f>
        <v>1347.04</v>
      </c>
      <c r="G3848" s="31" t="s">
        <v>37</v>
      </c>
      <c r="H3848" s="29">
        <f>[1]Source!AV3648</f>
        <v>1.0469999999999999</v>
      </c>
      <c r="I3848" s="30">
        <f>[1]Source!S3647</f>
        <v>2432.86</v>
      </c>
      <c r="J3848" s="29">
        <f>IF([1]Source!BA3648&lt;&gt; 0, [1]Source!BA3648, 1)</f>
        <v>56.35</v>
      </c>
      <c r="K3848" s="30">
        <f>[1]Source!S3648</f>
        <v>137091.66</v>
      </c>
    </row>
    <row r="3849" spans="1:29" ht="14.4" hidden="1" x14ac:dyDescent="0.25">
      <c r="A3849" s="27"/>
      <c r="B3849" s="27"/>
      <c r="C3849" s="27" t="s">
        <v>38</v>
      </c>
      <c r="D3849" s="28"/>
      <c r="E3849" s="29"/>
      <c r="F3849" s="30">
        <f>[1]Source!AM3647</f>
        <v>43.45</v>
      </c>
      <c r="G3849" s="31" t="s">
        <v>39</v>
      </c>
      <c r="H3849" s="29">
        <f>[1]Source!AV3648</f>
        <v>1.0469999999999999</v>
      </c>
      <c r="I3849" s="30">
        <f>[1]Source!Q3647</f>
        <v>85.3</v>
      </c>
      <c r="J3849" s="29">
        <f>IF([1]Source!BB3648&lt;&gt; 0, [1]Source!BB3648, 1)</f>
        <v>10.91</v>
      </c>
      <c r="K3849" s="30">
        <f>[1]Source!Q3648</f>
        <v>930.62</v>
      </c>
    </row>
    <row r="3850" spans="1:29" ht="14.4" hidden="1" x14ac:dyDescent="0.25">
      <c r="A3850" s="27"/>
      <c r="B3850" s="27"/>
      <c r="C3850" s="27" t="s">
        <v>40</v>
      </c>
      <c r="D3850" s="28"/>
      <c r="E3850" s="29"/>
      <c r="F3850" s="30">
        <f>[1]Source!AN3647</f>
        <v>0.76</v>
      </c>
      <c r="G3850" s="31" t="s">
        <v>39</v>
      </c>
      <c r="H3850" s="29">
        <f>[1]Source!AV3648</f>
        <v>1.0469999999999999</v>
      </c>
      <c r="I3850" s="33">
        <f>[1]Source!R3647</f>
        <v>1.49</v>
      </c>
      <c r="J3850" s="29">
        <f>IF([1]Source!BS3648&lt;&gt; 0, [1]Source!BS3648, 1)</f>
        <v>56.35</v>
      </c>
      <c r="K3850" s="33">
        <f>[1]Source!R3648</f>
        <v>83.96</v>
      </c>
    </row>
    <row r="3851" spans="1:29" ht="14.4" hidden="1" x14ac:dyDescent="0.25">
      <c r="A3851" s="27"/>
      <c r="B3851" s="27"/>
      <c r="C3851" s="27" t="s">
        <v>41</v>
      </c>
      <c r="D3851" s="28"/>
      <c r="E3851" s="29"/>
      <c r="F3851" s="30">
        <f>[1]Source!AL3647</f>
        <v>108.37</v>
      </c>
      <c r="G3851" s="31"/>
      <c r="H3851" s="29">
        <f>[1]Source!AW3648</f>
        <v>1</v>
      </c>
      <c r="I3851" s="30">
        <f>[1]Source!P3647</f>
        <v>135.46</v>
      </c>
      <c r="J3851" s="29">
        <f>IF([1]Source!BC3648&lt;&gt; 0, [1]Source!BC3648, 1)</f>
        <v>14.11</v>
      </c>
      <c r="K3851" s="30">
        <f>[1]Source!P3648</f>
        <v>1911.34</v>
      </c>
    </row>
    <row r="3852" spans="1:29" ht="28.8" hidden="1" x14ac:dyDescent="0.25">
      <c r="A3852" s="27" t="s">
        <v>760</v>
      </c>
      <c r="B3852" s="27" t="str">
        <f>[1]Source!F3649</f>
        <v>1.1-1-3383</v>
      </c>
      <c r="C3852" s="27" t="s">
        <v>755</v>
      </c>
      <c r="D3852" s="28" t="str">
        <f>[1]Source!H3649</f>
        <v>100 шт.</v>
      </c>
      <c r="E3852" s="29">
        <f>[1]Source!I3649</f>
        <v>19</v>
      </c>
      <c r="F3852" s="30">
        <f>[1]Source!AK3649</f>
        <v>94.93</v>
      </c>
      <c r="G3852" s="43" t="s">
        <v>54</v>
      </c>
      <c r="H3852" s="29">
        <f>[1]Source!AW3650</f>
        <v>1</v>
      </c>
      <c r="I3852" s="30">
        <f>[1]Source!O3649</f>
        <v>1803.67</v>
      </c>
      <c r="J3852" s="29">
        <f>IF([1]Source!BC3650&lt;&gt; 0, [1]Source!BC3650, 1)</f>
        <v>3.7</v>
      </c>
      <c r="K3852" s="30">
        <f>[1]Source!O3650</f>
        <v>6673.58</v>
      </c>
      <c r="Q3852">
        <f>[1]Source!X3649</f>
        <v>0</v>
      </c>
      <c r="R3852">
        <f>[1]Source!X3650</f>
        <v>0</v>
      </c>
      <c r="S3852">
        <f>[1]Source!Y3649</f>
        <v>0</v>
      </c>
      <c r="T3852">
        <f>[1]Source!Y3650</f>
        <v>0</v>
      </c>
      <c r="U3852">
        <f>ROUND((175/100)*ROUND([1]Source!R3649, 2), 2)</f>
        <v>0</v>
      </c>
      <c r="V3852">
        <f>ROUND((0/100)*ROUND([1]Source!R3650, 2), 2)</f>
        <v>0</v>
      </c>
      <c r="AC3852">
        <v>3</v>
      </c>
    </row>
    <row r="3853" spans="1:29" ht="27.6" hidden="1" x14ac:dyDescent="0.25">
      <c r="A3853" s="27" t="s">
        <v>761</v>
      </c>
      <c r="B3853" s="27" t="str">
        <f>[1]Source!F3651</f>
        <v>1.1-1-394</v>
      </c>
      <c r="C3853" s="27" t="s">
        <v>757</v>
      </c>
      <c r="D3853" s="28" t="str">
        <f>[1]Source!H3651</f>
        <v>кг</v>
      </c>
      <c r="E3853" s="29">
        <f>[1]Source!I3651</f>
        <v>100</v>
      </c>
      <c r="F3853" s="30">
        <f>[1]Source!AK3651</f>
        <v>9.98</v>
      </c>
      <c r="G3853" s="43" t="s">
        <v>54</v>
      </c>
      <c r="H3853" s="29">
        <f>[1]Source!AW3652</f>
        <v>1</v>
      </c>
      <c r="I3853" s="30">
        <f>[1]Source!O3651</f>
        <v>998</v>
      </c>
      <c r="J3853" s="29">
        <f>IF([1]Source!BC3652&lt;&gt; 0, [1]Source!BC3652, 1)</f>
        <v>8.49</v>
      </c>
      <c r="K3853" s="30">
        <f>[1]Source!O3652</f>
        <v>8473.02</v>
      </c>
      <c r="Q3853">
        <f>[1]Source!X3651</f>
        <v>0</v>
      </c>
      <c r="R3853">
        <f>[1]Source!X3652</f>
        <v>0</v>
      </c>
      <c r="S3853">
        <f>[1]Source!Y3651</f>
        <v>0</v>
      </c>
      <c r="T3853">
        <f>[1]Source!Y3652</f>
        <v>0</v>
      </c>
      <c r="U3853">
        <f>ROUND((175/100)*ROUND([1]Source!R3651, 2), 2)</f>
        <v>0</v>
      </c>
      <c r="V3853">
        <f>ROUND((0/100)*ROUND([1]Source!R3652, 2), 2)</f>
        <v>0</v>
      </c>
      <c r="AC3853">
        <v>3</v>
      </c>
    </row>
    <row r="3854" spans="1:29" ht="69" hidden="1" x14ac:dyDescent="0.25">
      <c r="A3854" s="27" t="s">
        <v>762</v>
      </c>
      <c r="B3854" s="27" t="str">
        <f>[1]Source!F3653</f>
        <v>1.1-1-1308</v>
      </c>
      <c r="C3854" s="27" t="s">
        <v>758</v>
      </c>
      <c r="D3854" s="28" t="str">
        <f>[1]Source!H3653</f>
        <v>м3</v>
      </c>
      <c r="E3854" s="29">
        <f>[1]Source!I3653</f>
        <v>1.5</v>
      </c>
      <c r="F3854" s="30">
        <f>[1]Source!AK3653</f>
        <v>2520.42</v>
      </c>
      <c r="G3854" s="43" t="s">
        <v>54</v>
      </c>
      <c r="H3854" s="29">
        <f>[1]Source!AW3654</f>
        <v>1</v>
      </c>
      <c r="I3854" s="30">
        <f>[1]Source!O3653</f>
        <v>3780.63</v>
      </c>
      <c r="J3854" s="29">
        <f>IF([1]Source!BC3654&lt;&gt; 0, [1]Source!BC3654, 1)</f>
        <v>20.51</v>
      </c>
      <c r="K3854" s="30">
        <f>[1]Source!O3654</f>
        <v>77540.72</v>
      </c>
      <c r="Q3854">
        <f>[1]Source!X3653</f>
        <v>0</v>
      </c>
      <c r="R3854">
        <f>[1]Source!X3654</f>
        <v>0</v>
      </c>
      <c r="S3854">
        <f>[1]Source!Y3653</f>
        <v>0</v>
      </c>
      <c r="T3854">
        <f>[1]Source!Y3654</f>
        <v>0</v>
      </c>
      <c r="U3854">
        <f>ROUND((175/100)*ROUND([1]Source!R3653, 2), 2)</f>
        <v>0</v>
      </c>
      <c r="V3854">
        <f>ROUND((0/100)*ROUND([1]Source!R3654, 2), 2)</f>
        <v>0</v>
      </c>
      <c r="AC3854">
        <v>3</v>
      </c>
    </row>
    <row r="3855" spans="1:29" ht="14.4" hidden="1" x14ac:dyDescent="0.25">
      <c r="A3855" s="27"/>
      <c r="B3855" s="27"/>
      <c r="C3855" s="27" t="s">
        <v>42</v>
      </c>
      <c r="D3855" s="28" t="s">
        <v>43</v>
      </c>
      <c r="E3855" s="29">
        <f>[1]Source!BZ3648</f>
        <v>101</v>
      </c>
      <c r="F3855" s="30"/>
      <c r="G3855" s="31"/>
      <c r="H3855" s="29"/>
      <c r="I3855" s="30">
        <f>SUM(Q3846:Q3854)</f>
        <v>2458.69</v>
      </c>
      <c r="J3855" s="29">
        <f>[1]Source!AT3648</f>
        <v>101</v>
      </c>
      <c r="K3855" s="30">
        <f>SUM(R3846:R3854)</f>
        <v>138547.38</v>
      </c>
    </row>
    <row r="3856" spans="1:29" ht="14.4" hidden="1" x14ac:dyDescent="0.25">
      <c r="A3856" s="27"/>
      <c r="B3856" s="27"/>
      <c r="C3856" s="27" t="s">
        <v>44</v>
      </c>
      <c r="D3856" s="28" t="s">
        <v>43</v>
      </c>
      <c r="E3856" s="29">
        <f>[1]Source!CA3648</f>
        <v>55</v>
      </c>
      <c r="F3856" s="30"/>
      <c r="G3856" s="31"/>
      <c r="H3856" s="29"/>
      <c r="I3856" s="30">
        <f>SUM(S3846:S3855)</f>
        <v>1338.89</v>
      </c>
      <c r="J3856" s="29">
        <f>[1]Source!AU3648</f>
        <v>55</v>
      </c>
      <c r="K3856" s="30">
        <f>SUM(T3846:T3855)</f>
        <v>75446.59</v>
      </c>
    </row>
    <row r="3857" spans="1:29" ht="14.4" hidden="1" x14ac:dyDescent="0.25">
      <c r="A3857" s="34"/>
      <c r="B3857" s="34"/>
      <c r="C3857" s="34" t="s">
        <v>45</v>
      </c>
      <c r="D3857" s="35" t="s">
        <v>46</v>
      </c>
      <c r="E3857" s="36">
        <f>[1]Source!AQ3647</f>
        <v>83.04</v>
      </c>
      <c r="F3857" s="37"/>
      <c r="G3857" s="38" t="s">
        <v>37</v>
      </c>
      <c r="H3857" s="36">
        <f>[1]Source!AV3648</f>
        <v>1.0469999999999999</v>
      </c>
      <c r="I3857" s="37">
        <f>[1]Source!U3647</f>
        <v>149.97646799999998</v>
      </c>
      <c r="J3857" s="36"/>
      <c r="K3857" s="37"/>
    </row>
    <row r="3858" spans="1:29" ht="13.8" hidden="1" x14ac:dyDescent="0.25">
      <c r="C3858" s="39" t="s">
        <v>47</v>
      </c>
      <c r="H3858" s="40">
        <f>I3848+I3849+I3851+I3855+I3856+SUM(I3852:I3854)-SUMIF(AC3852:AC3854, 5, I3852:I3854)-SUMIF(AC3852:AC3854, 6, I3852:I3854)</f>
        <v>13033.5</v>
      </c>
      <c r="I3858" s="40"/>
      <c r="J3858" s="40">
        <f>K3848+K3849+K3851+K3855+K3856+SUM(K3852:K3854)-SUMIF(AC3852:AC3854, 5, K3852:K3854)-SUMIF(AC3852:AC3854, 6, K3852:K3854)</f>
        <v>446614.91</v>
      </c>
      <c r="K3858" s="40"/>
    </row>
    <row r="3859" spans="1:29" ht="13.8" hidden="1" x14ac:dyDescent="0.25">
      <c r="C3859" s="39" t="s">
        <v>48</v>
      </c>
      <c r="H3859" s="41">
        <f>SUMIF(AC3852:AC3854, 5, I3852:I3854)+SUMIF(AC3852:AC3854, 6, I3852:I3854)</f>
        <v>0</v>
      </c>
      <c r="I3859" s="41"/>
      <c r="J3859" s="41">
        <f>SUMIF(AC3852:AC3854, 5, K3852:K3854)+SUMIF(AC3852:AC3854, 6, K3852:K3854)</f>
        <v>0</v>
      </c>
      <c r="K3859" s="41"/>
    </row>
    <row r="3860" spans="1:29" ht="13.8" hidden="1" x14ac:dyDescent="0.25">
      <c r="C3860" s="39" t="s">
        <v>49</v>
      </c>
      <c r="H3860" s="41">
        <f>I3848+I3849+I3851+I3855+I3856+SUM(I3852:I3854)</f>
        <v>13033.5</v>
      </c>
      <c r="I3860" s="41"/>
      <c r="J3860" s="41">
        <f>K3848+K3849+K3851+K3855+K3856+SUM(K3852:K3854)</f>
        <v>446614.91</v>
      </c>
      <c r="K3860" s="41"/>
      <c r="O3860" s="42">
        <f>I3848+I3849+I3851+I3855+I3856+SUM(I3852:I3854)</f>
        <v>13033.5</v>
      </c>
      <c r="P3860" s="42">
        <f>K3848+K3849+K3851+K3855+K3856+SUM(K3852:K3854)</f>
        <v>446614.91</v>
      </c>
    </row>
    <row r="3861" spans="1:29" hidden="1" x14ac:dyDescent="0.25"/>
    <row r="3862" spans="1:29" ht="57.6" hidden="1" x14ac:dyDescent="0.25">
      <c r="A3862" s="27">
        <v>382</v>
      </c>
      <c r="B3862" s="27" t="str">
        <f>[1]Source!F3655</f>
        <v>3.11-24-1</v>
      </c>
      <c r="C3862" s="27" t="s">
        <v>763</v>
      </c>
      <c r="D3862" s="28" t="str">
        <f>[1]Source!H3655</f>
        <v>100 м2 покрытия</v>
      </c>
      <c r="E3862" s="29">
        <f>[1]Source!I3655</f>
        <v>1.25</v>
      </c>
      <c r="F3862" s="30"/>
      <c r="G3862" s="31"/>
      <c r="H3862" s="29"/>
      <c r="I3862" s="30"/>
      <c r="J3862" s="29"/>
      <c r="K3862" s="30"/>
      <c r="Q3862">
        <f>[1]Source!X3655</f>
        <v>728.25</v>
      </c>
      <c r="R3862">
        <f>[1]Source!X3656</f>
        <v>41036.910000000003</v>
      </c>
      <c r="S3862">
        <f>[1]Source!Y3655</f>
        <v>396.57</v>
      </c>
      <c r="T3862">
        <f>[1]Source!Y3656</f>
        <v>22346.83</v>
      </c>
      <c r="U3862">
        <f>ROUND((175/100)*ROUND([1]Source!R3655, 2), 2)</f>
        <v>26.46</v>
      </c>
      <c r="V3862">
        <f>ROUND((0/100)*ROUND([1]Source!R3656, 2), 2)</f>
        <v>0</v>
      </c>
      <c r="AC3862">
        <v>0</v>
      </c>
    </row>
    <row r="3863" spans="1:29" hidden="1" x14ac:dyDescent="0.25">
      <c r="C3863" s="32" t="str">
        <f>"Объем: "&amp;[1]Source!I3655&amp;"=125/"&amp;"100"</f>
        <v>Объем: 1,25=125/100</v>
      </c>
    </row>
    <row r="3864" spans="1:29" ht="14.4" hidden="1" x14ac:dyDescent="0.25">
      <c r="A3864" s="27"/>
      <c r="B3864" s="27"/>
      <c r="C3864" s="27" t="s">
        <v>36</v>
      </c>
      <c r="D3864" s="28"/>
      <c r="E3864" s="29"/>
      <c r="F3864" s="30">
        <f>[1]Source!AO3655</f>
        <v>390.86</v>
      </c>
      <c r="G3864" s="31" t="s">
        <v>37</v>
      </c>
      <c r="H3864" s="29">
        <f>[1]Source!AV3656</f>
        <v>1.0469999999999999</v>
      </c>
      <c r="I3864" s="30">
        <f>[1]Source!S3655</f>
        <v>705.92</v>
      </c>
      <c r="J3864" s="29">
        <f>IF([1]Source!BA3656&lt;&gt; 0, [1]Source!BA3656, 1)</f>
        <v>56.35</v>
      </c>
      <c r="K3864" s="30">
        <f>[1]Source!S3656</f>
        <v>39778.589999999997</v>
      </c>
    </row>
    <row r="3865" spans="1:29" ht="14.4" hidden="1" x14ac:dyDescent="0.25">
      <c r="A3865" s="27"/>
      <c r="B3865" s="27"/>
      <c r="C3865" s="27" t="s">
        <v>38</v>
      </c>
      <c r="D3865" s="28"/>
      <c r="E3865" s="29"/>
      <c r="F3865" s="30">
        <f>[1]Source!AM3655</f>
        <v>66.430000000000007</v>
      </c>
      <c r="G3865" s="31" t="s">
        <v>39</v>
      </c>
      <c r="H3865" s="29">
        <f>[1]Source!AV3656</f>
        <v>1.0469999999999999</v>
      </c>
      <c r="I3865" s="30">
        <f>[1]Source!Q3655</f>
        <v>130.41</v>
      </c>
      <c r="J3865" s="29">
        <f>IF([1]Source!BB3656&lt;&gt; 0, [1]Source!BB3656, 1)</f>
        <v>15.28</v>
      </c>
      <c r="K3865" s="30">
        <f>[1]Source!Q3656</f>
        <v>1992.66</v>
      </c>
    </row>
    <row r="3866" spans="1:29" ht="14.4" hidden="1" x14ac:dyDescent="0.25">
      <c r="A3866" s="27"/>
      <c r="B3866" s="27"/>
      <c r="C3866" s="27" t="s">
        <v>40</v>
      </c>
      <c r="D3866" s="28"/>
      <c r="E3866" s="29"/>
      <c r="F3866" s="30">
        <f>[1]Source!AN3655</f>
        <v>7.7</v>
      </c>
      <c r="G3866" s="31" t="s">
        <v>39</v>
      </c>
      <c r="H3866" s="29">
        <f>[1]Source!AV3656</f>
        <v>1.0469999999999999</v>
      </c>
      <c r="I3866" s="33">
        <f>[1]Source!R3655</f>
        <v>15.12</v>
      </c>
      <c r="J3866" s="29">
        <f>IF([1]Source!BS3656&lt;&gt; 0, [1]Source!BS3656, 1)</f>
        <v>56.35</v>
      </c>
      <c r="K3866" s="33">
        <f>[1]Source!R3656</f>
        <v>852.01</v>
      </c>
    </row>
    <row r="3867" spans="1:29" ht="14.4" hidden="1" x14ac:dyDescent="0.25">
      <c r="A3867" s="27"/>
      <c r="B3867" s="27"/>
      <c r="C3867" s="27" t="s">
        <v>41</v>
      </c>
      <c r="D3867" s="28"/>
      <c r="E3867" s="29"/>
      <c r="F3867" s="30">
        <f>[1]Source!AL3655</f>
        <v>247.64</v>
      </c>
      <c r="G3867" s="31"/>
      <c r="H3867" s="29">
        <f>[1]Source!AW3656</f>
        <v>1</v>
      </c>
      <c r="I3867" s="30">
        <f>[1]Source!P3655</f>
        <v>309.55</v>
      </c>
      <c r="J3867" s="29">
        <f>IF([1]Source!BC3656&lt;&gt; 0, [1]Source!BC3656, 1)</f>
        <v>12.63</v>
      </c>
      <c r="K3867" s="30">
        <f>[1]Source!P3656</f>
        <v>3909.62</v>
      </c>
    </row>
    <row r="3868" spans="1:29" ht="54.6" x14ac:dyDescent="0.25">
      <c r="A3868" s="53" t="s">
        <v>764</v>
      </c>
      <c r="B3868" s="53" t="str">
        <f>[1]Source!F3657</f>
        <v>КА-187</v>
      </c>
      <c r="C3868" s="53" t="s">
        <v>765</v>
      </c>
      <c r="D3868" s="54" t="str">
        <f>[1]Source!H3657</f>
        <v>ШТ</v>
      </c>
      <c r="E3868" s="55">
        <f>[1]Source!I3657</f>
        <v>2125</v>
      </c>
      <c r="F3868" s="30">
        <f>[1]Source!AK3657</f>
        <v>5.0999999999999996</v>
      </c>
      <c r="G3868" s="43" t="s">
        <v>54</v>
      </c>
      <c r="H3868" s="29">
        <f>[1]Source!AW3658</f>
        <v>1</v>
      </c>
      <c r="I3868" s="30">
        <f>[1]Source!O3657</f>
        <v>10837.5</v>
      </c>
      <c r="J3868" s="29">
        <f>IF([1]Source!BC3658&lt;&gt; 0, [1]Source!BC3658, 1)</f>
        <v>9.84</v>
      </c>
      <c r="K3868" s="56">
        <f>[1]Source!O3658</f>
        <v>106641</v>
      </c>
      <c r="L3868">
        <v>60</v>
      </c>
      <c r="M3868" s="50">
        <f>L3868*E3868</f>
        <v>127500</v>
      </c>
      <c r="N3868" s="59" t="s">
        <v>180</v>
      </c>
      <c r="Q3868">
        <f>[1]Source!X3657</f>
        <v>0</v>
      </c>
      <c r="R3868">
        <f>[1]Source!X3658</f>
        <v>0</v>
      </c>
      <c r="S3868">
        <f>[1]Source!Y3657</f>
        <v>0</v>
      </c>
      <c r="T3868">
        <f>[1]Source!Y3658</f>
        <v>0</v>
      </c>
      <c r="U3868">
        <f>ROUND((175/100)*ROUND([1]Source!R3657, 2), 2)</f>
        <v>0</v>
      </c>
      <c r="V3868">
        <f>ROUND((0/100)*ROUND([1]Source!R3658, 2), 2)</f>
        <v>0</v>
      </c>
      <c r="AC3868">
        <v>3</v>
      </c>
    </row>
    <row r="3869" spans="1:29" ht="14.4" hidden="1" x14ac:dyDescent="0.25">
      <c r="A3869" s="27"/>
      <c r="B3869" s="27"/>
      <c r="C3869" s="27" t="s">
        <v>42</v>
      </c>
      <c r="D3869" s="28" t="s">
        <v>43</v>
      </c>
      <c r="E3869" s="29">
        <f>[1]Source!BZ3656</f>
        <v>101</v>
      </c>
      <c r="F3869" s="30"/>
      <c r="G3869" s="31"/>
      <c r="H3869" s="29"/>
      <c r="I3869" s="30">
        <f>SUM(Q3862:Q3868)</f>
        <v>728.25</v>
      </c>
      <c r="J3869" s="29">
        <f>[1]Source!AT3656</f>
        <v>101</v>
      </c>
      <c r="K3869" s="30">
        <f>SUM(R3862:R3868)</f>
        <v>41036.910000000003</v>
      </c>
    </row>
    <row r="3870" spans="1:29" ht="14.4" hidden="1" x14ac:dyDescent="0.25">
      <c r="A3870" s="27"/>
      <c r="B3870" s="27"/>
      <c r="C3870" s="27" t="s">
        <v>44</v>
      </c>
      <c r="D3870" s="28" t="s">
        <v>43</v>
      </c>
      <c r="E3870" s="29">
        <f>[1]Source!CA3656</f>
        <v>55</v>
      </c>
      <c r="F3870" s="30"/>
      <c r="G3870" s="31"/>
      <c r="H3870" s="29"/>
      <c r="I3870" s="30">
        <f>SUM(S3862:S3869)</f>
        <v>396.57</v>
      </c>
      <c r="J3870" s="29">
        <f>[1]Source!AU3656</f>
        <v>55</v>
      </c>
      <c r="K3870" s="30">
        <f>SUM(T3862:T3869)</f>
        <v>22346.83</v>
      </c>
    </row>
    <row r="3871" spans="1:29" ht="14.4" hidden="1" x14ac:dyDescent="0.25">
      <c r="A3871" s="34"/>
      <c r="B3871" s="34"/>
      <c r="C3871" s="34" t="s">
        <v>45</v>
      </c>
      <c r="D3871" s="35" t="s">
        <v>46</v>
      </c>
      <c r="E3871" s="36">
        <f>[1]Source!AQ3655</f>
        <v>31.7</v>
      </c>
      <c r="F3871" s="37"/>
      <c r="G3871" s="38" t="s">
        <v>37</v>
      </c>
      <c r="H3871" s="36">
        <f>[1]Source!AV3656</f>
        <v>1.0469999999999999</v>
      </c>
      <c r="I3871" s="37">
        <f>[1]Source!U3655</f>
        <v>57.252577499999987</v>
      </c>
      <c r="J3871" s="36"/>
      <c r="K3871" s="37"/>
    </row>
    <row r="3872" spans="1:29" ht="13.8" hidden="1" x14ac:dyDescent="0.25">
      <c r="C3872" s="39" t="s">
        <v>47</v>
      </c>
      <c r="H3872" s="40">
        <f>I3864+I3865+I3867+I3869+I3870+SUM(I3868:I3868)-SUMIF(AC3868:AC3868, 5, I3868:I3868)-SUMIF(AC3868:AC3868, 6, I3868:I3868)</f>
        <v>13108.2</v>
      </c>
      <c r="I3872" s="40"/>
      <c r="J3872" s="40">
        <f>K3864+K3865+K3867+K3869+K3870+SUM(K3868:K3868)-SUMIF(AC3868:AC3868, 5, K3868:K3868)-SUMIF(AC3868:AC3868, 6, K3868:K3868)</f>
        <v>215705.61</v>
      </c>
      <c r="K3872" s="40"/>
    </row>
    <row r="3873" spans="1:29" ht="13.8" hidden="1" x14ac:dyDescent="0.25">
      <c r="C3873" s="39" t="s">
        <v>48</v>
      </c>
      <c r="H3873" s="41">
        <f>SUMIF(AC3868:AC3868, 5, I3868:I3868)+SUMIF(AC3868:AC3868, 6, I3868:I3868)</f>
        <v>0</v>
      </c>
      <c r="I3873" s="41"/>
      <c r="J3873" s="41">
        <f>SUMIF(AC3868:AC3868, 5, K3868:K3868)+SUMIF(AC3868:AC3868, 6, K3868:K3868)</f>
        <v>0</v>
      </c>
      <c r="K3873" s="41"/>
    </row>
    <row r="3874" spans="1:29" ht="13.8" hidden="1" x14ac:dyDescent="0.25">
      <c r="C3874" s="39" t="s">
        <v>49</v>
      </c>
      <c r="H3874" s="41">
        <f>I3864+I3865+I3867+I3869+I3870+SUM(I3868:I3868)</f>
        <v>13108.2</v>
      </c>
      <c r="I3874" s="41"/>
      <c r="J3874" s="41">
        <f>K3864+K3865+K3867+K3869+K3870+SUM(K3868:K3868)</f>
        <v>215705.61</v>
      </c>
      <c r="K3874" s="41"/>
      <c r="O3874" s="42">
        <f>I3864+I3865+I3867+I3869+I3870+SUM(I3868:I3868)</f>
        <v>13108.2</v>
      </c>
      <c r="P3874" s="42">
        <f>K3864+K3865+K3867+K3869+K3870+SUM(K3868:K3868)</f>
        <v>215705.61</v>
      </c>
    </row>
    <row r="3875" spans="1:29" hidden="1" x14ac:dyDescent="0.25"/>
    <row r="3876" spans="1:29" ht="27.6" hidden="1" x14ac:dyDescent="0.25">
      <c r="A3876" s="34">
        <v>383</v>
      </c>
      <c r="B3876" s="34" t="str">
        <f>[1]Source!F3659</f>
        <v>1.1-1-746</v>
      </c>
      <c r="C3876" s="34" t="s">
        <v>766</v>
      </c>
      <c r="D3876" s="35" t="str">
        <f>[1]Source!H3659</f>
        <v>м2</v>
      </c>
      <c r="E3876" s="36">
        <f>[1]Source!I3659</f>
        <v>130</v>
      </c>
      <c r="F3876" s="37">
        <f>[1]Source!AL3659</f>
        <v>523.29999999999995</v>
      </c>
      <c r="G3876" s="38"/>
      <c r="H3876" s="36">
        <f>[1]Source!AW3660</f>
        <v>1</v>
      </c>
      <c r="I3876" s="37">
        <f>[1]Source!P3659</f>
        <v>68029</v>
      </c>
      <c r="J3876" s="36">
        <f>IF([1]Source!BC3660&lt;&gt; 0, [1]Source!BC3660, 1)</f>
        <v>8.41</v>
      </c>
      <c r="K3876" s="37">
        <f>[1]Source!P3660</f>
        <v>572123.89</v>
      </c>
      <c r="Q3876">
        <f>[1]Source!X3659</f>
        <v>0</v>
      </c>
      <c r="R3876">
        <f>[1]Source!X3660</f>
        <v>0</v>
      </c>
      <c r="S3876">
        <f>[1]Source!Y3659</f>
        <v>0</v>
      </c>
      <c r="T3876">
        <f>[1]Source!Y3660</f>
        <v>0</v>
      </c>
      <c r="U3876">
        <f>ROUND((175/100)*ROUND([1]Source!R3659, 2), 2)</f>
        <v>0</v>
      </c>
      <c r="V3876">
        <f>ROUND((0/100)*ROUND([1]Source!R3660, 2), 2)</f>
        <v>0</v>
      </c>
      <c r="AC3876">
        <v>3</v>
      </c>
    </row>
    <row r="3877" spans="1:29" ht="13.8" hidden="1" x14ac:dyDescent="0.25">
      <c r="C3877" s="39" t="s">
        <v>49</v>
      </c>
      <c r="H3877" s="40">
        <f>I3876+0</f>
        <v>68029</v>
      </c>
      <c r="I3877" s="40"/>
      <c r="J3877" s="40">
        <f>K3876+0</f>
        <v>572123.89</v>
      </c>
      <c r="K3877" s="40"/>
      <c r="O3877" s="42">
        <f>I3876+0</f>
        <v>68029</v>
      </c>
      <c r="P3877" s="42">
        <f>K3876+0</f>
        <v>572123.89</v>
      </c>
    </row>
    <row r="3878" spans="1:29" hidden="1" x14ac:dyDescent="0.25"/>
    <row r="3879" spans="1:29" hidden="1" x14ac:dyDescent="0.25"/>
    <row r="3880" spans="1:29" ht="13.8" hidden="1" x14ac:dyDescent="0.25">
      <c r="A3880" s="44" t="str">
        <f>CONCATENATE("Итого по подразделу: ",IF([1]Source!G3662&lt;&gt;"Новый подраздел", [1]Source!G3662, ""))</f>
        <v>Итого по подразделу: Подвал.  Паркетная доска</v>
      </c>
      <c r="B3880" s="44"/>
      <c r="C3880" s="44"/>
      <c r="D3880" s="44"/>
      <c r="E3880" s="44"/>
      <c r="F3880" s="44"/>
      <c r="G3880" s="44"/>
      <c r="H3880" s="41">
        <f>SUM(O3814:O3879)</f>
        <v>110038.73000000001</v>
      </c>
      <c r="I3880" s="45"/>
      <c r="J3880" s="41">
        <f>SUM(P3814:P3879)</f>
        <v>1780355.23</v>
      </c>
      <c r="K3880" s="45"/>
    </row>
    <row r="3881" spans="1:29" hidden="1" x14ac:dyDescent="0.25">
      <c r="A3881" t="s">
        <v>55</v>
      </c>
      <c r="I3881">
        <f>SUM(W3814:W3880)</f>
        <v>0</v>
      </c>
      <c r="J3881">
        <f>SUM(X3814:X3880)</f>
        <v>0</v>
      </c>
    </row>
    <row r="3882" spans="1:29" hidden="1" x14ac:dyDescent="0.25">
      <c r="A3882" t="s">
        <v>56</v>
      </c>
      <c r="I3882">
        <f>SUM(Y3814:Y3881)</f>
        <v>0</v>
      </c>
      <c r="J3882">
        <f>SUM(Z3814:Z3881)</f>
        <v>0</v>
      </c>
    </row>
    <row r="3883" spans="1:29" hidden="1" x14ac:dyDescent="0.25"/>
    <row r="3884" spans="1:29" ht="16.8" hidden="1" x14ac:dyDescent="0.25">
      <c r="A3884" s="11" t="str">
        <f>CONCATENATE("Подраздел: ",IF([1]Source!G3692&lt;&gt;"Новый подраздел", [1]Source!G3692, ""))</f>
        <v>Подраздел: Подвал. Керамогранит 600х600 мм</v>
      </c>
      <c r="B3884" s="11"/>
      <c r="C3884" s="11"/>
      <c r="D3884" s="11"/>
      <c r="E3884" s="11"/>
      <c r="F3884" s="11"/>
      <c r="G3884" s="11"/>
      <c r="H3884" s="11"/>
      <c r="I3884" s="11"/>
      <c r="J3884" s="11"/>
      <c r="K3884" s="11"/>
    </row>
    <row r="3885" spans="1:29" ht="57.6" hidden="1" x14ac:dyDescent="0.25">
      <c r="A3885" s="27">
        <v>384</v>
      </c>
      <c r="B3885" s="27" t="str">
        <f>[1]Source!F3696</f>
        <v>3.70-159-1</v>
      </c>
      <c r="C3885" s="27" t="s">
        <v>717</v>
      </c>
      <c r="D3885" s="28" t="str">
        <f>[1]Source!H3696</f>
        <v>100 м2 стяжки</v>
      </c>
      <c r="E3885" s="29">
        <f>[1]Source!I3696</f>
        <v>6.47</v>
      </c>
      <c r="F3885" s="30"/>
      <c r="G3885" s="31"/>
      <c r="H3885" s="29"/>
      <c r="I3885" s="30"/>
      <c r="J3885" s="29"/>
      <c r="K3885" s="30"/>
      <c r="Q3885">
        <f>[1]Source!X3696</f>
        <v>3072.81</v>
      </c>
      <c r="R3885">
        <f>[1]Source!X3697</f>
        <v>173153.07</v>
      </c>
      <c r="S3885">
        <f>[1]Source!Y3696</f>
        <v>1673.31</v>
      </c>
      <c r="T3885">
        <f>[1]Source!Y3697</f>
        <v>94291.27</v>
      </c>
      <c r="U3885">
        <f>ROUND((175/100)*ROUND([1]Source!R3696, 2), 2)</f>
        <v>0</v>
      </c>
      <c r="V3885">
        <f>ROUND((0/100)*ROUND([1]Source!R3697, 2), 2)</f>
        <v>0</v>
      </c>
      <c r="AC3885">
        <v>0</v>
      </c>
    </row>
    <row r="3886" spans="1:29" hidden="1" x14ac:dyDescent="0.25">
      <c r="C3886" s="32" t="str">
        <f>"Объем: "&amp;[1]Source!I3696&amp;"=(293+"&amp;"117+"&amp;"237)/"&amp;"100"</f>
        <v>Объем: 6,47=(293+117+237)/100</v>
      </c>
    </row>
    <row r="3887" spans="1:29" ht="14.4" hidden="1" x14ac:dyDescent="0.25">
      <c r="A3887" s="27"/>
      <c r="B3887" s="27"/>
      <c r="C3887" s="27" t="s">
        <v>36</v>
      </c>
      <c r="D3887" s="28"/>
      <c r="E3887" s="29"/>
      <c r="F3887" s="30">
        <f>[1]Source!AO3696</f>
        <v>325.45</v>
      </c>
      <c r="G3887" s="31" t="s">
        <v>37</v>
      </c>
      <c r="H3887" s="29">
        <f>[1]Source!AV3697</f>
        <v>1.0469999999999999</v>
      </c>
      <c r="I3887" s="30">
        <f>[1]Source!S3696</f>
        <v>3042.39</v>
      </c>
      <c r="J3887" s="29">
        <f>IF([1]Source!BA3697&lt;&gt; 0, [1]Source!BA3697, 1)</f>
        <v>56.35</v>
      </c>
      <c r="K3887" s="30">
        <f>[1]Source!S3697</f>
        <v>171438.68</v>
      </c>
    </row>
    <row r="3888" spans="1:29" ht="14.4" hidden="1" x14ac:dyDescent="0.25">
      <c r="A3888" s="27"/>
      <c r="B3888" s="27"/>
      <c r="C3888" s="27" t="s">
        <v>38</v>
      </c>
      <c r="D3888" s="28"/>
      <c r="E3888" s="29"/>
      <c r="F3888" s="30">
        <f>[1]Source!AM3696</f>
        <v>1.8</v>
      </c>
      <c r="G3888" s="31" t="s">
        <v>39</v>
      </c>
      <c r="H3888" s="29">
        <f>[1]Source!AV3697</f>
        <v>1.0469999999999999</v>
      </c>
      <c r="I3888" s="30">
        <f>[1]Source!Q3696</f>
        <v>18.29</v>
      </c>
      <c r="J3888" s="29">
        <f>IF([1]Source!BB3697&lt;&gt; 0, [1]Source!BB3697, 1)</f>
        <v>11.69</v>
      </c>
      <c r="K3888" s="30">
        <f>[1]Source!Q3697</f>
        <v>213.81</v>
      </c>
    </row>
    <row r="3889" spans="1:29" ht="14.4" hidden="1" x14ac:dyDescent="0.25">
      <c r="A3889" s="27"/>
      <c r="B3889" s="27"/>
      <c r="C3889" s="27" t="s">
        <v>41</v>
      </c>
      <c r="D3889" s="28"/>
      <c r="E3889" s="29"/>
      <c r="F3889" s="30">
        <f>[1]Source!AL3696</f>
        <v>24.75</v>
      </c>
      <c r="G3889" s="31"/>
      <c r="H3889" s="29">
        <f>[1]Source!AW3697</f>
        <v>1</v>
      </c>
      <c r="I3889" s="30">
        <f>[1]Source!P3696</f>
        <v>160.13</v>
      </c>
      <c r="J3889" s="29">
        <f>IF([1]Source!BC3697&lt;&gt; 0, [1]Source!BC3697, 1)</f>
        <v>7.75</v>
      </c>
      <c r="K3889" s="30">
        <f>[1]Source!P3697</f>
        <v>1241.01</v>
      </c>
    </row>
    <row r="3890" spans="1:29" ht="27.6" hidden="1" x14ac:dyDescent="0.25">
      <c r="A3890" s="27" t="s">
        <v>767</v>
      </c>
      <c r="B3890" s="27" t="str">
        <f>[1]Source!F3698</f>
        <v>1.3-2-6</v>
      </c>
      <c r="C3890" s="27" t="s">
        <v>149</v>
      </c>
      <c r="D3890" s="28" t="str">
        <f>[1]Source!H3698</f>
        <v>м3</v>
      </c>
      <c r="E3890" s="29">
        <f>[1]Source!I3698</f>
        <v>13.1988</v>
      </c>
      <c r="F3890" s="30">
        <f>[1]Source!AK3698</f>
        <v>467.32</v>
      </c>
      <c r="G3890" s="43" t="s">
        <v>54</v>
      </c>
      <c r="H3890" s="29">
        <f>[1]Source!AW3699</f>
        <v>1</v>
      </c>
      <c r="I3890" s="30">
        <f>[1]Source!O3698</f>
        <v>6168.06</v>
      </c>
      <c r="J3890" s="29">
        <f>IF([1]Source!BC3699&lt;&gt; 0, [1]Source!BC3699, 1)</f>
        <v>11.07</v>
      </c>
      <c r="K3890" s="30">
        <f>[1]Source!O3699</f>
        <v>68280.42</v>
      </c>
      <c r="Q3890">
        <f>[1]Source!X3698</f>
        <v>0</v>
      </c>
      <c r="R3890">
        <f>[1]Source!X3699</f>
        <v>0</v>
      </c>
      <c r="S3890">
        <f>[1]Source!Y3698</f>
        <v>0</v>
      </c>
      <c r="T3890">
        <f>[1]Source!Y3699</f>
        <v>0</v>
      </c>
      <c r="U3890">
        <f>ROUND((175/100)*ROUND([1]Source!R3698, 2), 2)</f>
        <v>0</v>
      </c>
      <c r="V3890">
        <f>ROUND((0/100)*ROUND([1]Source!R3699, 2), 2)</f>
        <v>0</v>
      </c>
      <c r="AC3890">
        <v>3</v>
      </c>
    </row>
    <row r="3891" spans="1:29" ht="14.4" hidden="1" x14ac:dyDescent="0.25">
      <c r="A3891" s="27"/>
      <c r="B3891" s="27"/>
      <c r="C3891" s="27" t="s">
        <v>42</v>
      </c>
      <c r="D3891" s="28" t="s">
        <v>43</v>
      </c>
      <c r="E3891" s="29">
        <f>[1]Source!BZ3697</f>
        <v>101</v>
      </c>
      <c r="F3891" s="30"/>
      <c r="G3891" s="31"/>
      <c r="H3891" s="29"/>
      <c r="I3891" s="30">
        <f>SUM(Q3885:Q3890)</f>
        <v>3072.81</v>
      </c>
      <c r="J3891" s="29">
        <f>[1]Source!AT3697</f>
        <v>101</v>
      </c>
      <c r="K3891" s="30">
        <f>SUM(R3885:R3890)</f>
        <v>173153.07</v>
      </c>
    </row>
    <row r="3892" spans="1:29" ht="14.4" hidden="1" x14ac:dyDescent="0.25">
      <c r="A3892" s="27"/>
      <c r="B3892" s="27"/>
      <c r="C3892" s="27" t="s">
        <v>44</v>
      </c>
      <c r="D3892" s="28" t="s">
        <v>43</v>
      </c>
      <c r="E3892" s="29">
        <f>[1]Source!CA3697</f>
        <v>55</v>
      </c>
      <c r="F3892" s="30"/>
      <c r="G3892" s="31"/>
      <c r="H3892" s="29"/>
      <c r="I3892" s="30">
        <f>SUM(S3885:S3891)</f>
        <v>1673.31</v>
      </c>
      <c r="J3892" s="29">
        <f>[1]Source!AU3697</f>
        <v>55</v>
      </c>
      <c r="K3892" s="30">
        <f>SUM(T3885:T3891)</f>
        <v>94291.27</v>
      </c>
    </row>
    <row r="3893" spans="1:29" ht="14.4" hidden="1" x14ac:dyDescent="0.25">
      <c r="A3893" s="34"/>
      <c r="B3893" s="34"/>
      <c r="C3893" s="34" t="s">
        <v>45</v>
      </c>
      <c r="D3893" s="35" t="s">
        <v>46</v>
      </c>
      <c r="E3893" s="36">
        <f>[1]Source!AQ3696</f>
        <v>23.33</v>
      </c>
      <c r="F3893" s="37"/>
      <c r="G3893" s="38" t="s">
        <v>37</v>
      </c>
      <c r="H3893" s="36">
        <f>[1]Source!AV3697</f>
        <v>1.0469999999999999</v>
      </c>
      <c r="I3893" s="37">
        <f>[1]Source!U3696</f>
        <v>218.09453718599994</v>
      </c>
      <c r="J3893" s="36"/>
      <c r="K3893" s="37"/>
    </row>
    <row r="3894" spans="1:29" ht="13.8" hidden="1" x14ac:dyDescent="0.25">
      <c r="C3894" s="39" t="s">
        <v>47</v>
      </c>
      <c r="H3894" s="40">
        <f>I3887+I3888+I3889+I3891+I3892+SUM(I3890:I3890)-SUMIF(AC3890:AC3890, 5, I3890:I3890)-SUMIF(AC3890:AC3890, 6, I3890:I3890)</f>
        <v>14134.990000000002</v>
      </c>
      <c r="I3894" s="40"/>
      <c r="J3894" s="40">
        <f>K3887+K3888+K3889+K3891+K3892+SUM(K3890:K3890)-SUMIF(AC3890:AC3890, 5, K3890:K3890)-SUMIF(AC3890:AC3890, 6, K3890:K3890)</f>
        <v>508618.26</v>
      </c>
      <c r="K3894" s="40"/>
    </row>
    <row r="3895" spans="1:29" ht="13.8" hidden="1" x14ac:dyDescent="0.25">
      <c r="C3895" s="39" t="s">
        <v>48</v>
      </c>
      <c r="H3895" s="41">
        <f>SUMIF(AC3890:AC3890, 5, I3890:I3890)+SUMIF(AC3890:AC3890, 6, I3890:I3890)</f>
        <v>0</v>
      </c>
      <c r="I3895" s="41"/>
      <c r="J3895" s="41">
        <f>SUMIF(AC3890:AC3890, 5, K3890:K3890)+SUMIF(AC3890:AC3890, 6, K3890:K3890)</f>
        <v>0</v>
      </c>
      <c r="K3895" s="41"/>
    </row>
    <row r="3896" spans="1:29" ht="13.8" hidden="1" x14ac:dyDescent="0.25">
      <c r="C3896" s="39" t="s">
        <v>49</v>
      </c>
      <c r="H3896" s="41">
        <f>I3887+I3888+I3889+I3891+I3892+SUM(I3890:I3890)</f>
        <v>14134.990000000002</v>
      </c>
      <c r="I3896" s="41"/>
      <c r="J3896" s="41">
        <f>K3887+K3888+K3889+K3891+K3892+SUM(K3890:K3890)</f>
        <v>508618.26</v>
      </c>
      <c r="K3896" s="41"/>
      <c r="O3896" s="42">
        <f>I3887+I3888+I3889+I3891+I3892+SUM(I3890:I3890)</f>
        <v>14134.990000000002</v>
      </c>
      <c r="P3896" s="42">
        <f>K3887+K3888+K3889+K3891+K3892+SUM(K3890:K3890)</f>
        <v>508618.26</v>
      </c>
    </row>
    <row r="3897" spans="1:29" hidden="1" x14ac:dyDescent="0.25"/>
    <row r="3898" spans="1:29" ht="57.6" hidden="1" x14ac:dyDescent="0.25">
      <c r="A3898" s="27">
        <v>385</v>
      </c>
      <c r="B3898" s="27" t="str">
        <f>[1]Source!F3700</f>
        <v>3.70-159-2</v>
      </c>
      <c r="C3898" s="27" t="s">
        <v>719</v>
      </c>
      <c r="D3898" s="28" t="str">
        <f>[1]Source!H3700</f>
        <v>100 м2 стяжки</v>
      </c>
      <c r="E3898" s="29">
        <f>[1]Source!I3700</f>
        <v>6.47</v>
      </c>
      <c r="F3898" s="30"/>
      <c r="G3898" s="31"/>
      <c r="H3898" s="29"/>
      <c r="I3898" s="30"/>
      <c r="J3898" s="29"/>
      <c r="K3898" s="30"/>
      <c r="Q3898">
        <f>[1]Source!X3700</f>
        <v>455.47</v>
      </c>
      <c r="R3898">
        <f>[1]Source!X3701</f>
        <v>25665.72</v>
      </c>
      <c r="S3898">
        <f>[1]Source!Y3700</f>
        <v>248.03</v>
      </c>
      <c r="T3898">
        <f>[1]Source!Y3701</f>
        <v>13976.38</v>
      </c>
      <c r="U3898">
        <f>ROUND((175/100)*ROUND([1]Source!R3700, 2), 2)</f>
        <v>0</v>
      </c>
      <c r="V3898">
        <f>ROUND((0/100)*ROUND([1]Source!R3701, 2), 2)</f>
        <v>0</v>
      </c>
      <c r="AC3898">
        <v>0</v>
      </c>
    </row>
    <row r="3899" spans="1:29" hidden="1" x14ac:dyDescent="0.25">
      <c r="C3899" s="32" t="str">
        <f>"Объем: "&amp;[1]Source!I3700&amp;"=(293+"&amp;"117+"&amp;"237)/"&amp;"100"</f>
        <v>Объем: 6,47=(293+117+237)/100</v>
      </c>
    </row>
    <row r="3900" spans="1:29" ht="14.4" hidden="1" x14ac:dyDescent="0.25">
      <c r="A3900" s="27"/>
      <c r="B3900" s="27"/>
      <c r="C3900" s="27" t="s">
        <v>36</v>
      </c>
      <c r="D3900" s="28"/>
      <c r="E3900" s="29"/>
      <c r="F3900" s="30">
        <f>[1]Source!AO3700</f>
        <v>6.03</v>
      </c>
      <c r="G3900" s="31" t="s">
        <v>720</v>
      </c>
      <c r="H3900" s="29">
        <f>[1]Source!AV3701</f>
        <v>1.0469999999999999</v>
      </c>
      <c r="I3900" s="30">
        <f>[1]Source!S3700</f>
        <v>450.96</v>
      </c>
      <c r="J3900" s="29">
        <f>IF([1]Source!BA3701&lt;&gt; 0, [1]Source!BA3701, 1)</f>
        <v>56.35</v>
      </c>
      <c r="K3900" s="30">
        <f>[1]Source!S3701</f>
        <v>25411.599999999999</v>
      </c>
    </row>
    <row r="3901" spans="1:29" ht="14.4" hidden="1" x14ac:dyDescent="0.25">
      <c r="A3901" s="27"/>
      <c r="B3901" s="27"/>
      <c r="C3901" s="27" t="s">
        <v>38</v>
      </c>
      <c r="D3901" s="28"/>
      <c r="E3901" s="29"/>
      <c r="F3901" s="30">
        <f>[1]Source!AM3700</f>
        <v>0.46</v>
      </c>
      <c r="G3901" s="31" t="s">
        <v>721</v>
      </c>
      <c r="H3901" s="29">
        <f>[1]Source!AV3701</f>
        <v>1.0469999999999999</v>
      </c>
      <c r="I3901" s="30">
        <f>[1]Source!Q3700</f>
        <v>37.39</v>
      </c>
      <c r="J3901" s="29">
        <f>IF([1]Source!BB3701&lt;&gt; 0, [1]Source!BB3701, 1)</f>
        <v>11.7</v>
      </c>
      <c r="K3901" s="30">
        <f>[1]Source!Q3701</f>
        <v>437.46</v>
      </c>
    </row>
    <row r="3902" spans="1:29" ht="27.6" hidden="1" x14ac:dyDescent="0.25">
      <c r="A3902" s="27" t="s">
        <v>768</v>
      </c>
      <c r="B3902" s="27" t="str">
        <f>[1]Source!F3702</f>
        <v>1.3-2-6</v>
      </c>
      <c r="C3902" s="27" t="s">
        <v>149</v>
      </c>
      <c r="D3902" s="28" t="str">
        <f>[1]Source!H3702</f>
        <v>м3</v>
      </c>
      <c r="E3902" s="29">
        <f>[1]Source!I3702</f>
        <v>26.397600000000001</v>
      </c>
      <c r="F3902" s="30">
        <f>[1]Source!AK3702</f>
        <v>467.32</v>
      </c>
      <c r="G3902" s="43" t="s">
        <v>54</v>
      </c>
      <c r="H3902" s="29">
        <f>[1]Source!AW3703</f>
        <v>1</v>
      </c>
      <c r="I3902" s="30">
        <f>[1]Source!O3702</f>
        <v>12336.13</v>
      </c>
      <c r="J3902" s="29">
        <f>IF([1]Source!BC3703&lt;&gt; 0, [1]Source!BC3703, 1)</f>
        <v>11.07</v>
      </c>
      <c r="K3902" s="30">
        <f>[1]Source!O3703</f>
        <v>136560.95999999999</v>
      </c>
      <c r="Q3902">
        <f>[1]Source!X3702</f>
        <v>0</v>
      </c>
      <c r="R3902">
        <f>[1]Source!X3703</f>
        <v>0</v>
      </c>
      <c r="S3902">
        <f>[1]Source!Y3702</f>
        <v>0</v>
      </c>
      <c r="T3902">
        <f>[1]Source!Y3703</f>
        <v>0</v>
      </c>
      <c r="U3902">
        <f>ROUND((175/100)*ROUND([1]Source!R3702, 2), 2)</f>
        <v>0</v>
      </c>
      <c r="V3902">
        <f>ROUND((0/100)*ROUND([1]Source!R3703, 2), 2)</f>
        <v>0</v>
      </c>
      <c r="AC3902">
        <v>3</v>
      </c>
    </row>
    <row r="3903" spans="1:29" ht="14.4" hidden="1" x14ac:dyDescent="0.25">
      <c r="A3903" s="27"/>
      <c r="B3903" s="27"/>
      <c r="C3903" s="27" t="s">
        <v>42</v>
      </c>
      <c r="D3903" s="28" t="s">
        <v>43</v>
      </c>
      <c r="E3903" s="29">
        <f>[1]Source!BZ3701</f>
        <v>101</v>
      </c>
      <c r="F3903" s="30"/>
      <c r="G3903" s="31"/>
      <c r="H3903" s="29"/>
      <c r="I3903" s="30">
        <f>SUM(Q3898:Q3902)</f>
        <v>455.47</v>
      </c>
      <c r="J3903" s="29">
        <f>[1]Source!AT3701</f>
        <v>101</v>
      </c>
      <c r="K3903" s="30">
        <f>SUM(R3898:R3902)</f>
        <v>25665.72</v>
      </c>
    </row>
    <row r="3904" spans="1:29" ht="14.4" hidden="1" x14ac:dyDescent="0.25">
      <c r="A3904" s="27"/>
      <c r="B3904" s="27"/>
      <c r="C3904" s="27" t="s">
        <v>44</v>
      </c>
      <c r="D3904" s="28" t="s">
        <v>43</v>
      </c>
      <c r="E3904" s="29">
        <f>[1]Source!CA3701</f>
        <v>55</v>
      </c>
      <c r="F3904" s="30"/>
      <c r="G3904" s="31"/>
      <c r="H3904" s="29"/>
      <c r="I3904" s="30">
        <f>SUM(S3898:S3903)</f>
        <v>248.03</v>
      </c>
      <c r="J3904" s="29">
        <f>[1]Source!AU3701</f>
        <v>55</v>
      </c>
      <c r="K3904" s="30">
        <f>SUM(T3898:T3903)</f>
        <v>13976.38</v>
      </c>
    </row>
    <row r="3905" spans="1:29" ht="14.4" hidden="1" x14ac:dyDescent="0.25">
      <c r="A3905" s="34"/>
      <c r="B3905" s="34"/>
      <c r="C3905" s="34" t="s">
        <v>45</v>
      </c>
      <c r="D3905" s="35" t="s">
        <v>46</v>
      </c>
      <c r="E3905" s="36">
        <f>[1]Source!AQ3700</f>
        <v>0.44</v>
      </c>
      <c r="F3905" s="37"/>
      <c r="G3905" s="38" t="s">
        <v>720</v>
      </c>
      <c r="H3905" s="36">
        <f>[1]Source!AV3701</f>
        <v>1.0469999999999999</v>
      </c>
      <c r="I3905" s="37">
        <f>[1]Source!U3700</f>
        <v>32.905819583999993</v>
      </c>
      <c r="J3905" s="36"/>
      <c r="K3905" s="37"/>
    </row>
    <row r="3906" spans="1:29" ht="13.8" hidden="1" x14ac:dyDescent="0.25">
      <c r="C3906" s="39" t="s">
        <v>47</v>
      </c>
      <c r="H3906" s="40">
        <f>I3900+I3901+I3903+I3904+SUM(I3902:I3902)-SUMIF(AC3902:AC3902, 5, I3902:I3902)-SUMIF(AC3902:AC3902, 6, I3902:I3902)</f>
        <v>13527.98</v>
      </c>
      <c r="I3906" s="40"/>
      <c r="J3906" s="40">
        <f>K3900+K3901+K3903+K3904+SUM(K3902:K3902)-SUMIF(AC3902:AC3902, 5, K3902:K3902)-SUMIF(AC3902:AC3902, 6, K3902:K3902)</f>
        <v>202052.12</v>
      </c>
      <c r="K3906" s="40"/>
    </row>
    <row r="3907" spans="1:29" ht="13.8" hidden="1" x14ac:dyDescent="0.25">
      <c r="C3907" s="39" t="s">
        <v>48</v>
      </c>
      <c r="H3907" s="41">
        <f>SUMIF(AC3902:AC3902, 5, I3902:I3902)+SUMIF(AC3902:AC3902, 6, I3902:I3902)</f>
        <v>0</v>
      </c>
      <c r="I3907" s="41"/>
      <c r="J3907" s="41">
        <f>SUMIF(AC3902:AC3902, 5, K3902:K3902)+SUMIF(AC3902:AC3902, 6, K3902:K3902)</f>
        <v>0</v>
      </c>
      <c r="K3907" s="41"/>
    </row>
    <row r="3908" spans="1:29" ht="13.8" hidden="1" x14ac:dyDescent="0.25">
      <c r="C3908" s="39" t="s">
        <v>49</v>
      </c>
      <c r="H3908" s="41">
        <f>I3900+I3901+I3903+I3904+SUM(I3902:I3902)</f>
        <v>13527.98</v>
      </c>
      <c r="I3908" s="41"/>
      <c r="J3908" s="41">
        <f>K3900+K3901+K3903+K3904+SUM(K3902:K3902)</f>
        <v>202052.12</v>
      </c>
      <c r="K3908" s="41"/>
      <c r="O3908" s="42">
        <f>I3900+I3901+I3903+I3904+SUM(I3902:I3902)</f>
        <v>13527.98</v>
      </c>
      <c r="P3908" s="42">
        <f>K3900+K3901+K3903+K3904+SUM(K3902:K3902)</f>
        <v>202052.12</v>
      </c>
    </row>
    <row r="3909" spans="1:29" hidden="1" x14ac:dyDescent="0.25"/>
    <row r="3910" spans="1:29" ht="27.6" hidden="1" x14ac:dyDescent="0.25">
      <c r="A3910" s="27">
        <v>386</v>
      </c>
      <c r="B3910" s="27" t="str">
        <f>[1]Source!F3704</f>
        <v>3.70-43-6</v>
      </c>
      <c r="C3910" s="27" t="s">
        <v>723</v>
      </c>
      <c r="D3910" s="28" t="str">
        <f>[1]Source!H3704</f>
        <v>1 Т</v>
      </c>
      <c r="E3910" s="29">
        <f>[1]Source!I3704</f>
        <v>1.77925</v>
      </c>
      <c r="F3910" s="30"/>
      <c r="G3910" s="31"/>
      <c r="H3910" s="29"/>
      <c r="I3910" s="30"/>
      <c r="J3910" s="29"/>
      <c r="K3910" s="30"/>
      <c r="Q3910">
        <f>[1]Source!X3704</f>
        <v>439.84</v>
      </c>
      <c r="R3910">
        <f>[1]Source!X3705</f>
        <v>24785.14</v>
      </c>
      <c r="S3910">
        <f>[1]Source!Y3704</f>
        <v>234.26</v>
      </c>
      <c r="T3910">
        <f>[1]Source!Y3705</f>
        <v>13200.78</v>
      </c>
      <c r="U3910">
        <f>ROUND((175/100)*ROUND([1]Source!R3704, 2), 2)</f>
        <v>24.75</v>
      </c>
      <c r="V3910">
        <f>ROUND((0/100)*ROUND([1]Source!R3705, 2), 2)</f>
        <v>0</v>
      </c>
      <c r="AC3910">
        <v>0</v>
      </c>
    </row>
    <row r="3911" spans="1:29" hidden="1" x14ac:dyDescent="0.25">
      <c r="C3911" s="32" t="str">
        <f>"Объем: "&amp;[1]Source!I3704&amp;"=(2,75*"&amp;"(293+"&amp;"117+"&amp;"237))/"&amp;"1000"</f>
        <v>Объем: 1,77925=(2,75*(293+117+237))/1000</v>
      </c>
    </row>
    <row r="3912" spans="1:29" ht="14.4" hidden="1" x14ac:dyDescent="0.25">
      <c r="A3912" s="27"/>
      <c r="B3912" s="27"/>
      <c r="C3912" s="27" t="s">
        <v>36</v>
      </c>
      <c r="D3912" s="28"/>
      <c r="E3912" s="29"/>
      <c r="F3912" s="30">
        <f>[1]Source!AO3704</f>
        <v>180.47</v>
      </c>
      <c r="G3912" s="31" t="s">
        <v>37</v>
      </c>
      <c r="H3912" s="29">
        <f>[1]Source!AV3705</f>
        <v>1.0469999999999999</v>
      </c>
      <c r="I3912" s="30">
        <f>[1]Source!S3704</f>
        <v>463.95</v>
      </c>
      <c r="J3912" s="29">
        <f>IF([1]Source!BA3705&lt;&gt; 0, [1]Source!BA3705, 1)</f>
        <v>56.35</v>
      </c>
      <c r="K3912" s="30">
        <f>[1]Source!S3705</f>
        <v>26143.58</v>
      </c>
    </row>
    <row r="3913" spans="1:29" ht="14.4" hidden="1" x14ac:dyDescent="0.25">
      <c r="A3913" s="27"/>
      <c r="B3913" s="27"/>
      <c r="C3913" s="27" t="s">
        <v>38</v>
      </c>
      <c r="D3913" s="28"/>
      <c r="E3913" s="29"/>
      <c r="F3913" s="30">
        <f>[1]Source!AM3704</f>
        <v>43.5</v>
      </c>
      <c r="G3913" s="31" t="s">
        <v>39</v>
      </c>
      <c r="H3913" s="29">
        <f>[1]Source!AV3705</f>
        <v>1.0469999999999999</v>
      </c>
      <c r="I3913" s="30">
        <f>[1]Source!Q3704</f>
        <v>121.55</v>
      </c>
      <c r="J3913" s="29">
        <f>IF([1]Source!BB3705&lt;&gt; 0, [1]Source!BB3705, 1)</f>
        <v>15.44</v>
      </c>
      <c r="K3913" s="30">
        <f>[1]Source!Q3705</f>
        <v>1876.73</v>
      </c>
    </row>
    <row r="3914" spans="1:29" ht="14.4" hidden="1" x14ac:dyDescent="0.25">
      <c r="A3914" s="27"/>
      <c r="B3914" s="27"/>
      <c r="C3914" s="27" t="s">
        <v>40</v>
      </c>
      <c r="D3914" s="28"/>
      <c r="E3914" s="29"/>
      <c r="F3914" s="30">
        <f>[1]Source!AN3704</f>
        <v>5.0599999999999996</v>
      </c>
      <c r="G3914" s="31" t="s">
        <v>39</v>
      </c>
      <c r="H3914" s="29">
        <f>[1]Source!AV3705</f>
        <v>1.0469999999999999</v>
      </c>
      <c r="I3914" s="33">
        <f>[1]Source!R3704</f>
        <v>14.14</v>
      </c>
      <c r="J3914" s="29">
        <f>IF([1]Source!BS3705&lt;&gt; 0, [1]Source!BS3705, 1)</f>
        <v>56.35</v>
      </c>
      <c r="K3914" s="33">
        <f>[1]Source!R3705</f>
        <v>796.79</v>
      </c>
    </row>
    <row r="3915" spans="1:29" ht="14.4" hidden="1" x14ac:dyDescent="0.25">
      <c r="A3915" s="27"/>
      <c r="B3915" s="27"/>
      <c r="C3915" s="27" t="s">
        <v>41</v>
      </c>
      <c r="D3915" s="28"/>
      <c r="E3915" s="29"/>
      <c r="F3915" s="30">
        <f>[1]Source!AL3704</f>
        <v>258.67</v>
      </c>
      <c r="G3915" s="31"/>
      <c r="H3915" s="29">
        <f>[1]Source!AW3705</f>
        <v>1.022</v>
      </c>
      <c r="I3915" s="30">
        <f>[1]Source!P3704</f>
        <v>470.36</v>
      </c>
      <c r="J3915" s="29">
        <f>IF([1]Source!BC3705&lt;&gt; 0, [1]Source!BC3705, 1)</f>
        <v>7.5</v>
      </c>
      <c r="K3915" s="30">
        <f>[1]Source!P3705</f>
        <v>3527.7</v>
      </c>
    </row>
    <row r="3916" spans="1:29" ht="55.2" hidden="1" x14ac:dyDescent="0.25">
      <c r="A3916" s="27" t="s">
        <v>769</v>
      </c>
      <c r="B3916" s="27" t="str">
        <f>[1]Source!F3706</f>
        <v>1.3-4-75</v>
      </c>
      <c r="C3916" s="27" t="s">
        <v>725</v>
      </c>
      <c r="D3916" s="28" t="str">
        <f>[1]Source!H3706</f>
        <v>т</v>
      </c>
      <c r="E3916" s="29">
        <f>[1]Source!I3706</f>
        <v>1.77925</v>
      </c>
      <c r="F3916" s="30">
        <f>[1]Source!AK3706</f>
        <v>9724.69</v>
      </c>
      <c r="G3916" s="43" t="s">
        <v>54</v>
      </c>
      <c r="H3916" s="29">
        <f>[1]Source!AW3707</f>
        <v>1.022</v>
      </c>
      <c r="I3916" s="30">
        <f>[1]Source!O3706</f>
        <v>17683.310000000001</v>
      </c>
      <c r="J3916" s="29">
        <f>IF([1]Source!BC3707&lt;&gt; 0, [1]Source!BC3707, 1)</f>
        <v>3.88</v>
      </c>
      <c r="K3916" s="30">
        <f>[1]Source!O3707</f>
        <v>68611.240000000005</v>
      </c>
      <c r="Q3916">
        <f>[1]Source!X3706</f>
        <v>0</v>
      </c>
      <c r="R3916">
        <f>[1]Source!X3707</f>
        <v>0</v>
      </c>
      <c r="S3916">
        <f>[1]Source!Y3706</f>
        <v>0</v>
      </c>
      <c r="T3916">
        <f>[1]Source!Y3707</f>
        <v>0</v>
      </c>
      <c r="U3916">
        <f>ROUND((175/100)*ROUND([1]Source!R3706, 2), 2)</f>
        <v>0</v>
      </c>
      <c r="V3916">
        <f>ROUND((0/100)*ROUND([1]Source!R3707, 2), 2)</f>
        <v>0</v>
      </c>
      <c r="AC3916">
        <v>3</v>
      </c>
    </row>
    <row r="3917" spans="1:29" ht="14.4" hidden="1" x14ac:dyDescent="0.25">
      <c r="A3917" s="27"/>
      <c r="B3917" s="27"/>
      <c r="C3917" s="27" t="s">
        <v>42</v>
      </c>
      <c r="D3917" s="28" t="s">
        <v>43</v>
      </c>
      <c r="E3917" s="29">
        <f>[1]Source!BZ3705</f>
        <v>92</v>
      </c>
      <c r="F3917" s="30"/>
      <c r="G3917" s="31"/>
      <c r="H3917" s="29"/>
      <c r="I3917" s="30">
        <f>SUM(Q3910:Q3916)</f>
        <v>439.84</v>
      </c>
      <c r="J3917" s="29">
        <f>[1]Source!AT3705</f>
        <v>92</v>
      </c>
      <c r="K3917" s="30">
        <f>SUM(R3910:R3916)</f>
        <v>24785.14</v>
      </c>
    </row>
    <row r="3918" spans="1:29" ht="14.4" hidden="1" x14ac:dyDescent="0.25">
      <c r="A3918" s="27"/>
      <c r="B3918" s="27"/>
      <c r="C3918" s="27" t="s">
        <v>44</v>
      </c>
      <c r="D3918" s="28" t="s">
        <v>43</v>
      </c>
      <c r="E3918" s="29">
        <f>[1]Source!CA3705</f>
        <v>49</v>
      </c>
      <c r="F3918" s="30"/>
      <c r="G3918" s="31"/>
      <c r="H3918" s="29"/>
      <c r="I3918" s="30">
        <f>SUM(S3910:S3917)</f>
        <v>234.26</v>
      </c>
      <c r="J3918" s="29">
        <f>[1]Source!AU3705</f>
        <v>49</v>
      </c>
      <c r="K3918" s="30">
        <f>SUM(T3910:T3917)</f>
        <v>13200.78</v>
      </c>
    </row>
    <row r="3919" spans="1:29" ht="14.4" hidden="1" x14ac:dyDescent="0.25">
      <c r="A3919" s="34"/>
      <c r="B3919" s="34"/>
      <c r="C3919" s="34" t="s">
        <v>45</v>
      </c>
      <c r="D3919" s="35" t="s">
        <v>46</v>
      </c>
      <c r="E3919" s="36">
        <f>[1]Source!AQ3704</f>
        <v>11.6</v>
      </c>
      <c r="F3919" s="37"/>
      <c r="G3919" s="38" t="s">
        <v>37</v>
      </c>
      <c r="H3919" s="36">
        <f>[1]Source!AV3705</f>
        <v>1.0469999999999999</v>
      </c>
      <c r="I3919" s="37">
        <f>[1]Source!U3704</f>
        <v>29.82089899799999</v>
      </c>
      <c r="J3919" s="36"/>
      <c r="K3919" s="37"/>
    </row>
    <row r="3920" spans="1:29" ht="13.8" hidden="1" x14ac:dyDescent="0.25">
      <c r="C3920" s="39" t="s">
        <v>47</v>
      </c>
      <c r="H3920" s="40">
        <f>I3912+I3913+I3915+I3917+I3918+SUM(I3916:I3916)-SUMIF(AC3916:AC3916, 5, I3916:I3916)-SUMIF(AC3916:AC3916, 6, I3916:I3916)</f>
        <v>19413.27</v>
      </c>
      <c r="I3920" s="40"/>
      <c r="J3920" s="40">
        <f>K3912+K3913+K3915+K3917+K3918+SUM(K3916:K3916)-SUMIF(AC3916:AC3916, 5, K3916:K3916)-SUMIF(AC3916:AC3916, 6, K3916:K3916)</f>
        <v>138145.17000000001</v>
      </c>
      <c r="K3920" s="40"/>
    </row>
    <row r="3921" spans="1:29" ht="13.8" hidden="1" x14ac:dyDescent="0.25">
      <c r="C3921" s="39" t="s">
        <v>48</v>
      </c>
      <c r="H3921" s="41">
        <f>SUMIF(AC3916:AC3916, 5, I3916:I3916)+SUMIF(AC3916:AC3916, 6, I3916:I3916)</f>
        <v>0</v>
      </c>
      <c r="I3921" s="41"/>
      <c r="J3921" s="41">
        <f>SUMIF(AC3916:AC3916, 5, K3916:K3916)+SUMIF(AC3916:AC3916, 6, K3916:K3916)</f>
        <v>0</v>
      </c>
      <c r="K3921" s="41"/>
    </row>
    <row r="3922" spans="1:29" ht="13.8" hidden="1" x14ac:dyDescent="0.25">
      <c r="C3922" s="39" t="s">
        <v>49</v>
      </c>
      <c r="H3922" s="41">
        <f>I3912+I3913+I3915+I3917+I3918+SUM(I3916:I3916)</f>
        <v>19413.27</v>
      </c>
      <c r="I3922" s="41"/>
      <c r="J3922" s="41">
        <f>K3912+K3913+K3915+K3917+K3918+SUM(K3916:K3916)</f>
        <v>138145.17000000001</v>
      </c>
      <c r="K3922" s="41"/>
      <c r="O3922" s="42">
        <f>I3912+I3913+I3915+I3917+I3918+SUM(I3916:I3916)</f>
        <v>19413.27</v>
      </c>
      <c r="P3922" s="42">
        <f>K3912+K3913+K3915+K3917+K3918+SUM(K3916:K3916)</f>
        <v>138145.17000000001</v>
      </c>
    </row>
    <row r="3923" spans="1:29" hidden="1" x14ac:dyDescent="0.25"/>
    <row r="3924" spans="1:29" ht="55.2" hidden="1" x14ac:dyDescent="0.25">
      <c r="A3924" s="27">
        <v>387</v>
      </c>
      <c r="B3924" s="27" t="str">
        <f>[1]Source!F3708</f>
        <v>3.70-2-1</v>
      </c>
      <c r="C3924" s="27" t="s">
        <v>726</v>
      </c>
      <c r="D3924" s="28" t="str">
        <f>[1]Source!H3708</f>
        <v>100 м2</v>
      </c>
      <c r="E3924" s="29">
        <f>[1]Source!I3708</f>
        <v>4.0999999999999996</v>
      </c>
      <c r="F3924" s="30"/>
      <c r="G3924" s="31"/>
      <c r="H3924" s="29"/>
      <c r="I3924" s="30"/>
      <c r="J3924" s="29"/>
      <c r="K3924" s="30"/>
      <c r="Q3924">
        <f>[1]Source!X3708</f>
        <v>8413.01</v>
      </c>
      <c r="R3924">
        <f>[1]Source!X3709</f>
        <v>474073.12</v>
      </c>
      <c r="S3924">
        <f>[1]Source!Y3708</f>
        <v>5013.8100000000004</v>
      </c>
      <c r="T3924">
        <f>[1]Source!Y3709</f>
        <v>282528.43</v>
      </c>
      <c r="U3924">
        <f>ROUND((175/100)*ROUND([1]Source!R3708, 2), 2)</f>
        <v>90.7</v>
      </c>
      <c r="V3924">
        <f>ROUND((0/100)*ROUND([1]Source!R3709, 2), 2)</f>
        <v>0</v>
      </c>
      <c r="AC3924">
        <v>0</v>
      </c>
    </row>
    <row r="3925" spans="1:29" hidden="1" x14ac:dyDescent="0.25">
      <c r="C3925" s="32" t="str">
        <f>"Объем: "&amp;[1]Source!I3708&amp;"=(293+"&amp;"117)/"&amp;"100"</f>
        <v>Объем: 4,1=(293+117)/100</v>
      </c>
    </row>
    <row r="3926" spans="1:29" ht="14.4" hidden="1" x14ac:dyDescent="0.25">
      <c r="A3926" s="27"/>
      <c r="B3926" s="27"/>
      <c r="C3926" s="27" t="s">
        <v>36</v>
      </c>
      <c r="D3926" s="28"/>
      <c r="E3926" s="29"/>
      <c r="F3926" s="30">
        <f>[1]Source!AO3708</f>
        <v>1425.77</v>
      </c>
      <c r="G3926" s="31" t="s">
        <v>37</v>
      </c>
      <c r="H3926" s="29">
        <f>[1]Source!AV3709</f>
        <v>1.0469999999999999</v>
      </c>
      <c r="I3926" s="30">
        <f>[1]Source!S3708</f>
        <v>8446.16</v>
      </c>
      <c r="J3926" s="29">
        <f>IF([1]Source!BA3709&lt;&gt; 0, [1]Source!BA3709, 1)</f>
        <v>56.35</v>
      </c>
      <c r="K3926" s="30">
        <f>[1]Source!S3709</f>
        <v>475941.12</v>
      </c>
    </row>
    <row r="3927" spans="1:29" ht="14.4" hidden="1" x14ac:dyDescent="0.25">
      <c r="A3927" s="27"/>
      <c r="B3927" s="27"/>
      <c r="C3927" s="27" t="s">
        <v>38</v>
      </c>
      <c r="D3927" s="28"/>
      <c r="E3927" s="29"/>
      <c r="F3927" s="30">
        <f>[1]Source!AM3708</f>
        <v>9.41</v>
      </c>
      <c r="G3927" s="31" t="s">
        <v>39</v>
      </c>
      <c r="H3927" s="29">
        <f>[1]Source!AV3709</f>
        <v>1.0469999999999999</v>
      </c>
      <c r="I3927" s="30">
        <f>[1]Source!Q3708</f>
        <v>60.59</v>
      </c>
      <c r="J3927" s="29">
        <f>IF([1]Source!BB3709&lt;&gt; 0, [1]Source!BB3709, 1)</f>
        <v>54.4</v>
      </c>
      <c r="K3927" s="30">
        <f>[1]Source!Q3709</f>
        <v>3296.1</v>
      </c>
    </row>
    <row r="3928" spans="1:29" ht="14.4" hidden="1" x14ac:dyDescent="0.25">
      <c r="A3928" s="27"/>
      <c r="B3928" s="27"/>
      <c r="C3928" s="27" t="s">
        <v>40</v>
      </c>
      <c r="D3928" s="28"/>
      <c r="E3928" s="29"/>
      <c r="F3928" s="30">
        <f>[1]Source!AN3708</f>
        <v>8.0500000000000007</v>
      </c>
      <c r="G3928" s="31" t="s">
        <v>39</v>
      </c>
      <c r="H3928" s="29">
        <f>[1]Source!AV3709</f>
        <v>1.0469999999999999</v>
      </c>
      <c r="I3928" s="33">
        <f>[1]Source!R3708</f>
        <v>51.83</v>
      </c>
      <c r="J3928" s="29">
        <f>IF([1]Source!BS3709&lt;&gt; 0, [1]Source!BS3709, 1)</f>
        <v>56.35</v>
      </c>
      <c r="K3928" s="33">
        <f>[1]Source!R3709</f>
        <v>2920.62</v>
      </c>
    </row>
    <row r="3929" spans="1:29" ht="14.4" hidden="1" x14ac:dyDescent="0.25">
      <c r="A3929" s="27"/>
      <c r="B3929" s="27"/>
      <c r="C3929" s="27" t="s">
        <v>41</v>
      </c>
      <c r="D3929" s="28"/>
      <c r="E3929" s="29"/>
      <c r="F3929" s="30">
        <f>[1]Source!AL3708</f>
        <v>0.78</v>
      </c>
      <c r="G3929" s="31"/>
      <c r="H3929" s="29">
        <f>[1]Source!AW3709</f>
        <v>1</v>
      </c>
      <c r="I3929" s="30">
        <f>[1]Source!P3708</f>
        <v>3.2</v>
      </c>
      <c r="J3929" s="29">
        <f>IF([1]Source!BC3709&lt;&gt; 0, [1]Source!BC3709, 1)</f>
        <v>7.73</v>
      </c>
      <c r="K3929" s="30">
        <f>[1]Source!P3709</f>
        <v>24.74</v>
      </c>
    </row>
    <row r="3930" spans="1:29" ht="276" hidden="1" x14ac:dyDescent="0.25">
      <c r="A3930" s="27" t="s">
        <v>770</v>
      </c>
      <c r="B3930" s="27" t="str">
        <f>[1]Source!F3710</f>
        <v>1.3-2-97</v>
      </c>
      <c r="C3930" s="27" t="s">
        <v>728</v>
      </c>
      <c r="D3930" s="28" t="str">
        <f>[1]Source!H3710</f>
        <v>кг</v>
      </c>
      <c r="E3930" s="29">
        <f>[1]Source!I3710</f>
        <v>1279.2</v>
      </c>
      <c r="F3930" s="30">
        <f>[1]Source!AK3710</f>
        <v>12.4</v>
      </c>
      <c r="G3930" s="43" t="s">
        <v>54</v>
      </c>
      <c r="H3930" s="29">
        <f>[1]Source!AW3711</f>
        <v>1</v>
      </c>
      <c r="I3930" s="30">
        <f>[1]Source!O3710</f>
        <v>15862.08</v>
      </c>
      <c r="J3930" s="29">
        <f>IF([1]Source!BC3711&lt;&gt; 0, [1]Source!BC3711, 1)</f>
        <v>4.7300000000000004</v>
      </c>
      <c r="K3930" s="30">
        <f>[1]Source!O3711</f>
        <v>75027.64</v>
      </c>
      <c r="Q3930">
        <f>[1]Source!X3710</f>
        <v>0</v>
      </c>
      <c r="R3930">
        <f>[1]Source!X3711</f>
        <v>0</v>
      </c>
      <c r="S3930">
        <f>[1]Source!Y3710</f>
        <v>0</v>
      </c>
      <c r="T3930">
        <f>[1]Source!Y3711</f>
        <v>0</v>
      </c>
      <c r="U3930">
        <f>ROUND((175/100)*ROUND([1]Source!R3710, 2), 2)</f>
        <v>0</v>
      </c>
      <c r="V3930">
        <f>ROUND((0/100)*ROUND([1]Source!R3711, 2), 2)</f>
        <v>0</v>
      </c>
      <c r="AC3930">
        <v>3</v>
      </c>
    </row>
    <row r="3931" spans="1:29" ht="14.4" hidden="1" x14ac:dyDescent="0.25">
      <c r="A3931" s="27"/>
      <c r="B3931" s="27"/>
      <c r="C3931" s="27" t="s">
        <v>42</v>
      </c>
      <c r="D3931" s="28" t="s">
        <v>43</v>
      </c>
      <c r="E3931" s="29">
        <f>[1]Source!BZ3709</f>
        <v>99</v>
      </c>
      <c r="F3931" s="30"/>
      <c r="G3931" s="31"/>
      <c r="H3931" s="29"/>
      <c r="I3931" s="30">
        <f>SUM(Q3924:Q3930)</f>
        <v>8413.01</v>
      </c>
      <c r="J3931" s="29">
        <f>[1]Source!AT3709</f>
        <v>99</v>
      </c>
      <c r="K3931" s="30">
        <f>SUM(R3924:R3930)</f>
        <v>474073.12</v>
      </c>
    </row>
    <row r="3932" spans="1:29" ht="14.4" hidden="1" x14ac:dyDescent="0.25">
      <c r="A3932" s="27"/>
      <c r="B3932" s="27"/>
      <c r="C3932" s="27" t="s">
        <v>44</v>
      </c>
      <c r="D3932" s="28" t="s">
        <v>43</v>
      </c>
      <c r="E3932" s="29">
        <f>[1]Source!CA3709</f>
        <v>59</v>
      </c>
      <c r="F3932" s="30"/>
      <c r="G3932" s="31"/>
      <c r="H3932" s="29"/>
      <c r="I3932" s="30">
        <f>SUM(S3924:S3931)</f>
        <v>5013.8100000000004</v>
      </c>
      <c r="J3932" s="29">
        <f>[1]Source!AU3709</f>
        <v>59</v>
      </c>
      <c r="K3932" s="30">
        <f>SUM(T3924:T3931)</f>
        <v>282528.43</v>
      </c>
    </row>
    <row r="3933" spans="1:29" ht="14.4" hidden="1" x14ac:dyDescent="0.25">
      <c r="A3933" s="34"/>
      <c r="B3933" s="34"/>
      <c r="C3933" s="34" t="s">
        <v>45</v>
      </c>
      <c r="D3933" s="35" t="s">
        <v>46</v>
      </c>
      <c r="E3933" s="36">
        <f>[1]Source!AQ3708</f>
        <v>85.24</v>
      </c>
      <c r="F3933" s="37"/>
      <c r="G3933" s="38" t="s">
        <v>37</v>
      </c>
      <c r="H3933" s="36">
        <f>[1]Source!AV3709</f>
        <v>1.0469999999999999</v>
      </c>
      <c r="I3933" s="37">
        <f>[1]Source!U3708</f>
        <v>504.95545223999983</v>
      </c>
      <c r="J3933" s="36"/>
      <c r="K3933" s="37"/>
    </row>
    <row r="3934" spans="1:29" ht="13.8" hidden="1" x14ac:dyDescent="0.25">
      <c r="C3934" s="39" t="s">
        <v>47</v>
      </c>
      <c r="H3934" s="40">
        <f>I3926+I3927+I3929+I3931+I3932+SUM(I3930:I3930)-SUMIF(AC3930:AC3930, 5, I3930:I3930)-SUMIF(AC3930:AC3930, 6, I3930:I3930)</f>
        <v>37798.85</v>
      </c>
      <c r="I3934" s="40"/>
      <c r="J3934" s="40">
        <f>K3926+K3927+K3929+K3931+K3932+SUM(K3930:K3930)-SUMIF(AC3930:AC3930, 5, K3930:K3930)-SUMIF(AC3930:AC3930, 6, K3930:K3930)</f>
        <v>1310891.1499999999</v>
      </c>
      <c r="K3934" s="40"/>
    </row>
    <row r="3935" spans="1:29" ht="13.8" hidden="1" x14ac:dyDescent="0.25">
      <c r="C3935" s="39" t="s">
        <v>48</v>
      </c>
      <c r="H3935" s="41">
        <f>SUMIF(AC3930:AC3930, 5, I3930:I3930)+SUMIF(AC3930:AC3930, 6, I3930:I3930)</f>
        <v>0</v>
      </c>
      <c r="I3935" s="41"/>
      <c r="J3935" s="41">
        <f>SUMIF(AC3930:AC3930, 5, K3930:K3930)+SUMIF(AC3930:AC3930, 6, K3930:K3930)</f>
        <v>0</v>
      </c>
      <c r="K3935" s="41"/>
    </row>
    <row r="3936" spans="1:29" ht="13.8" hidden="1" x14ac:dyDescent="0.25">
      <c r="C3936" s="39" t="s">
        <v>49</v>
      </c>
      <c r="H3936" s="41">
        <f>I3926+I3927+I3929+I3931+I3932+SUM(I3930:I3930)</f>
        <v>37798.85</v>
      </c>
      <c r="I3936" s="41"/>
      <c r="J3936" s="41">
        <f>K3926+K3927+K3929+K3931+K3932+SUM(K3930:K3930)</f>
        <v>1310891.1499999999</v>
      </c>
      <c r="K3936" s="41"/>
      <c r="O3936" s="42">
        <f>I3926+I3927+I3929+I3931+I3932+SUM(I3930:I3930)</f>
        <v>37798.85</v>
      </c>
      <c r="P3936" s="42">
        <f>K3926+K3927+K3929+K3931+K3932+SUM(K3930:K3930)</f>
        <v>1310891.1499999999</v>
      </c>
    </row>
    <row r="3937" spans="1:29" hidden="1" x14ac:dyDescent="0.25"/>
    <row r="3938" spans="1:29" ht="69" hidden="1" x14ac:dyDescent="0.25">
      <c r="A3938" s="27">
        <v>388</v>
      </c>
      <c r="B3938" s="27" t="str">
        <f>[1]Source!F3712</f>
        <v>3.70-198-6</v>
      </c>
      <c r="C3938" s="27" t="s">
        <v>136</v>
      </c>
      <c r="D3938" s="28" t="str">
        <f>[1]Source!H3712</f>
        <v>100 м2</v>
      </c>
      <c r="E3938" s="29">
        <f>[1]Source!I3712</f>
        <v>6.47</v>
      </c>
      <c r="F3938" s="30"/>
      <c r="G3938" s="31"/>
      <c r="H3938" s="29"/>
      <c r="I3938" s="30"/>
      <c r="J3938" s="29"/>
      <c r="K3938" s="30"/>
      <c r="Q3938">
        <f>[1]Source!X3712</f>
        <v>9704.83</v>
      </c>
      <c r="R3938">
        <f>[1]Source!X3713</f>
        <v>546867.03</v>
      </c>
      <c r="S3938">
        <f>[1]Source!Y3712</f>
        <v>5284.81</v>
      </c>
      <c r="T3938">
        <f>[1]Source!Y3713</f>
        <v>297798.88</v>
      </c>
      <c r="U3938">
        <f>ROUND((175/100)*ROUND([1]Source!R3712, 2), 2)</f>
        <v>242.38</v>
      </c>
      <c r="V3938">
        <f>ROUND((0/100)*ROUND([1]Source!R3713, 2), 2)</f>
        <v>0</v>
      </c>
      <c r="AC3938">
        <v>0</v>
      </c>
    </row>
    <row r="3939" spans="1:29" hidden="1" x14ac:dyDescent="0.25">
      <c r="C3939" s="32" t="str">
        <f>"Объем: "&amp;[1]Source!I3712&amp;"=(293+"&amp;"117+"&amp;"237)/"&amp;"100"</f>
        <v>Объем: 6,47=(293+117+237)/100</v>
      </c>
    </row>
    <row r="3940" spans="1:29" ht="14.4" hidden="1" x14ac:dyDescent="0.25">
      <c r="A3940" s="27"/>
      <c r="B3940" s="27"/>
      <c r="C3940" s="27" t="s">
        <v>36</v>
      </c>
      <c r="D3940" s="28"/>
      <c r="E3940" s="29"/>
      <c r="F3940" s="30">
        <f>[1]Source!AO3712</f>
        <v>1013.05</v>
      </c>
      <c r="G3940" s="31" t="s">
        <v>37</v>
      </c>
      <c r="H3940" s="29">
        <f>[1]Source!AV3713</f>
        <v>1.0469999999999999</v>
      </c>
      <c r="I3940" s="30">
        <f>[1]Source!S3712</f>
        <v>9470.24</v>
      </c>
      <c r="J3940" s="29">
        <f>IF([1]Source!BA3713&lt;&gt; 0, [1]Source!BA3713, 1)</f>
        <v>56.35</v>
      </c>
      <c r="K3940" s="30">
        <f>[1]Source!S3713</f>
        <v>533648.02</v>
      </c>
    </row>
    <row r="3941" spans="1:29" ht="14.4" hidden="1" x14ac:dyDescent="0.25">
      <c r="A3941" s="27"/>
      <c r="B3941" s="27"/>
      <c r="C3941" s="27" t="s">
        <v>38</v>
      </c>
      <c r="D3941" s="28"/>
      <c r="E3941" s="29"/>
      <c r="F3941" s="30">
        <f>[1]Source!AM3712</f>
        <v>77.48</v>
      </c>
      <c r="G3941" s="31" t="s">
        <v>39</v>
      </c>
      <c r="H3941" s="29">
        <f>[1]Source!AV3713</f>
        <v>1.0469999999999999</v>
      </c>
      <c r="I3941" s="30">
        <f>[1]Source!Q3712</f>
        <v>787.28</v>
      </c>
      <c r="J3941" s="29">
        <f>IF([1]Source!BB3713&lt;&gt; 0, [1]Source!BB3713, 1)</f>
        <v>18.91</v>
      </c>
      <c r="K3941" s="30">
        <f>[1]Source!Q3713</f>
        <v>14887.46</v>
      </c>
    </row>
    <row r="3942" spans="1:29" ht="14.4" hidden="1" x14ac:dyDescent="0.25">
      <c r="A3942" s="27"/>
      <c r="B3942" s="27"/>
      <c r="C3942" s="27" t="s">
        <v>40</v>
      </c>
      <c r="D3942" s="28"/>
      <c r="E3942" s="29"/>
      <c r="F3942" s="30">
        <f>[1]Source!AN3712</f>
        <v>13.63</v>
      </c>
      <c r="G3942" s="31" t="s">
        <v>39</v>
      </c>
      <c r="H3942" s="29">
        <f>[1]Source!AV3713</f>
        <v>1.0469999999999999</v>
      </c>
      <c r="I3942" s="33">
        <f>[1]Source!R3712</f>
        <v>138.5</v>
      </c>
      <c r="J3942" s="29">
        <f>IF([1]Source!BS3713&lt;&gt; 0, [1]Source!BS3713, 1)</f>
        <v>56.35</v>
      </c>
      <c r="K3942" s="33">
        <f>[1]Source!R3713</f>
        <v>7804.48</v>
      </c>
    </row>
    <row r="3943" spans="1:29" ht="14.4" hidden="1" x14ac:dyDescent="0.25">
      <c r="A3943" s="27"/>
      <c r="B3943" s="27"/>
      <c r="C3943" s="27" t="s">
        <v>41</v>
      </c>
      <c r="D3943" s="28"/>
      <c r="E3943" s="29"/>
      <c r="F3943" s="30">
        <f>[1]Source!AL3712</f>
        <v>7.2</v>
      </c>
      <c r="G3943" s="31"/>
      <c r="H3943" s="29">
        <f>[1]Source!AW3713</f>
        <v>1</v>
      </c>
      <c r="I3943" s="30">
        <f>[1]Source!P3712</f>
        <v>46.58</v>
      </c>
      <c r="J3943" s="29">
        <f>IF([1]Source!BC3713&lt;&gt; 0, [1]Source!BC3713, 1)</f>
        <v>5.07</v>
      </c>
      <c r="K3943" s="30">
        <f>[1]Source!P3713</f>
        <v>236.16</v>
      </c>
    </row>
    <row r="3944" spans="1:29" ht="41.4" hidden="1" x14ac:dyDescent="0.25">
      <c r="A3944" s="27" t="s">
        <v>771</v>
      </c>
      <c r="B3944" s="27" t="str">
        <f>[1]Source!F3714</f>
        <v>1.1-1-8205</v>
      </c>
      <c r="C3944" s="27" t="s">
        <v>731</v>
      </c>
      <c r="D3944" s="28" t="str">
        <f>[1]Source!H3714</f>
        <v>100 шт.</v>
      </c>
      <c r="E3944" s="29">
        <f>[1]Source!I3714</f>
        <v>74.987300000000005</v>
      </c>
      <c r="F3944" s="30">
        <f>[1]Source!AK3714</f>
        <v>4.26</v>
      </c>
      <c r="G3944" s="43" t="s">
        <v>54</v>
      </c>
      <c r="H3944" s="29">
        <f>[1]Source!AW3715</f>
        <v>1</v>
      </c>
      <c r="I3944" s="30">
        <f>[1]Source!O3714</f>
        <v>319.45</v>
      </c>
      <c r="J3944" s="29">
        <f>IF([1]Source!BC3715&lt;&gt; 0, [1]Source!BC3715, 1)</f>
        <v>9.99</v>
      </c>
      <c r="K3944" s="30">
        <f>[1]Source!O3715</f>
        <v>3191.31</v>
      </c>
      <c r="Q3944">
        <f>[1]Source!X3714</f>
        <v>0</v>
      </c>
      <c r="R3944">
        <f>[1]Source!X3715</f>
        <v>0</v>
      </c>
      <c r="S3944">
        <f>[1]Source!Y3714</f>
        <v>0</v>
      </c>
      <c r="T3944">
        <f>[1]Source!Y3715</f>
        <v>0</v>
      </c>
      <c r="U3944">
        <f>ROUND((175/100)*ROUND([1]Source!R3714, 2), 2)</f>
        <v>0</v>
      </c>
      <c r="V3944">
        <f>ROUND((0/100)*ROUND([1]Source!R3715, 2), 2)</f>
        <v>0</v>
      </c>
      <c r="AC3944">
        <v>3</v>
      </c>
    </row>
    <row r="3945" spans="1:29" ht="41.4" hidden="1" x14ac:dyDescent="0.25">
      <c r="A3945" s="27" t="s">
        <v>772</v>
      </c>
      <c r="B3945" s="27" t="str">
        <f>[1]Source!F3716</f>
        <v>1.1-1-3257</v>
      </c>
      <c r="C3945" s="27" t="s">
        <v>129</v>
      </c>
      <c r="D3945" s="28" t="str">
        <f>[1]Source!H3716</f>
        <v>кг</v>
      </c>
      <c r="E3945" s="29">
        <f>[1]Source!I3716</f>
        <v>90.58</v>
      </c>
      <c r="F3945" s="30">
        <f>[1]Source!AK3716</f>
        <v>17.3</v>
      </c>
      <c r="G3945" s="43" t="s">
        <v>54</v>
      </c>
      <c r="H3945" s="29">
        <f>[1]Source!AW3717</f>
        <v>1</v>
      </c>
      <c r="I3945" s="30">
        <f>[1]Source!O3716</f>
        <v>1567.03</v>
      </c>
      <c r="J3945" s="29">
        <f>IF([1]Source!BC3717&lt;&gt; 0, [1]Source!BC3717, 1)</f>
        <v>5.93</v>
      </c>
      <c r="K3945" s="30">
        <f>[1]Source!O3717</f>
        <v>9292.49</v>
      </c>
      <c r="Q3945">
        <f>[1]Source!X3716</f>
        <v>0</v>
      </c>
      <c r="R3945">
        <f>[1]Source!X3717</f>
        <v>0</v>
      </c>
      <c r="S3945">
        <f>[1]Source!Y3716</f>
        <v>0</v>
      </c>
      <c r="T3945">
        <f>[1]Source!Y3717</f>
        <v>0</v>
      </c>
      <c r="U3945">
        <f>ROUND((175/100)*ROUND([1]Source!R3716, 2), 2)</f>
        <v>0</v>
      </c>
      <c r="V3945">
        <f>ROUND((0/100)*ROUND([1]Source!R3717, 2), 2)</f>
        <v>0</v>
      </c>
      <c r="AC3945">
        <v>3</v>
      </c>
    </row>
    <row r="3946" spans="1:29" ht="96.6" hidden="1" x14ac:dyDescent="0.25">
      <c r="A3946" s="27" t="s">
        <v>773</v>
      </c>
      <c r="B3946" s="27" t="str">
        <f>[1]Source!F3718</f>
        <v>1.3-2-50</v>
      </c>
      <c r="C3946" s="27" t="s">
        <v>131</v>
      </c>
      <c r="D3946" s="28" t="str">
        <f>[1]Source!H3718</f>
        <v>т</v>
      </c>
      <c r="E3946" s="29">
        <f>[1]Source!I3718</f>
        <v>0.25879999999999997</v>
      </c>
      <c r="F3946" s="30">
        <f>[1]Source!AK3718</f>
        <v>5978.05</v>
      </c>
      <c r="G3946" s="43" t="s">
        <v>54</v>
      </c>
      <c r="H3946" s="29">
        <f>[1]Source!AW3719</f>
        <v>1</v>
      </c>
      <c r="I3946" s="30">
        <f>[1]Source!O3718</f>
        <v>1547.12</v>
      </c>
      <c r="J3946" s="29">
        <f>IF([1]Source!BC3719&lt;&gt; 0, [1]Source!BC3719, 1)</f>
        <v>15.31</v>
      </c>
      <c r="K3946" s="30">
        <f>[1]Source!O3719</f>
        <v>23686.41</v>
      </c>
      <c r="Q3946">
        <f>[1]Source!X3718</f>
        <v>0</v>
      </c>
      <c r="R3946">
        <f>[1]Source!X3719</f>
        <v>0</v>
      </c>
      <c r="S3946">
        <f>[1]Source!Y3718</f>
        <v>0</v>
      </c>
      <c r="T3946">
        <f>[1]Source!Y3719</f>
        <v>0</v>
      </c>
      <c r="U3946">
        <f>ROUND((175/100)*ROUND([1]Source!R3718, 2), 2)</f>
        <v>0</v>
      </c>
      <c r="V3946">
        <f>ROUND((0/100)*ROUND([1]Source!R3719, 2), 2)</f>
        <v>0</v>
      </c>
      <c r="AC3946">
        <v>3</v>
      </c>
    </row>
    <row r="3947" spans="1:29" ht="69" hidden="1" x14ac:dyDescent="0.25">
      <c r="A3947" s="27" t="s">
        <v>774</v>
      </c>
      <c r="B3947" s="27" t="str">
        <f>[1]Source!F3720</f>
        <v>1.3-2-35</v>
      </c>
      <c r="C3947" s="27" t="s">
        <v>634</v>
      </c>
      <c r="D3947" s="28" t="str">
        <f>[1]Source!H3720</f>
        <v>т</v>
      </c>
      <c r="E3947" s="29">
        <f>[1]Source!I3720</f>
        <v>4.6631879999999999</v>
      </c>
      <c r="F3947" s="30">
        <f>[1]Source!AK3720</f>
        <v>1669.7</v>
      </c>
      <c r="G3947" s="43" t="s">
        <v>54</v>
      </c>
      <c r="H3947" s="29">
        <f>[1]Source!AW3721</f>
        <v>1</v>
      </c>
      <c r="I3947" s="30">
        <f>[1]Source!O3720</f>
        <v>7786.13</v>
      </c>
      <c r="J3947" s="29">
        <f>IF([1]Source!BC3721&lt;&gt; 0, [1]Source!BC3721, 1)</f>
        <v>8</v>
      </c>
      <c r="K3947" s="30">
        <f>[1]Source!O3721</f>
        <v>62289.04</v>
      </c>
      <c r="Q3947">
        <f>[1]Source!X3720</f>
        <v>0</v>
      </c>
      <c r="R3947">
        <f>[1]Source!X3721</f>
        <v>0</v>
      </c>
      <c r="S3947">
        <f>[1]Source!Y3720</f>
        <v>0</v>
      </c>
      <c r="T3947">
        <f>[1]Source!Y3721</f>
        <v>0</v>
      </c>
      <c r="U3947">
        <f>ROUND((175/100)*ROUND([1]Source!R3720, 2), 2)</f>
        <v>0</v>
      </c>
      <c r="V3947">
        <f>ROUND((0/100)*ROUND([1]Source!R3721, 2), 2)</f>
        <v>0</v>
      </c>
      <c r="AC3947">
        <v>3</v>
      </c>
    </row>
    <row r="3948" spans="1:29" ht="55.2" hidden="1" x14ac:dyDescent="0.25">
      <c r="A3948" s="27" t="s">
        <v>775</v>
      </c>
      <c r="B3948" s="27" t="str">
        <f>[1]Source!F3722</f>
        <v>1.1-1-3225</v>
      </c>
      <c r="C3948" s="27" t="s">
        <v>126</v>
      </c>
      <c r="D3948" s="28" t="str">
        <f>[1]Source!H3722</f>
        <v>м2</v>
      </c>
      <c r="E3948" s="29">
        <f>[1]Source!I3722</f>
        <v>698.76</v>
      </c>
      <c r="F3948" s="30">
        <f>[1]Source!AK3722</f>
        <v>124.57</v>
      </c>
      <c r="G3948" s="43" t="s">
        <v>54</v>
      </c>
      <c r="H3948" s="29">
        <f>[1]Source!AW3723</f>
        <v>1</v>
      </c>
      <c r="I3948" s="30">
        <f>[1]Source!O3722</f>
        <v>87044.53</v>
      </c>
      <c r="J3948" s="29">
        <f>IF([1]Source!BC3723&lt;&gt; 0, [1]Source!BC3723, 1)</f>
        <v>6.63</v>
      </c>
      <c r="K3948" s="30">
        <f>[1]Source!O3723</f>
        <v>577105.23</v>
      </c>
      <c r="Q3948">
        <f>[1]Source!X3722</f>
        <v>0</v>
      </c>
      <c r="R3948">
        <f>[1]Source!X3723</f>
        <v>0</v>
      </c>
      <c r="S3948">
        <f>[1]Source!Y3722</f>
        <v>0</v>
      </c>
      <c r="T3948">
        <f>[1]Source!Y3723</f>
        <v>0</v>
      </c>
      <c r="U3948">
        <f>ROUND((175/100)*ROUND([1]Source!R3722, 2), 2)</f>
        <v>0</v>
      </c>
      <c r="V3948">
        <f>ROUND((0/100)*ROUND([1]Source!R3723, 2), 2)</f>
        <v>0</v>
      </c>
      <c r="AC3948">
        <v>3</v>
      </c>
    </row>
    <row r="3949" spans="1:29" ht="14.4" hidden="1" x14ac:dyDescent="0.25">
      <c r="A3949" s="27"/>
      <c r="B3949" s="27"/>
      <c r="C3949" s="27" t="s">
        <v>42</v>
      </c>
      <c r="D3949" s="28" t="s">
        <v>43</v>
      </c>
      <c r="E3949" s="29">
        <f>[1]Source!BZ3713</f>
        <v>101</v>
      </c>
      <c r="F3949" s="30"/>
      <c r="G3949" s="31"/>
      <c r="H3949" s="29"/>
      <c r="I3949" s="30">
        <f>SUM(Q3938:Q3948)</f>
        <v>9704.83</v>
      </c>
      <c r="J3949" s="29">
        <f>[1]Source!AT3713</f>
        <v>101</v>
      </c>
      <c r="K3949" s="30">
        <f>SUM(R3938:R3948)</f>
        <v>546867.03</v>
      </c>
    </row>
    <row r="3950" spans="1:29" ht="14.4" hidden="1" x14ac:dyDescent="0.25">
      <c r="A3950" s="27"/>
      <c r="B3950" s="27"/>
      <c r="C3950" s="27" t="s">
        <v>44</v>
      </c>
      <c r="D3950" s="28" t="s">
        <v>43</v>
      </c>
      <c r="E3950" s="29">
        <f>[1]Source!CA3713</f>
        <v>55</v>
      </c>
      <c r="F3950" s="30"/>
      <c r="G3950" s="31"/>
      <c r="H3950" s="29"/>
      <c r="I3950" s="30">
        <f>SUM(S3938:S3949)</f>
        <v>5284.81</v>
      </c>
      <c r="J3950" s="29">
        <f>[1]Source!AU3713</f>
        <v>55</v>
      </c>
      <c r="K3950" s="30">
        <f>SUM(T3938:T3949)</f>
        <v>297798.88</v>
      </c>
    </row>
    <row r="3951" spans="1:29" ht="14.4" hidden="1" x14ac:dyDescent="0.25">
      <c r="A3951" s="34"/>
      <c r="B3951" s="34"/>
      <c r="C3951" s="34" t="s">
        <v>45</v>
      </c>
      <c r="D3951" s="35" t="s">
        <v>46</v>
      </c>
      <c r="E3951" s="36">
        <f>[1]Source!AQ3712</f>
        <v>61.6</v>
      </c>
      <c r="F3951" s="37"/>
      <c r="G3951" s="38" t="s">
        <v>37</v>
      </c>
      <c r="H3951" s="36">
        <f>[1]Source!AV3713</f>
        <v>1.0469999999999999</v>
      </c>
      <c r="I3951" s="37">
        <f>[1]Source!U3712</f>
        <v>575.85184271999981</v>
      </c>
      <c r="J3951" s="36"/>
      <c r="K3951" s="37"/>
    </row>
    <row r="3952" spans="1:29" ht="13.8" hidden="1" x14ac:dyDescent="0.25">
      <c r="C3952" s="39" t="s">
        <v>47</v>
      </c>
      <c r="H3952" s="40">
        <f>I3940+I3941+I3943+I3949+I3950+SUM(I3944:I3948)-SUMIF(AC3944:AC3948, 5, I3944:I3948)-SUMIF(AC3944:AC3948, 6, I3944:I3948)</f>
        <v>123558</v>
      </c>
      <c r="I3952" s="40"/>
      <c r="J3952" s="40">
        <f>K3940+K3941+K3943+K3949+K3950+SUM(K3944:K3948)-SUMIF(AC3944:AC3948, 5, K3944:K3948)-SUMIF(AC3944:AC3948, 6, K3944:K3948)</f>
        <v>2069002.0299999998</v>
      </c>
      <c r="K3952" s="40"/>
    </row>
    <row r="3953" spans="1:29" ht="13.8" hidden="1" x14ac:dyDescent="0.25">
      <c r="C3953" s="39" t="s">
        <v>48</v>
      </c>
      <c r="H3953" s="41">
        <f>SUMIF(AC3944:AC3948, 5, I3944:I3948)+SUMIF(AC3944:AC3948, 6, I3944:I3948)</f>
        <v>0</v>
      </c>
      <c r="I3953" s="41"/>
      <c r="J3953" s="41">
        <f>SUMIF(AC3944:AC3948, 5, K3944:K3948)+SUMIF(AC3944:AC3948, 6, K3944:K3948)</f>
        <v>0</v>
      </c>
      <c r="K3953" s="41"/>
    </row>
    <row r="3954" spans="1:29" ht="13.8" hidden="1" x14ac:dyDescent="0.25">
      <c r="C3954" s="39" t="s">
        <v>49</v>
      </c>
      <c r="H3954" s="41">
        <f>I3940+I3941+I3943+I3949+I3950+SUM(I3944:I3948)</f>
        <v>123558</v>
      </c>
      <c r="I3954" s="41"/>
      <c r="J3954" s="41">
        <f>K3940+K3941+K3943+K3949+K3950+SUM(K3944:K3948)</f>
        <v>2069002.0299999998</v>
      </c>
      <c r="K3954" s="41"/>
      <c r="O3954" s="42">
        <f>I3940+I3941+I3943+I3949+I3950+SUM(I3944:I3948)</f>
        <v>123558</v>
      </c>
      <c r="P3954" s="42">
        <f>K3940+K3941+K3943+K3949+K3950+SUM(K3944:K3948)</f>
        <v>2069002.0299999998</v>
      </c>
    </row>
    <row r="3955" spans="1:29" hidden="1" x14ac:dyDescent="0.25"/>
    <row r="3956" spans="1:29" hidden="1" x14ac:dyDescent="0.25"/>
    <row r="3957" spans="1:29" ht="13.8" hidden="1" x14ac:dyDescent="0.25">
      <c r="A3957" s="44" t="str">
        <f>CONCATENATE("Итого по подразделу: ",IF([1]Source!G3725&lt;&gt;"Новый подраздел", [1]Source!G3725, ""))</f>
        <v>Итого по подразделу: Подвал. Керамогранит 600х600 мм</v>
      </c>
      <c r="B3957" s="44"/>
      <c r="C3957" s="44"/>
      <c r="D3957" s="44"/>
      <c r="E3957" s="44"/>
      <c r="F3957" s="44"/>
      <c r="G3957" s="44"/>
      <c r="H3957" s="41">
        <f>SUM(O3884:O3956)</f>
        <v>208433.09</v>
      </c>
      <c r="I3957" s="45"/>
      <c r="J3957" s="41">
        <f>SUM(P3884:P3956)</f>
        <v>4228708.7300000004</v>
      </c>
      <c r="K3957" s="45"/>
    </row>
    <row r="3958" spans="1:29" hidden="1" x14ac:dyDescent="0.25">
      <c r="A3958" t="s">
        <v>55</v>
      </c>
      <c r="I3958">
        <f>SUM(W3884:W3957)</f>
        <v>0</v>
      </c>
      <c r="J3958">
        <f>SUM(X3884:X3957)</f>
        <v>0</v>
      </c>
    </row>
    <row r="3959" spans="1:29" hidden="1" x14ac:dyDescent="0.25">
      <c r="A3959" t="s">
        <v>56</v>
      </c>
      <c r="I3959">
        <f>SUM(Y3884:Y3958)</f>
        <v>0</v>
      </c>
      <c r="J3959">
        <f>SUM(Z3884:Z3958)</f>
        <v>0</v>
      </c>
    </row>
    <row r="3960" spans="1:29" hidden="1" x14ac:dyDescent="0.25"/>
    <row r="3961" spans="1:29" ht="16.8" hidden="1" x14ac:dyDescent="0.25">
      <c r="A3961" s="11" t="str">
        <f>CONCATENATE("Подраздел: ",IF([1]Source!G3755&lt;&gt;"Новый подраздел", [1]Source!G3755, ""))</f>
        <v>Подраздел: Подвал. Кварц-виниловая плитка.</v>
      </c>
      <c r="B3961" s="11"/>
      <c r="C3961" s="11"/>
      <c r="D3961" s="11"/>
      <c r="E3961" s="11"/>
      <c r="F3961" s="11"/>
      <c r="G3961" s="11"/>
      <c r="H3961" s="11"/>
      <c r="I3961" s="11"/>
      <c r="J3961" s="11"/>
      <c r="K3961" s="11"/>
    </row>
    <row r="3962" spans="1:29" ht="57.6" hidden="1" x14ac:dyDescent="0.25">
      <c r="A3962" s="27">
        <v>389</v>
      </c>
      <c r="B3962" s="27" t="str">
        <f>[1]Source!F3759</f>
        <v>3.70-159-1</v>
      </c>
      <c r="C3962" s="27" t="s">
        <v>717</v>
      </c>
      <c r="D3962" s="28" t="str">
        <f>[1]Source!H3759</f>
        <v>100 м2 стяжки</v>
      </c>
      <c r="E3962" s="29">
        <f>[1]Source!I3759</f>
        <v>3.28</v>
      </c>
      <c r="F3962" s="30"/>
      <c r="G3962" s="31"/>
      <c r="H3962" s="29"/>
      <c r="I3962" s="30"/>
      <c r="J3962" s="29"/>
      <c r="K3962" s="30"/>
      <c r="Q3962">
        <f>[1]Source!X3759</f>
        <v>1557.77</v>
      </c>
      <c r="R3962">
        <f>[1]Source!X3760</f>
        <v>87780.53</v>
      </c>
      <c r="S3962">
        <f>[1]Source!Y3759</f>
        <v>848.29</v>
      </c>
      <c r="T3962">
        <f>[1]Source!Y3760</f>
        <v>47801.279999999999</v>
      </c>
      <c r="U3962">
        <f>ROUND((175/100)*ROUND([1]Source!R3759, 2), 2)</f>
        <v>0</v>
      </c>
      <c r="V3962">
        <f>ROUND((0/100)*ROUND([1]Source!R3760, 2), 2)</f>
        <v>0</v>
      </c>
      <c r="AC3962">
        <v>0</v>
      </c>
    </row>
    <row r="3963" spans="1:29" hidden="1" x14ac:dyDescent="0.25">
      <c r="C3963" s="32" t="str">
        <f>"Объем: "&amp;[1]Source!I3759&amp;"=(38+"&amp;"290)/"&amp;"100"</f>
        <v>Объем: 3,28=(38+290)/100</v>
      </c>
    </row>
    <row r="3964" spans="1:29" ht="14.4" hidden="1" x14ac:dyDescent="0.25">
      <c r="A3964" s="27"/>
      <c r="B3964" s="27"/>
      <c r="C3964" s="27" t="s">
        <v>36</v>
      </c>
      <c r="D3964" s="28"/>
      <c r="E3964" s="29"/>
      <c r="F3964" s="30">
        <f>[1]Source!AO3759</f>
        <v>325.45</v>
      </c>
      <c r="G3964" s="31" t="s">
        <v>37</v>
      </c>
      <c r="H3964" s="29">
        <f>[1]Source!AV3760</f>
        <v>1.0469999999999999</v>
      </c>
      <c r="I3964" s="30">
        <f>[1]Source!S3759</f>
        <v>1542.35</v>
      </c>
      <c r="J3964" s="29">
        <f>IF([1]Source!BA3760&lt;&gt; 0, [1]Source!BA3760, 1)</f>
        <v>56.35</v>
      </c>
      <c r="K3964" s="30">
        <f>[1]Source!S3760</f>
        <v>86911.42</v>
      </c>
    </row>
    <row r="3965" spans="1:29" ht="14.4" hidden="1" x14ac:dyDescent="0.25">
      <c r="A3965" s="27"/>
      <c r="B3965" s="27"/>
      <c r="C3965" s="27" t="s">
        <v>38</v>
      </c>
      <c r="D3965" s="28"/>
      <c r="E3965" s="29"/>
      <c r="F3965" s="30">
        <f>[1]Source!AM3759</f>
        <v>1.8</v>
      </c>
      <c r="G3965" s="31" t="s">
        <v>39</v>
      </c>
      <c r="H3965" s="29">
        <f>[1]Source!AV3760</f>
        <v>1.0469999999999999</v>
      </c>
      <c r="I3965" s="30">
        <f>[1]Source!Q3759</f>
        <v>9.27</v>
      </c>
      <c r="J3965" s="29">
        <f>IF([1]Source!BB3760&lt;&gt; 0, [1]Source!BB3760, 1)</f>
        <v>11.69</v>
      </c>
      <c r="K3965" s="30">
        <f>[1]Source!Q3760</f>
        <v>108.37</v>
      </c>
    </row>
    <row r="3966" spans="1:29" ht="14.4" hidden="1" x14ac:dyDescent="0.25">
      <c r="A3966" s="27"/>
      <c r="B3966" s="27"/>
      <c r="C3966" s="27" t="s">
        <v>41</v>
      </c>
      <c r="D3966" s="28"/>
      <c r="E3966" s="29"/>
      <c r="F3966" s="30">
        <f>[1]Source!AL3759</f>
        <v>24.75</v>
      </c>
      <c r="G3966" s="31"/>
      <c r="H3966" s="29">
        <f>[1]Source!AW3760</f>
        <v>1</v>
      </c>
      <c r="I3966" s="30">
        <f>[1]Source!P3759</f>
        <v>81.180000000000007</v>
      </c>
      <c r="J3966" s="29">
        <f>IF([1]Source!BC3760&lt;&gt; 0, [1]Source!BC3760, 1)</f>
        <v>7.75</v>
      </c>
      <c r="K3966" s="30">
        <f>[1]Source!P3760</f>
        <v>629.15</v>
      </c>
    </row>
    <row r="3967" spans="1:29" ht="27.6" hidden="1" x14ac:dyDescent="0.25">
      <c r="A3967" s="27" t="s">
        <v>776</v>
      </c>
      <c r="B3967" s="27" t="str">
        <f>[1]Source!F3761</f>
        <v>1.3-2-6</v>
      </c>
      <c r="C3967" s="27" t="s">
        <v>149</v>
      </c>
      <c r="D3967" s="28" t="str">
        <f>[1]Source!H3761</f>
        <v>м3</v>
      </c>
      <c r="E3967" s="29">
        <f>[1]Source!I3761</f>
        <v>6.6911999999999994</v>
      </c>
      <c r="F3967" s="30">
        <f>[1]Source!AK3761</f>
        <v>467.32</v>
      </c>
      <c r="G3967" s="43" t="s">
        <v>54</v>
      </c>
      <c r="H3967" s="29">
        <f>[1]Source!AW3762</f>
        <v>1</v>
      </c>
      <c r="I3967" s="30">
        <f>[1]Source!O3761</f>
        <v>3126.93</v>
      </c>
      <c r="J3967" s="29">
        <f>IF([1]Source!BC3762&lt;&gt; 0, [1]Source!BC3762, 1)</f>
        <v>11.07</v>
      </c>
      <c r="K3967" s="30">
        <f>[1]Source!O3762</f>
        <v>34615.120000000003</v>
      </c>
      <c r="Q3967">
        <f>[1]Source!X3761</f>
        <v>0</v>
      </c>
      <c r="R3967">
        <f>[1]Source!X3762</f>
        <v>0</v>
      </c>
      <c r="S3967">
        <f>[1]Source!Y3761</f>
        <v>0</v>
      </c>
      <c r="T3967">
        <f>[1]Source!Y3762</f>
        <v>0</v>
      </c>
      <c r="U3967">
        <f>ROUND((175/100)*ROUND([1]Source!R3761, 2), 2)</f>
        <v>0</v>
      </c>
      <c r="V3967">
        <f>ROUND((0/100)*ROUND([1]Source!R3762, 2), 2)</f>
        <v>0</v>
      </c>
      <c r="AC3967">
        <v>3</v>
      </c>
    </row>
    <row r="3968" spans="1:29" ht="14.4" hidden="1" x14ac:dyDescent="0.25">
      <c r="A3968" s="27"/>
      <c r="B3968" s="27"/>
      <c r="C3968" s="27" t="s">
        <v>42</v>
      </c>
      <c r="D3968" s="28" t="s">
        <v>43</v>
      </c>
      <c r="E3968" s="29">
        <f>[1]Source!BZ3760</f>
        <v>101</v>
      </c>
      <c r="F3968" s="30"/>
      <c r="G3968" s="31"/>
      <c r="H3968" s="29"/>
      <c r="I3968" s="30">
        <f>SUM(Q3962:Q3967)</f>
        <v>1557.77</v>
      </c>
      <c r="J3968" s="29">
        <f>[1]Source!AT3760</f>
        <v>101</v>
      </c>
      <c r="K3968" s="30">
        <f>SUM(R3962:R3967)</f>
        <v>87780.53</v>
      </c>
    </row>
    <row r="3969" spans="1:29" ht="14.4" hidden="1" x14ac:dyDescent="0.25">
      <c r="A3969" s="27"/>
      <c r="B3969" s="27"/>
      <c r="C3969" s="27" t="s">
        <v>44</v>
      </c>
      <c r="D3969" s="28" t="s">
        <v>43</v>
      </c>
      <c r="E3969" s="29">
        <f>[1]Source!CA3760</f>
        <v>55</v>
      </c>
      <c r="F3969" s="30"/>
      <c r="G3969" s="31"/>
      <c r="H3969" s="29"/>
      <c r="I3969" s="30">
        <f>SUM(S3962:S3968)</f>
        <v>848.29</v>
      </c>
      <c r="J3969" s="29">
        <f>[1]Source!AU3760</f>
        <v>55</v>
      </c>
      <c r="K3969" s="30">
        <f>SUM(T3962:T3968)</f>
        <v>47801.279999999999</v>
      </c>
    </row>
    <row r="3970" spans="1:29" ht="14.4" hidden="1" x14ac:dyDescent="0.25">
      <c r="A3970" s="34"/>
      <c r="B3970" s="34"/>
      <c r="C3970" s="34" t="s">
        <v>45</v>
      </c>
      <c r="D3970" s="35" t="s">
        <v>46</v>
      </c>
      <c r="E3970" s="36">
        <f>[1]Source!AQ3759</f>
        <v>23.33</v>
      </c>
      <c r="F3970" s="37"/>
      <c r="G3970" s="38" t="s">
        <v>37</v>
      </c>
      <c r="H3970" s="36">
        <f>[1]Source!AV3760</f>
        <v>1.0469999999999999</v>
      </c>
      <c r="I3970" s="37">
        <f>[1]Source!U3759</f>
        <v>110.56415486399997</v>
      </c>
      <c r="J3970" s="36"/>
      <c r="K3970" s="37"/>
    </row>
    <row r="3971" spans="1:29" ht="13.8" hidden="1" x14ac:dyDescent="0.25">
      <c r="C3971" s="39" t="s">
        <v>47</v>
      </c>
      <c r="H3971" s="40">
        <f>I3964+I3965+I3966+I3968+I3969+SUM(I3967:I3967)-SUMIF(AC3967:AC3967, 5, I3967:I3967)-SUMIF(AC3967:AC3967, 6, I3967:I3967)</f>
        <v>7165.7899999999991</v>
      </c>
      <c r="I3971" s="40"/>
      <c r="J3971" s="40">
        <f>K3964+K3965+K3966+K3968+K3969+SUM(K3967:K3967)-SUMIF(AC3967:AC3967, 5, K3967:K3967)-SUMIF(AC3967:AC3967, 6, K3967:K3967)</f>
        <v>257845.86999999997</v>
      </c>
      <c r="K3971" s="40"/>
    </row>
    <row r="3972" spans="1:29" ht="13.8" hidden="1" x14ac:dyDescent="0.25">
      <c r="C3972" s="39" t="s">
        <v>48</v>
      </c>
      <c r="H3972" s="41">
        <f>SUMIF(AC3967:AC3967, 5, I3967:I3967)+SUMIF(AC3967:AC3967, 6, I3967:I3967)</f>
        <v>0</v>
      </c>
      <c r="I3972" s="41"/>
      <c r="J3972" s="41">
        <f>SUMIF(AC3967:AC3967, 5, K3967:K3967)+SUMIF(AC3967:AC3967, 6, K3967:K3967)</f>
        <v>0</v>
      </c>
      <c r="K3972" s="41"/>
    </row>
    <row r="3973" spans="1:29" ht="13.8" hidden="1" x14ac:dyDescent="0.25">
      <c r="C3973" s="39" t="s">
        <v>49</v>
      </c>
      <c r="H3973" s="41">
        <f>I3964+I3965+I3966+I3968+I3969+SUM(I3967:I3967)</f>
        <v>7165.7899999999991</v>
      </c>
      <c r="I3973" s="41"/>
      <c r="J3973" s="41">
        <f>K3964+K3965+K3966+K3968+K3969+SUM(K3967:K3967)</f>
        <v>257845.86999999997</v>
      </c>
      <c r="K3973" s="41"/>
      <c r="O3973" s="42">
        <f>I3964+I3965+I3966+I3968+I3969+SUM(I3967:I3967)</f>
        <v>7165.7899999999991</v>
      </c>
      <c r="P3973" s="42">
        <f>K3964+K3965+K3966+K3968+K3969+SUM(K3967:K3967)</f>
        <v>257845.86999999997</v>
      </c>
    </row>
    <row r="3974" spans="1:29" hidden="1" x14ac:dyDescent="0.25"/>
    <row r="3975" spans="1:29" ht="57.6" hidden="1" x14ac:dyDescent="0.25">
      <c r="A3975" s="27">
        <v>390</v>
      </c>
      <c r="B3975" s="27" t="str">
        <f>[1]Source!F3763</f>
        <v>3.70-159-2</v>
      </c>
      <c r="C3975" s="27" t="s">
        <v>719</v>
      </c>
      <c r="D3975" s="28" t="str">
        <f>[1]Source!H3763</f>
        <v>100 м2 стяжки</v>
      </c>
      <c r="E3975" s="29">
        <f>[1]Source!I3763</f>
        <v>3.28</v>
      </c>
      <c r="F3975" s="30"/>
      <c r="G3975" s="31"/>
      <c r="H3975" s="29"/>
      <c r="I3975" s="30"/>
      <c r="J3975" s="29"/>
      <c r="K3975" s="30"/>
      <c r="Q3975">
        <f>[1]Source!X3763</f>
        <v>248.22</v>
      </c>
      <c r="R3975">
        <f>[1]Source!X3764</f>
        <v>13987.07</v>
      </c>
      <c r="S3975">
        <f>[1]Source!Y3763</f>
        <v>135.16999999999999</v>
      </c>
      <c r="T3975">
        <f>[1]Source!Y3764</f>
        <v>7616.72</v>
      </c>
      <c r="U3975">
        <f>ROUND((175/100)*ROUND([1]Source!R3763, 2), 2)</f>
        <v>0</v>
      </c>
      <c r="V3975">
        <f>ROUND((0/100)*ROUND([1]Source!R3764, 2), 2)</f>
        <v>0</v>
      </c>
      <c r="AC3975">
        <v>0</v>
      </c>
    </row>
    <row r="3976" spans="1:29" hidden="1" x14ac:dyDescent="0.25">
      <c r="C3976" s="32" t="str">
        <f>"Объем: "&amp;[1]Source!I3763&amp;"=(38+"&amp;"290)/"&amp;"100"</f>
        <v>Объем: 3,28=(38+290)/100</v>
      </c>
    </row>
    <row r="3977" spans="1:29" ht="14.4" hidden="1" x14ac:dyDescent="0.25">
      <c r="A3977" s="27"/>
      <c r="B3977" s="27"/>
      <c r="C3977" s="27" t="s">
        <v>36</v>
      </c>
      <c r="D3977" s="28"/>
      <c r="E3977" s="29"/>
      <c r="F3977" s="30">
        <f>[1]Source!AO3763</f>
        <v>6.03</v>
      </c>
      <c r="G3977" s="31" t="s">
        <v>777</v>
      </c>
      <c r="H3977" s="29">
        <f>[1]Source!AV3764</f>
        <v>1.0469999999999999</v>
      </c>
      <c r="I3977" s="30">
        <f>[1]Source!S3763</f>
        <v>245.76</v>
      </c>
      <c r="J3977" s="29">
        <f>IF([1]Source!BA3764&lt;&gt; 0, [1]Source!BA3764, 1)</f>
        <v>56.35</v>
      </c>
      <c r="K3977" s="30">
        <f>[1]Source!S3764</f>
        <v>13848.58</v>
      </c>
    </row>
    <row r="3978" spans="1:29" ht="14.4" hidden="1" x14ac:dyDescent="0.25">
      <c r="A3978" s="27"/>
      <c r="B3978" s="27"/>
      <c r="C3978" s="27" t="s">
        <v>38</v>
      </c>
      <c r="D3978" s="28"/>
      <c r="E3978" s="29"/>
      <c r="F3978" s="30">
        <f>[1]Source!AM3763</f>
        <v>0.46</v>
      </c>
      <c r="G3978" s="31" t="s">
        <v>778</v>
      </c>
      <c r="H3978" s="29">
        <f>[1]Source!AV3764</f>
        <v>1.0469999999999999</v>
      </c>
      <c r="I3978" s="30">
        <f>[1]Source!Q3763</f>
        <v>20.38</v>
      </c>
      <c r="J3978" s="29">
        <f>IF([1]Source!BB3764&lt;&gt; 0, [1]Source!BB3764, 1)</f>
        <v>11.7</v>
      </c>
      <c r="K3978" s="30">
        <f>[1]Source!Q3764</f>
        <v>238.45</v>
      </c>
    </row>
    <row r="3979" spans="1:29" ht="27.6" hidden="1" x14ac:dyDescent="0.25">
      <c r="A3979" s="27" t="s">
        <v>779</v>
      </c>
      <c r="B3979" s="27" t="str">
        <f>[1]Source!F3765</f>
        <v>1.3-2-6</v>
      </c>
      <c r="C3979" s="27" t="s">
        <v>149</v>
      </c>
      <c r="D3979" s="28" t="str">
        <f>[1]Source!H3765</f>
        <v>м3</v>
      </c>
      <c r="E3979" s="29">
        <f>[1]Source!I3765</f>
        <v>14.38608</v>
      </c>
      <c r="F3979" s="30">
        <f>[1]Source!AK3765</f>
        <v>467.32</v>
      </c>
      <c r="G3979" s="43" t="s">
        <v>54</v>
      </c>
      <c r="H3979" s="29">
        <f>[1]Source!AW3766</f>
        <v>1</v>
      </c>
      <c r="I3979" s="30">
        <f>[1]Source!O3765</f>
        <v>6722.9</v>
      </c>
      <c r="J3979" s="29">
        <f>IF([1]Source!BC3766&lt;&gt; 0, [1]Source!BC3766, 1)</f>
        <v>11.07</v>
      </c>
      <c r="K3979" s="30">
        <f>[1]Source!O3766</f>
        <v>74422.5</v>
      </c>
      <c r="Q3979">
        <f>[1]Source!X3765</f>
        <v>0</v>
      </c>
      <c r="R3979">
        <f>[1]Source!X3766</f>
        <v>0</v>
      </c>
      <c r="S3979">
        <f>[1]Source!Y3765</f>
        <v>0</v>
      </c>
      <c r="T3979">
        <f>[1]Source!Y3766</f>
        <v>0</v>
      </c>
      <c r="U3979">
        <f>ROUND((175/100)*ROUND([1]Source!R3765, 2), 2)</f>
        <v>0</v>
      </c>
      <c r="V3979">
        <f>ROUND((0/100)*ROUND([1]Source!R3766, 2), 2)</f>
        <v>0</v>
      </c>
      <c r="AC3979">
        <v>3</v>
      </c>
    </row>
    <row r="3980" spans="1:29" ht="14.4" hidden="1" x14ac:dyDescent="0.25">
      <c r="A3980" s="27"/>
      <c r="B3980" s="27"/>
      <c r="C3980" s="27" t="s">
        <v>42</v>
      </c>
      <c r="D3980" s="28" t="s">
        <v>43</v>
      </c>
      <c r="E3980" s="29">
        <f>[1]Source!BZ3764</f>
        <v>101</v>
      </c>
      <c r="F3980" s="30"/>
      <c r="G3980" s="31"/>
      <c r="H3980" s="29"/>
      <c r="I3980" s="30">
        <f>SUM(Q3975:Q3979)</f>
        <v>248.22</v>
      </c>
      <c r="J3980" s="29">
        <f>[1]Source!AT3764</f>
        <v>101</v>
      </c>
      <c r="K3980" s="30">
        <f>SUM(R3975:R3979)</f>
        <v>13987.07</v>
      </c>
    </row>
    <row r="3981" spans="1:29" ht="14.4" hidden="1" x14ac:dyDescent="0.25">
      <c r="A3981" s="27"/>
      <c r="B3981" s="27"/>
      <c r="C3981" s="27" t="s">
        <v>44</v>
      </c>
      <c r="D3981" s="28" t="s">
        <v>43</v>
      </c>
      <c r="E3981" s="29">
        <f>[1]Source!CA3764</f>
        <v>55</v>
      </c>
      <c r="F3981" s="30"/>
      <c r="G3981" s="31"/>
      <c r="H3981" s="29"/>
      <c r="I3981" s="30">
        <f>SUM(S3975:S3980)</f>
        <v>135.16999999999999</v>
      </c>
      <c r="J3981" s="29">
        <f>[1]Source!AU3764</f>
        <v>55</v>
      </c>
      <c r="K3981" s="30">
        <f>SUM(T3975:T3980)</f>
        <v>7616.72</v>
      </c>
    </row>
    <row r="3982" spans="1:29" ht="14.4" hidden="1" x14ac:dyDescent="0.25">
      <c r="A3982" s="34"/>
      <c r="B3982" s="34"/>
      <c r="C3982" s="34" t="s">
        <v>45</v>
      </c>
      <c r="D3982" s="35" t="s">
        <v>46</v>
      </c>
      <c r="E3982" s="36">
        <f>[1]Source!AQ3763</f>
        <v>0.44</v>
      </c>
      <c r="F3982" s="37"/>
      <c r="G3982" s="38" t="s">
        <v>777</v>
      </c>
      <c r="H3982" s="36">
        <f>[1]Source!AV3764</f>
        <v>1.0469999999999999</v>
      </c>
      <c r="I3982" s="37">
        <f>[1]Source!U3763</f>
        <v>17.932908787199995</v>
      </c>
      <c r="J3982" s="36"/>
      <c r="K3982" s="37"/>
    </row>
    <row r="3983" spans="1:29" ht="13.8" hidden="1" x14ac:dyDescent="0.25">
      <c r="C3983" s="39" t="s">
        <v>47</v>
      </c>
      <c r="H3983" s="40">
        <f>I3977+I3978+I3980+I3981+SUM(I3979:I3979)-SUMIF(AC3979:AC3979, 5, I3979:I3979)-SUMIF(AC3979:AC3979, 6, I3979:I3979)</f>
        <v>7372.4299999999994</v>
      </c>
      <c r="I3983" s="40"/>
      <c r="J3983" s="40">
        <f>K3977+K3978+K3980+K3981+SUM(K3979:K3979)-SUMIF(AC3979:AC3979, 5, K3979:K3979)-SUMIF(AC3979:AC3979, 6, K3979:K3979)</f>
        <v>110113.32</v>
      </c>
      <c r="K3983" s="40"/>
    </row>
    <row r="3984" spans="1:29" ht="13.8" hidden="1" x14ac:dyDescent="0.25">
      <c r="C3984" s="39" t="s">
        <v>48</v>
      </c>
      <c r="H3984" s="41">
        <f>SUMIF(AC3979:AC3979, 5, I3979:I3979)+SUMIF(AC3979:AC3979, 6, I3979:I3979)</f>
        <v>0</v>
      </c>
      <c r="I3984" s="41"/>
      <c r="J3984" s="41">
        <f>SUMIF(AC3979:AC3979, 5, K3979:K3979)+SUMIF(AC3979:AC3979, 6, K3979:K3979)</f>
        <v>0</v>
      </c>
      <c r="K3984" s="41"/>
    </row>
    <row r="3985" spans="1:29" ht="13.8" hidden="1" x14ac:dyDescent="0.25">
      <c r="C3985" s="39" t="s">
        <v>49</v>
      </c>
      <c r="H3985" s="41">
        <f>I3977+I3978+I3980+I3981+SUM(I3979:I3979)</f>
        <v>7372.4299999999994</v>
      </c>
      <c r="I3985" s="41"/>
      <c r="J3985" s="41">
        <f>K3977+K3978+K3980+K3981+SUM(K3979:K3979)</f>
        <v>110113.32</v>
      </c>
      <c r="K3985" s="41"/>
      <c r="O3985" s="42">
        <f>I3977+I3978+I3980+I3981+SUM(I3979:I3979)</f>
        <v>7372.4299999999994</v>
      </c>
      <c r="P3985" s="42">
        <f>K3977+K3978+K3980+K3981+SUM(K3979:K3979)</f>
        <v>110113.32</v>
      </c>
    </row>
    <row r="3986" spans="1:29" hidden="1" x14ac:dyDescent="0.25"/>
    <row r="3987" spans="1:29" ht="27.6" hidden="1" x14ac:dyDescent="0.25">
      <c r="A3987" s="27">
        <v>391</v>
      </c>
      <c r="B3987" s="27" t="str">
        <f>[1]Source!F3767</f>
        <v>3.70-43-6</v>
      </c>
      <c r="C3987" s="27" t="s">
        <v>723</v>
      </c>
      <c r="D3987" s="28" t="str">
        <f>[1]Source!H3767</f>
        <v>1 Т</v>
      </c>
      <c r="E3987" s="29">
        <f>[1]Source!I3767</f>
        <v>0.90200000000000002</v>
      </c>
      <c r="F3987" s="30"/>
      <c r="G3987" s="31"/>
      <c r="H3987" s="29"/>
      <c r="I3987" s="30"/>
      <c r="J3987" s="29"/>
      <c r="K3987" s="30"/>
      <c r="Q3987">
        <f>[1]Source!X3767</f>
        <v>222.98</v>
      </c>
      <c r="R3987">
        <f>[1]Source!X3768</f>
        <v>12564.95</v>
      </c>
      <c r="S3987">
        <f>[1]Source!Y3767</f>
        <v>118.76</v>
      </c>
      <c r="T3987">
        <f>[1]Source!Y3768</f>
        <v>6692.2</v>
      </c>
      <c r="U3987">
        <f>ROUND((175/100)*ROUND([1]Source!R3767, 2), 2)</f>
        <v>12.55</v>
      </c>
      <c r="V3987">
        <f>ROUND((0/100)*ROUND([1]Source!R3768, 2), 2)</f>
        <v>0</v>
      </c>
      <c r="AC3987">
        <v>0</v>
      </c>
    </row>
    <row r="3988" spans="1:29" hidden="1" x14ac:dyDescent="0.25">
      <c r="C3988" s="32" t="str">
        <f>"Объем: "&amp;[1]Source!I3767&amp;"=(2,75*"&amp;"(38+"&amp;"290))/"&amp;"1000"</f>
        <v>Объем: 0,902=(2,75*(38+290))/1000</v>
      </c>
    </row>
    <row r="3989" spans="1:29" ht="14.4" hidden="1" x14ac:dyDescent="0.25">
      <c r="A3989" s="27"/>
      <c r="B3989" s="27"/>
      <c r="C3989" s="27" t="s">
        <v>36</v>
      </c>
      <c r="D3989" s="28"/>
      <c r="E3989" s="29"/>
      <c r="F3989" s="30">
        <f>[1]Source!AO3767</f>
        <v>180.47</v>
      </c>
      <c r="G3989" s="31" t="s">
        <v>37</v>
      </c>
      <c r="H3989" s="29">
        <f>[1]Source!AV3768</f>
        <v>1.0469999999999999</v>
      </c>
      <c r="I3989" s="30">
        <f>[1]Source!S3767</f>
        <v>235.2</v>
      </c>
      <c r="J3989" s="29">
        <f>IF([1]Source!BA3768&lt;&gt; 0, [1]Source!BA3768, 1)</f>
        <v>56.35</v>
      </c>
      <c r="K3989" s="30">
        <f>[1]Source!S3768</f>
        <v>13253.52</v>
      </c>
    </row>
    <row r="3990" spans="1:29" ht="14.4" hidden="1" x14ac:dyDescent="0.25">
      <c r="A3990" s="27"/>
      <c r="B3990" s="27"/>
      <c r="C3990" s="27" t="s">
        <v>38</v>
      </c>
      <c r="D3990" s="28"/>
      <c r="E3990" s="29"/>
      <c r="F3990" s="30">
        <f>[1]Source!AM3767</f>
        <v>43.5</v>
      </c>
      <c r="G3990" s="31" t="s">
        <v>39</v>
      </c>
      <c r="H3990" s="29">
        <f>[1]Source!AV3768</f>
        <v>1.0469999999999999</v>
      </c>
      <c r="I3990" s="30">
        <f>[1]Source!Q3767</f>
        <v>61.62</v>
      </c>
      <c r="J3990" s="29">
        <f>IF([1]Source!BB3768&lt;&gt; 0, [1]Source!BB3768, 1)</f>
        <v>15.44</v>
      </c>
      <c r="K3990" s="30">
        <f>[1]Source!Q3768</f>
        <v>951.41</v>
      </c>
    </row>
    <row r="3991" spans="1:29" ht="14.4" hidden="1" x14ac:dyDescent="0.25">
      <c r="A3991" s="27"/>
      <c r="B3991" s="27"/>
      <c r="C3991" s="27" t="s">
        <v>40</v>
      </c>
      <c r="D3991" s="28"/>
      <c r="E3991" s="29"/>
      <c r="F3991" s="30">
        <f>[1]Source!AN3767</f>
        <v>5.0599999999999996</v>
      </c>
      <c r="G3991" s="31" t="s">
        <v>39</v>
      </c>
      <c r="H3991" s="29">
        <f>[1]Source!AV3768</f>
        <v>1.0469999999999999</v>
      </c>
      <c r="I3991" s="33">
        <f>[1]Source!R3767</f>
        <v>7.17</v>
      </c>
      <c r="J3991" s="29">
        <f>IF([1]Source!BS3768&lt;&gt; 0, [1]Source!BS3768, 1)</f>
        <v>56.35</v>
      </c>
      <c r="K3991" s="33">
        <f>[1]Source!R3768</f>
        <v>404.03</v>
      </c>
    </row>
    <row r="3992" spans="1:29" ht="14.4" hidden="1" x14ac:dyDescent="0.25">
      <c r="A3992" s="27"/>
      <c r="B3992" s="27"/>
      <c r="C3992" s="27" t="s">
        <v>41</v>
      </c>
      <c r="D3992" s="28"/>
      <c r="E3992" s="29"/>
      <c r="F3992" s="30">
        <f>[1]Source!AL3767</f>
        <v>258.67</v>
      </c>
      <c r="G3992" s="31"/>
      <c r="H3992" s="29">
        <f>[1]Source!AW3768</f>
        <v>1.022</v>
      </c>
      <c r="I3992" s="30">
        <f>[1]Source!P3767</f>
        <v>238.45</v>
      </c>
      <c r="J3992" s="29">
        <f>IF([1]Source!BC3768&lt;&gt; 0, [1]Source!BC3768, 1)</f>
        <v>7.5</v>
      </c>
      <c r="K3992" s="30">
        <f>[1]Source!P3768</f>
        <v>1788.38</v>
      </c>
    </row>
    <row r="3993" spans="1:29" ht="55.2" hidden="1" x14ac:dyDescent="0.25">
      <c r="A3993" s="27" t="s">
        <v>780</v>
      </c>
      <c r="B3993" s="27" t="str">
        <f>[1]Source!F3769</f>
        <v>1.3-4-75</v>
      </c>
      <c r="C3993" s="27" t="s">
        <v>725</v>
      </c>
      <c r="D3993" s="28" t="str">
        <f>[1]Source!H3769</f>
        <v>т</v>
      </c>
      <c r="E3993" s="29">
        <f>[1]Source!I3769</f>
        <v>0.90200000000000002</v>
      </c>
      <c r="F3993" s="30">
        <f>[1]Source!AK3769</f>
        <v>9724.69</v>
      </c>
      <c r="G3993" s="43" t="s">
        <v>54</v>
      </c>
      <c r="H3993" s="29">
        <f>[1]Source!AW3770</f>
        <v>1.022</v>
      </c>
      <c r="I3993" s="30">
        <f>[1]Source!O3769</f>
        <v>8964.65</v>
      </c>
      <c r="J3993" s="29">
        <f>IF([1]Source!BC3770&lt;&gt; 0, [1]Source!BC3770, 1)</f>
        <v>3.88</v>
      </c>
      <c r="K3993" s="30">
        <f>[1]Source!O3770</f>
        <v>34782.839999999997</v>
      </c>
      <c r="Q3993">
        <f>[1]Source!X3769</f>
        <v>0</v>
      </c>
      <c r="R3993">
        <f>[1]Source!X3770</f>
        <v>0</v>
      </c>
      <c r="S3993">
        <f>[1]Source!Y3769</f>
        <v>0</v>
      </c>
      <c r="T3993">
        <f>[1]Source!Y3770</f>
        <v>0</v>
      </c>
      <c r="U3993">
        <f>ROUND((175/100)*ROUND([1]Source!R3769, 2), 2)</f>
        <v>0</v>
      </c>
      <c r="V3993">
        <f>ROUND((0/100)*ROUND([1]Source!R3770, 2), 2)</f>
        <v>0</v>
      </c>
      <c r="AC3993">
        <v>3</v>
      </c>
    </row>
    <row r="3994" spans="1:29" ht="14.4" hidden="1" x14ac:dyDescent="0.25">
      <c r="A3994" s="27"/>
      <c r="B3994" s="27"/>
      <c r="C3994" s="27" t="s">
        <v>42</v>
      </c>
      <c r="D3994" s="28" t="s">
        <v>43</v>
      </c>
      <c r="E3994" s="29">
        <f>[1]Source!BZ3768</f>
        <v>92</v>
      </c>
      <c r="F3994" s="30"/>
      <c r="G3994" s="31"/>
      <c r="H3994" s="29"/>
      <c r="I3994" s="30">
        <f>SUM(Q3987:Q3993)</f>
        <v>222.98</v>
      </c>
      <c r="J3994" s="29">
        <f>[1]Source!AT3768</f>
        <v>92</v>
      </c>
      <c r="K3994" s="30">
        <f>SUM(R3987:R3993)</f>
        <v>12564.95</v>
      </c>
    </row>
    <row r="3995" spans="1:29" ht="14.4" hidden="1" x14ac:dyDescent="0.25">
      <c r="A3995" s="27"/>
      <c r="B3995" s="27"/>
      <c r="C3995" s="27" t="s">
        <v>44</v>
      </c>
      <c r="D3995" s="28" t="s">
        <v>43</v>
      </c>
      <c r="E3995" s="29">
        <f>[1]Source!CA3768</f>
        <v>49</v>
      </c>
      <c r="F3995" s="30"/>
      <c r="G3995" s="31"/>
      <c r="H3995" s="29"/>
      <c r="I3995" s="30">
        <f>SUM(S3987:S3994)</f>
        <v>118.76</v>
      </c>
      <c r="J3995" s="29">
        <f>[1]Source!AU3768</f>
        <v>49</v>
      </c>
      <c r="K3995" s="30">
        <f>SUM(T3987:T3994)</f>
        <v>6692.2</v>
      </c>
    </row>
    <row r="3996" spans="1:29" ht="14.4" hidden="1" x14ac:dyDescent="0.25">
      <c r="A3996" s="34"/>
      <c r="B3996" s="34"/>
      <c r="C3996" s="34" t="s">
        <v>45</v>
      </c>
      <c r="D3996" s="35" t="s">
        <v>46</v>
      </c>
      <c r="E3996" s="36">
        <f>[1]Source!AQ3767</f>
        <v>11.6</v>
      </c>
      <c r="F3996" s="37"/>
      <c r="G3996" s="38" t="s">
        <v>37</v>
      </c>
      <c r="H3996" s="36">
        <f>[1]Source!AV3768</f>
        <v>1.0469999999999999</v>
      </c>
      <c r="I3996" s="37">
        <f>[1]Source!U3767</f>
        <v>15.117859151999994</v>
      </c>
      <c r="J3996" s="36"/>
      <c r="K3996" s="37"/>
    </row>
    <row r="3997" spans="1:29" ht="13.8" hidden="1" x14ac:dyDescent="0.25">
      <c r="C3997" s="39" t="s">
        <v>47</v>
      </c>
      <c r="H3997" s="40">
        <f>I3989+I3990+I3992+I3994+I3995+SUM(I3993:I3993)-SUMIF(AC3993:AC3993, 5, I3993:I3993)-SUMIF(AC3993:AC3993, 6, I3993:I3993)</f>
        <v>9841.66</v>
      </c>
      <c r="I3997" s="40"/>
      <c r="J3997" s="40">
        <f>K3989+K3990+K3992+K3994+K3995+SUM(K3993:K3993)-SUMIF(AC3993:AC3993, 5, K3993:K3993)-SUMIF(AC3993:AC3993, 6, K3993:K3993)</f>
        <v>70033.299999999988</v>
      </c>
      <c r="K3997" s="40"/>
    </row>
    <row r="3998" spans="1:29" ht="13.8" hidden="1" x14ac:dyDescent="0.25">
      <c r="C3998" s="39" t="s">
        <v>48</v>
      </c>
      <c r="H3998" s="41">
        <f>SUMIF(AC3993:AC3993, 5, I3993:I3993)+SUMIF(AC3993:AC3993, 6, I3993:I3993)</f>
        <v>0</v>
      </c>
      <c r="I3998" s="41"/>
      <c r="J3998" s="41">
        <f>SUMIF(AC3993:AC3993, 5, K3993:K3993)+SUMIF(AC3993:AC3993, 6, K3993:K3993)</f>
        <v>0</v>
      </c>
      <c r="K3998" s="41"/>
    </row>
    <row r="3999" spans="1:29" ht="13.8" hidden="1" x14ac:dyDescent="0.25">
      <c r="C3999" s="39" t="s">
        <v>49</v>
      </c>
      <c r="H3999" s="41">
        <f>I3989+I3990+I3992+I3994+I3995+SUM(I3993:I3993)</f>
        <v>9841.66</v>
      </c>
      <c r="I3999" s="41"/>
      <c r="J3999" s="41">
        <f>K3989+K3990+K3992+K3994+K3995+SUM(K3993:K3993)</f>
        <v>70033.299999999988</v>
      </c>
      <c r="K3999" s="41"/>
      <c r="O3999" s="42">
        <f>I3989+I3990+I3992+I3994+I3995+SUM(I3993:I3993)</f>
        <v>9841.66</v>
      </c>
      <c r="P3999" s="42">
        <f>K3989+K3990+K3992+K3994+K3995+SUM(K3993:K3993)</f>
        <v>70033.299999999988</v>
      </c>
    </row>
    <row r="4000" spans="1:29" hidden="1" x14ac:dyDescent="0.25"/>
    <row r="4001" spans="1:29" ht="55.2" hidden="1" x14ac:dyDescent="0.25">
      <c r="A4001" s="27">
        <v>392</v>
      </c>
      <c r="B4001" s="27" t="str">
        <f>[1]Source!F3771</f>
        <v>3.70-2-1</v>
      </c>
      <c r="C4001" s="27" t="s">
        <v>726</v>
      </c>
      <c r="D4001" s="28" t="str">
        <f>[1]Source!H3771</f>
        <v>100 м2</v>
      </c>
      <c r="E4001" s="29">
        <f>[1]Source!I3771</f>
        <v>3.28</v>
      </c>
      <c r="F4001" s="30"/>
      <c r="G4001" s="31"/>
      <c r="H4001" s="29"/>
      <c r="I4001" s="30"/>
      <c r="J4001" s="29"/>
      <c r="K4001" s="30"/>
      <c r="Q4001">
        <f>[1]Source!X3771</f>
        <v>6730.41</v>
      </c>
      <c r="R4001">
        <f>[1]Source!X3772</f>
        <v>379258.38</v>
      </c>
      <c r="S4001">
        <f>[1]Source!Y3771</f>
        <v>4011.05</v>
      </c>
      <c r="T4001">
        <f>[1]Source!Y3772</f>
        <v>226022.67</v>
      </c>
      <c r="U4001">
        <f>ROUND((175/100)*ROUND([1]Source!R3771, 2), 2)</f>
        <v>72.569999999999993</v>
      </c>
      <c r="V4001">
        <f>ROUND((0/100)*ROUND([1]Source!R3772, 2), 2)</f>
        <v>0</v>
      </c>
      <c r="AC4001">
        <v>0</v>
      </c>
    </row>
    <row r="4002" spans="1:29" hidden="1" x14ac:dyDescent="0.25">
      <c r="C4002" s="32" t="str">
        <f>"Объем: "&amp;[1]Source!I3771&amp;"=(38+"&amp;"290)/"&amp;"100"</f>
        <v>Объем: 3,28=(38+290)/100</v>
      </c>
    </row>
    <row r="4003" spans="1:29" ht="14.4" hidden="1" x14ac:dyDescent="0.25">
      <c r="A4003" s="27"/>
      <c r="B4003" s="27"/>
      <c r="C4003" s="27" t="s">
        <v>36</v>
      </c>
      <c r="D4003" s="28"/>
      <c r="E4003" s="29"/>
      <c r="F4003" s="30">
        <f>[1]Source!AO3771</f>
        <v>1425.77</v>
      </c>
      <c r="G4003" s="31" t="s">
        <v>37</v>
      </c>
      <c r="H4003" s="29">
        <f>[1]Source!AV3772</f>
        <v>1.0469999999999999</v>
      </c>
      <c r="I4003" s="30">
        <f>[1]Source!S3771</f>
        <v>6756.92</v>
      </c>
      <c r="J4003" s="29">
        <f>IF([1]Source!BA3772&lt;&gt; 0, [1]Source!BA3772, 1)</f>
        <v>56.35</v>
      </c>
      <c r="K4003" s="30">
        <f>[1]Source!S3772</f>
        <v>380752.44</v>
      </c>
    </row>
    <row r="4004" spans="1:29" ht="14.4" hidden="1" x14ac:dyDescent="0.25">
      <c r="A4004" s="27"/>
      <c r="B4004" s="27"/>
      <c r="C4004" s="27" t="s">
        <v>38</v>
      </c>
      <c r="D4004" s="28"/>
      <c r="E4004" s="29"/>
      <c r="F4004" s="30">
        <f>[1]Source!AM3771</f>
        <v>9.41</v>
      </c>
      <c r="G4004" s="31" t="s">
        <v>39</v>
      </c>
      <c r="H4004" s="29">
        <f>[1]Source!AV3772</f>
        <v>1.0469999999999999</v>
      </c>
      <c r="I4004" s="30">
        <f>[1]Source!Q3771</f>
        <v>48.47</v>
      </c>
      <c r="J4004" s="29">
        <f>IF([1]Source!BB3772&lt;&gt; 0, [1]Source!BB3772, 1)</f>
        <v>54.4</v>
      </c>
      <c r="K4004" s="30">
        <f>[1]Source!Q3772</f>
        <v>2636.77</v>
      </c>
    </row>
    <row r="4005" spans="1:29" ht="14.4" hidden="1" x14ac:dyDescent="0.25">
      <c r="A4005" s="27"/>
      <c r="B4005" s="27"/>
      <c r="C4005" s="27" t="s">
        <v>40</v>
      </c>
      <c r="D4005" s="28"/>
      <c r="E4005" s="29"/>
      <c r="F4005" s="30">
        <f>[1]Source!AN3771</f>
        <v>8.0500000000000007</v>
      </c>
      <c r="G4005" s="31" t="s">
        <v>39</v>
      </c>
      <c r="H4005" s="29">
        <f>[1]Source!AV3772</f>
        <v>1.0469999999999999</v>
      </c>
      <c r="I4005" s="33">
        <f>[1]Source!R3771</f>
        <v>41.47</v>
      </c>
      <c r="J4005" s="29">
        <f>IF([1]Source!BS3772&lt;&gt; 0, [1]Source!BS3772, 1)</f>
        <v>56.35</v>
      </c>
      <c r="K4005" s="33">
        <f>[1]Source!R3772</f>
        <v>2336.83</v>
      </c>
    </row>
    <row r="4006" spans="1:29" ht="14.4" hidden="1" x14ac:dyDescent="0.25">
      <c r="A4006" s="27"/>
      <c r="B4006" s="27"/>
      <c r="C4006" s="27" t="s">
        <v>41</v>
      </c>
      <c r="D4006" s="28"/>
      <c r="E4006" s="29"/>
      <c r="F4006" s="30">
        <f>[1]Source!AL3771</f>
        <v>0.78</v>
      </c>
      <c r="G4006" s="31"/>
      <c r="H4006" s="29">
        <f>[1]Source!AW3772</f>
        <v>1</v>
      </c>
      <c r="I4006" s="30">
        <f>[1]Source!P3771</f>
        <v>2.56</v>
      </c>
      <c r="J4006" s="29">
        <f>IF([1]Source!BC3772&lt;&gt; 0, [1]Source!BC3772, 1)</f>
        <v>7.73</v>
      </c>
      <c r="K4006" s="30">
        <f>[1]Source!P3772</f>
        <v>19.79</v>
      </c>
    </row>
    <row r="4007" spans="1:29" ht="276" hidden="1" x14ac:dyDescent="0.25">
      <c r="A4007" s="27" t="s">
        <v>781</v>
      </c>
      <c r="B4007" s="27" t="str">
        <f>[1]Source!F3773</f>
        <v>1.3-2-97</v>
      </c>
      <c r="C4007" s="27" t="s">
        <v>728</v>
      </c>
      <c r="D4007" s="28" t="str">
        <f>[1]Source!H3773</f>
        <v>кг</v>
      </c>
      <c r="E4007" s="29">
        <f>[1]Source!I3773</f>
        <v>1023.3599999999999</v>
      </c>
      <c r="F4007" s="30">
        <f>[1]Source!AK3773</f>
        <v>12.4</v>
      </c>
      <c r="G4007" s="43" t="s">
        <v>54</v>
      </c>
      <c r="H4007" s="29">
        <f>[1]Source!AW3774</f>
        <v>1</v>
      </c>
      <c r="I4007" s="30">
        <f>[1]Source!O3773</f>
        <v>12689.66</v>
      </c>
      <c r="J4007" s="29">
        <f>IF([1]Source!BC3774&lt;&gt; 0, [1]Source!BC3774, 1)</f>
        <v>4.7300000000000004</v>
      </c>
      <c r="K4007" s="30">
        <f>[1]Source!O3774</f>
        <v>60022.09</v>
      </c>
      <c r="Q4007">
        <f>[1]Source!X3773</f>
        <v>0</v>
      </c>
      <c r="R4007">
        <f>[1]Source!X3774</f>
        <v>0</v>
      </c>
      <c r="S4007">
        <f>[1]Source!Y3773</f>
        <v>0</v>
      </c>
      <c r="T4007">
        <f>[1]Source!Y3774</f>
        <v>0</v>
      </c>
      <c r="U4007">
        <f>ROUND((175/100)*ROUND([1]Source!R3773, 2), 2)</f>
        <v>0</v>
      </c>
      <c r="V4007">
        <f>ROUND((0/100)*ROUND([1]Source!R3774, 2), 2)</f>
        <v>0</v>
      </c>
      <c r="AC4007">
        <v>3</v>
      </c>
    </row>
    <row r="4008" spans="1:29" ht="14.4" hidden="1" x14ac:dyDescent="0.25">
      <c r="A4008" s="27"/>
      <c r="B4008" s="27"/>
      <c r="C4008" s="27" t="s">
        <v>42</v>
      </c>
      <c r="D4008" s="28" t="s">
        <v>43</v>
      </c>
      <c r="E4008" s="29">
        <f>[1]Source!BZ3772</f>
        <v>99</v>
      </c>
      <c r="F4008" s="30"/>
      <c r="G4008" s="31"/>
      <c r="H4008" s="29"/>
      <c r="I4008" s="30">
        <f>SUM(Q4001:Q4007)</f>
        <v>6730.41</v>
      </c>
      <c r="J4008" s="29">
        <f>[1]Source!AT3772</f>
        <v>99</v>
      </c>
      <c r="K4008" s="30">
        <f>SUM(R4001:R4007)</f>
        <v>379258.38</v>
      </c>
    </row>
    <row r="4009" spans="1:29" ht="14.4" hidden="1" x14ac:dyDescent="0.25">
      <c r="A4009" s="27"/>
      <c r="B4009" s="27"/>
      <c r="C4009" s="27" t="s">
        <v>44</v>
      </c>
      <c r="D4009" s="28" t="s">
        <v>43</v>
      </c>
      <c r="E4009" s="29">
        <f>[1]Source!CA3772</f>
        <v>59</v>
      </c>
      <c r="F4009" s="30"/>
      <c r="G4009" s="31"/>
      <c r="H4009" s="29"/>
      <c r="I4009" s="30">
        <f>SUM(S4001:S4008)</f>
        <v>4011.05</v>
      </c>
      <c r="J4009" s="29">
        <f>[1]Source!AU3772</f>
        <v>59</v>
      </c>
      <c r="K4009" s="30">
        <f>SUM(T4001:T4008)</f>
        <v>226022.67</v>
      </c>
    </row>
    <row r="4010" spans="1:29" ht="14.4" hidden="1" x14ac:dyDescent="0.25">
      <c r="A4010" s="34"/>
      <c r="B4010" s="34"/>
      <c r="C4010" s="34" t="s">
        <v>45</v>
      </c>
      <c r="D4010" s="35" t="s">
        <v>46</v>
      </c>
      <c r="E4010" s="36">
        <f>[1]Source!AQ3771</f>
        <v>85.24</v>
      </c>
      <c r="F4010" s="37"/>
      <c r="G4010" s="38" t="s">
        <v>37</v>
      </c>
      <c r="H4010" s="36">
        <f>[1]Source!AV3772</f>
        <v>1.0469999999999999</v>
      </c>
      <c r="I4010" s="37">
        <f>[1]Source!U3771</f>
        <v>403.96436179199986</v>
      </c>
      <c r="J4010" s="36"/>
      <c r="K4010" s="37"/>
    </row>
    <row r="4011" spans="1:29" ht="13.8" hidden="1" x14ac:dyDescent="0.25">
      <c r="C4011" s="39" t="s">
        <v>47</v>
      </c>
      <c r="H4011" s="40">
        <f>I4003+I4004+I4006+I4008+I4009+SUM(I4007:I4007)-SUMIF(AC4007:AC4007, 5, I4007:I4007)-SUMIF(AC4007:AC4007, 6, I4007:I4007)</f>
        <v>30239.07</v>
      </c>
      <c r="I4011" s="40"/>
      <c r="J4011" s="40">
        <f>K4003+K4004+K4006+K4008+K4009+SUM(K4007:K4007)-SUMIF(AC4007:AC4007, 5, K4007:K4007)-SUMIF(AC4007:AC4007, 6, K4007:K4007)</f>
        <v>1048712.1400000001</v>
      </c>
      <c r="K4011" s="40"/>
    </row>
    <row r="4012" spans="1:29" ht="13.8" hidden="1" x14ac:dyDescent="0.25">
      <c r="C4012" s="39" t="s">
        <v>48</v>
      </c>
      <c r="H4012" s="41">
        <f>SUMIF(AC4007:AC4007, 5, I4007:I4007)+SUMIF(AC4007:AC4007, 6, I4007:I4007)</f>
        <v>0</v>
      </c>
      <c r="I4012" s="41"/>
      <c r="J4012" s="41">
        <f>SUMIF(AC4007:AC4007, 5, K4007:K4007)+SUMIF(AC4007:AC4007, 6, K4007:K4007)</f>
        <v>0</v>
      </c>
      <c r="K4012" s="41"/>
    </row>
    <row r="4013" spans="1:29" ht="13.8" hidden="1" x14ac:dyDescent="0.25">
      <c r="C4013" s="39" t="s">
        <v>49</v>
      </c>
      <c r="H4013" s="41">
        <f>I4003+I4004+I4006+I4008+I4009+SUM(I4007:I4007)</f>
        <v>30239.07</v>
      </c>
      <c r="I4013" s="41"/>
      <c r="J4013" s="41">
        <f>K4003+K4004+K4006+K4008+K4009+SUM(K4007:K4007)</f>
        <v>1048712.1400000001</v>
      </c>
      <c r="K4013" s="41"/>
      <c r="O4013" s="42">
        <f>I4003+I4004+I4006+I4008+I4009+SUM(I4007:I4007)</f>
        <v>30239.07</v>
      </c>
      <c r="P4013" s="42">
        <f>K4003+K4004+K4006+K4008+K4009+SUM(K4007:K4007)</f>
        <v>1048712.1400000001</v>
      </c>
    </row>
    <row r="4014" spans="1:29" hidden="1" x14ac:dyDescent="0.25"/>
    <row r="4015" spans="1:29" ht="57.6" hidden="1" x14ac:dyDescent="0.25">
      <c r="A4015" s="27">
        <v>393</v>
      </c>
      <c r="B4015" s="27" t="str">
        <f>[1]Source!F3775</f>
        <v>3.70-202-1</v>
      </c>
      <c r="C4015" s="27" t="s">
        <v>782</v>
      </c>
      <c r="D4015" s="28" t="str">
        <f>[1]Source!H3775</f>
        <v>100 м2 покрытия</v>
      </c>
      <c r="E4015" s="29">
        <f>[1]Source!I3775</f>
        <v>3.28</v>
      </c>
      <c r="F4015" s="30"/>
      <c r="G4015" s="31"/>
      <c r="H4015" s="29"/>
      <c r="I4015" s="30"/>
      <c r="J4015" s="29"/>
      <c r="K4015" s="30"/>
      <c r="Q4015">
        <f>[1]Source!X3775</f>
        <v>2959.68</v>
      </c>
      <c r="R4015">
        <f>[1]Source!X3776</f>
        <v>166778.18</v>
      </c>
      <c r="S4015">
        <f>[1]Source!Y3775</f>
        <v>1611.71</v>
      </c>
      <c r="T4015">
        <f>[1]Source!Y3776</f>
        <v>90819.8</v>
      </c>
      <c r="U4015">
        <f>ROUND((175/100)*ROUND([1]Source!R3775, 2), 2)</f>
        <v>76.27</v>
      </c>
      <c r="V4015">
        <f>ROUND((0/100)*ROUND([1]Source!R3776, 2), 2)</f>
        <v>0</v>
      </c>
      <c r="AC4015">
        <v>0</v>
      </c>
    </row>
    <row r="4016" spans="1:29" hidden="1" x14ac:dyDescent="0.25">
      <c r="C4016" s="32" t="str">
        <f>"Объем: "&amp;[1]Source!I3775&amp;"=(38+"&amp;"290)/"&amp;"100"</f>
        <v>Объем: 3,28=(38+290)/100</v>
      </c>
    </row>
    <row r="4017" spans="1:29" ht="14.4" hidden="1" x14ac:dyDescent="0.25">
      <c r="A4017" s="27"/>
      <c r="B4017" s="27"/>
      <c r="C4017" s="27" t="s">
        <v>36</v>
      </c>
      <c r="D4017" s="28"/>
      <c r="E4017" s="29"/>
      <c r="F4017" s="30">
        <f>[1]Source!AO3775</f>
        <v>609.14</v>
      </c>
      <c r="G4017" s="31" t="s">
        <v>37</v>
      </c>
      <c r="H4017" s="29">
        <f>[1]Source!AV3776</f>
        <v>1.0469999999999999</v>
      </c>
      <c r="I4017" s="30">
        <f>[1]Source!S3775</f>
        <v>2886.8</v>
      </c>
      <c r="J4017" s="29">
        <f>IF([1]Source!BA3776&lt;&gt; 0, [1]Source!BA3776, 1)</f>
        <v>56.35</v>
      </c>
      <c r="K4017" s="30">
        <f>[1]Source!S3776</f>
        <v>162671.18</v>
      </c>
    </row>
    <row r="4018" spans="1:29" ht="14.4" hidden="1" x14ac:dyDescent="0.25">
      <c r="A4018" s="27"/>
      <c r="B4018" s="27"/>
      <c r="C4018" s="27" t="s">
        <v>38</v>
      </c>
      <c r="D4018" s="28"/>
      <c r="E4018" s="29"/>
      <c r="F4018" s="30">
        <f>[1]Source!AM3775</f>
        <v>55.68</v>
      </c>
      <c r="G4018" s="31" t="s">
        <v>39</v>
      </c>
      <c r="H4018" s="29">
        <f>[1]Source!AV3776</f>
        <v>1.0469999999999999</v>
      </c>
      <c r="I4018" s="30">
        <f>[1]Source!Q3775</f>
        <v>286.82</v>
      </c>
      <c r="J4018" s="29">
        <f>IF([1]Source!BB3776&lt;&gt; 0, [1]Source!BB3776, 1)</f>
        <v>17.07</v>
      </c>
      <c r="K4018" s="30">
        <f>[1]Source!Q3776</f>
        <v>4896.0200000000004</v>
      </c>
    </row>
    <row r="4019" spans="1:29" ht="14.4" hidden="1" x14ac:dyDescent="0.25">
      <c r="A4019" s="27"/>
      <c r="B4019" s="27"/>
      <c r="C4019" s="27" t="s">
        <v>40</v>
      </c>
      <c r="D4019" s="28"/>
      <c r="E4019" s="29"/>
      <c r="F4019" s="30">
        <f>[1]Source!AN3775</f>
        <v>8.4600000000000009</v>
      </c>
      <c r="G4019" s="31" t="s">
        <v>39</v>
      </c>
      <c r="H4019" s="29">
        <f>[1]Source!AV3776</f>
        <v>1.0469999999999999</v>
      </c>
      <c r="I4019" s="33">
        <f>[1]Source!R3775</f>
        <v>43.58</v>
      </c>
      <c r="J4019" s="29">
        <f>IF([1]Source!BS3776&lt;&gt; 0, [1]Source!BS3776, 1)</f>
        <v>56.35</v>
      </c>
      <c r="K4019" s="33">
        <f>[1]Source!R3776</f>
        <v>2455.73</v>
      </c>
    </row>
    <row r="4020" spans="1:29" ht="14.4" hidden="1" x14ac:dyDescent="0.25">
      <c r="A4020" s="27"/>
      <c r="B4020" s="27"/>
      <c r="C4020" s="27" t="s">
        <v>41</v>
      </c>
      <c r="D4020" s="28"/>
      <c r="E4020" s="29"/>
      <c r="F4020" s="30">
        <f>[1]Source!AL3775</f>
        <v>0.81</v>
      </c>
      <c r="G4020" s="31"/>
      <c r="H4020" s="29">
        <f>[1]Source!AW3776</f>
        <v>1</v>
      </c>
      <c r="I4020" s="30">
        <f>[1]Source!P3775</f>
        <v>2.66</v>
      </c>
      <c r="J4020" s="29">
        <f>IF([1]Source!BC3776&lt;&gt; 0, [1]Source!BC3776, 1)</f>
        <v>14.57</v>
      </c>
      <c r="K4020" s="30">
        <f>[1]Source!P3776</f>
        <v>38.76</v>
      </c>
    </row>
    <row r="4021" spans="1:29" ht="27.6" hidden="1" x14ac:dyDescent="0.25">
      <c r="A4021" s="27" t="s">
        <v>783</v>
      </c>
      <c r="B4021" s="27" t="str">
        <f>[1]Source!F3777</f>
        <v>1.1-1-389</v>
      </c>
      <c r="C4021" s="27" t="s">
        <v>784</v>
      </c>
      <c r="D4021" s="28" t="str">
        <f>[1]Source!H3777</f>
        <v>т</v>
      </c>
      <c r="E4021" s="29">
        <f>[1]Source!I3777</f>
        <v>0.16400000000000001</v>
      </c>
      <c r="F4021" s="30">
        <f>[1]Source!AK3777</f>
        <v>43314.81</v>
      </c>
      <c r="G4021" s="43" t="s">
        <v>54</v>
      </c>
      <c r="H4021" s="29">
        <f>[1]Source!AW3778</f>
        <v>1</v>
      </c>
      <c r="I4021" s="30">
        <f>[1]Source!O3777</f>
        <v>7103.63</v>
      </c>
      <c r="J4021" s="29">
        <f>IF([1]Source!BC3778&lt;&gt; 0, [1]Source!BC3778, 1)</f>
        <v>2.11</v>
      </c>
      <c r="K4021" s="30">
        <f>[1]Source!O3778</f>
        <v>14988.66</v>
      </c>
      <c r="Q4021">
        <f>[1]Source!X3777</f>
        <v>0</v>
      </c>
      <c r="R4021">
        <f>[1]Source!X3778</f>
        <v>0</v>
      </c>
      <c r="S4021">
        <f>[1]Source!Y3777</f>
        <v>0</v>
      </c>
      <c r="T4021">
        <f>[1]Source!Y3778</f>
        <v>0</v>
      </c>
      <c r="U4021">
        <f>ROUND((175/100)*ROUND([1]Source!R3777, 2), 2)</f>
        <v>0</v>
      </c>
      <c r="V4021">
        <f>ROUND((0/100)*ROUND([1]Source!R3778, 2), 2)</f>
        <v>0</v>
      </c>
      <c r="AC4021">
        <v>3</v>
      </c>
    </row>
    <row r="4022" spans="1:29" ht="40.799999999999997" x14ac:dyDescent="0.25">
      <c r="A4022" s="53" t="s">
        <v>785</v>
      </c>
      <c r="B4022" s="53" t="str">
        <f>[1]Source!F3779</f>
        <v>КА-188</v>
      </c>
      <c r="C4022" s="53" t="s">
        <v>786</v>
      </c>
      <c r="D4022" s="54" t="str">
        <f>[1]Source!H3779</f>
        <v>м2</v>
      </c>
      <c r="E4022" s="55">
        <f>[1]Source!I3779</f>
        <v>350.96</v>
      </c>
      <c r="F4022" s="30">
        <f>[1]Source!AK3779</f>
        <v>200.78</v>
      </c>
      <c r="G4022" s="43" t="s">
        <v>54</v>
      </c>
      <c r="H4022" s="29">
        <f>[1]Source!AW3780</f>
        <v>1</v>
      </c>
      <c r="I4022" s="30">
        <f>[1]Source!O3779</f>
        <v>70465.75</v>
      </c>
      <c r="J4022" s="29">
        <f>IF([1]Source!BC3780&lt;&gt; 0, [1]Source!BC3780, 1)</f>
        <v>9.84</v>
      </c>
      <c r="K4022" s="56">
        <f>[1]Source!O3780</f>
        <v>693382.98</v>
      </c>
      <c r="L4022">
        <v>2363</v>
      </c>
      <c r="M4022" s="50">
        <f>L4022*E4022</f>
        <v>829318.48</v>
      </c>
      <c r="N4022" s="59" t="s">
        <v>180</v>
      </c>
      <c r="Q4022">
        <f>[1]Source!X3779</f>
        <v>0</v>
      </c>
      <c r="R4022">
        <f>[1]Source!X3780</f>
        <v>0</v>
      </c>
      <c r="S4022">
        <f>[1]Source!Y3779</f>
        <v>0</v>
      </c>
      <c r="T4022">
        <f>[1]Source!Y3780</f>
        <v>0</v>
      </c>
      <c r="U4022">
        <f>ROUND((175/100)*ROUND([1]Source!R3779, 2), 2)</f>
        <v>0</v>
      </c>
      <c r="V4022">
        <f>ROUND((0/100)*ROUND([1]Source!R3780, 2), 2)</f>
        <v>0</v>
      </c>
      <c r="AC4022">
        <v>3</v>
      </c>
    </row>
    <row r="4023" spans="1:29" ht="14.4" hidden="1" x14ac:dyDescent="0.25">
      <c r="A4023" s="27"/>
      <c r="B4023" s="27"/>
      <c r="C4023" s="27" t="s">
        <v>42</v>
      </c>
      <c r="D4023" s="28" t="s">
        <v>43</v>
      </c>
      <c r="E4023" s="29">
        <f>[1]Source!BZ3776</f>
        <v>101</v>
      </c>
      <c r="F4023" s="30"/>
      <c r="G4023" s="31"/>
      <c r="H4023" s="29"/>
      <c r="I4023" s="30">
        <f>SUM(Q4015:Q4022)</f>
        <v>2959.68</v>
      </c>
      <c r="J4023" s="29">
        <f>[1]Source!AT3776</f>
        <v>101</v>
      </c>
      <c r="K4023" s="30">
        <f>SUM(R4015:R4022)</f>
        <v>166778.18</v>
      </c>
    </row>
    <row r="4024" spans="1:29" ht="14.4" hidden="1" x14ac:dyDescent="0.25">
      <c r="A4024" s="27"/>
      <c r="B4024" s="27"/>
      <c r="C4024" s="27" t="s">
        <v>44</v>
      </c>
      <c r="D4024" s="28" t="s">
        <v>43</v>
      </c>
      <c r="E4024" s="29">
        <f>[1]Source!CA3776</f>
        <v>55</v>
      </c>
      <c r="F4024" s="30"/>
      <c r="G4024" s="31"/>
      <c r="H4024" s="29"/>
      <c r="I4024" s="30">
        <f>SUM(S4015:S4023)</f>
        <v>1611.71</v>
      </c>
      <c r="J4024" s="29">
        <f>[1]Source!AU3776</f>
        <v>55</v>
      </c>
      <c r="K4024" s="30">
        <f>SUM(T4015:T4023)</f>
        <v>90819.8</v>
      </c>
    </row>
    <row r="4025" spans="1:29" ht="14.4" hidden="1" x14ac:dyDescent="0.25">
      <c r="A4025" s="34"/>
      <c r="B4025" s="34"/>
      <c r="C4025" s="34" t="s">
        <v>45</v>
      </c>
      <c r="D4025" s="35" t="s">
        <v>46</v>
      </c>
      <c r="E4025" s="36">
        <f>[1]Source!AQ3775</f>
        <v>38.200000000000003</v>
      </c>
      <c r="F4025" s="37"/>
      <c r="G4025" s="38" t="s">
        <v>37</v>
      </c>
      <c r="H4025" s="36">
        <f>[1]Source!AV3776</f>
        <v>1.0469999999999999</v>
      </c>
      <c r="I4025" s="37">
        <f>[1]Source!U3775</f>
        <v>181.03517855999999</v>
      </c>
      <c r="J4025" s="36"/>
      <c r="K4025" s="37"/>
    </row>
    <row r="4026" spans="1:29" ht="13.8" hidden="1" x14ac:dyDescent="0.25">
      <c r="C4026" s="39" t="s">
        <v>47</v>
      </c>
      <c r="H4026" s="40">
        <f>I4017+I4018+I4020+I4023+I4024+SUM(I4021:I4022)-SUMIF(AC4021:AC4022, 5, I4021:I4022)-SUMIF(AC4021:AC4022, 6, I4021:I4022)</f>
        <v>85317.05</v>
      </c>
      <c r="I4026" s="40"/>
      <c r="J4026" s="40">
        <f>K4017+K4018+K4020+K4023+K4024+SUM(K4021:K4022)-SUMIF(AC4021:AC4022, 5, K4021:K4022)-SUMIF(AC4021:AC4022, 6, K4021:K4022)</f>
        <v>1133575.58</v>
      </c>
      <c r="K4026" s="40"/>
    </row>
    <row r="4027" spans="1:29" ht="13.8" hidden="1" x14ac:dyDescent="0.25">
      <c r="C4027" s="39" t="s">
        <v>48</v>
      </c>
      <c r="H4027" s="41">
        <f>SUMIF(AC4021:AC4022, 5, I4021:I4022)+SUMIF(AC4021:AC4022, 6, I4021:I4022)</f>
        <v>0</v>
      </c>
      <c r="I4027" s="41"/>
      <c r="J4027" s="41">
        <f>SUMIF(AC4021:AC4022, 5, K4021:K4022)+SUMIF(AC4021:AC4022, 6, K4021:K4022)</f>
        <v>0</v>
      </c>
      <c r="K4027" s="41"/>
    </row>
    <row r="4028" spans="1:29" ht="13.8" hidden="1" x14ac:dyDescent="0.25">
      <c r="C4028" s="39" t="s">
        <v>49</v>
      </c>
      <c r="H4028" s="41">
        <f>I4017+I4018+I4020+I4023+I4024+SUM(I4021:I4022)</f>
        <v>85317.05</v>
      </c>
      <c r="I4028" s="41"/>
      <c r="J4028" s="41">
        <f>K4017+K4018+K4020+K4023+K4024+SUM(K4021:K4022)</f>
        <v>1133575.58</v>
      </c>
      <c r="K4028" s="41"/>
      <c r="O4028" s="42">
        <f>I4017+I4018+I4020+I4023+I4024+SUM(I4021:I4022)</f>
        <v>85317.05</v>
      </c>
      <c r="P4028" s="42">
        <f>K4017+K4018+K4020+K4023+K4024+SUM(K4021:K4022)</f>
        <v>1133575.58</v>
      </c>
    </row>
    <row r="4029" spans="1:29" hidden="1" x14ac:dyDescent="0.25"/>
    <row r="4030" spans="1:29" hidden="1" x14ac:dyDescent="0.25"/>
    <row r="4031" spans="1:29" ht="13.8" hidden="1" x14ac:dyDescent="0.25">
      <c r="A4031" s="44" t="str">
        <f>CONCATENATE("Итого по подразделу: ",IF([1]Source!G3782&lt;&gt;"Новый подраздел", [1]Source!G3782, ""))</f>
        <v>Итого по подразделу: Подвал. Кварц-виниловая плитка.</v>
      </c>
      <c r="B4031" s="44"/>
      <c r="C4031" s="44"/>
      <c r="D4031" s="44"/>
      <c r="E4031" s="44"/>
      <c r="F4031" s="44"/>
      <c r="G4031" s="44"/>
      <c r="H4031" s="41">
        <f>SUM(O3961:O4030)</f>
        <v>139936</v>
      </c>
      <c r="I4031" s="45"/>
      <c r="J4031" s="41">
        <f>SUM(P3961:P4030)</f>
        <v>2620280.21</v>
      </c>
      <c r="K4031" s="45"/>
    </row>
    <row r="4032" spans="1:29" hidden="1" x14ac:dyDescent="0.25">
      <c r="A4032" t="s">
        <v>55</v>
      </c>
      <c r="I4032">
        <f>SUM(W3961:W4031)</f>
        <v>0</v>
      </c>
      <c r="J4032">
        <f>SUM(X3961:X4031)</f>
        <v>0</v>
      </c>
    </row>
    <row r="4033" spans="1:29" hidden="1" x14ac:dyDescent="0.25">
      <c r="A4033" t="s">
        <v>56</v>
      </c>
      <c r="I4033">
        <f>SUM(Y3961:Y4032)</f>
        <v>0</v>
      </c>
      <c r="J4033">
        <f>SUM(Z3961:Z4032)</f>
        <v>0</v>
      </c>
    </row>
    <row r="4034" spans="1:29" hidden="1" x14ac:dyDescent="0.25"/>
    <row r="4035" spans="1:29" ht="16.8" hidden="1" x14ac:dyDescent="0.25">
      <c r="A4035" s="11" t="str">
        <f>CONCATENATE("Подраздел: ",IF([1]Source!G3812&lt;&gt;"Новый подраздел", [1]Source!G3812, ""))</f>
        <v>Подраздел: Подвал. Линолеум</v>
      </c>
      <c r="B4035" s="11"/>
      <c r="C4035" s="11"/>
      <c r="D4035" s="11"/>
      <c r="E4035" s="11"/>
      <c r="F4035" s="11"/>
      <c r="G4035" s="11"/>
      <c r="H4035" s="11"/>
      <c r="I4035" s="11"/>
      <c r="J4035" s="11"/>
      <c r="K4035" s="11"/>
    </row>
    <row r="4036" spans="1:29" ht="57.6" hidden="1" x14ac:dyDescent="0.25">
      <c r="A4036" s="27">
        <v>394</v>
      </c>
      <c r="B4036" s="27" t="str">
        <f>[1]Source!F3816</f>
        <v>3.70-159-1</v>
      </c>
      <c r="C4036" s="27" t="s">
        <v>717</v>
      </c>
      <c r="D4036" s="28" t="str">
        <f>[1]Source!H3816</f>
        <v>100 м2 стяжки</v>
      </c>
      <c r="E4036" s="29">
        <f>[1]Source!I3816</f>
        <v>0.46</v>
      </c>
      <c r="F4036" s="30"/>
      <c r="G4036" s="31"/>
      <c r="H4036" s="29"/>
      <c r="I4036" s="30"/>
      <c r="J4036" s="29"/>
      <c r="K4036" s="30"/>
      <c r="Q4036">
        <f>[1]Source!X3816</f>
        <v>218.47</v>
      </c>
      <c r="R4036">
        <f>[1]Source!X3817</f>
        <v>12310.96</v>
      </c>
      <c r="S4036">
        <f>[1]Source!Y3816</f>
        <v>118.97</v>
      </c>
      <c r="T4036">
        <f>[1]Source!Y3817</f>
        <v>6703.99</v>
      </c>
      <c r="U4036">
        <f>ROUND((175/100)*ROUND([1]Source!R3816, 2), 2)</f>
        <v>0</v>
      </c>
      <c r="V4036">
        <f>ROUND((0/100)*ROUND([1]Source!R3817, 2), 2)</f>
        <v>0</v>
      </c>
      <c r="AC4036">
        <v>0</v>
      </c>
    </row>
    <row r="4037" spans="1:29" hidden="1" x14ac:dyDescent="0.25">
      <c r="C4037" s="32" t="str">
        <f>"Объем: "&amp;[1]Source!I3816&amp;"=46/"&amp;"100"</f>
        <v>Объем: 0,46=46/100</v>
      </c>
    </row>
    <row r="4038" spans="1:29" ht="14.4" hidden="1" x14ac:dyDescent="0.25">
      <c r="A4038" s="27"/>
      <c r="B4038" s="27"/>
      <c r="C4038" s="27" t="s">
        <v>36</v>
      </c>
      <c r="D4038" s="28"/>
      <c r="E4038" s="29"/>
      <c r="F4038" s="30">
        <f>[1]Source!AO3816</f>
        <v>325.45</v>
      </c>
      <c r="G4038" s="31" t="s">
        <v>37</v>
      </c>
      <c r="H4038" s="29">
        <f>[1]Source!AV3817</f>
        <v>1.0469999999999999</v>
      </c>
      <c r="I4038" s="30">
        <f>[1]Source!S3816</f>
        <v>216.31</v>
      </c>
      <c r="J4038" s="29">
        <f>IF([1]Source!BA3817&lt;&gt; 0, [1]Source!BA3817, 1)</f>
        <v>56.35</v>
      </c>
      <c r="K4038" s="30">
        <f>[1]Source!S3817</f>
        <v>12189.07</v>
      </c>
    </row>
    <row r="4039" spans="1:29" ht="14.4" hidden="1" x14ac:dyDescent="0.25">
      <c r="A4039" s="27"/>
      <c r="B4039" s="27"/>
      <c r="C4039" s="27" t="s">
        <v>38</v>
      </c>
      <c r="D4039" s="28"/>
      <c r="E4039" s="29"/>
      <c r="F4039" s="30">
        <f>[1]Source!AM3816</f>
        <v>1.8</v>
      </c>
      <c r="G4039" s="31" t="s">
        <v>39</v>
      </c>
      <c r="H4039" s="29">
        <f>[1]Source!AV3817</f>
        <v>1.0469999999999999</v>
      </c>
      <c r="I4039" s="30">
        <f>[1]Source!Q3816</f>
        <v>1.3</v>
      </c>
      <c r="J4039" s="29">
        <f>IF([1]Source!BB3817&lt;&gt; 0, [1]Source!BB3817, 1)</f>
        <v>11.69</v>
      </c>
      <c r="K4039" s="30">
        <f>[1]Source!Q3817</f>
        <v>15.2</v>
      </c>
    </row>
    <row r="4040" spans="1:29" ht="14.4" hidden="1" x14ac:dyDescent="0.25">
      <c r="A4040" s="27"/>
      <c r="B4040" s="27"/>
      <c r="C4040" s="27" t="s">
        <v>41</v>
      </c>
      <c r="D4040" s="28"/>
      <c r="E4040" s="29"/>
      <c r="F4040" s="30">
        <f>[1]Source!AL3816</f>
        <v>24.75</v>
      </c>
      <c r="G4040" s="31"/>
      <c r="H4040" s="29">
        <f>[1]Source!AW3817</f>
        <v>1</v>
      </c>
      <c r="I4040" s="30">
        <f>[1]Source!P3816</f>
        <v>11.39</v>
      </c>
      <c r="J4040" s="29">
        <f>IF([1]Source!BC3817&lt;&gt; 0, [1]Source!BC3817, 1)</f>
        <v>7.75</v>
      </c>
      <c r="K4040" s="30">
        <f>[1]Source!P3817</f>
        <v>88.27</v>
      </c>
    </row>
    <row r="4041" spans="1:29" ht="27.6" hidden="1" x14ac:dyDescent="0.25">
      <c r="A4041" s="27" t="s">
        <v>787</v>
      </c>
      <c r="B4041" s="27" t="str">
        <f>[1]Source!F3818</f>
        <v>1.3-2-6</v>
      </c>
      <c r="C4041" s="27" t="s">
        <v>149</v>
      </c>
      <c r="D4041" s="28" t="str">
        <f>[1]Source!H3818</f>
        <v>м3</v>
      </c>
      <c r="E4041" s="29">
        <f>[1]Source!I3818</f>
        <v>0.93840000000000001</v>
      </c>
      <c r="F4041" s="30">
        <f>[1]Source!AK3818</f>
        <v>467.32</v>
      </c>
      <c r="G4041" s="43" t="s">
        <v>54</v>
      </c>
      <c r="H4041" s="29">
        <f>[1]Source!AW3819</f>
        <v>1</v>
      </c>
      <c r="I4041" s="30">
        <f>[1]Source!O3818</f>
        <v>438.53</v>
      </c>
      <c r="J4041" s="29">
        <f>IF([1]Source!BC3819&lt;&gt; 0, [1]Source!BC3819, 1)</f>
        <v>11.07</v>
      </c>
      <c r="K4041" s="30">
        <f>[1]Source!O3819</f>
        <v>4854.53</v>
      </c>
      <c r="Q4041">
        <f>[1]Source!X3818</f>
        <v>0</v>
      </c>
      <c r="R4041">
        <f>[1]Source!X3819</f>
        <v>0</v>
      </c>
      <c r="S4041">
        <f>[1]Source!Y3818</f>
        <v>0</v>
      </c>
      <c r="T4041">
        <f>[1]Source!Y3819</f>
        <v>0</v>
      </c>
      <c r="U4041">
        <f>ROUND((175/100)*ROUND([1]Source!R3818, 2), 2)</f>
        <v>0</v>
      </c>
      <c r="V4041">
        <f>ROUND((0/100)*ROUND([1]Source!R3819, 2), 2)</f>
        <v>0</v>
      </c>
      <c r="AC4041">
        <v>3</v>
      </c>
    </row>
    <row r="4042" spans="1:29" ht="14.4" hidden="1" x14ac:dyDescent="0.25">
      <c r="A4042" s="27"/>
      <c r="B4042" s="27"/>
      <c r="C4042" s="27" t="s">
        <v>42</v>
      </c>
      <c r="D4042" s="28" t="s">
        <v>43</v>
      </c>
      <c r="E4042" s="29">
        <f>[1]Source!BZ3817</f>
        <v>101</v>
      </c>
      <c r="F4042" s="30"/>
      <c r="G4042" s="31"/>
      <c r="H4042" s="29"/>
      <c r="I4042" s="30">
        <f>SUM(Q4036:Q4041)</f>
        <v>218.47</v>
      </c>
      <c r="J4042" s="29">
        <f>[1]Source!AT3817</f>
        <v>101</v>
      </c>
      <c r="K4042" s="30">
        <f>SUM(R4036:R4041)</f>
        <v>12310.96</v>
      </c>
    </row>
    <row r="4043" spans="1:29" ht="14.4" hidden="1" x14ac:dyDescent="0.25">
      <c r="A4043" s="27"/>
      <c r="B4043" s="27"/>
      <c r="C4043" s="27" t="s">
        <v>44</v>
      </c>
      <c r="D4043" s="28" t="s">
        <v>43</v>
      </c>
      <c r="E4043" s="29">
        <f>[1]Source!CA3817</f>
        <v>55</v>
      </c>
      <c r="F4043" s="30"/>
      <c r="G4043" s="31"/>
      <c r="H4043" s="29"/>
      <c r="I4043" s="30">
        <f>SUM(S4036:S4042)</f>
        <v>118.97</v>
      </c>
      <c r="J4043" s="29">
        <f>[1]Source!AU3817</f>
        <v>55</v>
      </c>
      <c r="K4043" s="30">
        <f>SUM(T4036:T4042)</f>
        <v>6703.99</v>
      </c>
    </row>
    <row r="4044" spans="1:29" ht="14.4" hidden="1" x14ac:dyDescent="0.25">
      <c r="A4044" s="34"/>
      <c r="B4044" s="34"/>
      <c r="C4044" s="34" t="s">
        <v>45</v>
      </c>
      <c r="D4044" s="35" t="s">
        <v>46</v>
      </c>
      <c r="E4044" s="36">
        <f>[1]Source!AQ3816</f>
        <v>23.33</v>
      </c>
      <c r="F4044" s="37"/>
      <c r="G4044" s="38" t="s">
        <v>37</v>
      </c>
      <c r="H4044" s="36">
        <f>[1]Source!AV3817</f>
        <v>1.0469999999999999</v>
      </c>
      <c r="I4044" s="37">
        <f>[1]Source!U3816</f>
        <v>15.505948547999997</v>
      </c>
      <c r="J4044" s="36"/>
      <c r="K4044" s="37"/>
    </row>
    <row r="4045" spans="1:29" ht="13.8" hidden="1" x14ac:dyDescent="0.25">
      <c r="C4045" s="39" t="s">
        <v>47</v>
      </c>
      <c r="H4045" s="40">
        <f>I4038+I4039+I4040+I4042+I4043+SUM(I4041:I4041)-SUMIF(AC4041:AC4041, 5, I4041:I4041)-SUMIF(AC4041:AC4041, 6, I4041:I4041)</f>
        <v>1004.97</v>
      </c>
      <c r="I4045" s="40"/>
      <c r="J4045" s="40">
        <f>K4038+K4039+K4040+K4042+K4043+SUM(K4041:K4041)-SUMIF(AC4041:AC4041, 5, K4041:K4041)-SUMIF(AC4041:AC4041, 6, K4041:K4041)</f>
        <v>36162.019999999997</v>
      </c>
      <c r="K4045" s="40"/>
    </row>
    <row r="4046" spans="1:29" ht="13.8" hidden="1" x14ac:dyDescent="0.25">
      <c r="C4046" s="39" t="s">
        <v>48</v>
      </c>
      <c r="H4046" s="41">
        <f>SUMIF(AC4041:AC4041, 5, I4041:I4041)+SUMIF(AC4041:AC4041, 6, I4041:I4041)</f>
        <v>0</v>
      </c>
      <c r="I4046" s="41"/>
      <c r="J4046" s="41">
        <f>SUMIF(AC4041:AC4041, 5, K4041:K4041)+SUMIF(AC4041:AC4041, 6, K4041:K4041)</f>
        <v>0</v>
      </c>
      <c r="K4046" s="41"/>
    </row>
    <row r="4047" spans="1:29" ht="13.8" hidden="1" x14ac:dyDescent="0.25">
      <c r="C4047" s="39" t="s">
        <v>49</v>
      </c>
      <c r="H4047" s="41">
        <f>I4038+I4039+I4040+I4042+I4043+SUM(I4041:I4041)</f>
        <v>1004.97</v>
      </c>
      <c r="I4047" s="41"/>
      <c r="J4047" s="41">
        <f>K4038+K4039+K4040+K4042+K4043+SUM(K4041:K4041)</f>
        <v>36162.019999999997</v>
      </c>
      <c r="K4047" s="41"/>
      <c r="O4047" s="42">
        <f>I4038+I4039+I4040+I4042+I4043+SUM(I4041:I4041)</f>
        <v>1004.97</v>
      </c>
      <c r="P4047" s="42">
        <f>K4038+K4039+K4040+K4042+K4043+SUM(K4041:K4041)</f>
        <v>36162.019999999997</v>
      </c>
    </row>
    <row r="4048" spans="1:29" hidden="1" x14ac:dyDescent="0.25"/>
    <row r="4049" spans="1:29" ht="57.6" hidden="1" x14ac:dyDescent="0.25">
      <c r="A4049" s="27">
        <v>395</v>
      </c>
      <c r="B4049" s="27" t="str">
        <f>[1]Source!F3820</f>
        <v>3.70-159-2</v>
      </c>
      <c r="C4049" s="27" t="s">
        <v>719</v>
      </c>
      <c r="D4049" s="28" t="str">
        <f>[1]Source!H3820</f>
        <v>100 м2 стяжки</v>
      </c>
      <c r="E4049" s="29">
        <f>[1]Source!I3820</f>
        <v>0.46</v>
      </c>
      <c r="F4049" s="30"/>
      <c r="G4049" s="31"/>
      <c r="H4049" s="29"/>
      <c r="I4049" s="30"/>
      <c r="J4049" s="29"/>
      <c r="K4049" s="30"/>
      <c r="Q4049">
        <f>[1]Source!X3820</f>
        <v>34.81</v>
      </c>
      <c r="R4049">
        <f>[1]Source!X3821</f>
        <v>1961.8</v>
      </c>
      <c r="S4049">
        <f>[1]Source!Y3820</f>
        <v>18.96</v>
      </c>
      <c r="T4049">
        <f>[1]Source!Y3821</f>
        <v>1068.31</v>
      </c>
      <c r="U4049">
        <f>ROUND((175/100)*ROUND([1]Source!R3820, 2), 2)</f>
        <v>0</v>
      </c>
      <c r="V4049">
        <f>ROUND((0/100)*ROUND([1]Source!R3821, 2), 2)</f>
        <v>0</v>
      </c>
      <c r="AC4049">
        <v>0</v>
      </c>
    </row>
    <row r="4050" spans="1:29" hidden="1" x14ac:dyDescent="0.25">
      <c r="C4050" s="32" t="str">
        <f>"Объем: "&amp;[1]Source!I3820&amp;"=46/"&amp;"100"</f>
        <v>Объем: 0,46=46/100</v>
      </c>
    </row>
    <row r="4051" spans="1:29" ht="14.4" hidden="1" x14ac:dyDescent="0.25">
      <c r="A4051" s="27"/>
      <c r="B4051" s="27"/>
      <c r="C4051" s="27" t="s">
        <v>36</v>
      </c>
      <c r="D4051" s="28"/>
      <c r="E4051" s="29"/>
      <c r="F4051" s="30">
        <f>[1]Source!AO3820</f>
        <v>6.03</v>
      </c>
      <c r="G4051" s="31" t="s">
        <v>777</v>
      </c>
      <c r="H4051" s="29">
        <f>[1]Source!AV3821</f>
        <v>1.0469999999999999</v>
      </c>
      <c r="I4051" s="30">
        <f>[1]Source!S3820</f>
        <v>34.47</v>
      </c>
      <c r="J4051" s="29">
        <f>IF([1]Source!BA3821&lt;&gt; 0, [1]Source!BA3821, 1)</f>
        <v>56.35</v>
      </c>
      <c r="K4051" s="30">
        <f>[1]Source!S3821</f>
        <v>1942.38</v>
      </c>
    </row>
    <row r="4052" spans="1:29" ht="14.4" hidden="1" x14ac:dyDescent="0.25">
      <c r="A4052" s="27"/>
      <c r="B4052" s="27"/>
      <c r="C4052" s="27" t="s">
        <v>38</v>
      </c>
      <c r="D4052" s="28"/>
      <c r="E4052" s="29"/>
      <c r="F4052" s="30">
        <f>[1]Source!AM3820</f>
        <v>0.46</v>
      </c>
      <c r="G4052" s="31" t="s">
        <v>778</v>
      </c>
      <c r="H4052" s="29">
        <f>[1]Source!AV3821</f>
        <v>1.0469999999999999</v>
      </c>
      <c r="I4052" s="30">
        <f>[1]Source!Q3820</f>
        <v>2.86</v>
      </c>
      <c r="J4052" s="29">
        <f>IF([1]Source!BB3821&lt;&gt; 0, [1]Source!BB3821, 1)</f>
        <v>11.7</v>
      </c>
      <c r="K4052" s="30">
        <f>[1]Source!Q3821</f>
        <v>33.46</v>
      </c>
    </row>
    <row r="4053" spans="1:29" ht="27.6" hidden="1" x14ac:dyDescent="0.25">
      <c r="A4053" s="27" t="s">
        <v>788</v>
      </c>
      <c r="B4053" s="27" t="str">
        <f>[1]Source!F3822</f>
        <v>1.3-2-6</v>
      </c>
      <c r="C4053" s="27" t="s">
        <v>149</v>
      </c>
      <c r="D4053" s="28" t="str">
        <f>[1]Source!H3822</f>
        <v>м3</v>
      </c>
      <c r="E4053" s="29">
        <f>[1]Source!I3822</f>
        <v>2.01756</v>
      </c>
      <c r="F4053" s="30">
        <f>[1]Source!AK3822</f>
        <v>467.32</v>
      </c>
      <c r="G4053" s="43" t="s">
        <v>54</v>
      </c>
      <c r="H4053" s="29">
        <f>[1]Source!AW3823</f>
        <v>1</v>
      </c>
      <c r="I4053" s="30">
        <f>[1]Source!O3822</f>
        <v>942.85</v>
      </c>
      <c r="J4053" s="29">
        <f>IF([1]Source!BC3823&lt;&gt; 0, [1]Source!BC3823, 1)</f>
        <v>11.07</v>
      </c>
      <c r="K4053" s="30">
        <f>[1]Source!O3823</f>
        <v>10437.35</v>
      </c>
      <c r="Q4053">
        <f>[1]Source!X3822</f>
        <v>0</v>
      </c>
      <c r="R4053">
        <f>[1]Source!X3823</f>
        <v>0</v>
      </c>
      <c r="S4053">
        <f>[1]Source!Y3822</f>
        <v>0</v>
      </c>
      <c r="T4053">
        <f>[1]Source!Y3823</f>
        <v>0</v>
      </c>
      <c r="U4053">
        <f>ROUND((175/100)*ROUND([1]Source!R3822, 2), 2)</f>
        <v>0</v>
      </c>
      <c r="V4053">
        <f>ROUND((0/100)*ROUND([1]Source!R3823, 2), 2)</f>
        <v>0</v>
      </c>
      <c r="AC4053">
        <v>3</v>
      </c>
    </row>
    <row r="4054" spans="1:29" ht="14.4" hidden="1" x14ac:dyDescent="0.25">
      <c r="A4054" s="27"/>
      <c r="B4054" s="27"/>
      <c r="C4054" s="27" t="s">
        <v>42</v>
      </c>
      <c r="D4054" s="28" t="s">
        <v>43</v>
      </c>
      <c r="E4054" s="29">
        <f>[1]Source!BZ3821</f>
        <v>101</v>
      </c>
      <c r="F4054" s="30"/>
      <c r="G4054" s="31"/>
      <c r="H4054" s="29"/>
      <c r="I4054" s="30">
        <f>SUM(Q4049:Q4053)</f>
        <v>34.81</v>
      </c>
      <c r="J4054" s="29">
        <f>[1]Source!AT3821</f>
        <v>101</v>
      </c>
      <c r="K4054" s="30">
        <f>SUM(R4049:R4053)</f>
        <v>1961.8</v>
      </c>
    </row>
    <row r="4055" spans="1:29" ht="14.4" hidden="1" x14ac:dyDescent="0.25">
      <c r="A4055" s="27"/>
      <c r="B4055" s="27"/>
      <c r="C4055" s="27" t="s">
        <v>44</v>
      </c>
      <c r="D4055" s="28" t="s">
        <v>43</v>
      </c>
      <c r="E4055" s="29">
        <f>[1]Source!CA3821</f>
        <v>55</v>
      </c>
      <c r="F4055" s="30"/>
      <c r="G4055" s="31"/>
      <c r="H4055" s="29"/>
      <c r="I4055" s="30">
        <f>SUM(S4049:S4054)</f>
        <v>18.96</v>
      </c>
      <c r="J4055" s="29">
        <f>[1]Source!AU3821</f>
        <v>55</v>
      </c>
      <c r="K4055" s="30">
        <f>SUM(T4049:T4054)</f>
        <v>1068.31</v>
      </c>
    </row>
    <row r="4056" spans="1:29" ht="14.4" hidden="1" x14ac:dyDescent="0.25">
      <c r="A4056" s="34"/>
      <c r="B4056" s="34"/>
      <c r="C4056" s="34" t="s">
        <v>45</v>
      </c>
      <c r="D4056" s="35" t="s">
        <v>46</v>
      </c>
      <c r="E4056" s="36">
        <f>[1]Source!AQ3820</f>
        <v>0.44</v>
      </c>
      <c r="F4056" s="37"/>
      <c r="G4056" s="38" t="s">
        <v>777</v>
      </c>
      <c r="H4056" s="36">
        <f>[1]Source!AV3821</f>
        <v>1.0469999999999999</v>
      </c>
      <c r="I4056" s="37">
        <f>[1]Source!U3820</f>
        <v>2.5149811103999995</v>
      </c>
      <c r="J4056" s="36"/>
      <c r="K4056" s="37"/>
    </row>
    <row r="4057" spans="1:29" ht="13.8" hidden="1" x14ac:dyDescent="0.25">
      <c r="C4057" s="39" t="s">
        <v>47</v>
      </c>
      <c r="H4057" s="40">
        <f>I4051+I4052+I4054+I4055+SUM(I4053:I4053)-SUMIF(AC4053:AC4053, 5, I4053:I4053)-SUMIF(AC4053:AC4053, 6, I4053:I4053)</f>
        <v>1033.95</v>
      </c>
      <c r="I4057" s="40"/>
      <c r="J4057" s="40">
        <f>K4051+K4052+K4054+K4055+SUM(K4053:K4053)-SUMIF(AC4053:AC4053, 5, K4053:K4053)-SUMIF(AC4053:AC4053, 6, K4053:K4053)</f>
        <v>15443.300000000001</v>
      </c>
      <c r="K4057" s="40"/>
    </row>
    <row r="4058" spans="1:29" ht="13.8" hidden="1" x14ac:dyDescent="0.25">
      <c r="C4058" s="39" t="s">
        <v>48</v>
      </c>
      <c r="H4058" s="41">
        <f>SUMIF(AC4053:AC4053, 5, I4053:I4053)+SUMIF(AC4053:AC4053, 6, I4053:I4053)</f>
        <v>0</v>
      </c>
      <c r="I4058" s="41"/>
      <c r="J4058" s="41">
        <f>SUMIF(AC4053:AC4053, 5, K4053:K4053)+SUMIF(AC4053:AC4053, 6, K4053:K4053)</f>
        <v>0</v>
      </c>
      <c r="K4058" s="41"/>
    </row>
    <row r="4059" spans="1:29" ht="13.8" hidden="1" x14ac:dyDescent="0.25">
      <c r="C4059" s="39" t="s">
        <v>49</v>
      </c>
      <c r="H4059" s="41">
        <f>I4051+I4052+I4054+I4055+SUM(I4053:I4053)</f>
        <v>1033.95</v>
      </c>
      <c r="I4059" s="41"/>
      <c r="J4059" s="41">
        <f>K4051+K4052+K4054+K4055+SUM(K4053:K4053)</f>
        <v>15443.300000000001</v>
      </c>
      <c r="K4059" s="41"/>
      <c r="O4059" s="42">
        <f>I4051+I4052+I4054+I4055+SUM(I4053:I4053)</f>
        <v>1033.95</v>
      </c>
      <c r="P4059" s="42">
        <f>K4051+K4052+K4054+K4055+SUM(K4053:K4053)</f>
        <v>15443.300000000001</v>
      </c>
    </row>
    <row r="4060" spans="1:29" hidden="1" x14ac:dyDescent="0.25"/>
    <row r="4061" spans="1:29" ht="27.6" hidden="1" x14ac:dyDescent="0.25">
      <c r="A4061" s="27">
        <v>396</v>
      </c>
      <c r="B4061" s="27" t="str">
        <f>[1]Source!F3824</f>
        <v>3.70-43-6</v>
      </c>
      <c r="C4061" s="27" t="s">
        <v>723</v>
      </c>
      <c r="D4061" s="28" t="str">
        <f>[1]Source!H3824</f>
        <v>1 Т</v>
      </c>
      <c r="E4061" s="29">
        <f>[1]Source!I3824</f>
        <v>0.1265</v>
      </c>
      <c r="F4061" s="30"/>
      <c r="G4061" s="31"/>
      <c r="H4061" s="29"/>
      <c r="I4061" s="30"/>
      <c r="J4061" s="29"/>
      <c r="K4061" s="30"/>
      <c r="Q4061">
        <f>[1]Source!X3824</f>
        <v>31.28</v>
      </c>
      <c r="R4061">
        <f>[1]Source!X3825</f>
        <v>1762.63</v>
      </c>
      <c r="S4061">
        <f>[1]Source!Y3824</f>
        <v>16.66</v>
      </c>
      <c r="T4061">
        <f>[1]Source!Y3825</f>
        <v>938.79</v>
      </c>
      <c r="U4061">
        <f>ROUND((175/100)*ROUND([1]Source!R3824, 2), 2)</f>
        <v>1.77</v>
      </c>
      <c r="V4061">
        <f>ROUND((0/100)*ROUND([1]Source!R3825, 2), 2)</f>
        <v>0</v>
      </c>
      <c r="AC4061">
        <v>0</v>
      </c>
    </row>
    <row r="4062" spans="1:29" hidden="1" x14ac:dyDescent="0.25">
      <c r="C4062" s="32" t="str">
        <f>"Объем: "&amp;[1]Source!I3824&amp;"=(2,75*"&amp;"46)/"&amp;"1000"</f>
        <v>Объем: 0,1265=(2,75*46)/1000</v>
      </c>
    </row>
    <row r="4063" spans="1:29" ht="14.4" hidden="1" x14ac:dyDescent="0.25">
      <c r="A4063" s="27"/>
      <c r="B4063" s="27"/>
      <c r="C4063" s="27" t="s">
        <v>36</v>
      </c>
      <c r="D4063" s="28"/>
      <c r="E4063" s="29"/>
      <c r="F4063" s="30">
        <f>[1]Source!AO3824</f>
        <v>180.47</v>
      </c>
      <c r="G4063" s="31" t="s">
        <v>37</v>
      </c>
      <c r="H4063" s="29">
        <f>[1]Source!AV3825</f>
        <v>1.0469999999999999</v>
      </c>
      <c r="I4063" s="30">
        <f>[1]Source!S3824</f>
        <v>32.99</v>
      </c>
      <c r="J4063" s="29">
        <f>IF([1]Source!BA3825&lt;&gt; 0, [1]Source!BA3825, 1)</f>
        <v>56.35</v>
      </c>
      <c r="K4063" s="30">
        <f>[1]Source!S3825</f>
        <v>1858.99</v>
      </c>
    </row>
    <row r="4064" spans="1:29" ht="14.4" hidden="1" x14ac:dyDescent="0.25">
      <c r="A4064" s="27"/>
      <c r="B4064" s="27"/>
      <c r="C4064" s="27" t="s">
        <v>38</v>
      </c>
      <c r="D4064" s="28"/>
      <c r="E4064" s="29"/>
      <c r="F4064" s="30">
        <f>[1]Source!AM3824</f>
        <v>43.5</v>
      </c>
      <c r="G4064" s="31" t="s">
        <v>39</v>
      </c>
      <c r="H4064" s="29">
        <f>[1]Source!AV3825</f>
        <v>1.0469999999999999</v>
      </c>
      <c r="I4064" s="30">
        <f>[1]Source!Q3824</f>
        <v>8.64</v>
      </c>
      <c r="J4064" s="29">
        <f>IF([1]Source!BB3825&lt;&gt; 0, [1]Source!BB3825, 1)</f>
        <v>15.44</v>
      </c>
      <c r="K4064" s="30">
        <f>[1]Source!Q3825</f>
        <v>133.4</v>
      </c>
    </row>
    <row r="4065" spans="1:29" ht="14.4" hidden="1" x14ac:dyDescent="0.25">
      <c r="A4065" s="27"/>
      <c r="B4065" s="27"/>
      <c r="C4065" s="27" t="s">
        <v>40</v>
      </c>
      <c r="D4065" s="28"/>
      <c r="E4065" s="29"/>
      <c r="F4065" s="30">
        <f>[1]Source!AN3824</f>
        <v>5.0599999999999996</v>
      </c>
      <c r="G4065" s="31" t="s">
        <v>39</v>
      </c>
      <c r="H4065" s="29">
        <f>[1]Source!AV3825</f>
        <v>1.0469999999999999</v>
      </c>
      <c r="I4065" s="33">
        <f>[1]Source!R3824</f>
        <v>1.01</v>
      </c>
      <c r="J4065" s="29">
        <f>IF([1]Source!BS3825&lt;&gt; 0, [1]Source!BS3825, 1)</f>
        <v>56.35</v>
      </c>
      <c r="K4065" s="33">
        <f>[1]Source!R3825</f>
        <v>56.91</v>
      </c>
    </row>
    <row r="4066" spans="1:29" ht="14.4" hidden="1" x14ac:dyDescent="0.25">
      <c r="A4066" s="27"/>
      <c r="B4066" s="27"/>
      <c r="C4066" s="27" t="s">
        <v>41</v>
      </c>
      <c r="D4066" s="28"/>
      <c r="E4066" s="29"/>
      <c r="F4066" s="30">
        <f>[1]Source!AL3824</f>
        <v>258.67</v>
      </c>
      <c r="G4066" s="31"/>
      <c r="H4066" s="29">
        <f>[1]Source!AW3825</f>
        <v>1.022</v>
      </c>
      <c r="I4066" s="30">
        <f>[1]Source!P3824</f>
        <v>33.44</v>
      </c>
      <c r="J4066" s="29">
        <f>IF([1]Source!BC3825&lt;&gt; 0, [1]Source!BC3825, 1)</f>
        <v>7.5</v>
      </c>
      <c r="K4066" s="30">
        <f>[1]Source!P3825</f>
        <v>250.8</v>
      </c>
    </row>
    <row r="4067" spans="1:29" ht="55.2" hidden="1" x14ac:dyDescent="0.25">
      <c r="A4067" s="27" t="s">
        <v>789</v>
      </c>
      <c r="B4067" s="27" t="str">
        <f>[1]Source!F3826</f>
        <v>1.3-4-75</v>
      </c>
      <c r="C4067" s="27" t="s">
        <v>725</v>
      </c>
      <c r="D4067" s="28" t="str">
        <f>[1]Source!H3826</f>
        <v>т</v>
      </c>
      <c r="E4067" s="29">
        <f>[1]Source!I3826</f>
        <v>0.1265</v>
      </c>
      <c r="F4067" s="30">
        <f>[1]Source!AK3826</f>
        <v>9724.69</v>
      </c>
      <c r="G4067" s="43" t="s">
        <v>54</v>
      </c>
      <c r="H4067" s="29">
        <f>[1]Source!AW3827</f>
        <v>1.022</v>
      </c>
      <c r="I4067" s="30">
        <f>[1]Source!O3826</f>
        <v>1257.24</v>
      </c>
      <c r="J4067" s="29">
        <f>IF([1]Source!BC3827&lt;&gt; 0, [1]Source!BC3827, 1)</f>
        <v>3.88</v>
      </c>
      <c r="K4067" s="30">
        <f>[1]Source!O3827</f>
        <v>4878.09</v>
      </c>
      <c r="Q4067">
        <f>[1]Source!X3826</f>
        <v>0</v>
      </c>
      <c r="R4067">
        <f>[1]Source!X3827</f>
        <v>0</v>
      </c>
      <c r="S4067">
        <f>[1]Source!Y3826</f>
        <v>0</v>
      </c>
      <c r="T4067">
        <f>[1]Source!Y3827</f>
        <v>0</v>
      </c>
      <c r="U4067">
        <f>ROUND((175/100)*ROUND([1]Source!R3826, 2), 2)</f>
        <v>0</v>
      </c>
      <c r="V4067">
        <f>ROUND((0/100)*ROUND([1]Source!R3827, 2), 2)</f>
        <v>0</v>
      </c>
      <c r="AC4067">
        <v>3</v>
      </c>
    </row>
    <row r="4068" spans="1:29" ht="14.4" hidden="1" x14ac:dyDescent="0.25">
      <c r="A4068" s="27"/>
      <c r="B4068" s="27"/>
      <c r="C4068" s="27" t="s">
        <v>42</v>
      </c>
      <c r="D4068" s="28" t="s">
        <v>43</v>
      </c>
      <c r="E4068" s="29">
        <f>[1]Source!BZ3825</f>
        <v>92</v>
      </c>
      <c r="F4068" s="30"/>
      <c r="G4068" s="31"/>
      <c r="H4068" s="29"/>
      <c r="I4068" s="30">
        <f>SUM(Q4061:Q4067)</f>
        <v>31.28</v>
      </c>
      <c r="J4068" s="29">
        <f>[1]Source!AT3825</f>
        <v>92</v>
      </c>
      <c r="K4068" s="30">
        <f>SUM(R4061:R4067)</f>
        <v>1762.63</v>
      </c>
    </row>
    <row r="4069" spans="1:29" ht="14.4" hidden="1" x14ac:dyDescent="0.25">
      <c r="A4069" s="27"/>
      <c r="B4069" s="27"/>
      <c r="C4069" s="27" t="s">
        <v>44</v>
      </c>
      <c r="D4069" s="28" t="s">
        <v>43</v>
      </c>
      <c r="E4069" s="29">
        <f>[1]Source!CA3825</f>
        <v>49</v>
      </c>
      <c r="F4069" s="30"/>
      <c r="G4069" s="31"/>
      <c r="H4069" s="29"/>
      <c r="I4069" s="30">
        <f>SUM(S4061:S4068)</f>
        <v>16.66</v>
      </c>
      <c r="J4069" s="29">
        <f>[1]Source!AU3825</f>
        <v>49</v>
      </c>
      <c r="K4069" s="30">
        <f>SUM(T4061:T4068)</f>
        <v>938.79</v>
      </c>
    </row>
    <row r="4070" spans="1:29" ht="14.4" hidden="1" x14ac:dyDescent="0.25">
      <c r="A4070" s="34"/>
      <c r="B4070" s="34"/>
      <c r="C4070" s="34" t="s">
        <v>45</v>
      </c>
      <c r="D4070" s="35" t="s">
        <v>46</v>
      </c>
      <c r="E4070" s="36">
        <f>[1]Source!AQ3824</f>
        <v>11.6</v>
      </c>
      <c r="F4070" s="37"/>
      <c r="G4070" s="38" t="s">
        <v>37</v>
      </c>
      <c r="H4070" s="36">
        <f>[1]Source!AV3825</f>
        <v>1.0469999999999999</v>
      </c>
      <c r="I4070" s="37">
        <f>[1]Source!U3824</f>
        <v>2.1201875639999992</v>
      </c>
      <c r="J4070" s="36"/>
      <c r="K4070" s="37"/>
    </row>
    <row r="4071" spans="1:29" ht="13.8" hidden="1" x14ac:dyDescent="0.25">
      <c r="C4071" s="39" t="s">
        <v>47</v>
      </c>
      <c r="H4071" s="40">
        <f>I4063+I4064+I4066+I4068+I4069+SUM(I4067:I4067)-SUMIF(AC4067:AC4067, 5, I4067:I4067)-SUMIF(AC4067:AC4067, 6, I4067:I4067)</f>
        <v>1380.25</v>
      </c>
      <c r="I4071" s="40"/>
      <c r="J4071" s="40">
        <f>K4063+K4064+K4066+K4068+K4069+SUM(K4067:K4067)-SUMIF(AC4067:AC4067, 5, K4067:K4067)-SUMIF(AC4067:AC4067, 6, K4067:K4067)</f>
        <v>9822.7000000000007</v>
      </c>
      <c r="K4071" s="40"/>
    </row>
    <row r="4072" spans="1:29" ht="13.8" hidden="1" x14ac:dyDescent="0.25">
      <c r="C4072" s="39" t="s">
        <v>48</v>
      </c>
      <c r="H4072" s="41">
        <f>SUMIF(AC4067:AC4067, 5, I4067:I4067)+SUMIF(AC4067:AC4067, 6, I4067:I4067)</f>
        <v>0</v>
      </c>
      <c r="I4072" s="41"/>
      <c r="J4072" s="41">
        <f>SUMIF(AC4067:AC4067, 5, K4067:K4067)+SUMIF(AC4067:AC4067, 6, K4067:K4067)</f>
        <v>0</v>
      </c>
      <c r="K4072" s="41"/>
    </row>
    <row r="4073" spans="1:29" ht="13.8" hidden="1" x14ac:dyDescent="0.25">
      <c r="C4073" s="39" t="s">
        <v>49</v>
      </c>
      <c r="H4073" s="41">
        <f>I4063+I4064+I4066+I4068+I4069+SUM(I4067:I4067)</f>
        <v>1380.25</v>
      </c>
      <c r="I4073" s="41"/>
      <c r="J4073" s="41">
        <f>K4063+K4064+K4066+K4068+K4069+SUM(K4067:K4067)</f>
        <v>9822.7000000000007</v>
      </c>
      <c r="K4073" s="41"/>
      <c r="O4073" s="42">
        <f>I4063+I4064+I4066+I4068+I4069+SUM(I4067:I4067)</f>
        <v>1380.25</v>
      </c>
      <c r="P4073" s="42">
        <f>K4063+K4064+K4066+K4068+K4069+SUM(K4067:K4067)</f>
        <v>9822.7000000000007</v>
      </c>
    </row>
    <row r="4074" spans="1:29" hidden="1" x14ac:dyDescent="0.25"/>
    <row r="4075" spans="1:29" ht="55.2" hidden="1" x14ac:dyDescent="0.25">
      <c r="A4075" s="27">
        <v>397</v>
      </c>
      <c r="B4075" s="27" t="str">
        <f>[1]Source!F3828</f>
        <v>3.70-2-1</v>
      </c>
      <c r="C4075" s="27" t="s">
        <v>726</v>
      </c>
      <c r="D4075" s="28" t="str">
        <f>[1]Source!H3828</f>
        <v>100 м2</v>
      </c>
      <c r="E4075" s="29">
        <f>[1]Source!I3828</f>
        <v>0.46</v>
      </c>
      <c r="F4075" s="30"/>
      <c r="G4075" s="31"/>
      <c r="H4075" s="29"/>
      <c r="I4075" s="30"/>
      <c r="J4075" s="29"/>
      <c r="K4075" s="30"/>
      <c r="Q4075">
        <f>[1]Source!X3828</f>
        <v>943.91</v>
      </c>
      <c r="R4075">
        <f>[1]Source!X3829</f>
        <v>53189.09</v>
      </c>
      <c r="S4075">
        <f>[1]Source!Y3828</f>
        <v>562.53</v>
      </c>
      <c r="T4075">
        <f>[1]Source!Y3829</f>
        <v>31698.55</v>
      </c>
      <c r="U4075">
        <f>ROUND((175/100)*ROUND([1]Source!R3828, 2), 2)</f>
        <v>10.19</v>
      </c>
      <c r="V4075">
        <f>ROUND((0/100)*ROUND([1]Source!R3829, 2), 2)</f>
        <v>0</v>
      </c>
      <c r="AC4075">
        <v>0</v>
      </c>
    </row>
    <row r="4076" spans="1:29" hidden="1" x14ac:dyDescent="0.25">
      <c r="C4076" s="32" t="str">
        <f>"Объем: "&amp;[1]Source!I3828&amp;"=46/"&amp;"100"</f>
        <v>Объем: 0,46=46/100</v>
      </c>
    </row>
    <row r="4077" spans="1:29" ht="14.4" hidden="1" x14ac:dyDescent="0.25">
      <c r="A4077" s="27"/>
      <c r="B4077" s="27"/>
      <c r="C4077" s="27" t="s">
        <v>36</v>
      </c>
      <c r="D4077" s="28"/>
      <c r="E4077" s="29"/>
      <c r="F4077" s="30">
        <f>[1]Source!AO3828</f>
        <v>1425.77</v>
      </c>
      <c r="G4077" s="31" t="s">
        <v>37</v>
      </c>
      <c r="H4077" s="29">
        <f>[1]Source!AV3829</f>
        <v>1.0469999999999999</v>
      </c>
      <c r="I4077" s="30">
        <f>[1]Source!S3828</f>
        <v>947.62</v>
      </c>
      <c r="J4077" s="29">
        <f>IF([1]Source!BA3829&lt;&gt; 0, [1]Source!BA3829, 1)</f>
        <v>56.35</v>
      </c>
      <c r="K4077" s="30">
        <f>[1]Source!S3829</f>
        <v>53398.39</v>
      </c>
    </row>
    <row r="4078" spans="1:29" ht="14.4" hidden="1" x14ac:dyDescent="0.25">
      <c r="A4078" s="27"/>
      <c r="B4078" s="27"/>
      <c r="C4078" s="27" t="s">
        <v>38</v>
      </c>
      <c r="D4078" s="28"/>
      <c r="E4078" s="29"/>
      <c r="F4078" s="30">
        <f>[1]Source!AM3828</f>
        <v>9.41</v>
      </c>
      <c r="G4078" s="31" t="s">
        <v>39</v>
      </c>
      <c r="H4078" s="29">
        <f>[1]Source!AV3829</f>
        <v>1.0469999999999999</v>
      </c>
      <c r="I4078" s="30">
        <f>[1]Source!Q3828</f>
        <v>6.8</v>
      </c>
      <c r="J4078" s="29">
        <f>IF([1]Source!BB3829&lt;&gt; 0, [1]Source!BB3829, 1)</f>
        <v>54.4</v>
      </c>
      <c r="K4078" s="30">
        <f>[1]Source!Q3829</f>
        <v>369.92</v>
      </c>
    </row>
    <row r="4079" spans="1:29" ht="14.4" hidden="1" x14ac:dyDescent="0.25">
      <c r="A4079" s="27"/>
      <c r="B4079" s="27"/>
      <c r="C4079" s="27" t="s">
        <v>40</v>
      </c>
      <c r="D4079" s="28"/>
      <c r="E4079" s="29"/>
      <c r="F4079" s="30">
        <f>[1]Source!AN3828</f>
        <v>8.0500000000000007</v>
      </c>
      <c r="G4079" s="31" t="s">
        <v>39</v>
      </c>
      <c r="H4079" s="29">
        <f>[1]Source!AV3829</f>
        <v>1.0469999999999999</v>
      </c>
      <c r="I4079" s="33">
        <f>[1]Source!R3828</f>
        <v>5.82</v>
      </c>
      <c r="J4079" s="29">
        <f>IF([1]Source!BS3829&lt;&gt; 0, [1]Source!BS3829, 1)</f>
        <v>56.35</v>
      </c>
      <c r="K4079" s="33">
        <f>[1]Source!R3829</f>
        <v>327.96</v>
      </c>
    </row>
    <row r="4080" spans="1:29" ht="14.4" hidden="1" x14ac:dyDescent="0.25">
      <c r="A4080" s="27"/>
      <c r="B4080" s="27"/>
      <c r="C4080" s="27" t="s">
        <v>41</v>
      </c>
      <c r="D4080" s="28"/>
      <c r="E4080" s="29"/>
      <c r="F4080" s="30">
        <f>[1]Source!AL3828</f>
        <v>0.78</v>
      </c>
      <c r="G4080" s="31"/>
      <c r="H4080" s="29">
        <f>[1]Source!AW3829</f>
        <v>1</v>
      </c>
      <c r="I4080" s="30">
        <f>[1]Source!P3828</f>
        <v>0.36</v>
      </c>
      <c r="J4080" s="29">
        <f>IF([1]Source!BC3829&lt;&gt; 0, [1]Source!BC3829, 1)</f>
        <v>7.73</v>
      </c>
      <c r="K4080" s="30">
        <f>[1]Source!P3829</f>
        <v>2.78</v>
      </c>
    </row>
    <row r="4081" spans="1:29" ht="276" hidden="1" x14ac:dyDescent="0.25">
      <c r="A4081" s="27" t="s">
        <v>790</v>
      </c>
      <c r="B4081" s="27" t="str">
        <f>[1]Source!F3830</f>
        <v>1.3-2-97</v>
      </c>
      <c r="C4081" s="27" t="s">
        <v>728</v>
      </c>
      <c r="D4081" s="28" t="str">
        <f>[1]Source!H3830</f>
        <v>кг</v>
      </c>
      <c r="E4081" s="29">
        <f>[1]Source!I3830</f>
        <v>143.52000000000001</v>
      </c>
      <c r="F4081" s="30">
        <f>[1]Source!AK3830</f>
        <v>12.4</v>
      </c>
      <c r="G4081" s="43" t="s">
        <v>54</v>
      </c>
      <c r="H4081" s="29">
        <f>[1]Source!AW3831</f>
        <v>1</v>
      </c>
      <c r="I4081" s="30">
        <f>[1]Source!O3830</f>
        <v>1779.65</v>
      </c>
      <c r="J4081" s="29">
        <f>IF([1]Source!BC3831&lt;&gt; 0, [1]Source!BC3831, 1)</f>
        <v>4.7300000000000004</v>
      </c>
      <c r="K4081" s="30">
        <f>[1]Source!O3831</f>
        <v>8417.74</v>
      </c>
      <c r="Q4081">
        <f>[1]Source!X3830</f>
        <v>0</v>
      </c>
      <c r="R4081">
        <f>[1]Source!X3831</f>
        <v>0</v>
      </c>
      <c r="S4081">
        <f>[1]Source!Y3830</f>
        <v>0</v>
      </c>
      <c r="T4081">
        <f>[1]Source!Y3831</f>
        <v>0</v>
      </c>
      <c r="U4081">
        <f>ROUND((175/100)*ROUND([1]Source!R3830, 2), 2)</f>
        <v>0</v>
      </c>
      <c r="V4081">
        <f>ROUND((0/100)*ROUND([1]Source!R3831, 2), 2)</f>
        <v>0</v>
      </c>
      <c r="AC4081">
        <v>3</v>
      </c>
    </row>
    <row r="4082" spans="1:29" ht="14.4" hidden="1" x14ac:dyDescent="0.25">
      <c r="A4082" s="27"/>
      <c r="B4082" s="27"/>
      <c r="C4082" s="27" t="s">
        <v>42</v>
      </c>
      <c r="D4082" s="28" t="s">
        <v>43</v>
      </c>
      <c r="E4082" s="29">
        <f>[1]Source!BZ3829</f>
        <v>99</v>
      </c>
      <c r="F4082" s="30"/>
      <c r="G4082" s="31"/>
      <c r="H4082" s="29"/>
      <c r="I4082" s="30">
        <f>SUM(Q4075:Q4081)</f>
        <v>943.91</v>
      </c>
      <c r="J4082" s="29">
        <f>[1]Source!AT3829</f>
        <v>99</v>
      </c>
      <c r="K4082" s="30">
        <f>SUM(R4075:R4081)</f>
        <v>53189.09</v>
      </c>
    </row>
    <row r="4083" spans="1:29" ht="14.4" hidden="1" x14ac:dyDescent="0.25">
      <c r="A4083" s="27"/>
      <c r="B4083" s="27"/>
      <c r="C4083" s="27" t="s">
        <v>44</v>
      </c>
      <c r="D4083" s="28" t="s">
        <v>43</v>
      </c>
      <c r="E4083" s="29">
        <f>[1]Source!CA3829</f>
        <v>59</v>
      </c>
      <c r="F4083" s="30"/>
      <c r="G4083" s="31"/>
      <c r="H4083" s="29"/>
      <c r="I4083" s="30">
        <f>SUM(S4075:S4082)</f>
        <v>562.53</v>
      </c>
      <c r="J4083" s="29">
        <f>[1]Source!AU3829</f>
        <v>59</v>
      </c>
      <c r="K4083" s="30">
        <f>SUM(T4075:T4082)</f>
        <v>31698.55</v>
      </c>
    </row>
    <row r="4084" spans="1:29" ht="14.4" hidden="1" x14ac:dyDescent="0.25">
      <c r="A4084" s="34"/>
      <c r="B4084" s="34"/>
      <c r="C4084" s="34" t="s">
        <v>45</v>
      </c>
      <c r="D4084" s="35" t="s">
        <v>46</v>
      </c>
      <c r="E4084" s="36">
        <f>[1]Source!AQ3828</f>
        <v>85.24</v>
      </c>
      <c r="F4084" s="37"/>
      <c r="G4084" s="38" t="s">
        <v>37</v>
      </c>
      <c r="H4084" s="36">
        <f>[1]Source!AV3829</f>
        <v>1.0469999999999999</v>
      </c>
      <c r="I4084" s="37">
        <f>[1]Source!U3828</f>
        <v>56.653538543999986</v>
      </c>
      <c r="J4084" s="36"/>
      <c r="K4084" s="37"/>
    </row>
    <row r="4085" spans="1:29" ht="13.8" hidden="1" x14ac:dyDescent="0.25">
      <c r="C4085" s="39" t="s">
        <v>47</v>
      </c>
      <c r="H4085" s="40">
        <f>I4077+I4078+I4080+I4082+I4083+SUM(I4081:I4081)-SUMIF(AC4081:AC4081, 5, I4081:I4081)-SUMIF(AC4081:AC4081, 6, I4081:I4081)</f>
        <v>4240.8700000000008</v>
      </c>
      <c r="I4085" s="40"/>
      <c r="J4085" s="40">
        <f>K4077+K4078+K4080+K4082+K4083+SUM(K4081:K4081)-SUMIF(AC4081:AC4081, 5, K4081:K4081)-SUMIF(AC4081:AC4081, 6, K4081:K4081)</f>
        <v>147076.46999999997</v>
      </c>
      <c r="K4085" s="40"/>
    </row>
    <row r="4086" spans="1:29" ht="13.8" hidden="1" x14ac:dyDescent="0.25">
      <c r="C4086" s="39" t="s">
        <v>48</v>
      </c>
      <c r="H4086" s="41">
        <f>SUMIF(AC4081:AC4081, 5, I4081:I4081)+SUMIF(AC4081:AC4081, 6, I4081:I4081)</f>
        <v>0</v>
      </c>
      <c r="I4086" s="41"/>
      <c r="J4086" s="41">
        <f>SUMIF(AC4081:AC4081, 5, K4081:K4081)+SUMIF(AC4081:AC4081, 6, K4081:K4081)</f>
        <v>0</v>
      </c>
      <c r="K4086" s="41"/>
    </row>
    <row r="4087" spans="1:29" ht="13.8" hidden="1" x14ac:dyDescent="0.25">
      <c r="C4087" s="39" t="s">
        <v>49</v>
      </c>
      <c r="H4087" s="41">
        <f>I4077+I4078+I4080+I4082+I4083+SUM(I4081:I4081)</f>
        <v>4240.8700000000008</v>
      </c>
      <c r="I4087" s="41"/>
      <c r="J4087" s="41">
        <f>K4077+K4078+K4080+K4082+K4083+SUM(K4081:K4081)</f>
        <v>147076.46999999997</v>
      </c>
      <c r="K4087" s="41"/>
      <c r="O4087" s="42">
        <f>I4077+I4078+I4080+I4082+I4083+SUM(I4081:I4081)</f>
        <v>4240.8700000000008</v>
      </c>
      <c r="P4087" s="42">
        <f>K4077+K4078+K4080+K4082+K4083+SUM(K4081:K4081)</f>
        <v>147076.46999999997</v>
      </c>
    </row>
    <row r="4088" spans="1:29" hidden="1" x14ac:dyDescent="0.25"/>
    <row r="4089" spans="1:29" ht="57.6" hidden="1" x14ac:dyDescent="0.25">
      <c r="A4089" s="27">
        <v>398</v>
      </c>
      <c r="B4089" s="27" t="str">
        <f>[1]Source!F3832</f>
        <v>3.70-202-1</v>
      </c>
      <c r="C4089" s="27" t="s">
        <v>782</v>
      </c>
      <c r="D4089" s="28" t="str">
        <f>[1]Source!H3832</f>
        <v>100 м2 покрытия</v>
      </c>
      <c r="E4089" s="29">
        <f>[1]Source!I3832</f>
        <v>0.46</v>
      </c>
      <c r="F4089" s="30"/>
      <c r="G4089" s="31"/>
      <c r="H4089" s="29"/>
      <c r="I4089" s="30"/>
      <c r="J4089" s="29"/>
      <c r="K4089" s="30"/>
      <c r="Q4089">
        <f>[1]Source!X3832</f>
        <v>415.08</v>
      </c>
      <c r="R4089">
        <f>[1]Source!X3833</f>
        <v>23389.74</v>
      </c>
      <c r="S4089">
        <f>[1]Source!Y3832</f>
        <v>226.03</v>
      </c>
      <c r="T4089">
        <f>[1]Source!Y3833</f>
        <v>12736.99</v>
      </c>
      <c r="U4089">
        <f>ROUND((175/100)*ROUND([1]Source!R3832, 2), 2)</f>
        <v>10.69</v>
      </c>
      <c r="V4089">
        <f>ROUND((0/100)*ROUND([1]Source!R3833, 2), 2)</f>
        <v>0</v>
      </c>
      <c r="AC4089">
        <v>0</v>
      </c>
    </row>
    <row r="4090" spans="1:29" hidden="1" x14ac:dyDescent="0.25">
      <c r="C4090" s="32" t="str">
        <f>"Объем: "&amp;[1]Source!I3832&amp;"=46/"&amp;"100"</f>
        <v>Объем: 0,46=46/100</v>
      </c>
    </row>
    <row r="4091" spans="1:29" ht="14.4" hidden="1" x14ac:dyDescent="0.25">
      <c r="A4091" s="27"/>
      <c r="B4091" s="27"/>
      <c r="C4091" s="27" t="s">
        <v>36</v>
      </c>
      <c r="D4091" s="28"/>
      <c r="E4091" s="29"/>
      <c r="F4091" s="30">
        <f>[1]Source!AO3832</f>
        <v>609.14</v>
      </c>
      <c r="G4091" s="31" t="s">
        <v>37</v>
      </c>
      <c r="H4091" s="29">
        <f>[1]Source!AV3833</f>
        <v>1.0469999999999999</v>
      </c>
      <c r="I4091" s="30">
        <f>[1]Source!S3832</f>
        <v>404.86</v>
      </c>
      <c r="J4091" s="29">
        <f>IF([1]Source!BA3833&lt;&gt; 0, [1]Source!BA3833, 1)</f>
        <v>56.35</v>
      </c>
      <c r="K4091" s="30">
        <f>[1]Source!S3833</f>
        <v>22813.86</v>
      </c>
    </row>
    <row r="4092" spans="1:29" ht="14.4" hidden="1" x14ac:dyDescent="0.25">
      <c r="A4092" s="27"/>
      <c r="B4092" s="27"/>
      <c r="C4092" s="27" t="s">
        <v>38</v>
      </c>
      <c r="D4092" s="28"/>
      <c r="E4092" s="29"/>
      <c r="F4092" s="30">
        <f>[1]Source!AM3832</f>
        <v>55.68</v>
      </c>
      <c r="G4092" s="31" t="s">
        <v>39</v>
      </c>
      <c r="H4092" s="29">
        <f>[1]Source!AV3833</f>
        <v>1.0469999999999999</v>
      </c>
      <c r="I4092" s="30">
        <f>[1]Source!Q3832</f>
        <v>40.22</v>
      </c>
      <c r="J4092" s="29">
        <f>IF([1]Source!BB3833&lt;&gt; 0, [1]Source!BB3833, 1)</f>
        <v>17.07</v>
      </c>
      <c r="K4092" s="30">
        <f>[1]Source!Q3833</f>
        <v>686.56</v>
      </c>
    </row>
    <row r="4093" spans="1:29" ht="14.4" hidden="1" x14ac:dyDescent="0.25">
      <c r="A4093" s="27"/>
      <c r="B4093" s="27"/>
      <c r="C4093" s="27" t="s">
        <v>40</v>
      </c>
      <c r="D4093" s="28"/>
      <c r="E4093" s="29"/>
      <c r="F4093" s="30">
        <f>[1]Source!AN3832</f>
        <v>8.4600000000000009</v>
      </c>
      <c r="G4093" s="31" t="s">
        <v>39</v>
      </c>
      <c r="H4093" s="29">
        <f>[1]Source!AV3833</f>
        <v>1.0469999999999999</v>
      </c>
      <c r="I4093" s="33">
        <f>[1]Source!R3832</f>
        <v>6.11</v>
      </c>
      <c r="J4093" s="29">
        <f>IF([1]Source!BS3833&lt;&gt; 0, [1]Source!BS3833, 1)</f>
        <v>56.35</v>
      </c>
      <c r="K4093" s="33">
        <f>[1]Source!R3833</f>
        <v>344.3</v>
      </c>
    </row>
    <row r="4094" spans="1:29" ht="14.4" hidden="1" x14ac:dyDescent="0.25">
      <c r="A4094" s="27"/>
      <c r="B4094" s="27"/>
      <c r="C4094" s="27" t="s">
        <v>41</v>
      </c>
      <c r="D4094" s="28"/>
      <c r="E4094" s="29"/>
      <c r="F4094" s="30">
        <f>[1]Source!AL3832</f>
        <v>0.81</v>
      </c>
      <c r="G4094" s="31"/>
      <c r="H4094" s="29">
        <f>[1]Source!AW3833</f>
        <v>1</v>
      </c>
      <c r="I4094" s="30">
        <f>[1]Source!P3832</f>
        <v>0.37</v>
      </c>
      <c r="J4094" s="29">
        <f>IF([1]Source!BC3833&lt;&gt; 0, [1]Source!BC3833, 1)</f>
        <v>14.57</v>
      </c>
      <c r="K4094" s="30">
        <f>[1]Source!P3833</f>
        <v>5.39</v>
      </c>
    </row>
    <row r="4095" spans="1:29" ht="27.6" hidden="1" x14ac:dyDescent="0.25">
      <c r="A4095" s="27" t="s">
        <v>791</v>
      </c>
      <c r="B4095" s="27" t="str">
        <f>[1]Source!F3834</f>
        <v>1.1-1-389</v>
      </c>
      <c r="C4095" s="27" t="s">
        <v>784</v>
      </c>
      <c r="D4095" s="28" t="str">
        <f>[1]Source!H3834</f>
        <v>т</v>
      </c>
      <c r="E4095" s="29">
        <f>[1]Source!I3834</f>
        <v>2.3E-2</v>
      </c>
      <c r="F4095" s="30">
        <f>[1]Source!AK3834</f>
        <v>43314.81</v>
      </c>
      <c r="G4095" s="43" t="s">
        <v>54</v>
      </c>
      <c r="H4095" s="29">
        <f>[1]Source!AW3835</f>
        <v>1</v>
      </c>
      <c r="I4095" s="30">
        <f>[1]Source!O3834</f>
        <v>996.24</v>
      </c>
      <c r="J4095" s="29">
        <f>IF([1]Source!BC3835&lt;&gt; 0, [1]Source!BC3835, 1)</f>
        <v>2.11</v>
      </c>
      <c r="K4095" s="30">
        <f>[1]Source!O3835</f>
        <v>2102.0700000000002</v>
      </c>
      <c r="Q4095">
        <f>[1]Source!X3834</f>
        <v>0</v>
      </c>
      <c r="R4095">
        <f>[1]Source!X3835</f>
        <v>0</v>
      </c>
      <c r="S4095">
        <f>[1]Source!Y3834</f>
        <v>0</v>
      </c>
      <c r="T4095">
        <f>[1]Source!Y3835</f>
        <v>0</v>
      </c>
      <c r="U4095">
        <f>ROUND((175/100)*ROUND([1]Source!R3834, 2), 2)</f>
        <v>0</v>
      </c>
      <c r="V4095">
        <f>ROUND((0/100)*ROUND([1]Source!R3835, 2), 2)</f>
        <v>0</v>
      </c>
      <c r="AC4095">
        <v>3</v>
      </c>
    </row>
    <row r="4096" spans="1:29" ht="55.2" hidden="1" x14ac:dyDescent="0.25">
      <c r="A4096" s="27" t="s">
        <v>792</v>
      </c>
      <c r="B4096" s="27" t="str">
        <f>[1]Source!F3836</f>
        <v>1.1-1-3320</v>
      </c>
      <c r="C4096" s="27" t="s">
        <v>793</v>
      </c>
      <c r="D4096" s="28" t="str">
        <f>[1]Source!H3836</f>
        <v>м2</v>
      </c>
      <c r="E4096" s="29">
        <f>[1]Source!I3836</f>
        <v>49.22</v>
      </c>
      <c r="F4096" s="30">
        <f>[1]Source!AK3836</f>
        <v>324.72000000000003</v>
      </c>
      <c r="G4096" s="43" t="s">
        <v>54</v>
      </c>
      <c r="H4096" s="29">
        <f>[1]Source!AW3837</f>
        <v>1</v>
      </c>
      <c r="I4096" s="30">
        <f>[1]Source!O3836</f>
        <v>15982.72</v>
      </c>
      <c r="J4096" s="29">
        <f>IF([1]Source!BC3837&lt;&gt; 0, [1]Source!BC3837, 1)</f>
        <v>2.19</v>
      </c>
      <c r="K4096" s="30">
        <f>[1]Source!O3837</f>
        <v>35002.160000000003</v>
      </c>
      <c r="Q4096">
        <f>[1]Source!X3836</f>
        <v>0</v>
      </c>
      <c r="R4096">
        <f>[1]Source!X3837</f>
        <v>0</v>
      </c>
      <c r="S4096">
        <f>[1]Source!Y3836</f>
        <v>0</v>
      </c>
      <c r="T4096">
        <f>[1]Source!Y3837</f>
        <v>0</v>
      </c>
      <c r="U4096">
        <f>ROUND((175/100)*ROUND([1]Source!R3836, 2), 2)</f>
        <v>0</v>
      </c>
      <c r="V4096">
        <f>ROUND((0/100)*ROUND([1]Source!R3837, 2), 2)</f>
        <v>0</v>
      </c>
      <c r="AC4096">
        <v>3</v>
      </c>
    </row>
    <row r="4097" spans="1:29" ht="14.4" hidden="1" x14ac:dyDescent="0.25">
      <c r="A4097" s="27"/>
      <c r="B4097" s="27"/>
      <c r="C4097" s="27" t="s">
        <v>42</v>
      </c>
      <c r="D4097" s="28" t="s">
        <v>43</v>
      </c>
      <c r="E4097" s="29">
        <f>[1]Source!BZ3833</f>
        <v>101</v>
      </c>
      <c r="F4097" s="30"/>
      <c r="G4097" s="31"/>
      <c r="H4097" s="29"/>
      <c r="I4097" s="30">
        <f>SUM(Q4089:Q4096)</f>
        <v>415.08</v>
      </c>
      <c r="J4097" s="29">
        <f>[1]Source!AT3833</f>
        <v>101</v>
      </c>
      <c r="K4097" s="30">
        <f>SUM(R4089:R4096)</f>
        <v>23389.74</v>
      </c>
    </row>
    <row r="4098" spans="1:29" ht="14.4" hidden="1" x14ac:dyDescent="0.25">
      <c r="A4098" s="27"/>
      <c r="B4098" s="27"/>
      <c r="C4098" s="27" t="s">
        <v>44</v>
      </c>
      <c r="D4098" s="28" t="s">
        <v>43</v>
      </c>
      <c r="E4098" s="29">
        <f>[1]Source!CA3833</f>
        <v>55</v>
      </c>
      <c r="F4098" s="30"/>
      <c r="G4098" s="31"/>
      <c r="H4098" s="29"/>
      <c r="I4098" s="30">
        <f>SUM(S4089:S4097)</f>
        <v>226.03</v>
      </c>
      <c r="J4098" s="29">
        <f>[1]Source!AU3833</f>
        <v>55</v>
      </c>
      <c r="K4098" s="30">
        <f>SUM(T4089:T4097)</f>
        <v>12736.99</v>
      </c>
    </row>
    <row r="4099" spans="1:29" ht="14.4" hidden="1" x14ac:dyDescent="0.25">
      <c r="A4099" s="34"/>
      <c r="B4099" s="34"/>
      <c r="C4099" s="34" t="s">
        <v>45</v>
      </c>
      <c r="D4099" s="35" t="s">
        <v>46</v>
      </c>
      <c r="E4099" s="36">
        <f>[1]Source!AQ3832</f>
        <v>38.200000000000003</v>
      </c>
      <c r="F4099" s="37"/>
      <c r="G4099" s="38" t="s">
        <v>37</v>
      </c>
      <c r="H4099" s="36">
        <f>[1]Source!AV3833</f>
        <v>1.0469999999999999</v>
      </c>
      <c r="I4099" s="37">
        <f>[1]Source!U3832</f>
        <v>25.38907992</v>
      </c>
      <c r="J4099" s="36"/>
      <c r="K4099" s="37"/>
    </row>
    <row r="4100" spans="1:29" ht="13.8" hidden="1" x14ac:dyDescent="0.25">
      <c r="C4100" s="39" t="s">
        <v>47</v>
      </c>
      <c r="H4100" s="40">
        <f>I4091+I4092+I4094+I4097+I4098+SUM(I4095:I4096)-SUMIF(AC4095:AC4096, 5, I4095:I4096)-SUMIF(AC4095:AC4096, 6, I4095:I4096)</f>
        <v>18065.52</v>
      </c>
      <c r="I4100" s="40"/>
      <c r="J4100" s="40">
        <f>K4091+K4092+K4094+K4097+K4098+SUM(K4095:K4096)-SUMIF(AC4095:AC4096, 5, K4095:K4096)-SUMIF(AC4095:AC4096, 6, K4095:K4096)</f>
        <v>96736.77</v>
      </c>
      <c r="K4100" s="40"/>
    </row>
    <row r="4101" spans="1:29" ht="13.8" hidden="1" x14ac:dyDescent="0.25">
      <c r="C4101" s="39" t="s">
        <v>48</v>
      </c>
      <c r="H4101" s="41">
        <f>SUMIF(AC4095:AC4096, 5, I4095:I4096)+SUMIF(AC4095:AC4096, 6, I4095:I4096)</f>
        <v>0</v>
      </c>
      <c r="I4101" s="41"/>
      <c r="J4101" s="41">
        <f>SUMIF(AC4095:AC4096, 5, K4095:K4096)+SUMIF(AC4095:AC4096, 6, K4095:K4096)</f>
        <v>0</v>
      </c>
      <c r="K4101" s="41"/>
    </row>
    <row r="4102" spans="1:29" ht="13.8" hidden="1" x14ac:dyDescent="0.25">
      <c r="C4102" s="39" t="s">
        <v>49</v>
      </c>
      <c r="H4102" s="41">
        <f>I4091+I4092+I4094+I4097+I4098+SUM(I4095:I4096)</f>
        <v>18065.52</v>
      </c>
      <c r="I4102" s="41"/>
      <c r="J4102" s="41">
        <f>K4091+K4092+K4094+K4097+K4098+SUM(K4095:K4096)</f>
        <v>96736.77</v>
      </c>
      <c r="K4102" s="41"/>
      <c r="O4102" s="42">
        <f>I4091+I4092+I4094+I4097+I4098+SUM(I4095:I4096)</f>
        <v>18065.52</v>
      </c>
      <c r="P4102" s="42">
        <f>K4091+K4092+K4094+K4097+K4098+SUM(K4095:K4096)</f>
        <v>96736.77</v>
      </c>
    </row>
    <row r="4103" spans="1:29" hidden="1" x14ac:dyDescent="0.25"/>
    <row r="4104" spans="1:29" hidden="1" x14ac:dyDescent="0.25"/>
    <row r="4105" spans="1:29" ht="13.8" hidden="1" x14ac:dyDescent="0.25">
      <c r="A4105" s="44" t="str">
        <f>CONCATENATE("Итого по подразделу: ",IF([1]Source!G3839&lt;&gt;"Новый подраздел", [1]Source!G3839, ""))</f>
        <v>Итого по подразделу: Подвал. Линолеум</v>
      </c>
      <c r="B4105" s="44"/>
      <c r="C4105" s="44"/>
      <c r="D4105" s="44"/>
      <c r="E4105" s="44"/>
      <c r="F4105" s="44"/>
      <c r="G4105" s="44"/>
      <c r="H4105" s="41">
        <f>SUM(O4035:O4104)</f>
        <v>25725.56</v>
      </c>
      <c r="I4105" s="45"/>
      <c r="J4105" s="41">
        <f>SUM(P4035:P4104)</f>
        <v>305241.26</v>
      </c>
      <c r="K4105" s="45"/>
    </row>
    <row r="4106" spans="1:29" hidden="1" x14ac:dyDescent="0.25">
      <c r="A4106" t="s">
        <v>55</v>
      </c>
      <c r="I4106">
        <f>SUM(W4035:W4105)</f>
        <v>0</v>
      </c>
      <c r="J4106">
        <f>SUM(X4035:X4105)</f>
        <v>0</v>
      </c>
    </row>
    <row r="4107" spans="1:29" hidden="1" x14ac:dyDescent="0.25">
      <c r="A4107" t="s">
        <v>56</v>
      </c>
      <c r="I4107">
        <f>SUM(Y4035:Y4106)</f>
        <v>0</v>
      </c>
      <c r="J4107">
        <f>SUM(Z4035:Z4106)</f>
        <v>0</v>
      </c>
    </row>
    <row r="4108" spans="1:29" hidden="1" x14ac:dyDescent="0.25"/>
    <row r="4109" spans="1:29" ht="16.8" hidden="1" x14ac:dyDescent="0.25">
      <c r="A4109" s="11" t="str">
        <f>CONCATENATE("Подраздел: ",IF([1]Source!G3869&lt;&gt;"Новый подраздел", [1]Source!G3869, ""))</f>
        <v>Подраздел: Пятый этаж. Керамогранит 600х600 мм</v>
      </c>
      <c r="B4109" s="11"/>
      <c r="C4109" s="11"/>
      <c r="D4109" s="11"/>
      <c r="E4109" s="11"/>
      <c r="F4109" s="11"/>
      <c r="G4109" s="11"/>
      <c r="H4109" s="11"/>
      <c r="I4109" s="11"/>
      <c r="J4109" s="11"/>
      <c r="K4109" s="11"/>
    </row>
    <row r="4110" spans="1:29" ht="57.6" hidden="1" x14ac:dyDescent="0.25">
      <c r="A4110" s="27">
        <v>399</v>
      </c>
      <c r="B4110" s="27" t="str">
        <f>[1]Source!F3873</f>
        <v>3.70-159-1</v>
      </c>
      <c r="C4110" s="27" t="s">
        <v>717</v>
      </c>
      <c r="D4110" s="28" t="str">
        <f>[1]Source!H3873</f>
        <v>100 м2 стяжки</v>
      </c>
      <c r="E4110" s="29">
        <f>[1]Source!I3873</f>
        <v>0.46</v>
      </c>
      <c r="F4110" s="30"/>
      <c r="G4110" s="31"/>
      <c r="H4110" s="29"/>
      <c r="I4110" s="30"/>
      <c r="J4110" s="29"/>
      <c r="K4110" s="30"/>
      <c r="Q4110">
        <f>[1]Source!X3873</f>
        <v>218.47</v>
      </c>
      <c r="R4110">
        <f>[1]Source!X3874</f>
        <v>12310.96</v>
      </c>
      <c r="S4110">
        <f>[1]Source!Y3873</f>
        <v>118.97</v>
      </c>
      <c r="T4110">
        <f>[1]Source!Y3874</f>
        <v>6703.99</v>
      </c>
      <c r="U4110">
        <f>ROUND((175/100)*ROUND([1]Source!R3873, 2), 2)</f>
        <v>0</v>
      </c>
      <c r="V4110">
        <f>ROUND((0/100)*ROUND([1]Source!R3874, 2), 2)</f>
        <v>0</v>
      </c>
      <c r="AC4110">
        <v>0</v>
      </c>
    </row>
    <row r="4111" spans="1:29" hidden="1" x14ac:dyDescent="0.25">
      <c r="C4111" s="32" t="str">
        <f>"Объем: "&amp;[1]Source!I3873&amp;"=46/"&amp;"100"</f>
        <v>Объем: 0,46=46/100</v>
      </c>
    </row>
    <row r="4112" spans="1:29" ht="14.4" hidden="1" x14ac:dyDescent="0.25">
      <c r="A4112" s="27"/>
      <c r="B4112" s="27"/>
      <c r="C4112" s="27" t="s">
        <v>36</v>
      </c>
      <c r="D4112" s="28"/>
      <c r="E4112" s="29"/>
      <c r="F4112" s="30">
        <f>[1]Source!AO3873</f>
        <v>325.45</v>
      </c>
      <c r="G4112" s="31" t="s">
        <v>37</v>
      </c>
      <c r="H4112" s="29">
        <f>[1]Source!AV3874</f>
        <v>1.0469999999999999</v>
      </c>
      <c r="I4112" s="30">
        <f>[1]Source!S3873</f>
        <v>216.31</v>
      </c>
      <c r="J4112" s="29">
        <f>IF([1]Source!BA3874&lt;&gt; 0, [1]Source!BA3874, 1)</f>
        <v>56.35</v>
      </c>
      <c r="K4112" s="30">
        <f>[1]Source!S3874</f>
        <v>12189.07</v>
      </c>
    </row>
    <row r="4113" spans="1:29" ht="14.4" hidden="1" x14ac:dyDescent="0.25">
      <c r="A4113" s="27"/>
      <c r="B4113" s="27"/>
      <c r="C4113" s="27" t="s">
        <v>38</v>
      </c>
      <c r="D4113" s="28"/>
      <c r="E4113" s="29"/>
      <c r="F4113" s="30">
        <f>[1]Source!AM3873</f>
        <v>1.8</v>
      </c>
      <c r="G4113" s="31" t="s">
        <v>39</v>
      </c>
      <c r="H4113" s="29">
        <f>[1]Source!AV3874</f>
        <v>1.0469999999999999</v>
      </c>
      <c r="I4113" s="30">
        <f>[1]Source!Q3873</f>
        <v>1.3</v>
      </c>
      <c r="J4113" s="29">
        <f>IF([1]Source!BB3874&lt;&gt; 0, [1]Source!BB3874, 1)</f>
        <v>11.69</v>
      </c>
      <c r="K4113" s="30">
        <f>[1]Source!Q3874</f>
        <v>15.2</v>
      </c>
    </row>
    <row r="4114" spans="1:29" ht="14.4" hidden="1" x14ac:dyDescent="0.25">
      <c r="A4114" s="27"/>
      <c r="B4114" s="27"/>
      <c r="C4114" s="27" t="s">
        <v>41</v>
      </c>
      <c r="D4114" s="28"/>
      <c r="E4114" s="29"/>
      <c r="F4114" s="30">
        <f>[1]Source!AL3873</f>
        <v>24.75</v>
      </c>
      <c r="G4114" s="31"/>
      <c r="H4114" s="29">
        <f>[1]Source!AW3874</f>
        <v>1</v>
      </c>
      <c r="I4114" s="30">
        <f>[1]Source!P3873</f>
        <v>11.39</v>
      </c>
      <c r="J4114" s="29">
        <f>IF([1]Source!BC3874&lt;&gt; 0, [1]Source!BC3874, 1)</f>
        <v>7.75</v>
      </c>
      <c r="K4114" s="30">
        <f>[1]Source!P3874</f>
        <v>88.27</v>
      </c>
    </row>
    <row r="4115" spans="1:29" ht="27.6" hidden="1" x14ac:dyDescent="0.25">
      <c r="A4115" s="27" t="s">
        <v>794</v>
      </c>
      <c r="B4115" s="27" t="str">
        <f>[1]Source!F3875</f>
        <v>1.3-2-7</v>
      </c>
      <c r="C4115" s="27" t="s">
        <v>752</v>
      </c>
      <c r="D4115" s="28" t="str">
        <f>[1]Source!H3875</f>
        <v>м3</v>
      </c>
      <c r="E4115" s="29">
        <f>[1]Source!I3875</f>
        <v>0.93840000000000001</v>
      </c>
      <c r="F4115" s="30">
        <f>[1]Source!AK3875</f>
        <v>507.97</v>
      </c>
      <c r="G4115" s="43" t="s">
        <v>54</v>
      </c>
      <c r="H4115" s="29">
        <f>[1]Source!AW3876</f>
        <v>1</v>
      </c>
      <c r="I4115" s="30">
        <f>[1]Source!O3875</f>
        <v>476.68</v>
      </c>
      <c r="J4115" s="29">
        <f>IF([1]Source!BC3876&lt;&gt; 0, [1]Source!BC3876, 1)</f>
        <v>10.98</v>
      </c>
      <c r="K4115" s="30">
        <f>[1]Source!O3876</f>
        <v>5233.95</v>
      </c>
      <c r="Q4115">
        <f>[1]Source!X3875</f>
        <v>0</v>
      </c>
      <c r="R4115">
        <f>[1]Source!X3876</f>
        <v>0</v>
      </c>
      <c r="S4115">
        <f>[1]Source!Y3875</f>
        <v>0</v>
      </c>
      <c r="T4115">
        <f>[1]Source!Y3876</f>
        <v>0</v>
      </c>
      <c r="U4115">
        <f>ROUND((175/100)*ROUND([1]Source!R3875, 2), 2)</f>
        <v>0</v>
      </c>
      <c r="V4115">
        <f>ROUND((0/100)*ROUND([1]Source!R3876, 2), 2)</f>
        <v>0</v>
      </c>
      <c r="AC4115">
        <v>3</v>
      </c>
    </row>
    <row r="4116" spans="1:29" ht="14.4" hidden="1" x14ac:dyDescent="0.25">
      <c r="A4116" s="27"/>
      <c r="B4116" s="27"/>
      <c r="C4116" s="27" t="s">
        <v>42</v>
      </c>
      <c r="D4116" s="28" t="s">
        <v>43</v>
      </c>
      <c r="E4116" s="29">
        <f>[1]Source!BZ3874</f>
        <v>101</v>
      </c>
      <c r="F4116" s="30"/>
      <c r="G4116" s="31"/>
      <c r="H4116" s="29"/>
      <c r="I4116" s="30">
        <f>SUM(Q4110:Q4115)</f>
        <v>218.47</v>
      </c>
      <c r="J4116" s="29">
        <f>[1]Source!AT3874</f>
        <v>101</v>
      </c>
      <c r="K4116" s="30">
        <f>SUM(R4110:R4115)</f>
        <v>12310.96</v>
      </c>
    </row>
    <row r="4117" spans="1:29" ht="14.4" hidden="1" x14ac:dyDescent="0.25">
      <c r="A4117" s="27"/>
      <c r="B4117" s="27"/>
      <c r="C4117" s="27" t="s">
        <v>44</v>
      </c>
      <c r="D4117" s="28" t="s">
        <v>43</v>
      </c>
      <c r="E4117" s="29">
        <f>[1]Source!CA3874</f>
        <v>55</v>
      </c>
      <c r="F4117" s="30"/>
      <c r="G4117" s="31"/>
      <c r="H4117" s="29"/>
      <c r="I4117" s="30">
        <f>SUM(S4110:S4116)</f>
        <v>118.97</v>
      </c>
      <c r="J4117" s="29">
        <f>[1]Source!AU3874</f>
        <v>55</v>
      </c>
      <c r="K4117" s="30">
        <f>SUM(T4110:T4116)</f>
        <v>6703.99</v>
      </c>
    </row>
    <row r="4118" spans="1:29" ht="14.4" hidden="1" x14ac:dyDescent="0.25">
      <c r="A4118" s="34"/>
      <c r="B4118" s="34"/>
      <c r="C4118" s="34" t="s">
        <v>45</v>
      </c>
      <c r="D4118" s="35" t="s">
        <v>46</v>
      </c>
      <c r="E4118" s="36">
        <f>[1]Source!AQ3873</f>
        <v>23.33</v>
      </c>
      <c r="F4118" s="37"/>
      <c r="G4118" s="38" t="s">
        <v>37</v>
      </c>
      <c r="H4118" s="36">
        <f>[1]Source!AV3874</f>
        <v>1.0469999999999999</v>
      </c>
      <c r="I4118" s="37">
        <f>[1]Source!U3873</f>
        <v>15.505948547999997</v>
      </c>
      <c r="J4118" s="36"/>
      <c r="K4118" s="37"/>
    </row>
    <row r="4119" spans="1:29" ht="13.8" hidden="1" x14ac:dyDescent="0.25">
      <c r="C4119" s="39" t="s">
        <v>47</v>
      </c>
      <c r="H4119" s="40">
        <f>I4112+I4113+I4114+I4116+I4117+SUM(I4115:I4115)-SUMIF(AC4115:AC4115, 5, I4115:I4115)-SUMIF(AC4115:AC4115, 6, I4115:I4115)</f>
        <v>1043.1200000000001</v>
      </c>
      <c r="I4119" s="40"/>
      <c r="J4119" s="40">
        <f>K4112+K4113+K4114+K4116+K4117+SUM(K4115:K4115)-SUMIF(AC4115:AC4115, 5, K4115:K4115)-SUMIF(AC4115:AC4115, 6, K4115:K4115)</f>
        <v>36541.439999999995</v>
      </c>
      <c r="K4119" s="40"/>
    </row>
    <row r="4120" spans="1:29" ht="13.8" hidden="1" x14ac:dyDescent="0.25">
      <c r="C4120" s="39" t="s">
        <v>48</v>
      </c>
      <c r="H4120" s="41">
        <f>SUMIF(AC4115:AC4115, 5, I4115:I4115)+SUMIF(AC4115:AC4115, 6, I4115:I4115)</f>
        <v>0</v>
      </c>
      <c r="I4120" s="41"/>
      <c r="J4120" s="41">
        <f>SUMIF(AC4115:AC4115, 5, K4115:K4115)+SUMIF(AC4115:AC4115, 6, K4115:K4115)</f>
        <v>0</v>
      </c>
      <c r="K4120" s="41"/>
    </row>
    <row r="4121" spans="1:29" ht="13.8" hidden="1" x14ac:dyDescent="0.25">
      <c r="C4121" s="39" t="s">
        <v>49</v>
      </c>
      <c r="H4121" s="41">
        <f>I4112+I4113+I4114+I4116+I4117+SUM(I4115:I4115)</f>
        <v>1043.1200000000001</v>
      </c>
      <c r="I4121" s="41"/>
      <c r="J4121" s="41">
        <f>K4112+K4113+K4114+K4116+K4117+SUM(K4115:K4115)</f>
        <v>36541.439999999995</v>
      </c>
      <c r="K4121" s="41"/>
      <c r="O4121" s="42">
        <f>I4112+I4113+I4114+I4116+I4117+SUM(I4115:I4115)</f>
        <v>1043.1200000000001</v>
      </c>
      <c r="P4121" s="42">
        <f>K4112+K4113+K4114+K4116+K4117+SUM(K4115:K4115)</f>
        <v>36541.439999999995</v>
      </c>
    </row>
    <row r="4122" spans="1:29" hidden="1" x14ac:dyDescent="0.25"/>
    <row r="4123" spans="1:29" ht="57.6" hidden="1" x14ac:dyDescent="0.25">
      <c r="A4123" s="27">
        <v>400</v>
      </c>
      <c r="B4123" s="27" t="str">
        <f>[1]Source!F3877</f>
        <v>3.70-159-2</v>
      </c>
      <c r="C4123" s="27" t="s">
        <v>719</v>
      </c>
      <c r="D4123" s="28" t="str">
        <f>[1]Source!H3877</f>
        <v>100 м2 стяжки</v>
      </c>
      <c r="E4123" s="29">
        <f>[1]Source!I3877</f>
        <v>0.46</v>
      </c>
      <c r="F4123" s="30"/>
      <c r="G4123" s="31"/>
      <c r="H4123" s="29"/>
      <c r="I4123" s="30"/>
      <c r="J4123" s="29"/>
      <c r="K4123" s="30"/>
      <c r="Q4123">
        <f>[1]Source!X3877</f>
        <v>34.81</v>
      </c>
      <c r="R4123">
        <f>[1]Source!X3878</f>
        <v>1961.8</v>
      </c>
      <c r="S4123">
        <f>[1]Source!Y3877</f>
        <v>18.96</v>
      </c>
      <c r="T4123">
        <f>[1]Source!Y3878</f>
        <v>1068.31</v>
      </c>
      <c r="U4123">
        <f>ROUND((175/100)*ROUND([1]Source!R3877, 2), 2)</f>
        <v>0</v>
      </c>
      <c r="V4123">
        <f>ROUND((0/100)*ROUND([1]Source!R3878, 2), 2)</f>
        <v>0</v>
      </c>
      <c r="AC4123">
        <v>0</v>
      </c>
    </row>
    <row r="4124" spans="1:29" hidden="1" x14ac:dyDescent="0.25">
      <c r="C4124" s="32" t="str">
        <f>"Объем: "&amp;[1]Source!I3877&amp;"=46/"&amp;"100"</f>
        <v>Объем: 0,46=46/100</v>
      </c>
    </row>
    <row r="4125" spans="1:29" ht="14.4" hidden="1" x14ac:dyDescent="0.25">
      <c r="A4125" s="27"/>
      <c r="B4125" s="27"/>
      <c r="C4125" s="27" t="s">
        <v>36</v>
      </c>
      <c r="D4125" s="28"/>
      <c r="E4125" s="29"/>
      <c r="F4125" s="30">
        <f>[1]Source!AO3877</f>
        <v>6.03</v>
      </c>
      <c r="G4125" s="31" t="s">
        <v>777</v>
      </c>
      <c r="H4125" s="29">
        <f>[1]Source!AV3878</f>
        <v>1.0469999999999999</v>
      </c>
      <c r="I4125" s="30">
        <f>[1]Source!S3877</f>
        <v>34.47</v>
      </c>
      <c r="J4125" s="29">
        <f>IF([1]Source!BA3878&lt;&gt; 0, [1]Source!BA3878, 1)</f>
        <v>56.35</v>
      </c>
      <c r="K4125" s="30">
        <f>[1]Source!S3878</f>
        <v>1942.38</v>
      </c>
    </row>
    <row r="4126" spans="1:29" ht="14.4" hidden="1" x14ac:dyDescent="0.25">
      <c r="A4126" s="27"/>
      <c r="B4126" s="27"/>
      <c r="C4126" s="27" t="s">
        <v>38</v>
      </c>
      <c r="D4126" s="28"/>
      <c r="E4126" s="29"/>
      <c r="F4126" s="30">
        <f>[1]Source!AM3877</f>
        <v>0.46</v>
      </c>
      <c r="G4126" s="31" t="s">
        <v>778</v>
      </c>
      <c r="H4126" s="29">
        <f>[1]Source!AV3878</f>
        <v>1.0469999999999999</v>
      </c>
      <c r="I4126" s="30">
        <f>[1]Source!Q3877</f>
        <v>2.86</v>
      </c>
      <c r="J4126" s="29">
        <f>IF([1]Source!BB3878&lt;&gt; 0, [1]Source!BB3878, 1)</f>
        <v>11.7</v>
      </c>
      <c r="K4126" s="30">
        <f>[1]Source!Q3878</f>
        <v>33.46</v>
      </c>
    </row>
    <row r="4127" spans="1:29" ht="27.6" hidden="1" x14ac:dyDescent="0.25">
      <c r="A4127" s="27" t="s">
        <v>795</v>
      </c>
      <c r="B4127" s="27" t="str">
        <f>[1]Source!F3879</f>
        <v>1.3-2-7</v>
      </c>
      <c r="C4127" s="27" t="s">
        <v>752</v>
      </c>
      <c r="D4127" s="28" t="str">
        <f>[1]Source!H3879</f>
        <v>м3</v>
      </c>
      <c r="E4127" s="29">
        <f>[1]Source!I3879</f>
        <v>2.01756</v>
      </c>
      <c r="F4127" s="30">
        <f>[1]Source!AK3879</f>
        <v>507.97</v>
      </c>
      <c r="G4127" s="43" t="s">
        <v>54</v>
      </c>
      <c r="H4127" s="29">
        <f>[1]Source!AW3880</f>
        <v>1</v>
      </c>
      <c r="I4127" s="30">
        <f>[1]Source!O3879</f>
        <v>1024.8599999999999</v>
      </c>
      <c r="J4127" s="29">
        <f>IF([1]Source!BC3880&lt;&gt; 0, [1]Source!BC3880, 1)</f>
        <v>10.98</v>
      </c>
      <c r="K4127" s="30">
        <f>[1]Source!O3880</f>
        <v>11252.96</v>
      </c>
      <c r="Q4127">
        <f>[1]Source!X3879</f>
        <v>0</v>
      </c>
      <c r="R4127">
        <f>[1]Source!X3880</f>
        <v>0</v>
      </c>
      <c r="S4127">
        <f>[1]Source!Y3879</f>
        <v>0</v>
      </c>
      <c r="T4127">
        <f>[1]Source!Y3880</f>
        <v>0</v>
      </c>
      <c r="U4127">
        <f>ROUND((175/100)*ROUND([1]Source!R3879, 2), 2)</f>
        <v>0</v>
      </c>
      <c r="V4127">
        <f>ROUND((0/100)*ROUND([1]Source!R3880, 2), 2)</f>
        <v>0</v>
      </c>
      <c r="AC4127">
        <v>3</v>
      </c>
    </row>
    <row r="4128" spans="1:29" ht="14.4" hidden="1" x14ac:dyDescent="0.25">
      <c r="A4128" s="27"/>
      <c r="B4128" s="27"/>
      <c r="C4128" s="27" t="s">
        <v>42</v>
      </c>
      <c r="D4128" s="28" t="s">
        <v>43</v>
      </c>
      <c r="E4128" s="29">
        <f>[1]Source!BZ3878</f>
        <v>101</v>
      </c>
      <c r="F4128" s="30"/>
      <c r="G4128" s="31"/>
      <c r="H4128" s="29"/>
      <c r="I4128" s="30">
        <f>SUM(Q4123:Q4127)</f>
        <v>34.81</v>
      </c>
      <c r="J4128" s="29">
        <f>[1]Source!AT3878</f>
        <v>101</v>
      </c>
      <c r="K4128" s="30">
        <f>SUM(R4123:R4127)</f>
        <v>1961.8</v>
      </c>
    </row>
    <row r="4129" spans="1:29" ht="14.4" hidden="1" x14ac:dyDescent="0.25">
      <c r="A4129" s="27"/>
      <c r="B4129" s="27"/>
      <c r="C4129" s="27" t="s">
        <v>44</v>
      </c>
      <c r="D4129" s="28" t="s">
        <v>43</v>
      </c>
      <c r="E4129" s="29">
        <f>[1]Source!CA3878</f>
        <v>55</v>
      </c>
      <c r="F4129" s="30"/>
      <c r="G4129" s="31"/>
      <c r="H4129" s="29"/>
      <c r="I4129" s="30">
        <f>SUM(S4123:S4128)</f>
        <v>18.96</v>
      </c>
      <c r="J4129" s="29">
        <f>[1]Source!AU3878</f>
        <v>55</v>
      </c>
      <c r="K4129" s="30">
        <f>SUM(T4123:T4128)</f>
        <v>1068.31</v>
      </c>
    </row>
    <row r="4130" spans="1:29" ht="14.4" hidden="1" x14ac:dyDescent="0.25">
      <c r="A4130" s="34"/>
      <c r="B4130" s="34"/>
      <c r="C4130" s="34" t="s">
        <v>45</v>
      </c>
      <c r="D4130" s="35" t="s">
        <v>46</v>
      </c>
      <c r="E4130" s="36">
        <f>[1]Source!AQ3877</f>
        <v>0.44</v>
      </c>
      <c r="F4130" s="37"/>
      <c r="G4130" s="38" t="s">
        <v>777</v>
      </c>
      <c r="H4130" s="36">
        <f>[1]Source!AV3878</f>
        <v>1.0469999999999999</v>
      </c>
      <c r="I4130" s="37">
        <f>[1]Source!U3877</f>
        <v>2.5149811103999995</v>
      </c>
      <c r="J4130" s="36"/>
      <c r="K4130" s="37"/>
    </row>
    <row r="4131" spans="1:29" ht="13.8" hidden="1" x14ac:dyDescent="0.25">
      <c r="C4131" s="39" t="s">
        <v>47</v>
      </c>
      <c r="H4131" s="40">
        <f>I4125+I4126+I4128+I4129+SUM(I4127:I4127)-SUMIF(AC4127:AC4127, 5, I4127:I4127)-SUMIF(AC4127:AC4127, 6, I4127:I4127)</f>
        <v>1115.9599999999998</v>
      </c>
      <c r="I4131" s="40"/>
      <c r="J4131" s="40">
        <f>K4125+K4126+K4128+K4129+SUM(K4127:K4127)-SUMIF(AC4127:AC4127, 5, K4127:K4127)-SUMIF(AC4127:AC4127, 6, K4127:K4127)</f>
        <v>16258.91</v>
      </c>
      <c r="K4131" s="40"/>
    </row>
    <row r="4132" spans="1:29" ht="13.8" hidden="1" x14ac:dyDescent="0.25">
      <c r="C4132" s="39" t="s">
        <v>48</v>
      </c>
      <c r="H4132" s="41">
        <f>SUMIF(AC4127:AC4127, 5, I4127:I4127)+SUMIF(AC4127:AC4127, 6, I4127:I4127)</f>
        <v>0</v>
      </c>
      <c r="I4132" s="41"/>
      <c r="J4132" s="41">
        <f>SUMIF(AC4127:AC4127, 5, K4127:K4127)+SUMIF(AC4127:AC4127, 6, K4127:K4127)</f>
        <v>0</v>
      </c>
      <c r="K4132" s="41"/>
    </row>
    <row r="4133" spans="1:29" ht="13.8" hidden="1" x14ac:dyDescent="0.25">
      <c r="C4133" s="39" t="s">
        <v>49</v>
      </c>
      <c r="H4133" s="41">
        <f>I4125+I4126+I4128+I4129+SUM(I4127:I4127)</f>
        <v>1115.9599999999998</v>
      </c>
      <c r="I4133" s="41"/>
      <c r="J4133" s="41">
        <f>K4125+K4126+K4128+K4129+SUM(K4127:K4127)</f>
        <v>16258.91</v>
      </c>
      <c r="K4133" s="41"/>
      <c r="O4133" s="42">
        <f>I4125+I4126+I4128+I4129+SUM(I4127:I4127)</f>
        <v>1115.9599999999998</v>
      </c>
      <c r="P4133" s="42">
        <f>K4125+K4126+K4128+K4129+SUM(K4127:K4127)</f>
        <v>16258.91</v>
      </c>
    </row>
    <row r="4134" spans="1:29" hidden="1" x14ac:dyDescent="0.25"/>
    <row r="4135" spans="1:29" ht="27.6" hidden="1" x14ac:dyDescent="0.25">
      <c r="A4135" s="27">
        <v>401</v>
      </c>
      <c r="B4135" s="27" t="str">
        <f>[1]Source!F3881</f>
        <v>3.70-43-6</v>
      </c>
      <c r="C4135" s="27" t="s">
        <v>723</v>
      </c>
      <c r="D4135" s="28" t="str">
        <f>[1]Source!H3881</f>
        <v>1 Т</v>
      </c>
      <c r="E4135" s="29">
        <f>[1]Source!I3881</f>
        <v>0.1265</v>
      </c>
      <c r="F4135" s="30"/>
      <c r="G4135" s="31"/>
      <c r="H4135" s="29"/>
      <c r="I4135" s="30"/>
      <c r="J4135" s="29"/>
      <c r="K4135" s="30"/>
      <c r="Q4135">
        <f>[1]Source!X3881</f>
        <v>31.28</v>
      </c>
      <c r="R4135">
        <f>[1]Source!X3882</f>
        <v>1762.63</v>
      </c>
      <c r="S4135">
        <f>[1]Source!Y3881</f>
        <v>16.66</v>
      </c>
      <c r="T4135">
        <f>[1]Source!Y3882</f>
        <v>938.79</v>
      </c>
      <c r="U4135">
        <f>ROUND((175/100)*ROUND([1]Source!R3881, 2), 2)</f>
        <v>1.77</v>
      </c>
      <c r="V4135">
        <f>ROUND((0/100)*ROUND([1]Source!R3882, 2), 2)</f>
        <v>0</v>
      </c>
      <c r="AC4135">
        <v>0</v>
      </c>
    </row>
    <row r="4136" spans="1:29" hidden="1" x14ac:dyDescent="0.25">
      <c r="C4136" s="32" t="str">
        <f>"Объем: "&amp;[1]Source!I3881&amp;"=(2,75*"&amp;"46)/"&amp;"1000"</f>
        <v>Объем: 0,1265=(2,75*46)/1000</v>
      </c>
    </row>
    <row r="4137" spans="1:29" ht="14.4" hidden="1" x14ac:dyDescent="0.25">
      <c r="A4137" s="27"/>
      <c r="B4137" s="27"/>
      <c r="C4137" s="27" t="s">
        <v>36</v>
      </c>
      <c r="D4137" s="28"/>
      <c r="E4137" s="29"/>
      <c r="F4137" s="30">
        <f>[1]Source!AO3881</f>
        <v>180.47</v>
      </c>
      <c r="G4137" s="31" t="s">
        <v>37</v>
      </c>
      <c r="H4137" s="29">
        <f>[1]Source!AV3882</f>
        <v>1.0469999999999999</v>
      </c>
      <c r="I4137" s="30">
        <f>[1]Source!S3881</f>
        <v>32.99</v>
      </c>
      <c r="J4137" s="29">
        <f>IF([1]Source!BA3882&lt;&gt; 0, [1]Source!BA3882, 1)</f>
        <v>56.35</v>
      </c>
      <c r="K4137" s="30">
        <f>[1]Source!S3882</f>
        <v>1858.99</v>
      </c>
    </row>
    <row r="4138" spans="1:29" ht="14.4" hidden="1" x14ac:dyDescent="0.25">
      <c r="A4138" s="27"/>
      <c r="B4138" s="27"/>
      <c r="C4138" s="27" t="s">
        <v>38</v>
      </c>
      <c r="D4138" s="28"/>
      <c r="E4138" s="29"/>
      <c r="F4138" s="30">
        <f>[1]Source!AM3881</f>
        <v>43.5</v>
      </c>
      <c r="G4138" s="31" t="s">
        <v>39</v>
      </c>
      <c r="H4138" s="29">
        <f>[1]Source!AV3882</f>
        <v>1.0469999999999999</v>
      </c>
      <c r="I4138" s="30">
        <f>[1]Source!Q3881</f>
        <v>8.64</v>
      </c>
      <c r="J4138" s="29">
        <f>IF([1]Source!BB3882&lt;&gt; 0, [1]Source!BB3882, 1)</f>
        <v>15.44</v>
      </c>
      <c r="K4138" s="30">
        <f>[1]Source!Q3882</f>
        <v>133.4</v>
      </c>
    </row>
    <row r="4139" spans="1:29" ht="14.4" hidden="1" x14ac:dyDescent="0.25">
      <c r="A4139" s="27"/>
      <c r="B4139" s="27"/>
      <c r="C4139" s="27" t="s">
        <v>40</v>
      </c>
      <c r="D4139" s="28"/>
      <c r="E4139" s="29"/>
      <c r="F4139" s="30">
        <f>[1]Source!AN3881</f>
        <v>5.0599999999999996</v>
      </c>
      <c r="G4139" s="31" t="s">
        <v>39</v>
      </c>
      <c r="H4139" s="29">
        <f>[1]Source!AV3882</f>
        <v>1.0469999999999999</v>
      </c>
      <c r="I4139" s="33">
        <f>[1]Source!R3881</f>
        <v>1.01</v>
      </c>
      <c r="J4139" s="29">
        <f>IF([1]Source!BS3882&lt;&gt; 0, [1]Source!BS3882, 1)</f>
        <v>56.35</v>
      </c>
      <c r="K4139" s="33">
        <f>[1]Source!R3882</f>
        <v>56.91</v>
      </c>
    </row>
    <row r="4140" spans="1:29" ht="14.4" hidden="1" x14ac:dyDescent="0.25">
      <c r="A4140" s="27"/>
      <c r="B4140" s="27"/>
      <c r="C4140" s="27" t="s">
        <v>41</v>
      </c>
      <c r="D4140" s="28"/>
      <c r="E4140" s="29"/>
      <c r="F4140" s="30">
        <f>[1]Source!AL3881</f>
        <v>258.67</v>
      </c>
      <c r="G4140" s="31"/>
      <c r="H4140" s="29">
        <f>[1]Source!AW3882</f>
        <v>1.022</v>
      </c>
      <c r="I4140" s="30">
        <f>[1]Source!P3881</f>
        <v>33.44</v>
      </c>
      <c r="J4140" s="29">
        <f>IF([1]Source!BC3882&lt;&gt; 0, [1]Source!BC3882, 1)</f>
        <v>7.5</v>
      </c>
      <c r="K4140" s="30">
        <f>[1]Source!P3882</f>
        <v>250.8</v>
      </c>
    </row>
    <row r="4141" spans="1:29" ht="55.2" hidden="1" x14ac:dyDescent="0.25">
      <c r="A4141" s="27" t="s">
        <v>796</v>
      </c>
      <c r="B4141" s="27" t="str">
        <f>[1]Source!F3883</f>
        <v>1.3-4-75</v>
      </c>
      <c r="C4141" s="27" t="s">
        <v>725</v>
      </c>
      <c r="D4141" s="28" t="str">
        <f>[1]Source!H3883</f>
        <v>т</v>
      </c>
      <c r="E4141" s="29">
        <f>[1]Source!I3883</f>
        <v>0.1265</v>
      </c>
      <c r="F4141" s="30">
        <f>[1]Source!AK3883</f>
        <v>9724.69</v>
      </c>
      <c r="G4141" s="43" t="s">
        <v>54</v>
      </c>
      <c r="H4141" s="29">
        <f>[1]Source!AW3884</f>
        <v>1.022</v>
      </c>
      <c r="I4141" s="30">
        <f>[1]Source!O3883</f>
        <v>1257.24</v>
      </c>
      <c r="J4141" s="29">
        <f>IF([1]Source!BC3884&lt;&gt; 0, [1]Source!BC3884, 1)</f>
        <v>3.88</v>
      </c>
      <c r="K4141" s="30">
        <f>[1]Source!O3884</f>
        <v>4878.09</v>
      </c>
      <c r="Q4141">
        <f>[1]Source!X3883</f>
        <v>0</v>
      </c>
      <c r="R4141">
        <f>[1]Source!X3884</f>
        <v>0</v>
      </c>
      <c r="S4141">
        <f>[1]Source!Y3883</f>
        <v>0</v>
      </c>
      <c r="T4141">
        <f>[1]Source!Y3884</f>
        <v>0</v>
      </c>
      <c r="U4141">
        <f>ROUND((175/100)*ROUND([1]Source!R3883, 2), 2)</f>
        <v>0</v>
      </c>
      <c r="V4141">
        <f>ROUND((0/100)*ROUND([1]Source!R3884, 2), 2)</f>
        <v>0</v>
      </c>
      <c r="AC4141">
        <v>3</v>
      </c>
    </row>
    <row r="4142" spans="1:29" ht="14.4" hidden="1" x14ac:dyDescent="0.25">
      <c r="A4142" s="27"/>
      <c r="B4142" s="27"/>
      <c r="C4142" s="27" t="s">
        <v>42</v>
      </c>
      <c r="D4142" s="28" t="s">
        <v>43</v>
      </c>
      <c r="E4142" s="29">
        <f>[1]Source!BZ3882</f>
        <v>92</v>
      </c>
      <c r="F4142" s="30"/>
      <c r="G4142" s="31"/>
      <c r="H4142" s="29"/>
      <c r="I4142" s="30">
        <f>SUM(Q4135:Q4141)</f>
        <v>31.28</v>
      </c>
      <c r="J4142" s="29">
        <f>[1]Source!AT3882</f>
        <v>92</v>
      </c>
      <c r="K4142" s="30">
        <f>SUM(R4135:R4141)</f>
        <v>1762.63</v>
      </c>
    </row>
    <row r="4143" spans="1:29" ht="14.4" hidden="1" x14ac:dyDescent="0.25">
      <c r="A4143" s="27"/>
      <c r="B4143" s="27"/>
      <c r="C4143" s="27" t="s">
        <v>44</v>
      </c>
      <c r="D4143" s="28" t="s">
        <v>43</v>
      </c>
      <c r="E4143" s="29">
        <f>[1]Source!CA3882</f>
        <v>49</v>
      </c>
      <c r="F4143" s="30"/>
      <c r="G4143" s="31"/>
      <c r="H4143" s="29"/>
      <c r="I4143" s="30">
        <f>SUM(S4135:S4142)</f>
        <v>16.66</v>
      </c>
      <c r="J4143" s="29">
        <f>[1]Source!AU3882</f>
        <v>49</v>
      </c>
      <c r="K4143" s="30">
        <f>SUM(T4135:T4142)</f>
        <v>938.79</v>
      </c>
    </row>
    <row r="4144" spans="1:29" ht="14.4" hidden="1" x14ac:dyDescent="0.25">
      <c r="A4144" s="34"/>
      <c r="B4144" s="34"/>
      <c r="C4144" s="34" t="s">
        <v>45</v>
      </c>
      <c r="D4144" s="35" t="s">
        <v>46</v>
      </c>
      <c r="E4144" s="36">
        <f>[1]Source!AQ3881</f>
        <v>11.6</v>
      </c>
      <c r="F4144" s="37"/>
      <c r="G4144" s="38" t="s">
        <v>37</v>
      </c>
      <c r="H4144" s="36">
        <f>[1]Source!AV3882</f>
        <v>1.0469999999999999</v>
      </c>
      <c r="I4144" s="37">
        <f>[1]Source!U3881</f>
        <v>2.1201875639999992</v>
      </c>
      <c r="J4144" s="36"/>
      <c r="K4144" s="37"/>
    </row>
    <row r="4145" spans="1:29" ht="13.8" hidden="1" x14ac:dyDescent="0.25">
      <c r="C4145" s="39" t="s">
        <v>47</v>
      </c>
      <c r="H4145" s="40">
        <f>I4137+I4138+I4140+I4142+I4143+SUM(I4141:I4141)-SUMIF(AC4141:AC4141, 5, I4141:I4141)-SUMIF(AC4141:AC4141, 6, I4141:I4141)</f>
        <v>1380.25</v>
      </c>
      <c r="I4145" s="40"/>
      <c r="J4145" s="40">
        <f>K4137+K4138+K4140+K4142+K4143+SUM(K4141:K4141)-SUMIF(AC4141:AC4141, 5, K4141:K4141)-SUMIF(AC4141:AC4141, 6, K4141:K4141)</f>
        <v>9822.7000000000007</v>
      </c>
      <c r="K4145" s="40"/>
    </row>
    <row r="4146" spans="1:29" ht="13.8" hidden="1" x14ac:dyDescent="0.25">
      <c r="C4146" s="39" t="s">
        <v>48</v>
      </c>
      <c r="H4146" s="41">
        <f>SUMIF(AC4141:AC4141, 5, I4141:I4141)+SUMIF(AC4141:AC4141, 6, I4141:I4141)</f>
        <v>0</v>
      </c>
      <c r="I4146" s="41"/>
      <c r="J4146" s="41">
        <f>SUMIF(AC4141:AC4141, 5, K4141:K4141)+SUMIF(AC4141:AC4141, 6, K4141:K4141)</f>
        <v>0</v>
      </c>
      <c r="K4146" s="41"/>
    </row>
    <row r="4147" spans="1:29" ht="13.8" hidden="1" x14ac:dyDescent="0.25">
      <c r="C4147" s="39" t="s">
        <v>49</v>
      </c>
      <c r="H4147" s="41">
        <f>I4137+I4138+I4140+I4142+I4143+SUM(I4141:I4141)</f>
        <v>1380.25</v>
      </c>
      <c r="I4147" s="41"/>
      <c r="J4147" s="41">
        <f>K4137+K4138+K4140+K4142+K4143+SUM(K4141:K4141)</f>
        <v>9822.7000000000007</v>
      </c>
      <c r="K4147" s="41"/>
      <c r="O4147" s="42">
        <f>I4137+I4138+I4140+I4142+I4143+SUM(I4141:I4141)</f>
        <v>1380.25</v>
      </c>
      <c r="P4147" s="42">
        <f>K4137+K4138+K4140+K4142+K4143+SUM(K4141:K4141)</f>
        <v>9822.7000000000007</v>
      </c>
    </row>
    <row r="4148" spans="1:29" hidden="1" x14ac:dyDescent="0.25"/>
    <row r="4149" spans="1:29" ht="55.2" hidden="1" x14ac:dyDescent="0.25">
      <c r="A4149" s="27">
        <v>402</v>
      </c>
      <c r="B4149" s="27" t="str">
        <f>[1]Source!F3885</f>
        <v>3.70-2-1</v>
      </c>
      <c r="C4149" s="27" t="s">
        <v>726</v>
      </c>
      <c r="D4149" s="28" t="str">
        <f>[1]Source!H3885</f>
        <v>100 м2</v>
      </c>
      <c r="E4149" s="29">
        <f>[1]Source!I3885</f>
        <v>0.46</v>
      </c>
      <c r="F4149" s="30"/>
      <c r="G4149" s="31"/>
      <c r="H4149" s="29"/>
      <c r="I4149" s="30"/>
      <c r="J4149" s="29"/>
      <c r="K4149" s="30"/>
      <c r="Q4149">
        <f>[1]Source!X3885</f>
        <v>943.91</v>
      </c>
      <c r="R4149">
        <f>[1]Source!X3886</f>
        <v>53189.09</v>
      </c>
      <c r="S4149">
        <f>[1]Source!Y3885</f>
        <v>562.53</v>
      </c>
      <c r="T4149">
        <f>[1]Source!Y3886</f>
        <v>31698.55</v>
      </c>
      <c r="U4149">
        <f>ROUND((175/100)*ROUND([1]Source!R3885, 2), 2)</f>
        <v>10.19</v>
      </c>
      <c r="V4149">
        <f>ROUND((0/100)*ROUND([1]Source!R3886, 2), 2)</f>
        <v>0</v>
      </c>
      <c r="AC4149">
        <v>0</v>
      </c>
    </row>
    <row r="4150" spans="1:29" hidden="1" x14ac:dyDescent="0.25">
      <c r="C4150" s="32" t="str">
        <f>"Объем: "&amp;[1]Source!I3885&amp;"=46/"&amp;"100"</f>
        <v>Объем: 0,46=46/100</v>
      </c>
    </row>
    <row r="4151" spans="1:29" ht="14.4" hidden="1" x14ac:dyDescent="0.25">
      <c r="A4151" s="27"/>
      <c r="B4151" s="27"/>
      <c r="C4151" s="27" t="s">
        <v>36</v>
      </c>
      <c r="D4151" s="28"/>
      <c r="E4151" s="29"/>
      <c r="F4151" s="30">
        <f>[1]Source!AO3885</f>
        <v>1425.77</v>
      </c>
      <c r="G4151" s="31" t="s">
        <v>37</v>
      </c>
      <c r="H4151" s="29">
        <f>[1]Source!AV3886</f>
        <v>1.0469999999999999</v>
      </c>
      <c r="I4151" s="30">
        <f>[1]Source!S3885</f>
        <v>947.62</v>
      </c>
      <c r="J4151" s="29">
        <f>IF([1]Source!BA3886&lt;&gt; 0, [1]Source!BA3886, 1)</f>
        <v>56.35</v>
      </c>
      <c r="K4151" s="30">
        <f>[1]Source!S3886</f>
        <v>53398.39</v>
      </c>
    </row>
    <row r="4152" spans="1:29" ht="14.4" hidden="1" x14ac:dyDescent="0.25">
      <c r="A4152" s="27"/>
      <c r="B4152" s="27"/>
      <c r="C4152" s="27" t="s">
        <v>38</v>
      </c>
      <c r="D4152" s="28"/>
      <c r="E4152" s="29"/>
      <c r="F4152" s="30">
        <f>[1]Source!AM3885</f>
        <v>9.41</v>
      </c>
      <c r="G4152" s="31" t="s">
        <v>39</v>
      </c>
      <c r="H4152" s="29">
        <f>[1]Source!AV3886</f>
        <v>1.0469999999999999</v>
      </c>
      <c r="I4152" s="30">
        <f>[1]Source!Q3885</f>
        <v>6.8</v>
      </c>
      <c r="J4152" s="29">
        <f>IF([1]Source!BB3886&lt;&gt; 0, [1]Source!BB3886, 1)</f>
        <v>54.4</v>
      </c>
      <c r="K4152" s="30">
        <f>[1]Source!Q3886</f>
        <v>369.92</v>
      </c>
    </row>
    <row r="4153" spans="1:29" ht="14.4" hidden="1" x14ac:dyDescent="0.25">
      <c r="A4153" s="27"/>
      <c r="B4153" s="27"/>
      <c r="C4153" s="27" t="s">
        <v>40</v>
      </c>
      <c r="D4153" s="28"/>
      <c r="E4153" s="29"/>
      <c r="F4153" s="30">
        <f>[1]Source!AN3885</f>
        <v>8.0500000000000007</v>
      </c>
      <c r="G4153" s="31" t="s">
        <v>39</v>
      </c>
      <c r="H4153" s="29">
        <f>[1]Source!AV3886</f>
        <v>1.0469999999999999</v>
      </c>
      <c r="I4153" s="33">
        <f>[1]Source!R3885</f>
        <v>5.82</v>
      </c>
      <c r="J4153" s="29">
        <f>IF([1]Source!BS3886&lt;&gt; 0, [1]Source!BS3886, 1)</f>
        <v>56.35</v>
      </c>
      <c r="K4153" s="33">
        <f>[1]Source!R3886</f>
        <v>327.96</v>
      </c>
    </row>
    <row r="4154" spans="1:29" ht="14.4" hidden="1" x14ac:dyDescent="0.25">
      <c r="A4154" s="27"/>
      <c r="B4154" s="27"/>
      <c r="C4154" s="27" t="s">
        <v>41</v>
      </c>
      <c r="D4154" s="28"/>
      <c r="E4154" s="29"/>
      <c r="F4154" s="30">
        <f>[1]Source!AL3885</f>
        <v>0.78</v>
      </c>
      <c r="G4154" s="31"/>
      <c r="H4154" s="29">
        <f>[1]Source!AW3886</f>
        <v>1</v>
      </c>
      <c r="I4154" s="30">
        <f>[1]Source!P3885</f>
        <v>0.36</v>
      </c>
      <c r="J4154" s="29">
        <f>IF([1]Source!BC3886&lt;&gt; 0, [1]Source!BC3886, 1)</f>
        <v>7.73</v>
      </c>
      <c r="K4154" s="30">
        <f>[1]Source!P3886</f>
        <v>2.78</v>
      </c>
    </row>
    <row r="4155" spans="1:29" ht="276" hidden="1" x14ac:dyDescent="0.25">
      <c r="A4155" s="27" t="s">
        <v>797</v>
      </c>
      <c r="B4155" s="27" t="str">
        <f>[1]Source!F3887</f>
        <v>1.3-2-97</v>
      </c>
      <c r="C4155" s="27" t="s">
        <v>728</v>
      </c>
      <c r="D4155" s="28" t="str">
        <f>[1]Source!H3887</f>
        <v>кг</v>
      </c>
      <c r="E4155" s="29">
        <f>[1]Source!I3887</f>
        <v>143.52000000000001</v>
      </c>
      <c r="F4155" s="30">
        <f>[1]Source!AK3887</f>
        <v>12.4</v>
      </c>
      <c r="G4155" s="43" t="s">
        <v>54</v>
      </c>
      <c r="H4155" s="29">
        <f>[1]Source!AW3888</f>
        <v>1</v>
      </c>
      <c r="I4155" s="30">
        <f>[1]Source!O3887</f>
        <v>1779.65</v>
      </c>
      <c r="J4155" s="29">
        <f>IF([1]Source!BC3888&lt;&gt; 0, [1]Source!BC3888, 1)</f>
        <v>4.7300000000000004</v>
      </c>
      <c r="K4155" s="30">
        <f>[1]Source!O3888</f>
        <v>8417.74</v>
      </c>
      <c r="Q4155">
        <f>[1]Source!X3887</f>
        <v>0</v>
      </c>
      <c r="R4155">
        <f>[1]Source!X3888</f>
        <v>0</v>
      </c>
      <c r="S4155">
        <f>[1]Source!Y3887</f>
        <v>0</v>
      </c>
      <c r="T4155">
        <f>[1]Source!Y3888</f>
        <v>0</v>
      </c>
      <c r="U4155">
        <f>ROUND((175/100)*ROUND([1]Source!R3887, 2), 2)</f>
        <v>0</v>
      </c>
      <c r="V4155">
        <f>ROUND((0/100)*ROUND([1]Source!R3888, 2), 2)</f>
        <v>0</v>
      </c>
      <c r="AC4155">
        <v>3</v>
      </c>
    </row>
    <row r="4156" spans="1:29" ht="14.4" hidden="1" x14ac:dyDescent="0.25">
      <c r="A4156" s="27"/>
      <c r="B4156" s="27"/>
      <c r="C4156" s="27" t="s">
        <v>42</v>
      </c>
      <c r="D4156" s="28" t="s">
        <v>43</v>
      </c>
      <c r="E4156" s="29">
        <f>[1]Source!BZ3886</f>
        <v>99</v>
      </c>
      <c r="F4156" s="30"/>
      <c r="G4156" s="31"/>
      <c r="H4156" s="29"/>
      <c r="I4156" s="30">
        <f>SUM(Q4149:Q4155)</f>
        <v>943.91</v>
      </c>
      <c r="J4156" s="29">
        <f>[1]Source!AT3886</f>
        <v>99</v>
      </c>
      <c r="K4156" s="30">
        <f>SUM(R4149:R4155)</f>
        <v>53189.09</v>
      </c>
    </row>
    <row r="4157" spans="1:29" ht="14.4" hidden="1" x14ac:dyDescent="0.25">
      <c r="A4157" s="27"/>
      <c r="B4157" s="27"/>
      <c r="C4157" s="27" t="s">
        <v>44</v>
      </c>
      <c r="D4157" s="28" t="s">
        <v>43</v>
      </c>
      <c r="E4157" s="29">
        <f>[1]Source!CA3886</f>
        <v>59</v>
      </c>
      <c r="F4157" s="30"/>
      <c r="G4157" s="31"/>
      <c r="H4157" s="29"/>
      <c r="I4157" s="30">
        <f>SUM(S4149:S4156)</f>
        <v>562.53</v>
      </c>
      <c r="J4157" s="29">
        <f>[1]Source!AU3886</f>
        <v>59</v>
      </c>
      <c r="K4157" s="30">
        <f>SUM(T4149:T4156)</f>
        <v>31698.55</v>
      </c>
    </row>
    <row r="4158" spans="1:29" ht="14.4" hidden="1" x14ac:dyDescent="0.25">
      <c r="A4158" s="34"/>
      <c r="B4158" s="34"/>
      <c r="C4158" s="34" t="s">
        <v>45</v>
      </c>
      <c r="D4158" s="35" t="s">
        <v>46</v>
      </c>
      <c r="E4158" s="36">
        <f>[1]Source!AQ3885</f>
        <v>85.24</v>
      </c>
      <c r="F4158" s="37"/>
      <c r="G4158" s="38" t="s">
        <v>37</v>
      </c>
      <c r="H4158" s="36">
        <f>[1]Source!AV3886</f>
        <v>1.0469999999999999</v>
      </c>
      <c r="I4158" s="37">
        <f>[1]Source!U3885</f>
        <v>56.653538543999986</v>
      </c>
      <c r="J4158" s="36"/>
      <c r="K4158" s="37"/>
    </row>
    <row r="4159" spans="1:29" ht="13.8" hidden="1" x14ac:dyDescent="0.25">
      <c r="C4159" s="39" t="s">
        <v>47</v>
      </c>
      <c r="H4159" s="40">
        <f>I4151+I4152+I4154+I4156+I4157+SUM(I4155:I4155)-SUMIF(AC4155:AC4155, 5, I4155:I4155)-SUMIF(AC4155:AC4155, 6, I4155:I4155)</f>
        <v>4240.8700000000008</v>
      </c>
      <c r="I4159" s="40"/>
      <c r="J4159" s="40">
        <f>K4151+K4152+K4154+K4156+K4157+SUM(K4155:K4155)-SUMIF(AC4155:AC4155, 5, K4155:K4155)-SUMIF(AC4155:AC4155, 6, K4155:K4155)</f>
        <v>147076.46999999997</v>
      </c>
      <c r="K4159" s="40"/>
    </row>
    <row r="4160" spans="1:29" ht="13.8" hidden="1" x14ac:dyDescent="0.25">
      <c r="C4160" s="39" t="s">
        <v>48</v>
      </c>
      <c r="H4160" s="41">
        <f>SUMIF(AC4155:AC4155, 5, I4155:I4155)+SUMIF(AC4155:AC4155, 6, I4155:I4155)</f>
        <v>0</v>
      </c>
      <c r="I4160" s="41"/>
      <c r="J4160" s="41">
        <f>SUMIF(AC4155:AC4155, 5, K4155:K4155)+SUMIF(AC4155:AC4155, 6, K4155:K4155)</f>
        <v>0</v>
      </c>
      <c r="K4160" s="41"/>
    </row>
    <row r="4161" spans="1:29" ht="13.8" hidden="1" x14ac:dyDescent="0.25">
      <c r="C4161" s="39" t="s">
        <v>49</v>
      </c>
      <c r="H4161" s="41">
        <f>I4151+I4152+I4154+I4156+I4157+SUM(I4155:I4155)</f>
        <v>4240.8700000000008</v>
      </c>
      <c r="I4161" s="41"/>
      <c r="J4161" s="41">
        <f>K4151+K4152+K4154+K4156+K4157+SUM(K4155:K4155)</f>
        <v>147076.46999999997</v>
      </c>
      <c r="K4161" s="41"/>
      <c r="O4161" s="42">
        <f>I4151+I4152+I4154+I4156+I4157+SUM(I4155:I4155)</f>
        <v>4240.8700000000008</v>
      </c>
      <c r="P4161" s="42">
        <f>K4151+K4152+K4154+K4156+K4157+SUM(K4155:K4155)</f>
        <v>147076.46999999997</v>
      </c>
    </row>
    <row r="4162" spans="1:29" hidden="1" x14ac:dyDescent="0.25"/>
    <row r="4163" spans="1:29" ht="69" hidden="1" x14ac:dyDescent="0.25">
      <c r="A4163" s="27">
        <v>403</v>
      </c>
      <c r="B4163" s="27" t="str">
        <f>[1]Source!F3889</f>
        <v>3.70-198-6</v>
      </c>
      <c r="C4163" s="27" t="s">
        <v>136</v>
      </c>
      <c r="D4163" s="28" t="str">
        <f>[1]Source!H3889</f>
        <v>100 м2</v>
      </c>
      <c r="E4163" s="29">
        <f>[1]Source!I3889</f>
        <v>0.46</v>
      </c>
      <c r="F4163" s="30"/>
      <c r="G4163" s="31"/>
      <c r="H4163" s="29"/>
      <c r="I4163" s="30"/>
      <c r="J4163" s="29"/>
      <c r="K4163" s="30"/>
      <c r="Q4163">
        <f>[1]Source!X3889</f>
        <v>689.99</v>
      </c>
      <c r="R4163">
        <f>[1]Source!X3890</f>
        <v>38881.03</v>
      </c>
      <c r="S4163">
        <f>[1]Source!Y3889</f>
        <v>375.74</v>
      </c>
      <c r="T4163">
        <f>[1]Source!Y3890</f>
        <v>21172.84</v>
      </c>
      <c r="U4163">
        <f>ROUND((175/100)*ROUND([1]Source!R3889, 2), 2)</f>
        <v>17.239999999999998</v>
      </c>
      <c r="V4163">
        <f>ROUND((0/100)*ROUND([1]Source!R3890, 2), 2)</f>
        <v>0</v>
      </c>
      <c r="AC4163">
        <v>0</v>
      </c>
    </row>
    <row r="4164" spans="1:29" hidden="1" x14ac:dyDescent="0.25">
      <c r="C4164" s="32" t="str">
        <f>"Объем: "&amp;[1]Source!I3889&amp;"=46/"&amp;"100"</f>
        <v>Объем: 0,46=46/100</v>
      </c>
    </row>
    <row r="4165" spans="1:29" ht="14.4" hidden="1" x14ac:dyDescent="0.25">
      <c r="A4165" s="27"/>
      <c r="B4165" s="27"/>
      <c r="C4165" s="27" t="s">
        <v>36</v>
      </c>
      <c r="D4165" s="28"/>
      <c r="E4165" s="29"/>
      <c r="F4165" s="30">
        <f>[1]Source!AO3889</f>
        <v>1013.05</v>
      </c>
      <c r="G4165" s="31" t="s">
        <v>37</v>
      </c>
      <c r="H4165" s="29">
        <f>[1]Source!AV3890</f>
        <v>1.0469999999999999</v>
      </c>
      <c r="I4165" s="30">
        <f>[1]Source!S3889</f>
        <v>673.31</v>
      </c>
      <c r="J4165" s="29">
        <f>IF([1]Source!BA3890&lt;&gt; 0, [1]Source!BA3890, 1)</f>
        <v>56.35</v>
      </c>
      <c r="K4165" s="30">
        <f>[1]Source!S3890</f>
        <v>37941.019999999997</v>
      </c>
    </row>
    <row r="4166" spans="1:29" ht="14.4" hidden="1" x14ac:dyDescent="0.25">
      <c r="A4166" s="27"/>
      <c r="B4166" s="27"/>
      <c r="C4166" s="27" t="s">
        <v>38</v>
      </c>
      <c r="D4166" s="28"/>
      <c r="E4166" s="29"/>
      <c r="F4166" s="30">
        <f>[1]Source!AM3889</f>
        <v>77.48</v>
      </c>
      <c r="G4166" s="31" t="s">
        <v>39</v>
      </c>
      <c r="H4166" s="29">
        <f>[1]Source!AV3890</f>
        <v>1.0469999999999999</v>
      </c>
      <c r="I4166" s="30">
        <f>[1]Source!Q3889</f>
        <v>55.97</v>
      </c>
      <c r="J4166" s="29">
        <f>IF([1]Source!BB3890&lt;&gt; 0, [1]Source!BB3890, 1)</f>
        <v>18.91</v>
      </c>
      <c r="K4166" s="30">
        <f>[1]Source!Q3890</f>
        <v>1058.3900000000001</v>
      </c>
    </row>
    <row r="4167" spans="1:29" ht="14.4" hidden="1" x14ac:dyDescent="0.25">
      <c r="A4167" s="27"/>
      <c r="B4167" s="27"/>
      <c r="C4167" s="27" t="s">
        <v>40</v>
      </c>
      <c r="D4167" s="28"/>
      <c r="E4167" s="29"/>
      <c r="F4167" s="30">
        <f>[1]Source!AN3889</f>
        <v>13.63</v>
      </c>
      <c r="G4167" s="31" t="s">
        <v>39</v>
      </c>
      <c r="H4167" s="29">
        <f>[1]Source!AV3890</f>
        <v>1.0469999999999999</v>
      </c>
      <c r="I4167" s="33">
        <f>[1]Source!R3889</f>
        <v>9.85</v>
      </c>
      <c r="J4167" s="29">
        <f>IF([1]Source!BS3890&lt;&gt; 0, [1]Source!BS3890, 1)</f>
        <v>56.35</v>
      </c>
      <c r="K4167" s="33">
        <f>[1]Source!R3890</f>
        <v>555.04999999999995</v>
      </c>
    </row>
    <row r="4168" spans="1:29" ht="14.4" hidden="1" x14ac:dyDescent="0.25">
      <c r="A4168" s="27"/>
      <c r="B4168" s="27"/>
      <c r="C4168" s="27" t="s">
        <v>41</v>
      </c>
      <c r="D4168" s="28"/>
      <c r="E4168" s="29"/>
      <c r="F4168" s="30">
        <f>[1]Source!AL3889</f>
        <v>7.2</v>
      </c>
      <c r="G4168" s="31"/>
      <c r="H4168" s="29">
        <f>[1]Source!AW3890</f>
        <v>1</v>
      </c>
      <c r="I4168" s="30">
        <f>[1]Source!P3889</f>
        <v>3.31</v>
      </c>
      <c r="J4168" s="29">
        <f>IF([1]Source!BC3890&lt;&gt; 0, [1]Source!BC3890, 1)</f>
        <v>5.07</v>
      </c>
      <c r="K4168" s="30">
        <f>[1]Source!P3890</f>
        <v>16.78</v>
      </c>
    </row>
    <row r="4169" spans="1:29" ht="41.4" hidden="1" x14ac:dyDescent="0.25">
      <c r="A4169" s="27" t="s">
        <v>798</v>
      </c>
      <c r="B4169" s="27" t="str">
        <f>[1]Source!F3891</f>
        <v>1.1-1-8205</v>
      </c>
      <c r="C4169" s="27" t="s">
        <v>731</v>
      </c>
      <c r="D4169" s="28" t="str">
        <f>[1]Source!H3891</f>
        <v>100 шт.</v>
      </c>
      <c r="E4169" s="29">
        <f>[1]Source!I3891</f>
        <v>5.3314000000000004</v>
      </c>
      <c r="F4169" s="30">
        <f>[1]Source!AK3891</f>
        <v>4.26</v>
      </c>
      <c r="G4169" s="43" t="s">
        <v>54</v>
      </c>
      <c r="H4169" s="29">
        <f>[1]Source!AW3892</f>
        <v>1</v>
      </c>
      <c r="I4169" s="30">
        <f>[1]Source!O3891</f>
        <v>22.71</v>
      </c>
      <c r="J4169" s="29">
        <f>IF([1]Source!BC3892&lt;&gt; 0, [1]Source!BC3892, 1)</f>
        <v>9.99</v>
      </c>
      <c r="K4169" s="30">
        <f>[1]Source!O3892</f>
        <v>226.87</v>
      </c>
      <c r="Q4169">
        <f>[1]Source!X3891</f>
        <v>0</v>
      </c>
      <c r="R4169">
        <f>[1]Source!X3892</f>
        <v>0</v>
      </c>
      <c r="S4169">
        <f>[1]Source!Y3891</f>
        <v>0</v>
      </c>
      <c r="T4169">
        <f>[1]Source!Y3892</f>
        <v>0</v>
      </c>
      <c r="U4169">
        <f>ROUND((175/100)*ROUND([1]Source!R3891, 2), 2)</f>
        <v>0</v>
      </c>
      <c r="V4169">
        <f>ROUND((0/100)*ROUND([1]Source!R3892, 2), 2)</f>
        <v>0</v>
      </c>
      <c r="AC4169">
        <v>3</v>
      </c>
    </row>
    <row r="4170" spans="1:29" ht="41.4" hidden="1" x14ac:dyDescent="0.25">
      <c r="A4170" s="27" t="s">
        <v>799</v>
      </c>
      <c r="B4170" s="27" t="str">
        <f>[1]Source!F3893</f>
        <v>1.1-1-3257</v>
      </c>
      <c r="C4170" s="27" t="s">
        <v>129</v>
      </c>
      <c r="D4170" s="28" t="str">
        <f>[1]Source!H3893</f>
        <v>кг</v>
      </c>
      <c r="E4170" s="29">
        <f>[1]Source!I3893</f>
        <v>6.44</v>
      </c>
      <c r="F4170" s="30">
        <f>[1]Source!AK3893</f>
        <v>17.3</v>
      </c>
      <c r="G4170" s="43" t="s">
        <v>54</v>
      </c>
      <c r="H4170" s="29">
        <f>[1]Source!AW3894</f>
        <v>1</v>
      </c>
      <c r="I4170" s="30">
        <f>[1]Source!O3893</f>
        <v>111.41</v>
      </c>
      <c r="J4170" s="29">
        <f>IF([1]Source!BC3894&lt;&gt; 0, [1]Source!BC3894, 1)</f>
        <v>5.93</v>
      </c>
      <c r="K4170" s="30">
        <f>[1]Source!O3894</f>
        <v>660.66</v>
      </c>
      <c r="Q4170">
        <f>[1]Source!X3893</f>
        <v>0</v>
      </c>
      <c r="R4170">
        <f>[1]Source!X3894</f>
        <v>0</v>
      </c>
      <c r="S4170">
        <f>[1]Source!Y3893</f>
        <v>0</v>
      </c>
      <c r="T4170">
        <f>[1]Source!Y3894</f>
        <v>0</v>
      </c>
      <c r="U4170">
        <f>ROUND((175/100)*ROUND([1]Source!R3893, 2), 2)</f>
        <v>0</v>
      </c>
      <c r="V4170">
        <f>ROUND((0/100)*ROUND([1]Source!R3894, 2), 2)</f>
        <v>0</v>
      </c>
      <c r="AC4170">
        <v>3</v>
      </c>
    </row>
    <row r="4171" spans="1:29" ht="96.6" hidden="1" x14ac:dyDescent="0.25">
      <c r="A4171" s="27" t="s">
        <v>800</v>
      </c>
      <c r="B4171" s="27" t="str">
        <f>[1]Source!F3895</f>
        <v>1.3-2-50</v>
      </c>
      <c r="C4171" s="27" t="s">
        <v>131</v>
      </c>
      <c r="D4171" s="28" t="str">
        <f>[1]Source!H3895</f>
        <v>т</v>
      </c>
      <c r="E4171" s="29">
        <f>[1]Source!I3895</f>
        <v>1.84E-2</v>
      </c>
      <c r="F4171" s="30">
        <f>[1]Source!AK3895</f>
        <v>5978.05</v>
      </c>
      <c r="G4171" s="43" t="s">
        <v>54</v>
      </c>
      <c r="H4171" s="29">
        <f>[1]Source!AW3896</f>
        <v>1</v>
      </c>
      <c r="I4171" s="30">
        <f>[1]Source!O3895</f>
        <v>110</v>
      </c>
      <c r="J4171" s="29">
        <f>IF([1]Source!BC3896&lt;&gt; 0, [1]Source!BC3896, 1)</f>
        <v>15.31</v>
      </c>
      <c r="K4171" s="30">
        <f>[1]Source!O3896</f>
        <v>1684.1</v>
      </c>
      <c r="Q4171">
        <f>[1]Source!X3895</f>
        <v>0</v>
      </c>
      <c r="R4171">
        <f>[1]Source!X3896</f>
        <v>0</v>
      </c>
      <c r="S4171">
        <f>[1]Source!Y3895</f>
        <v>0</v>
      </c>
      <c r="T4171">
        <f>[1]Source!Y3896</f>
        <v>0</v>
      </c>
      <c r="U4171">
        <f>ROUND((175/100)*ROUND([1]Source!R3895, 2), 2)</f>
        <v>0</v>
      </c>
      <c r="V4171">
        <f>ROUND((0/100)*ROUND([1]Source!R3896, 2), 2)</f>
        <v>0</v>
      </c>
      <c r="AC4171">
        <v>3</v>
      </c>
    </row>
    <row r="4172" spans="1:29" ht="69" hidden="1" x14ac:dyDescent="0.25">
      <c r="A4172" s="27" t="s">
        <v>801</v>
      </c>
      <c r="B4172" s="27" t="str">
        <f>[1]Source!F3897</f>
        <v>1.3-2-35</v>
      </c>
      <c r="C4172" s="27" t="s">
        <v>634</v>
      </c>
      <c r="D4172" s="28" t="str">
        <f>[1]Source!H3897</f>
        <v>т</v>
      </c>
      <c r="E4172" s="29">
        <f>[1]Source!I3897</f>
        <v>0.33154</v>
      </c>
      <c r="F4172" s="30">
        <f>[1]Source!AK3897</f>
        <v>1669.7</v>
      </c>
      <c r="G4172" s="43" t="s">
        <v>54</v>
      </c>
      <c r="H4172" s="29">
        <f>[1]Source!AW3898</f>
        <v>1</v>
      </c>
      <c r="I4172" s="30">
        <f>[1]Source!O3897</f>
        <v>553.57000000000005</v>
      </c>
      <c r="J4172" s="29">
        <f>IF([1]Source!BC3898&lt;&gt; 0, [1]Source!BC3898, 1)</f>
        <v>8</v>
      </c>
      <c r="K4172" s="30">
        <f>[1]Source!O3898</f>
        <v>4428.5600000000004</v>
      </c>
      <c r="Q4172">
        <f>[1]Source!X3897</f>
        <v>0</v>
      </c>
      <c r="R4172">
        <f>[1]Source!X3898</f>
        <v>0</v>
      </c>
      <c r="S4172">
        <f>[1]Source!Y3897</f>
        <v>0</v>
      </c>
      <c r="T4172">
        <f>[1]Source!Y3898</f>
        <v>0</v>
      </c>
      <c r="U4172">
        <f>ROUND((175/100)*ROUND([1]Source!R3897, 2), 2)</f>
        <v>0</v>
      </c>
      <c r="V4172">
        <f>ROUND((0/100)*ROUND([1]Source!R3898, 2), 2)</f>
        <v>0</v>
      </c>
      <c r="AC4172">
        <v>3</v>
      </c>
    </row>
    <row r="4173" spans="1:29" ht="55.2" hidden="1" x14ac:dyDescent="0.25">
      <c r="A4173" s="27" t="s">
        <v>802</v>
      </c>
      <c r="B4173" s="27" t="str">
        <f>[1]Source!F3899</f>
        <v>1.1-1-3225</v>
      </c>
      <c r="C4173" s="27" t="s">
        <v>126</v>
      </c>
      <c r="D4173" s="28" t="str">
        <f>[1]Source!H3899</f>
        <v>м2</v>
      </c>
      <c r="E4173" s="29">
        <f>[1]Source!I3899</f>
        <v>49.68</v>
      </c>
      <c r="F4173" s="30">
        <f>[1]Source!AK3899</f>
        <v>124.57</v>
      </c>
      <c r="G4173" s="43" t="s">
        <v>54</v>
      </c>
      <c r="H4173" s="29">
        <f>[1]Source!AW3900</f>
        <v>1</v>
      </c>
      <c r="I4173" s="30">
        <f>[1]Source!O3899</f>
        <v>6188.64</v>
      </c>
      <c r="J4173" s="29">
        <f>IF([1]Source!BC3900&lt;&gt; 0, [1]Source!BC3900, 1)</f>
        <v>6.63</v>
      </c>
      <c r="K4173" s="30">
        <f>[1]Source!O3900</f>
        <v>41030.68</v>
      </c>
      <c r="Q4173">
        <f>[1]Source!X3899</f>
        <v>0</v>
      </c>
      <c r="R4173">
        <f>[1]Source!X3900</f>
        <v>0</v>
      </c>
      <c r="S4173">
        <f>[1]Source!Y3899</f>
        <v>0</v>
      </c>
      <c r="T4173">
        <f>[1]Source!Y3900</f>
        <v>0</v>
      </c>
      <c r="U4173">
        <f>ROUND((175/100)*ROUND([1]Source!R3899, 2), 2)</f>
        <v>0</v>
      </c>
      <c r="V4173">
        <f>ROUND((0/100)*ROUND([1]Source!R3900, 2), 2)</f>
        <v>0</v>
      </c>
      <c r="AC4173">
        <v>3</v>
      </c>
    </row>
    <row r="4174" spans="1:29" ht="14.4" hidden="1" x14ac:dyDescent="0.25">
      <c r="A4174" s="27"/>
      <c r="B4174" s="27"/>
      <c r="C4174" s="27" t="s">
        <v>42</v>
      </c>
      <c r="D4174" s="28" t="s">
        <v>43</v>
      </c>
      <c r="E4174" s="29">
        <f>[1]Source!BZ3890</f>
        <v>101</v>
      </c>
      <c r="F4174" s="30"/>
      <c r="G4174" s="31"/>
      <c r="H4174" s="29"/>
      <c r="I4174" s="30">
        <f>SUM(Q4163:Q4173)</f>
        <v>689.99</v>
      </c>
      <c r="J4174" s="29">
        <f>[1]Source!AT3890</f>
        <v>101</v>
      </c>
      <c r="K4174" s="30">
        <f>SUM(R4163:R4173)</f>
        <v>38881.03</v>
      </c>
    </row>
    <row r="4175" spans="1:29" ht="14.4" hidden="1" x14ac:dyDescent="0.25">
      <c r="A4175" s="27"/>
      <c r="B4175" s="27"/>
      <c r="C4175" s="27" t="s">
        <v>44</v>
      </c>
      <c r="D4175" s="28" t="s">
        <v>43</v>
      </c>
      <c r="E4175" s="29">
        <f>[1]Source!CA3890</f>
        <v>55</v>
      </c>
      <c r="F4175" s="30"/>
      <c r="G4175" s="31"/>
      <c r="H4175" s="29"/>
      <c r="I4175" s="30">
        <f>SUM(S4163:S4174)</f>
        <v>375.74</v>
      </c>
      <c r="J4175" s="29">
        <f>[1]Source!AU3890</f>
        <v>55</v>
      </c>
      <c r="K4175" s="30">
        <f>SUM(T4163:T4174)</f>
        <v>21172.84</v>
      </c>
    </row>
    <row r="4176" spans="1:29" ht="14.4" hidden="1" x14ac:dyDescent="0.25">
      <c r="A4176" s="34"/>
      <c r="B4176" s="34"/>
      <c r="C4176" s="34" t="s">
        <v>45</v>
      </c>
      <c r="D4176" s="35" t="s">
        <v>46</v>
      </c>
      <c r="E4176" s="36">
        <f>[1]Source!AQ3889</f>
        <v>61.6</v>
      </c>
      <c r="F4176" s="37"/>
      <c r="G4176" s="38" t="s">
        <v>37</v>
      </c>
      <c r="H4176" s="36">
        <f>[1]Source!AV3890</f>
        <v>1.0469999999999999</v>
      </c>
      <c r="I4176" s="37">
        <f>[1]Source!U3889</f>
        <v>40.941552959999989</v>
      </c>
      <c r="J4176" s="36"/>
      <c r="K4176" s="37"/>
    </row>
    <row r="4177" spans="1:29" ht="13.8" hidden="1" x14ac:dyDescent="0.25">
      <c r="C4177" s="39" t="s">
        <v>47</v>
      </c>
      <c r="H4177" s="40">
        <f>I4165+I4166+I4168+I4174+I4175+SUM(I4169:I4173)-SUMIF(AC4169:AC4173, 5, I4169:I4173)-SUMIF(AC4169:AC4173, 6, I4169:I4173)</f>
        <v>8784.65</v>
      </c>
      <c r="I4177" s="40"/>
      <c r="J4177" s="40">
        <f>K4165+K4166+K4168+K4174+K4175+SUM(K4169:K4173)-SUMIF(AC4169:AC4173, 5, K4169:K4173)-SUMIF(AC4169:AC4173, 6, K4169:K4173)</f>
        <v>147100.93</v>
      </c>
      <c r="K4177" s="40"/>
    </row>
    <row r="4178" spans="1:29" ht="13.8" hidden="1" x14ac:dyDescent="0.25">
      <c r="C4178" s="39" t="s">
        <v>48</v>
      </c>
      <c r="H4178" s="41">
        <f>SUMIF(AC4169:AC4173, 5, I4169:I4173)+SUMIF(AC4169:AC4173, 6, I4169:I4173)</f>
        <v>0</v>
      </c>
      <c r="I4178" s="41"/>
      <c r="J4178" s="41">
        <f>SUMIF(AC4169:AC4173, 5, K4169:K4173)+SUMIF(AC4169:AC4173, 6, K4169:K4173)</f>
        <v>0</v>
      </c>
      <c r="K4178" s="41"/>
    </row>
    <row r="4179" spans="1:29" ht="13.8" hidden="1" x14ac:dyDescent="0.25">
      <c r="C4179" s="39" t="s">
        <v>49</v>
      </c>
      <c r="H4179" s="41">
        <f>I4165+I4166+I4168+I4174+I4175+SUM(I4169:I4173)</f>
        <v>8784.65</v>
      </c>
      <c r="I4179" s="41"/>
      <c r="J4179" s="41">
        <f>K4165+K4166+K4168+K4174+K4175+SUM(K4169:K4173)</f>
        <v>147100.93</v>
      </c>
      <c r="K4179" s="41"/>
      <c r="O4179" s="42">
        <f>I4165+I4166+I4168+I4174+I4175+SUM(I4169:I4173)</f>
        <v>8784.65</v>
      </c>
      <c r="P4179" s="42">
        <f>K4165+K4166+K4168+K4174+K4175+SUM(K4169:K4173)</f>
        <v>147100.93</v>
      </c>
    </row>
    <row r="4180" spans="1:29" hidden="1" x14ac:dyDescent="0.25"/>
    <row r="4181" spans="1:29" hidden="1" x14ac:dyDescent="0.25"/>
    <row r="4182" spans="1:29" ht="13.8" hidden="1" x14ac:dyDescent="0.25">
      <c r="A4182" s="44" t="str">
        <f>CONCATENATE("Итого по подразделу: ",IF([1]Source!G3902&lt;&gt;"Новый подраздел", [1]Source!G3902, ""))</f>
        <v>Итого по подразделу: Пятый этаж. Керамогранит 600х600 мм</v>
      </c>
      <c r="B4182" s="44"/>
      <c r="C4182" s="44"/>
      <c r="D4182" s="44"/>
      <c r="E4182" s="44"/>
      <c r="F4182" s="44"/>
      <c r="G4182" s="44"/>
      <c r="H4182" s="41">
        <f>SUM(O4109:O4181)</f>
        <v>16564.849999999999</v>
      </c>
      <c r="I4182" s="45"/>
      <c r="J4182" s="41">
        <f>SUM(P4109:P4181)</f>
        <v>356800.44999999995</v>
      </c>
      <c r="K4182" s="45"/>
    </row>
    <row r="4183" spans="1:29" hidden="1" x14ac:dyDescent="0.25">
      <c r="A4183" t="s">
        <v>55</v>
      </c>
      <c r="I4183">
        <f>SUM(W4109:W4182)</f>
        <v>0</v>
      </c>
      <c r="J4183">
        <f>SUM(X4109:X4182)</f>
        <v>0</v>
      </c>
    </row>
    <row r="4184" spans="1:29" hidden="1" x14ac:dyDescent="0.25">
      <c r="A4184" t="s">
        <v>56</v>
      </c>
      <c r="I4184">
        <f>SUM(Y4109:Y4183)</f>
        <v>0</v>
      </c>
      <c r="J4184">
        <f>SUM(Z4109:Z4183)</f>
        <v>0</v>
      </c>
    </row>
    <row r="4185" spans="1:29" hidden="1" x14ac:dyDescent="0.25"/>
    <row r="4186" spans="1:29" ht="16.8" hidden="1" x14ac:dyDescent="0.25">
      <c r="A4186" s="11" t="str">
        <f>CONCATENATE("Подраздел: ",IF([1]Source!G3932&lt;&gt;"Новый подраздел", [1]Source!G3932, ""))</f>
        <v>Подраздел: Пятый этаж. Кварц-виниловая дизайн-плитка 500х500 мм</v>
      </c>
      <c r="B4186" s="11"/>
      <c r="C4186" s="11"/>
      <c r="D4186" s="11"/>
      <c r="E4186" s="11"/>
      <c r="F4186" s="11"/>
      <c r="G4186" s="11"/>
      <c r="H4186" s="11"/>
      <c r="I4186" s="11"/>
      <c r="J4186" s="11"/>
      <c r="K4186" s="11"/>
    </row>
    <row r="4187" spans="1:29" ht="57.6" hidden="1" x14ac:dyDescent="0.25">
      <c r="A4187" s="27">
        <v>404</v>
      </c>
      <c r="B4187" s="27" t="str">
        <f>[1]Source!F3936</f>
        <v>3.70-159-1</v>
      </c>
      <c r="C4187" s="27" t="s">
        <v>803</v>
      </c>
      <c r="D4187" s="28" t="str">
        <f>[1]Source!H3936</f>
        <v>100 м2 стяжки</v>
      </c>
      <c r="E4187" s="29">
        <f>[1]Source!I3936</f>
        <v>7.3</v>
      </c>
      <c r="F4187" s="30"/>
      <c r="G4187" s="31"/>
      <c r="H4187" s="29"/>
      <c r="I4187" s="30"/>
      <c r="J4187" s="29"/>
      <c r="K4187" s="30"/>
      <c r="Q4187">
        <f>[1]Source!X3936</f>
        <v>3467.01</v>
      </c>
      <c r="R4187">
        <f>[1]Source!X3937</f>
        <v>195365.84</v>
      </c>
      <c r="S4187">
        <f>[1]Source!Y3936</f>
        <v>1887.97</v>
      </c>
      <c r="T4187">
        <f>[1]Source!Y3937</f>
        <v>106387.34</v>
      </c>
      <c r="U4187">
        <f>ROUND((175/100)*ROUND([1]Source!R3936, 2), 2)</f>
        <v>0</v>
      </c>
      <c r="V4187">
        <f>ROUND((0/100)*ROUND([1]Source!R3937, 2), 2)</f>
        <v>0</v>
      </c>
      <c r="AC4187">
        <v>0</v>
      </c>
    </row>
    <row r="4188" spans="1:29" hidden="1" x14ac:dyDescent="0.25">
      <c r="C4188" s="32" t="str">
        <f>"Объем: "&amp;[1]Source!I3936&amp;"=730/"&amp;"100"</f>
        <v>Объем: 7,3=730/100</v>
      </c>
    </row>
    <row r="4189" spans="1:29" ht="14.4" hidden="1" x14ac:dyDescent="0.25">
      <c r="A4189" s="27"/>
      <c r="B4189" s="27"/>
      <c r="C4189" s="27" t="s">
        <v>36</v>
      </c>
      <c r="D4189" s="28"/>
      <c r="E4189" s="29"/>
      <c r="F4189" s="30">
        <f>[1]Source!AO3936</f>
        <v>325.45</v>
      </c>
      <c r="G4189" s="31" t="s">
        <v>37</v>
      </c>
      <c r="H4189" s="29">
        <f>[1]Source!AV3937</f>
        <v>1.0469999999999999</v>
      </c>
      <c r="I4189" s="30">
        <f>[1]Source!S3936</f>
        <v>3432.68</v>
      </c>
      <c r="J4189" s="29">
        <f>IF([1]Source!BA3937&lt;&gt; 0, [1]Source!BA3937, 1)</f>
        <v>56.35</v>
      </c>
      <c r="K4189" s="30">
        <f>[1]Source!S3937</f>
        <v>193431.52</v>
      </c>
    </row>
    <row r="4190" spans="1:29" ht="14.4" hidden="1" x14ac:dyDescent="0.25">
      <c r="A4190" s="27"/>
      <c r="B4190" s="27"/>
      <c r="C4190" s="27" t="s">
        <v>38</v>
      </c>
      <c r="D4190" s="28"/>
      <c r="E4190" s="29"/>
      <c r="F4190" s="30">
        <f>[1]Source!AM3936</f>
        <v>1.8</v>
      </c>
      <c r="G4190" s="31" t="s">
        <v>39</v>
      </c>
      <c r="H4190" s="29">
        <f>[1]Source!AV3937</f>
        <v>1.0469999999999999</v>
      </c>
      <c r="I4190" s="30">
        <f>[1]Source!Q3936</f>
        <v>20.64</v>
      </c>
      <c r="J4190" s="29">
        <f>IF([1]Source!BB3937&lt;&gt; 0, [1]Source!BB3937, 1)</f>
        <v>11.69</v>
      </c>
      <c r="K4190" s="30">
        <f>[1]Source!Q3937</f>
        <v>241.28</v>
      </c>
    </row>
    <row r="4191" spans="1:29" ht="14.4" hidden="1" x14ac:dyDescent="0.25">
      <c r="A4191" s="27"/>
      <c r="B4191" s="27"/>
      <c r="C4191" s="27" t="s">
        <v>41</v>
      </c>
      <c r="D4191" s="28"/>
      <c r="E4191" s="29"/>
      <c r="F4191" s="30">
        <f>[1]Source!AL3936</f>
        <v>24.75</v>
      </c>
      <c r="G4191" s="31"/>
      <c r="H4191" s="29">
        <f>[1]Source!AW3937</f>
        <v>1</v>
      </c>
      <c r="I4191" s="30">
        <f>[1]Source!P3936</f>
        <v>180.68</v>
      </c>
      <c r="J4191" s="29">
        <f>IF([1]Source!BC3937&lt;&gt; 0, [1]Source!BC3937, 1)</f>
        <v>7.75</v>
      </c>
      <c r="K4191" s="30">
        <f>[1]Source!P3937</f>
        <v>1400.27</v>
      </c>
    </row>
    <row r="4192" spans="1:29" ht="27.6" hidden="1" x14ac:dyDescent="0.25">
      <c r="A4192" s="27" t="s">
        <v>804</v>
      </c>
      <c r="B4192" s="27" t="str">
        <f>[1]Source!F3938</f>
        <v>1.3-2-7</v>
      </c>
      <c r="C4192" s="27" t="s">
        <v>752</v>
      </c>
      <c r="D4192" s="28" t="str">
        <f>[1]Source!H3938</f>
        <v>м3</v>
      </c>
      <c r="E4192" s="29">
        <f>[1]Source!I3938</f>
        <v>14.891999999999999</v>
      </c>
      <c r="F4192" s="30">
        <f>[1]Source!AK3938</f>
        <v>507.97</v>
      </c>
      <c r="G4192" s="43" t="s">
        <v>54</v>
      </c>
      <c r="H4192" s="29">
        <f>[1]Source!AW3939</f>
        <v>1</v>
      </c>
      <c r="I4192" s="30">
        <f>[1]Source!O3938</f>
        <v>7564.69</v>
      </c>
      <c r="J4192" s="29">
        <f>IF([1]Source!BC3939&lt;&gt; 0, [1]Source!BC3939, 1)</f>
        <v>10.98</v>
      </c>
      <c r="K4192" s="30">
        <f>[1]Source!O3939</f>
        <v>83060.3</v>
      </c>
      <c r="Q4192">
        <f>[1]Source!X3938</f>
        <v>0</v>
      </c>
      <c r="R4192">
        <f>[1]Source!X3939</f>
        <v>0</v>
      </c>
      <c r="S4192">
        <f>[1]Source!Y3938</f>
        <v>0</v>
      </c>
      <c r="T4192">
        <f>[1]Source!Y3939</f>
        <v>0</v>
      </c>
      <c r="U4192">
        <f>ROUND((175/100)*ROUND([1]Source!R3938, 2), 2)</f>
        <v>0</v>
      </c>
      <c r="V4192">
        <f>ROUND((0/100)*ROUND([1]Source!R3939, 2), 2)</f>
        <v>0</v>
      </c>
      <c r="AC4192">
        <v>3</v>
      </c>
    </row>
    <row r="4193" spans="1:29" ht="14.4" hidden="1" x14ac:dyDescent="0.25">
      <c r="A4193" s="27"/>
      <c r="B4193" s="27"/>
      <c r="C4193" s="27" t="s">
        <v>42</v>
      </c>
      <c r="D4193" s="28" t="s">
        <v>43</v>
      </c>
      <c r="E4193" s="29">
        <f>[1]Source!BZ3937</f>
        <v>101</v>
      </c>
      <c r="F4193" s="30"/>
      <c r="G4193" s="31"/>
      <c r="H4193" s="29"/>
      <c r="I4193" s="30">
        <f>SUM(Q4187:Q4192)</f>
        <v>3467.01</v>
      </c>
      <c r="J4193" s="29">
        <f>[1]Source!AT3937</f>
        <v>101</v>
      </c>
      <c r="K4193" s="30">
        <f>SUM(R4187:R4192)</f>
        <v>195365.84</v>
      </c>
    </row>
    <row r="4194" spans="1:29" ht="14.4" hidden="1" x14ac:dyDescent="0.25">
      <c r="A4194" s="27"/>
      <c r="B4194" s="27"/>
      <c r="C4194" s="27" t="s">
        <v>44</v>
      </c>
      <c r="D4194" s="28" t="s">
        <v>43</v>
      </c>
      <c r="E4194" s="29">
        <f>[1]Source!CA3937</f>
        <v>55</v>
      </c>
      <c r="F4194" s="30"/>
      <c r="G4194" s="31"/>
      <c r="H4194" s="29"/>
      <c r="I4194" s="30">
        <f>SUM(S4187:S4193)</f>
        <v>1887.97</v>
      </c>
      <c r="J4194" s="29">
        <f>[1]Source!AU3937</f>
        <v>55</v>
      </c>
      <c r="K4194" s="30">
        <f>SUM(T4187:T4193)</f>
        <v>106387.34</v>
      </c>
    </row>
    <row r="4195" spans="1:29" ht="14.4" hidden="1" x14ac:dyDescent="0.25">
      <c r="A4195" s="34"/>
      <c r="B4195" s="34"/>
      <c r="C4195" s="34" t="s">
        <v>45</v>
      </c>
      <c r="D4195" s="35" t="s">
        <v>46</v>
      </c>
      <c r="E4195" s="36">
        <f>[1]Source!AQ3936</f>
        <v>23.33</v>
      </c>
      <c r="F4195" s="37"/>
      <c r="G4195" s="38" t="s">
        <v>37</v>
      </c>
      <c r="H4195" s="36">
        <f>[1]Source!AV3937</f>
        <v>1.0469999999999999</v>
      </c>
      <c r="I4195" s="37">
        <f>[1]Source!U3936</f>
        <v>246.07266173999994</v>
      </c>
      <c r="J4195" s="36"/>
      <c r="K4195" s="37"/>
    </row>
    <row r="4196" spans="1:29" ht="13.8" hidden="1" x14ac:dyDescent="0.25">
      <c r="C4196" s="39" t="s">
        <v>47</v>
      </c>
      <c r="H4196" s="40">
        <f>I4189+I4190+I4191+I4193+I4194+SUM(I4192:I4192)-SUMIF(AC4192:AC4192, 5, I4192:I4192)-SUMIF(AC4192:AC4192, 6, I4192:I4192)</f>
        <v>16553.669999999998</v>
      </c>
      <c r="I4196" s="40"/>
      <c r="J4196" s="40">
        <f>K4189+K4190+K4191+K4193+K4194+SUM(K4192:K4192)-SUMIF(AC4192:AC4192, 5, K4192:K4192)-SUMIF(AC4192:AC4192, 6, K4192:K4192)</f>
        <v>579886.55000000005</v>
      </c>
      <c r="K4196" s="40"/>
    </row>
    <row r="4197" spans="1:29" ht="13.8" hidden="1" x14ac:dyDescent="0.25">
      <c r="C4197" s="39" t="s">
        <v>48</v>
      </c>
      <c r="H4197" s="41">
        <f>SUMIF(AC4192:AC4192, 5, I4192:I4192)+SUMIF(AC4192:AC4192, 6, I4192:I4192)</f>
        <v>0</v>
      </c>
      <c r="I4197" s="41"/>
      <c r="J4197" s="41">
        <f>SUMIF(AC4192:AC4192, 5, K4192:K4192)+SUMIF(AC4192:AC4192, 6, K4192:K4192)</f>
        <v>0</v>
      </c>
      <c r="K4197" s="41"/>
    </row>
    <row r="4198" spans="1:29" ht="13.8" hidden="1" x14ac:dyDescent="0.25">
      <c r="C4198" s="39" t="s">
        <v>49</v>
      </c>
      <c r="H4198" s="41">
        <f>I4189+I4190+I4191+I4193+I4194+SUM(I4192:I4192)</f>
        <v>16553.669999999998</v>
      </c>
      <c r="I4198" s="41"/>
      <c r="J4198" s="41">
        <f>K4189+K4190+K4191+K4193+K4194+SUM(K4192:K4192)</f>
        <v>579886.55000000005</v>
      </c>
      <c r="K4198" s="41"/>
      <c r="O4198" s="42">
        <f>I4189+I4190+I4191+I4193+I4194+SUM(I4192:I4192)</f>
        <v>16553.669999999998</v>
      </c>
      <c r="P4198" s="42">
        <f>K4189+K4190+K4191+K4193+K4194+SUM(K4192:K4192)</f>
        <v>579886.55000000005</v>
      </c>
    </row>
    <row r="4199" spans="1:29" hidden="1" x14ac:dyDescent="0.25"/>
    <row r="4200" spans="1:29" ht="57.6" hidden="1" x14ac:dyDescent="0.25">
      <c r="A4200" s="27">
        <v>405</v>
      </c>
      <c r="B4200" s="27" t="str">
        <f>[1]Source!F3940</f>
        <v>3.70-159-2</v>
      </c>
      <c r="C4200" s="27" t="s">
        <v>719</v>
      </c>
      <c r="D4200" s="28" t="str">
        <f>[1]Source!H3940</f>
        <v>100 м2 стяжки</v>
      </c>
      <c r="E4200" s="29">
        <f>[1]Source!I3940</f>
        <v>7.3</v>
      </c>
      <c r="F4200" s="30"/>
      <c r="G4200" s="31"/>
      <c r="H4200" s="29"/>
      <c r="I4200" s="30"/>
      <c r="J4200" s="29"/>
      <c r="K4200" s="30"/>
      <c r="Q4200">
        <f>[1]Source!X3940</f>
        <v>680.91</v>
      </c>
      <c r="R4200">
        <f>[1]Source!X3941</f>
        <v>38369.370000000003</v>
      </c>
      <c r="S4200">
        <f>[1]Source!Y3940</f>
        <v>370.79</v>
      </c>
      <c r="T4200">
        <f>[1]Source!Y3941</f>
        <v>20894.21</v>
      </c>
      <c r="U4200">
        <f>ROUND((175/100)*ROUND([1]Source!R3940, 2), 2)</f>
        <v>0</v>
      </c>
      <c r="V4200">
        <f>ROUND((0/100)*ROUND([1]Source!R3941, 2), 2)</f>
        <v>0</v>
      </c>
      <c r="AC4200">
        <v>0</v>
      </c>
    </row>
    <row r="4201" spans="1:29" hidden="1" x14ac:dyDescent="0.25">
      <c r="C4201" s="32" t="str">
        <f>"Объем: "&amp;[1]Source!I3940&amp;"=730/"&amp;"100"</f>
        <v>Объем: 7,3=730/100</v>
      </c>
    </row>
    <row r="4202" spans="1:29" ht="27.6" hidden="1" x14ac:dyDescent="0.25">
      <c r="A4202" s="27"/>
      <c r="B4202" s="27"/>
      <c r="C4202" s="27" t="s">
        <v>36</v>
      </c>
      <c r="D4202" s="28"/>
      <c r="E4202" s="29"/>
      <c r="F4202" s="30">
        <f>[1]Source!AO3940</f>
        <v>6.03</v>
      </c>
      <c r="G4202" s="31" t="s">
        <v>738</v>
      </c>
      <c r="H4202" s="29">
        <f>[1]Source!AV3941</f>
        <v>1.0469999999999999</v>
      </c>
      <c r="I4202" s="30">
        <f>[1]Source!S3940</f>
        <v>674.17</v>
      </c>
      <c r="J4202" s="29">
        <f>IF([1]Source!BA3941&lt;&gt; 0, [1]Source!BA3941, 1)</f>
        <v>56.35</v>
      </c>
      <c r="K4202" s="30">
        <f>[1]Source!S3941</f>
        <v>37989.480000000003</v>
      </c>
    </row>
    <row r="4203" spans="1:29" ht="27.6" hidden="1" x14ac:dyDescent="0.25">
      <c r="A4203" s="27"/>
      <c r="B4203" s="27"/>
      <c r="C4203" s="27" t="s">
        <v>38</v>
      </c>
      <c r="D4203" s="28"/>
      <c r="E4203" s="29"/>
      <c r="F4203" s="30">
        <f>[1]Source!AM3940</f>
        <v>0.46</v>
      </c>
      <c r="G4203" s="31" t="s">
        <v>739</v>
      </c>
      <c r="H4203" s="29">
        <f>[1]Source!AV3941</f>
        <v>1.0469999999999999</v>
      </c>
      <c r="I4203" s="30">
        <f>[1]Source!Q3940</f>
        <v>55.9</v>
      </c>
      <c r="J4203" s="29">
        <f>IF([1]Source!BB3941&lt;&gt; 0, [1]Source!BB3941, 1)</f>
        <v>11.7</v>
      </c>
      <c r="K4203" s="30">
        <f>[1]Source!Q3941</f>
        <v>654.03</v>
      </c>
    </row>
    <row r="4204" spans="1:29" ht="27.6" hidden="1" x14ac:dyDescent="0.25">
      <c r="A4204" s="27" t="s">
        <v>805</v>
      </c>
      <c r="B4204" s="27" t="str">
        <f>[1]Source!F3942</f>
        <v>1.3-2-7</v>
      </c>
      <c r="C4204" s="27" t="s">
        <v>752</v>
      </c>
      <c r="D4204" s="28" t="str">
        <f>[1]Source!H3942</f>
        <v>м3</v>
      </c>
      <c r="E4204" s="29">
        <f>[1]Source!I3942</f>
        <v>39.463799999999999</v>
      </c>
      <c r="F4204" s="30">
        <f>[1]Source!AK3942</f>
        <v>507.97</v>
      </c>
      <c r="G4204" s="43" t="s">
        <v>54</v>
      </c>
      <c r="H4204" s="29">
        <f>[1]Source!AW3943</f>
        <v>1</v>
      </c>
      <c r="I4204" s="30">
        <f>[1]Source!O3942</f>
        <v>20046.43</v>
      </c>
      <c r="J4204" s="29">
        <f>IF([1]Source!BC3943&lt;&gt; 0, [1]Source!BC3943, 1)</f>
        <v>10.98</v>
      </c>
      <c r="K4204" s="30">
        <f>[1]Source!O3943</f>
        <v>220109.8</v>
      </c>
      <c r="Q4204">
        <f>[1]Source!X3942</f>
        <v>0</v>
      </c>
      <c r="R4204">
        <f>[1]Source!X3943</f>
        <v>0</v>
      </c>
      <c r="S4204">
        <f>[1]Source!Y3942</f>
        <v>0</v>
      </c>
      <c r="T4204">
        <f>[1]Source!Y3943</f>
        <v>0</v>
      </c>
      <c r="U4204">
        <f>ROUND((175/100)*ROUND([1]Source!R3942, 2), 2)</f>
        <v>0</v>
      </c>
      <c r="V4204">
        <f>ROUND((0/100)*ROUND([1]Source!R3943, 2), 2)</f>
        <v>0</v>
      </c>
      <c r="AC4204">
        <v>3</v>
      </c>
    </row>
    <row r="4205" spans="1:29" ht="14.4" hidden="1" x14ac:dyDescent="0.25">
      <c r="A4205" s="27"/>
      <c r="B4205" s="27"/>
      <c r="C4205" s="27" t="s">
        <v>42</v>
      </c>
      <c r="D4205" s="28" t="s">
        <v>43</v>
      </c>
      <c r="E4205" s="29">
        <f>[1]Source!BZ3941</f>
        <v>101</v>
      </c>
      <c r="F4205" s="30"/>
      <c r="G4205" s="31"/>
      <c r="H4205" s="29"/>
      <c r="I4205" s="30">
        <f>SUM(Q4200:Q4204)</f>
        <v>680.91</v>
      </c>
      <c r="J4205" s="29">
        <f>[1]Source!AT3941</f>
        <v>101</v>
      </c>
      <c r="K4205" s="30">
        <f>SUM(R4200:R4204)</f>
        <v>38369.370000000003</v>
      </c>
    </row>
    <row r="4206" spans="1:29" ht="14.4" hidden="1" x14ac:dyDescent="0.25">
      <c r="A4206" s="27"/>
      <c r="B4206" s="27"/>
      <c r="C4206" s="27" t="s">
        <v>44</v>
      </c>
      <c r="D4206" s="28" t="s">
        <v>43</v>
      </c>
      <c r="E4206" s="29">
        <f>[1]Source!CA3941</f>
        <v>55</v>
      </c>
      <c r="F4206" s="30"/>
      <c r="G4206" s="31"/>
      <c r="H4206" s="29"/>
      <c r="I4206" s="30">
        <f>SUM(S4200:S4205)</f>
        <v>370.79</v>
      </c>
      <c r="J4206" s="29">
        <f>[1]Source!AU3941</f>
        <v>55</v>
      </c>
      <c r="K4206" s="30">
        <f>SUM(T4200:T4205)</f>
        <v>20894.21</v>
      </c>
    </row>
    <row r="4207" spans="1:29" ht="27.6" hidden="1" x14ac:dyDescent="0.25">
      <c r="A4207" s="34"/>
      <c r="B4207" s="34"/>
      <c r="C4207" s="34" t="s">
        <v>45</v>
      </c>
      <c r="D4207" s="35" t="s">
        <v>46</v>
      </c>
      <c r="E4207" s="36">
        <f>[1]Source!AQ3940</f>
        <v>0.44</v>
      </c>
      <c r="F4207" s="37"/>
      <c r="G4207" s="38" t="s">
        <v>738</v>
      </c>
      <c r="H4207" s="36">
        <f>[1]Source!AV3941</f>
        <v>1.0469999999999999</v>
      </c>
      <c r="I4207" s="37">
        <f>[1]Source!U3940</f>
        <v>49.193437391999986</v>
      </c>
      <c r="J4207" s="36"/>
      <c r="K4207" s="37"/>
    </row>
    <row r="4208" spans="1:29" ht="13.8" hidden="1" x14ac:dyDescent="0.25">
      <c r="C4208" s="39" t="s">
        <v>47</v>
      </c>
      <c r="H4208" s="40">
        <f>I4202+I4203+I4205+I4206+SUM(I4204:I4204)-SUMIF(AC4204:AC4204, 5, I4204:I4204)-SUMIF(AC4204:AC4204, 6, I4204:I4204)</f>
        <v>21828.2</v>
      </c>
      <c r="I4208" s="40"/>
      <c r="J4208" s="40">
        <f>K4202+K4203+K4205+K4206+SUM(K4204:K4204)-SUMIF(AC4204:AC4204, 5, K4204:K4204)-SUMIF(AC4204:AC4204, 6, K4204:K4204)</f>
        <v>318016.89</v>
      </c>
      <c r="K4208" s="40"/>
    </row>
    <row r="4209" spans="1:29" ht="13.8" hidden="1" x14ac:dyDescent="0.25">
      <c r="C4209" s="39" t="s">
        <v>48</v>
      </c>
      <c r="H4209" s="41">
        <f>SUMIF(AC4204:AC4204, 5, I4204:I4204)+SUMIF(AC4204:AC4204, 6, I4204:I4204)</f>
        <v>0</v>
      </c>
      <c r="I4209" s="41"/>
      <c r="J4209" s="41">
        <f>SUMIF(AC4204:AC4204, 5, K4204:K4204)+SUMIF(AC4204:AC4204, 6, K4204:K4204)</f>
        <v>0</v>
      </c>
      <c r="K4209" s="41"/>
    </row>
    <row r="4210" spans="1:29" ht="13.8" hidden="1" x14ac:dyDescent="0.25">
      <c r="C4210" s="39" t="s">
        <v>49</v>
      </c>
      <c r="H4210" s="41">
        <f>I4202+I4203+I4205+I4206+SUM(I4204:I4204)</f>
        <v>21828.2</v>
      </c>
      <c r="I4210" s="41"/>
      <c r="J4210" s="41">
        <f>K4202+K4203+K4205+K4206+SUM(K4204:K4204)</f>
        <v>318016.89</v>
      </c>
      <c r="K4210" s="41"/>
      <c r="O4210" s="42">
        <f>I4202+I4203+I4205+I4206+SUM(I4204:I4204)</f>
        <v>21828.2</v>
      </c>
      <c r="P4210" s="42">
        <f>K4202+K4203+K4205+K4206+SUM(K4204:K4204)</f>
        <v>318016.89</v>
      </c>
    </row>
    <row r="4211" spans="1:29" hidden="1" x14ac:dyDescent="0.25"/>
    <row r="4212" spans="1:29" ht="27.6" hidden="1" x14ac:dyDescent="0.25">
      <c r="A4212" s="27">
        <v>406</v>
      </c>
      <c r="B4212" s="27" t="str">
        <f>[1]Source!F3944</f>
        <v>3.70-43-6</v>
      </c>
      <c r="C4212" s="27" t="s">
        <v>723</v>
      </c>
      <c r="D4212" s="28" t="str">
        <f>[1]Source!H3944</f>
        <v>1 Т</v>
      </c>
      <c r="E4212" s="29">
        <f>[1]Source!I3944</f>
        <v>2.0074999999999998</v>
      </c>
      <c r="F4212" s="30"/>
      <c r="G4212" s="31"/>
      <c r="H4212" s="29"/>
      <c r="I4212" s="30"/>
      <c r="J4212" s="29"/>
      <c r="K4212" s="30"/>
      <c r="Q4212">
        <f>[1]Source!X3944</f>
        <v>496.26</v>
      </c>
      <c r="R4212">
        <f>[1]Source!X3945</f>
        <v>27964.09</v>
      </c>
      <c r="S4212">
        <f>[1]Source!Y3944</f>
        <v>264.31</v>
      </c>
      <c r="T4212">
        <f>[1]Source!Y3945</f>
        <v>14893.92</v>
      </c>
      <c r="U4212">
        <f>ROUND((175/100)*ROUND([1]Source!R3944, 2), 2)</f>
        <v>27.91</v>
      </c>
      <c r="V4212">
        <f>ROUND((0/100)*ROUND([1]Source!R3945, 2), 2)</f>
        <v>0</v>
      </c>
      <c r="AC4212">
        <v>0</v>
      </c>
    </row>
    <row r="4213" spans="1:29" hidden="1" x14ac:dyDescent="0.25">
      <c r="C4213" s="32" t="str">
        <f>"Объем: "&amp;[1]Source!I3944&amp;"=(2,75*"&amp;"730)/"&amp;"1000"</f>
        <v>Объем: 2,0075=(2,75*730)/1000</v>
      </c>
    </row>
    <row r="4214" spans="1:29" ht="14.4" hidden="1" x14ac:dyDescent="0.25">
      <c r="A4214" s="27"/>
      <c r="B4214" s="27"/>
      <c r="C4214" s="27" t="s">
        <v>36</v>
      </c>
      <c r="D4214" s="28"/>
      <c r="E4214" s="29"/>
      <c r="F4214" s="30">
        <f>[1]Source!AO3944</f>
        <v>180.47</v>
      </c>
      <c r="G4214" s="31" t="s">
        <v>37</v>
      </c>
      <c r="H4214" s="29">
        <f>[1]Source!AV3945</f>
        <v>1.0469999999999999</v>
      </c>
      <c r="I4214" s="30">
        <f>[1]Source!S3944</f>
        <v>523.46</v>
      </c>
      <c r="J4214" s="29">
        <f>IF([1]Source!BA3945&lt;&gt; 0, [1]Source!BA3945, 1)</f>
        <v>56.35</v>
      </c>
      <c r="K4214" s="30">
        <f>[1]Source!S3945</f>
        <v>29496.97</v>
      </c>
    </row>
    <row r="4215" spans="1:29" ht="14.4" hidden="1" x14ac:dyDescent="0.25">
      <c r="A4215" s="27"/>
      <c r="B4215" s="27"/>
      <c r="C4215" s="27" t="s">
        <v>38</v>
      </c>
      <c r="D4215" s="28"/>
      <c r="E4215" s="29"/>
      <c r="F4215" s="30">
        <f>[1]Source!AM3944</f>
        <v>43.5</v>
      </c>
      <c r="G4215" s="31" t="s">
        <v>39</v>
      </c>
      <c r="H4215" s="29">
        <f>[1]Source!AV3945</f>
        <v>1.0469999999999999</v>
      </c>
      <c r="I4215" s="30">
        <f>[1]Source!Q3944</f>
        <v>137.15</v>
      </c>
      <c r="J4215" s="29">
        <f>IF([1]Source!BB3945&lt;&gt; 0, [1]Source!BB3945, 1)</f>
        <v>15.44</v>
      </c>
      <c r="K4215" s="30">
        <f>[1]Source!Q3945</f>
        <v>2117.6</v>
      </c>
    </row>
    <row r="4216" spans="1:29" ht="14.4" hidden="1" x14ac:dyDescent="0.25">
      <c r="A4216" s="27"/>
      <c r="B4216" s="27"/>
      <c r="C4216" s="27" t="s">
        <v>40</v>
      </c>
      <c r="D4216" s="28"/>
      <c r="E4216" s="29"/>
      <c r="F4216" s="30">
        <f>[1]Source!AN3944</f>
        <v>5.0599999999999996</v>
      </c>
      <c r="G4216" s="31" t="s">
        <v>39</v>
      </c>
      <c r="H4216" s="29">
        <f>[1]Source!AV3945</f>
        <v>1.0469999999999999</v>
      </c>
      <c r="I4216" s="33">
        <f>[1]Source!R3944</f>
        <v>15.95</v>
      </c>
      <c r="J4216" s="29">
        <f>IF([1]Source!BS3945&lt;&gt; 0, [1]Source!BS3945, 1)</f>
        <v>56.35</v>
      </c>
      <c r="K4216" s="33">
        <f>[1]Source!R3945</f>
        <v>898.78</v>
      </c>
    </row>
    <row r="4217" spans="1:29" ht="14.4" hidden="1" x14ac:dyDescent="0.25">
      <c r="A4217" s="27"/>
      <c r="B4217" s="27"/>
      <c r="C4217" s="27" t="s">
        <v>41</v>
      </c>
      <c r="D4217" s="28"/>
      <c r="E4217" s="29"/>
      <c r="F4217" s="30">
        <f>[1]Source!AL3944</f>
        <v>258.67</v>
      </c>
      <c r="G4217" s="31"/>
      <c r="H4217" s="29">
        <f>[1]Source!AW3945</f>
        <v>1.022</v>
      </c>
      <c r="I4217" s="30">
        <f>[1]Source!P3944</f>
        <v>530.70000000000005</v>
      </c>
      <c r="J4217" s="29">
        <f>IF([1]Source!BC3945&lt;&gt; 0, [1]Source!BC3945, 1)</f>
        <v>7.5</v>
      </c>
      <c r="K4217" s="30">
        <f>[1]Source!P3945</f>
        <v>3980.25</v>
      </c>
    </row>
    <row r="4218" spans="1:29" ht="55.2" hidden="1" x14ac:dyDescent="0.25">
      <c r="A4218" s="27" t="s">
        <v>806</v>
      </c>
      <c r="B4218" s="27" t="str">
        <f>[1]Source!F3946</f>
        <v>1.3-4-75</v>
      </c>
      <c r="C4218" s="27" t="s">
        <v>725</v>
      </c>
      <c r="D4218" s="28" t="str">
        <f>[1]Source!H3946</f>
        <v>т</v>
      </c>
      <c r="E4218" s="29">
        <f>[1]Source!I3946</f>
        <v>2.0074999999999998</v>
      </c>
      <c r="F4218" s="30">
        <f>[1]Source!AK3946</f>
        <v>9724.69</v>
      </c>
      <c r="G4218" s="43" t="s">
        <v>54</v>
      </c>
      <c r="H4218" s="29">
        <f>[1]Source!AW3947</f>
        <v>1.022</v>
      </c>
      <c r="I4218" s="30">
        <f>[1]Source!O3946</f>
        <v>19951.810000000001</v>
      </c>
      <c r="J4218" s="29">
        <f>IF([1]Source!BC3947&lt;&gt; 0, [1]Source!BC3947, 1)</f>
        <v>3.88</v>
      </c>
      <c r="K4218" s="30">
        <f>[1]Source!O3947</f>
        <v>77413.02</v>
      </c>
      <c r="Q4218">
        <f>[1]Source!X3946</f>
        <v>0</v>
      </c>
      <c r="R4218">
        <f>[1]Source!X3947</f>
        <v>0</v>
      </c>
      <c r="S4218">
        <f>[1]Source!Y3946</f>
        <v>0</v>
      </c>
      <c r="T4218">
        <f>[1]Source!Y3947</f>
        <v>0</v>
      </c>
      <c r="U4218">
        <f>ROUND((175/100)*ROUND([1]Source!R3946, 2), 2)</f>
        <v>0</v>
      </c>
      <c r="V4218">
        <f>ROUND((0/100)*ROUND([1]Source!R3947, 2), 2)</f>
        <v>0</v>
      </c>
      <c r="AC4218">
        <v>3</v>
      </c>
    </row>
    <row r="4219" spans="1:29" ht="14.4" hidden="1" x14ac:dyDescent="0.25">
      <c r="A4219" s="27"/>
      <c r="B4219" s="27"/>
      <c r="C4219" s="27" t="s">
        <v>42</v>
      </c>
      <c r="D4219" s="28" t="s">
        <v>43</v>
      </c>
      <c r="E4219" s="29">
        <f>[1]Source!BZ3945</f>
        <v>92</v>
      </c>
      <c r="F4219" s="30"/>
      <c r="G4219" s="31"/>
      <c r="H4219" s="29"/>
      <c r="I4219" s="30">
        <f>SUM(Q4212:Q4218)</f>
        <v>496.26</v>
      </c>
      <c r="J4219" s="29">
        <f>[1]Source!AT3945</f>
        <v>92</v>
      </c>
      <c r="K4219" s="30">
        <f>SUM(R4212:R4218)</f>
        <v>27964.09</v>
      </c>
    </row>
    <row r="4220" spans="1:29" ht="14.4" hidden="1" x14ac:dyDescent="0.25">
      <c r="A4220" s="27"/>
      <c r="B4220" s="27"/>
      <c r="C4220" s="27" t="s">
        <v>44</v>
      </c>
      <c r="D4220" s="28" t="s">
        <v>43</v>
      </c>
      <c r="E4220" s="29">
        <f>[1]Source!CA3945</f>
        <v>49</v>
      </c>
      <c r="F4220" s="30"/>
      <c r="G4220" s="31"/>
      <c r="H4220" s="29"/>
      <c r="I4220" s="30">
        <f>SUM(S4212:S4219)</f>
        <v>264.31</v>
      </c>
      <c r="J4220" s="29">
        <f>[1]Source!AU3945</f>
        <v>49</v>
      </c>
      <c r="K4220" s="30">
        <f>SUM(T4212:T4219)</f>
        <v>14893.92</v>
      </c>
    </row>
    <row r="4221" spans="1:29" ht="14.4" hidden="1" x14ac:dyDescent="0.25">
      <c r="A4221" s="34"/>
      <c r="B4221" s="34"/>
      <c r="C4221" s="34" t="s">
        <v>45</v>
      </c>
      <c r="D4221" s="35" t="s">
        <v>46</v>
      </c>
      <c r="E4221" s="36">
        <f>[1]Source!AQ3944</f>
        <v>11.6</v>
      </c>
      <c r="F4221" s="37"/>
      <c r="G4221" s="38" t="s">
        <v>37</v>
      </c>
      <c r="H4221" s="36">
        <f>[1]Source!AV3945</f>
        <v>1.0469999999999999</v>
      </c>
      <c r="I4221" s="37">
        <f>[1]Source!U3944</f>
        <v>33.646454819999988</v>
      </c>
      <c r="J4221" s="36"/>
      <c r="K4221" s="37"/>
    </row>
    <row r="4222" spans="1:29" ht="13.8" hidden="1" x14ac:dyDescent="0.25">
      <c r="C4222" s="39" t="s">
        <v>47</v>
      </c>
      <c r="H4222" s="40">
        <f>I4214+I4215+I4217+I4219+I4220+SUM(I4218:I4218)-SUMIF(AC4218:AC4218, 5, I4218:I4218)-SUMIF(AC4218:AC4218, 6, I4218:I4218)</f>
        <v>21903.690000000002</v>
      </c>
      <c r="I4222" s="40"/>
      <c r="J4222" s="40">
        <f>K4214+K4215+K4217+K4219+K4220+SUM(K4218:K4218)-SUMIF(AC4218:AC4218, 5, K4218:K4218)-SUMIF(AC4218:AC4218, 6, K4218:K4218)</f>
        <v>155865.85</v>
      </c>
      <c r="K4222" s="40"/>
    </row>
    <row r="4223" spans="1:29" ht="13.8" hidden="1" x14ac:dyDescent="0.25">
      <c r="C4223" s="39" t="s">
        <v>48</v>
      </c>
      <c r="H4223" s="41">
        <f>SUMIF(AC4218:AC4218, 5, I4218:I4218)+SUMIF(AC4218:AC4218, 6, I4218:I4218)</f>
        <v>0</v>
      </c>
      <c r="I4223" s="41"/>
      <c r="J4223" s="41">
        <f>SUMIF(AC4218:AC4218, 5, K4218:K4218)+SUMIF(AC4218:AC4218, 6, K4218:K4218)</f>
        <v>0</v>
      </c>
      <c r="K4223" s="41"/>
    </row>
    <row r="4224" spans="1:29" ht="13.8" hidden="1" x14ac:dyDescent="0.25">
      <c r="C4224" s="39" t="s">
        <v>49</v>
      </c>
      <c r="H4224" s="41">
        <f>I4214+I4215+I4217+I4219+I4220+SUM(I4218:I4218)</f>
        <v>21903.690000000002</v>
      </c>
      <c r="I4224" s="41"/>
      <c r="J4224" s="41">
        <f>K4214+K4215+K4217+K4219+K4220+SUM(K4218:K4218)</f>
        <v>155865.85</v>
      </c>
      <c r="K4224" s="41"/>
      <c r="O4224" s="42">
        <f>I4214+I4215+I4217+I4219+I4220+SUM(I4218:I4218)</f>
        <v>21903.690000000002</v>
      </c>
      <c r="P4224" s="42">
        <f>K4214+K4215+K4217+K4219+K4220+SUM(K4218:K4218)</f>
        <v>155865.85</v>
      </c>
    </row>
    <row r="4225" spans="1:29" hidden="1" x14ac:dyDescent="0.25"/>
    <row r="4226" spans="1:29" ht="57.6" hidden="1" x14ac:dyDescent="0.25">
      <c r="A4226" s="27">
        <v>407</v>
      </c>
      <c r="B4226" s="27" t="str">
        <f>[1]Source!F3948</f>
        <v>3.70-202-1</v>
      </c>
      <c r="C4226" s="27" t="s">
        <v>782</v>
      </c>
      <c r="D4226" s="28" t="str">
        <f>[1]Source!H3948</f>
        <v>100 м2 покрытия</v>
      </c>
      <c r="E4226" s="29">
        <f>[1]Source!I3948</f>
        <v>7.3</v>
      </c>
      <c r="F4226" s="30"/>
      <c r="G4226" s="31"/>
      <c r="H4226" s="29"/>
      <c r="I4226" s="30"/>
      <c r="J4226" s="29"/>
      <c r="K4226" s="30"/>
      <c r="Q4226">
        <f>[1]Source!X3948</f>
        <v>6587.1</v>
      </c>
      <c r="R4226">
        <f>[1]Source!X3949</f>
        <v>371183.02</v>
      </c>
      <c r="S4226">
        <f>[1]Source!Y3948</f>
        <v>3587.03</v>
      </c>
      <c r="T4226">
        <f>[1]Source!Y3949</f>
        <v>202129.37</v>
      </c>
      <c r="U4226">
        <f>ROUND((175/100)*ROUND([1]Source!R3948, 2), 2)</f>
        <v>169.73</v>
      </c>
      <c r="V4226">
        <f>ROUND((0/100)*ROUND([1]Source!R3949, 2), 2)</f>
        <v>0</v>
      </c>
      <c r="AC4226">
        <v>0</v>
      </c>
    </row>
    <row r="4227" spans="1:29" hidden="1" x14ac:dyDescent="0.25">
      <c r="C4227" s="32" t="str">
        <f>"Объем: "&amp;[1]Source!I3948&amp;"=730/"&amp;"100"</f>
        <v>Объем: 7,3=730/100</v>
      </c>
    </row>
    <row r="4228" spans="1:29" ht="14.4" hidden="1" x14ac:dyDescent="0.25">
      <c r="A4228" s="27"/>
      <c r="B4228" s="27"/>
      <c r="C4228" s="27" t="s">
        <v>36</v>
      </c>
      <c r="D4228" s="28"/>
      <c r="E4228" s="29"/>
      <c r="F4228" s="30">
        <f>[1]Source!AO3948</f>
        <v>609.14</v>
      </c>
      <c r="G4228" s="31" t="s">
        <v>37</v>
      </c>
      <c r="H4228" s="29">
        <f>[1]Source!AV3949</f>
        <v>1.0469999999999999</v>
      </c>
      <c r="I4228" s="30">
        <f>[1]Source!S3948</f>
        <v>6424.89</v>
      </c>
      <c r="J4228" s="29">
        <f>IF([1]Source!BA3949&lt;&gt; 0, [1]Source!BA3949, 1)</f>
        <v>56.35</v>
      </c>
      <c r="K4228" s="30">
        <f>[1]Source!S3949</f>
        <v>362042.55</v>
      </c>
    </row>
    <row r="4229" spans="1:29" ht="14.4" hidden="1" x14ac:dyDescent="0.25">
      <c r="A4229" s="27"/>
      <c r="B4229" s="27"/>
      <c r="C4229" s="27" t="s">
        <v>38</v>
      </c>
      <c r="D4229" s="28"/>
      <c r="E4229" s="29"/>
      <c r="F4229" s="30">
        <f>[1]Source!AM3948</f>
        <v>55.68</v>
      </c>
      <c r="G4229" s="31" t="s">
        <v>39</v>
      </c>
      <c r="H4229" s="29">
        <f>[1]Source!AV3949</f>
        <v>1.0469999999999999</v>
      </c>
      <c r="I4229" s="30">
        <f>[1]Source!Q3948</f>
        <v>638.35</v>
      </c>
      <c r="J4229" s="29">
        <f>IF([1]Source!BB3949&lt;&gt; 0, [1]Source!BB3949, 1)</f>
        <v>17.07</v>
      </c>
      <c r="K4229" s="30">
        <f>[1]Source!Q3949</f>
        <v>10896.63</v>
      </c>
    </row>
    <row r="4230" spans="1:29" ht="14.4" hidden="1" x14ac:dyDescent="0.25">
      <c r="A4230" s="27"/>
      <c r="B4230" s="27"/>
      <c r="C4230" s="27" t="s">
        <v>40</v>
      </c>
      <c r="D4230" s="28"/>
      <c r="E4230" s="29"/>
      <c r="F4230" s="30">
        <f>[1]Source!AN3948</f>
        <v>8.4600000000000009</v>
      </c>
      <c r="G4230" s="31" t="s">
        <v>39</v>
      </c>
      <c r="H4230" s="29">
        <f>[1]Source!AV3949</f>
        <v>1.0469999999999999</v>
      </c>
      <c r="I4230" s="33">
        <f>[1]Source!R3948</f>
        <v>96.99</v>
      </c>
      <c r="J4230" s="29">
        <f>IF([1]Source!BS3949&lt;&gt; 0, [1]Source!BS3949, 1)</f>
        <v>56.35</v>
      </c>
      <c r="K4230" s="33">
        <f>[1]Source!R3949</f>
        <v>5465.39</v>
      </c>
    </row>
    <row r="4231" spans="1:29" ht="14.4" hidden="1" x14ac:dyDescent="0.25">
      <c r="A4231" s="27"/>
      <c r="B4231" s="27"/>
      <c r="C4231" s="27" t="s">
        <v>41</v>
      </c>
      <c r="D4231" s="28"/>
      <c r="E4231" s="29"/>
      <c r="F4231" s="30">
        <f>[1]Source!AL3948</f>
        <v>0.81</v>
      </c>
      <c r="G4231" s="31"/>
      <c r="H4231" s="29">
        <f>[1]Source!AW3949</f>
        <v>1</v>
      </c>
      <c r="I4231" s="30">
        <f>[1]Source!P3948</f>
        <v>5.91</v>
      </c>
      <c r="J4231" s="29">
        <f>IF([1]Source!BC3949&lt;&gt; 0, [1]Source!BC3949, 1)</f>
        <v>14.57</v>
      </c>
      <c r="K4231" s="30">
        <f>[1]Source!P3949</f>
        <v>86.11</v>
      </c>
    </row>
    <row r="4232" spans="1:29" ht="27.6" hidden="1" x14ac:dyDescent="0.25">
      <c r="A4232" s="27" t="s">
        <v>807</v>
      </c>
      <c r="B4232" s="27" t="str">
        <f>[1]Source!F3950</f>
        <v>1.1-1-389</v>
      </c>
      <c r="C4232" s="27" t="s">
        <v>784</v>
      </c>
      <c r="D4232" s="28" t="str">
        <f>[1]Source!H3950</f>
        <v>т</v>
      </c>
      <c r="E4232" s="29">
        <f>[1]Source!I3950</f>
        <v>0.36499999999999999</v>
      </c>
      <c r="F4232" s="30">
        <f>[1]Source!AK3950</f>
        <v>43314.81</v>
      </c>
      <c r="G4232" s="43" t="s">
        <v>54</v>
      </c>
      <c r="H4232" s="29">
        <f>[1]Source!AW3951</f>
        <v>1</v>
      </c>
      <c r="I4232" s="30">
        <f>[1]Source!O3950</f>
        <v>15809.91</v>
      </c>
      <c r="J4232" s="29">
        <f>IF([1]Source!BC3951&lt;&gt; 0, [1]Source!BC3951, 1)</f>
        <v>2.11</v>
      </c>
      <c r="K4232" s="30">
        <f>[1]Source!O3951</f>
        <v>33358.910000000003</v>
      </c>
      <c r="Q4232">
        <f>[1]Source!X3950</f>
        <v>0</v>
      </c>
      <c r="R4232">
        <f>[1]Source!X3951</f>
        <v>0</v>
      </c>
      <c r="S4232">
        <f>[1]Source!Y3950</f>
        <v>0</v>
      </c>
      <c r="T4232">
        <f>[1]Source!Y3951</f>
        <v>0</v>
      </c>
      <c r="U4232">
        <f>ROUND((175/100)*ROUND([1]Source!R3950, 2), 2)</f>
        <v>0</v>
      </c>
      <c r="V4232">
        <f>ROUND((0/100)*ROUND([1]Source!R3951, 2), 2)</f>
        <v>0</v>
      </c>
      <c r="AC4232">
        <v>3</v>
      </c>
    </row>
    <row r="4233" spans="1:29" ht="40.799999999999997" x14ac:dyDescent="0.25">
      <c r="A4233" s="53" t="s">
        <v>808</v>
      </c>
      <c r="B4233" s="53" t="str">
        <f>[1]Source!F3952</f>
        <v>КА-188</v>
      </c>
      <c r="C4233" s="53" t="s">
        <v>786</v>
      </c>
      <c r="D4233" s="54" t="str">
        <f>[1]Source!H3952</f>
        <v>м2</v>
      </c>
      <c r="E4233" s="55">
        <f>[1]Source!I3952</f>
        <v>781.1</v>
      </c>
      <c r="F4233" s="30">
        <f>[1]Source!AK3952</f>
        <v>200.78</v>
      </c>
      <c r="G4233" s="43" t="s">
        <v>54</v>
      </c>
      <c r="H4233" s="29">
        <f>[1]Source!AW3953</f>
        <v>1</v>
      </c>
      <c r="I4233" s="30">
        <f>[1]Source!O3952</f>
        <v>156829.26</v>
      </c>
      <c r="J4233" s="29">
        <f>IF([1]Source!BC3953&lt;&gt; 0, [1]Source!BC3953, 1)</f>
        <v>9.84</v>
      </c>
      <c r="K4233" s="56">
        <f>[1]Source!O3953</f>
        <v>1543199.92</v>
      </c>
      <c r="L4233">
        <v>2363</v>
      </c>
      <c r="M4233" s="50">
        <f>L4233*E4233</f>
        <v>1845739.3</v>
      </c>
      <c r="N4233" s="59" t="s">
        <v>180</v>
      </c>
      <c r="Q4233">
        <f>[1]Source!X3952</f>
        <v>0</v>
      </c>
      <c r="R4233">
        <f>[1]Source!X3953</f>
        <v>0</v>
      </c>
      <c r="S4233">
        <f>[1]Source!Y3952</f>
        <v>0</v>
      </c>
      <c r="T4233">
        <f>[1]Source!Y3953</f>
        <v>0</v>
      </c>
      <c r="U4233">
        <f>ROUND((175/100)*ROUND([1]Source!R3952, 2), 2)</f>
        <v>0</v>
      </c>
      <c r="V4233">
        <f>ROUND((0/100)*ROUND([1]Source!R3953, 2), 2)</f>
        <v>0</v>
      </c>
      <c r="AC4233">
        <v>3</v>
      </c>
    </row>
    <row r="4234" spans="1:29" ht="14.4" hidden="1" x14ac:dyDescent="0.25">
      <c r="A4234" s="27"/>
      <c r="B4234" s="27"/>
      <c r="C4234" s="27" t="s">
        <v>42</v>
      </c>
      <c r="D4234" s="28" t="s">
        <v>43</v>
      </c>
      <c r="E4234" s="29">
        <f>[1]Source!BZ3949</f>
        <v>101</v>
      </c>
      <c r="F4234" s="30"/>
      <c r="G4234" s="31"/>
      <c r="H4234" s="29"/>
      <c r="I4234" s="30">
        <f>SUM(Q4226:Q4233)</f>
        <v>6587.1</v>
      </c>
      <c r="J4234" s="29">
        <f>[1]Source!AT3949</f>
        <v>101</v>
      </c>
      <c r="K4234" s="30">
        <f>SUM(R4226:R4233)</f>
        <v>371183.02</v>
      </c>
    </row>
    <row r="4235" spans="1:29" ht="14.4" hidden="1" x14ac:dyDescent="0.25">
      <c r="A4235" s="27"/>
      <c r="B4235" s="27"/>
      <c r="C4235" s="27" t="s">
        <v>44</v>
      </c>
      <c r="D4235" s="28" t="s">
        <v>43</v>
      </c>
      <c r="E4235" s="29">
        <f>[1]Source!CA3949</f>
        <v>55</v>
      </c>
      <c r="F4235" s="30"/>
      <c r="G4235" s="31"/>
      <c r="H4235" s="29"/>
      <c r="I4235" s="30">
        <f>SUM(S4226:S4234)</f>
        <v>3587.03</v>
      </c>
      <c r="J4235" s="29">
        <f>[1]Source!AU3949</f>
        <v>55</v>
      </c>
      <c r="K4235" s="30">
        <f>SUM(T4226:T4234)</f>
        <v>202129.37</v>
      </c>
    </row>
    <row r="4236" spans="1:29" ht="14.4" hidden="1" x14ac:dyDescent="0.25">
      <c r="A4236" s="34"/>
      <c r="B4236" s="34"/>
      <c r="C4236" s="34" t="s">
        <v>45</v>
      </c>
      <c r="D4236" s="35" t="s">
        <v>46</v>
      </c>
      <c r="E4236" s="36">
        <f>[1]Source!AQ3948</f>
        <v>38.200000000000003</v>
      </c>
      <c r="F4236" s="37"/>
      <c r="G4236" s="38" t="s">
        <v>37</v>
      </c>
      <c r="H4236" s="36">
        <f>[1]Source!AV3949</f>
        <v>1.0469999999999999</v>
      </c>
      <c r="I4236" s="37">
        <f>[1]Source!U3948</f>
        <v>402.91365960000002</v>
      </c>
      <c r="J4236" s="36"/>
      <c r="K4236" s="37"/>
    </row>
    <row r="4237" spans="1:29" ht="13.8" hidden="1" x14ac:dyDescent="0.25">
      <c r="C4237" s="39" t="s">
        <v>47</v>
      </c>
      <c r="H4237" s="40">
        <f>I4228+I4229+I4231+I4234+I4235+SUM(I4232:I4233)-SUMIF(AC4232:AC4233, 5, I4232:I4233)-SUMIF(AC4232:AC4233, 6, I4232:I4233)</f>
        <v>189882.45</v>
      </c>
      <c r="I4237" s="40"/>
      <c r="J4237" s="40">
        <f>K4228+K4229+K4231+K4234+K4235+SUM(K4232:K4233)-SUMIF(AC4232:AC4233, 5, K4232:K4233)-SUMIF(AC4232:AC4233, 6, K4232:K4233)</f>
        <v>2522896.5099999998</v>
      </c>
      <c r="K4237" s="40"/>
    </row>
    <row r="4238" spans="1:29" ht="13.8" hidden="1" x14ac:dyDescent="0.25">
      <c r="C4238" s="39" t="s">
        <v>48</v>
      </c>
      <c r="H4238" s="41">
        <f>SUMIF(AC4232:AC4233, 5, I4232:I4233)+SUMIF(AC4232:AC4233, 6, I4232:I4233)</f>
        <v>0</v>
      </c>
      <c r="I4238" s="41"/>
      <c r="J4238" s="41">
        <f>SUMIF(AC4232:AC4233, 5, K4232:K4233)+SUMIF(AC4232:AC4233, 6, K4232:K4233)</f>
        <v>0</v>
      </c>
      <c r="K4238" s="41"/>
    </row>
    <row r="4239" spans="1:29" ht="13.8" hidden="1" x14ac:dyDescent="0.25">
      <c r="C4239" s="39" t="s">
        <v>49</v>
      </c>
      <c r="H4239" s="41">
        <f>I4228+I4229+I4231+I4234+I4235+SUM(I4232:I4233)</f>
        <v>189882.45</v>
      </c>
      <c r="I4239" s="41"/>
      <c r="J4239" s="41">
        <f>K4228+K4229+K4231+K4234+K4235+SUM(K4232:K4233)</f>
        <v>2522896.5099999998</v>
      </c>
      <c r="K4239" s="41"/>
      <c r="O4239" s="42">
        <f>I4228+I4229+I4231+I4234+I4235+SUM(I4232:I4233)</f>
        <v>189882.45</v>
      </c>
      <c r="P4239" s="42">
        <f>K4228+K4229+K4231+K4234+K4235+SUM(K4232:K4233)</f>
        <v>2522896.5099999998</v>
      </c>
    </row>
    <row r="4240" spans="1:29" hidden="1" x14ac:dyDescent="0.25"/>
    <row r="4241" spans="1:43" hidden="1" x14ac:dyDescent="0.25"/>
    <row r="4242" spans="1:43" ht="13.8" hidden="1" x14ac:dyDescent="0.25">
      <c r="A4242" s="44" t="str">
        <f>CONCATENATE("Итого по подразделу: ",IF([1]Source!G3955&lt;&gt;"Новый подраздел", [1]Source!G3955, ""))</f>
        <v>Итого по подразделу: Пятый этаж. Кварц-виниловая дизайн-плитка 500х500 мм</v>
      </c>
      <c r="B4242" s="44"/>
      <c r="C4242" s="44"/>
      <c r="D4242" s="44"/>
      <c r="E4242" s="44"/>
      <c r="F4242" s="44"/>
      <c r="G4242" s="44"/>
      <c r="H4242" s="41">
        <f>SUM(O4186:O4241)</f>
        <v>250168.01</v>
      </c>
      <c r="I4242" s="45"/>
      <c r="J4242" s="41">
        <f>SUM(P4186:P4241)</f>
        <v>3576665.8</v>
      </c>
      <c r="K4242" s="45"/>
      <c r="AQ4242" s="52" t="str">
        <f>CONCATENATE("Итого по подразделу: ",IF([1]Source!G3955&lt;&gt;"Новый подраздел", [1]Source!G3955, ""))</f>
        <v>Итого по подразделу: Пятый этаж. Кварц-виниловая дизайн-плитка 500х500 мм</v>
      </c>
    </row>
    <row r="4243" spans="1:43" hidden="1" x14ac:dyDescent="0.25">
      <c r="A4243" t="s">
        <v>55</v>
      </c>
      <c r="I4243">
        <f>SUM(W4186:W4242)</f>
        <v>0</v>
      </c>
      <c r="J4243">
        <f>SUM(X4186:X4242)</f>
        <v>0</v>
      </c>
    </row>
    <row r="4244" spans="1:43" hidden="1" x14ac:dyDescent="0.25">
      <c r="A4244" t="s">
        <v>56</v>
      </c>
      <c r="I4244">
        <f>SUM(Y4186:Y4243)</f>
        <v>0</v>
      </c>
      <c r="J4244">
        <f>SUM(Z4186:Z4243)</f>
        <v>0</v>
      </c>
    </row>
    <row r="4245" spans="1:43" hidden="1" x14ac:dyDescent="0.25"/>
    <row r="4246" spans="1:43" ht="16.8" hidden="1" x14ac:dyDescent="0.25">
      <c r="A4246" s="11" t="str">
        <f>CONCATENATE("Подраздел: ",IF([1]Source!G3985&lt;&gt;"Новый подраздел", [1]Source!G3985, ""))</f>
        <v>Подраздел: Второй этаж. Кварц-виниловая дизайн-плитка 500х500 мм</v>
      </c>
      <c r="B4246" s="11"/>
      <c r="C4246" s="11"/>
      <c r="D4246" s="11"/>
      <c r="E4246" s="11"/>
      <c r="F4246" s="11"/>
      <c r="G4246" s="11"/>
      <c r="H4246" s="11"/>
      <c r="I4246" s="11"/>
      <c r="J4246" s="11"/>
      <c r="K4246" s="11"/>
    </row>
    <row r="4247" spans="1:43" ht="57.6" hidden="1" x14ac:dyDescent="0.25">
      <c r="A4247" s="27">
        <v>408</v>
      </c>
      <c r="B4247" s="27" t="str">
        <f>[1]Source!F3989</f>
        <v>3.70-159-1</v>
      </c>
      <c r="C4247" s="27" t="s">
        <v>717</v>
      </c>
      <c r="D4247" s="28" t="str">
        <f>[1]Source!H3989</f>
        <v>100 м2 стяжки</v>
      </c>
      <c r="E4247" s="29">
        <f>[1]Source!I3989</f>
        <v>7.71</v>
      </c>
      <c r="F4247" s="30"/>
      <c r="G4247" s="31"/>
      <c r="H4247" s="29"/>
      <c r="I4247" s="30"/>
      <c r="J4247" s="29"/>
      <c r="K4247" s="30"/>
      <c r="Q4247">
        <f>[1]Source!X3989</f>
        <v>3661.72</v>
      </c>
      <c r="R4247">
        <f>[1]Source!X3990</f>
        <v>206338.18</v>
      </c>
      <c r="S4247">
        <f>[1]Source!Y3989</f>
        <v>1994.01</v>
      </c>
      <c r="T4247">
        <f>[1]Source!Y3990</f>
        <v>112362.38</v>
      </c>
      <c r="U4247">
        <f>ROUND((175/100)*ROUND([1]Source!R3989, 2), 2)</f>
        <v>0</v>
      </c>
      <c r="V4247">
        <f>ROUND((0/100)*ROUND([1]Source!R3990, 2), 2)</f>
        <v>0</v>
      </c>
      <c r="AC4247">
        <v>0</v>
      </c>
    </row>
    <row r="4248" spans="1:43" hidden="1" x14ac:dyDescent="0.25">
      <c r="C4248" s="32" t="str">
        <f>"Объем: "&amp;[1]Source!I3989&amp;"=771/"&amp;"100"</f>
        <v>Объем: 7,71=771/100</v>
      </c>
    </row>
    <row r="4249" spans="1:43" ht="14.4" hidden="1" x14ac:dyDescent="0.25">
      <c r="A4249" s="27"/>
      <c r="B4249" s="27"/>
      <c r="C4249" s="27" t="s">
        <v>36</v>
      </c>
      <c r="D4249" s="28"/>
      <c r="E4249" s="29"/>
      <c r="F4249" s="30">
        <f>[1]Source!AO3989</f>
        <v>325.45</v>
      </c>
      <c r="G4249" s="31" t="s">
        <v>37</v>
      </c>
      <c r="H4249" s="29">
        <f>[1]Source!AV3990</f>
        <v>1.0469999999999999</v>
      </c>
      <c r="I4249" s="30">
        <f>[1]Source!S3989</f>
        <v>3625.47</v>
      </c>
      <c r="J4249" s="29">
        <f>IF([1]Source!BA3990&lt;&gt; 0, [1]Source!BA3990, 1)</f>
        <v>56.35</v>
      </c>
      <c r="K4249" s="30">
        <f>[1]Source!S3990</f>
        <v>204295.23</v>
      </c>
    </row>
    <row r="4250" spans="1:43" ht="14.4" hidden="1" x14ac:dyDescent="0.25">
      <c r="A4250" s="27"/>
      <c r="B4250" s="27"/>
      <c r="C4250" s="27" t="s">
        <v>38</v>
      </c>
      <c r="D4250" s="28"/>
      <c r="E4250" s="29"/>
      <c r="F4250" s="30">
        <f>[1]Source!AM3989</f>
        <v>1.8</v>
      </c>
      <c r="G4250" s="31" t="s">
        <v>39</v>
      </c>
      <c r="H4250" s="29">
        <f>[1]Source!AV3990</f>
        <v>1.0469999999999999</v>
      </c>
      <c r="I4250" s="30">
        <f>[1]Source!Q3989</f>
        <v>21.8</v>
      </c>
      <c r="J4250" s="29">
        <f>IF([1]Source!BB3990&lt;&gt; 0, [1]Source!BB3990, 1)</f>
        <v>11.69</v>
      </c>
      <c r="K4250" s="30">
        <f>[1]Source!Q3990</f>
        <v>254.84</v>
      </c>
    </row>
    <row r="4251" spans="1:43" ht="14.4" hidden="1" x14ac:dyDescent="0.25">
      <c r="A4251" s="27"/>
      <c r="B4251" s="27"/>
      <c r="C4251" s="27" t="s">
        <v>41</v>
      </c>
      <c r="D4251" s="28"/>
      <c r="E4251" s="29"/>
      <c r="F4251" s="30">
        <f>[1]Source!AL3989</f>
        <v>24.75</v>
      </c>
      <c r="G4251" s="31"/>
      <c r="H4251" s="29">
        <f>[1]Source!AW3990</f>
        <v>1</v>
      </c>
      <c r="I4251" s="30">
        <f>[1]Source!P3989</f>
        <v>190.82</v>
      </c>
      <c r="J4251" s="29">
        <f>IF([1]Source!BC3990&lt;&gt; 0, [1]Source!BC3990, 1)</f>
        <v>7.75</v>
      </c>
      <c r="K4251" s="30">
        <f>[1]Source!P3990</f>
        <v>1478.86</v>
      </c>
    </row>
    <row r="4252" spans="1:43" ht="27.6" hidden="1" x14ac:dyDescent="0.25">
      <c r="A4252" s="27" t="s">
        <v>809</v>
      </c>
      <c r="B4252" s="27" t="str">
        <f>[1]Source!F3991</f>
        <v>1.3-2-7</v>
      </c>
      <c r="C4252" s="27" t="s">
        <v>752</v>
      </c>
      <c r="D4252" s="28" t="str">
        <f>[1]Source!H3991</f>
        <v>м3</v>
      </c>
      <c r="E4252" s="29">
        <f>[1]Source!I3991</f>
        <v>15.728400000000001</v>
      </c>
      <c r="F4252" s="30">
        <f>[1]Source!AK3991</f>
        <v>507.97</v>
      </c>
      <c r="G4252" s="43" t="s">
        <v>54</v>
      </c>
      <c r="H4252" s="29">
        <f>[1]Source!AW3992</f>
        <v>1</v>
      </c>
      <c r="I4252" s="30">
        <f>[1]Source!O3991</f>
        <v>7989.56</v>
      </c>
      <c r="J4252" s="29">
        <f>IF([1]Source!BC3992&lt;&gt; 0, [1]Source!BC3992, 1)</f>
        <v>10.98</v>
      </c>
      <c r="K4252" s="30">
        <f>[1]Source!O3992</f>
        <v>87725.37</v>
      </c>
      <c r="Q4252">
        <f>[1]Source!X3991</f>
        <v>0</v>
      </c>
      <c r="R4252">
        <f>[1]Source!X3992</f>
        <v>0</v>
      </c>
      <c r="S4252">
        <f>[1]Source!Y3991</f>
        <v>0</v>
      </c>
      <c r="T4252">
        <f>[1]Source!Y3992</f>
        <v>0</v>
      </c>
      <c r="U4252">
        <f>ROUND((175/100)*ROUND([1]Source!R3991, 2), 2)</f>
        <v>0</v>
      </c>
      <c r="V4252">
        <f>ROUND((0/100)*ROUND([1]Source!R3992, 2), 2)</f>
        <v>0</v>
      </c>
      <c r="AC4252">
        <v>3</v>
      </c>
    </row>
    <row r="4253" spans="1:43" ht="14.4" hidden="1" x14ac:dyDescent="0.25">
      <c r="A4253" s="27"/>
      <c r="B4253" s="27"/>
      <c r="C4253" s="27" t="s">
        <v>42</v>
      </c>
      <c r="D4253" s="28" t="s">
        <v>43</v>
      </c>
      <c r="E4253" s="29">
        <f>[1]Source!BZ3990</f>
        <v>101</v>
      </c>
      <c r="F4253" s="30"/>
      <c r="G4253" s="31"/>
      <c r="H4253" s="29"/>
      <c r="I4253" s="30">
        <f>SUM(Q4247:Q4252)</f>
        <v>3661.72</v>
      </c>
      <c r="J4253" s="29">
        <f>[1]Source!AT3990</f>
        <v>101</v>
      </c>
      <c r="K4253" s="30">
        <f>SUM(R4247:R4252)</f>
        <v>206338.18</v>
      </c>
    </row>
    <row r="4254" spans="1:43" ht="14.4" hidden="1" x14ac:dyDescent="0.25">
      <c r="A4254" s="27"/>
      <c r="B4254" s="27"/>
      <c r="C4254" s="27" t="s">
        <v>44</v>
      </c>
      <c r="D4254" s="28" t="s">
        <v>43</v>
      </c>
      <c r="E4254" s="29">
        <f>[1]Source!CA3990</f>
        <v>55</v>
      </c>
      <c r="F4254" s="30"/>
      <c r="G4254" s="31"/>
      <c r="H4254" s="29"/>
      <c r="I4254" s="30">
        <f>SUM(S4247:S4253)</f>
        <v>1994.01</v>
      </c>
      <c r="J4254" s="29">
        <f>[1]Source!AU3990</f>
        <v>55</v>
      </c>
      <c r="K4254" s="30">
        <f>SUM(T4247:T4253)</f>
        <v>112362.38</v>
      </c>
    </row>
    <row r="4255" spans="1:43" ht="14.4" hidden="1" x14ac:dyDescent="0.25">
      <c r="A4255" s="34"/>
      <c r="B4255" s="34"/>
      <c r="C4255" s="34" t="s">
        <v>45</v>
      </c>
      <c r="D4255" s="35" t="s">
        <v>46</v>
      </c>
      <c r="E4255" s="36">
        <f>[1]Source!AQ3989</f>
        <v>23.33</v>
      </c>
      <c r="F4255" s="37"/>
      <c r="G4255" s="38" t="s">
        <v>37</v>
      </c>
      <c r="H4255" s="36">
        <f>[1]Source!AV3990</f>
        <v>1.0469999999999999</v>
      </c>
      <c r="I4255" s="37">
        <f>[1]Source!U3989</f>
        <v>259.89318109799996</v>
      </c>
      <c r="J4255" s="36"/>
      <c r="K4255" s="37"/>
    </row>
    <row r="4256" spans="1:43" ht="13.8" hidden="1" x14ac:dyDescent="0.25">
      <c r="C4256" s="39" t="s">
        <v>47</v>
      </c>
      <c r="H4256" s="40">
        <f>I4249+I4250+I4251+I4253+I4254+SUM(I4252:I4252)-SUMIF(AC4252:AC4252, 5, I4252:I4252)-SUMIF(AC4252:AC4252, 6, I4252:I4252)</f>
        <v>17483.38</v>
      </c>
      <c r="I4256" s="40"/>
      <c r="J4256" s="40">
        <f>K4249+K4250+K4251+K4253+K4254+SUM(K4252:K4252)-SUMIF(AC4252:AC4252, 5, K4252:K4252)-SUMIF(AC4252:AC4252, 6, K4252:K4252)</f>
        <v>612454.86</v>
      </c>
      <c r="K4256" s="40"/>
    </row>
    <row r="4257" spans="1:29" ht="13.8" hidden="1" x14ac:dyDescent="0.25">
      <c r="C4257" s="39" t="s">
        <v>48</v>
      </c>
      <c r="H4257" s="41">
        <f>SUMIF(AC4252:AC4252, 5, I4252:I4252)+SUMIF(AC4252:AC4252, 6, I4252:I4252)</f>
        <v>0</v>
      </c>
      <c r="I4257" s="41"/>
      <c r="J4257" s="41">
        <f>SUMIF(AC4252:AC4252, 5, K4252:K4252)+SUMIF(AC4252:AC4252, 6, K4252:K4252)</f>
        <v>0</v>
      </c>
      <c r="K4257" s="41"/>
    </row>
    <row r="4258" spans="1:29" ht="13.8" hidden="1" x14ac:dyDescent="0.25">
      <c r="C4258" s="39" t="s">
        <v>49</v>
      </c>
      <c r="H4258" s="41">
        <f>I4249+I4250+I4251+I4253+I4254+SUM(I4252:I4252)</f>
        <v>17483.38</v>
      </c>
      <c r="I4258" s="41"/>
      <c r="J4258" s="41">
        <f>K4249+K4250+K4251+K4253+K4254+SUM(K4252:K4252)</f>
        <v>612454.86</v>
      </c>
      <c r="K4258" s="41"/>
      <c r="O4258" s="42">
        <f>I4249+I4250+I4251+I4253+I4254+SUM(I4252:I4252)</f>
        <v>17483.38</v>
      </c>
      <c r="P4258" s="42">
        <f>K4249+K4250+K4251+K4253+K4254+SUM(K4252:K4252)</f>
        <v>612454.86</v>
      </c>
    </row>
    <row r="4259" spans="1:29" hidden="1" x14ac:dyDescent="0.25"/>
    <row r="4260" spans="1:29" ht="57.6" hidden="1" x14ac:dyDescent="0.25">
      <c r="A4260" s="27">
        <v>409</v>
      </c>
      <c r="B4260" s="27" t="str">
        <f>[1]Source!F3993</f>
        <v>3.70-159-2</v>
      </c>
      <c r="C4260" s="27" t="s">
        <v>719</v>
      </c>
      <c r="D4260" s="28" t="str">
        <f>[1]Source!H3993</f>
        <v>100 м2 стяжки</v>
      </c>
      <c r="E4260" s="29">
        <f>[1]Source!I3993</f>
        <v>9.68</v>
      </c>
      <c r="F4260" s="30"/>
      <c r="G4260" s="31"/>
      <c r="H4260" s="29"/>
      <c r="I4260" s="30"/>
      <c r="J4260" s="29"/>
      <c r="K4260" s="30"/>
      <c r="Q4260">
        <f>[1]Source!X3993</f>
        <v>732.55</v>
      </c>
      <c r="R4260">
        <f>[1]Source!X3994</f>
        <v>41279.370000000003</v>
      </c>
      <c r="S4260">
        <f>[1]Source!Y3993</f>
        <v>398.92</v>
      </c>
      <c r="T4260">
        <f>[1]Source!Y3994</f>
        <v>22478.86</v>
      </c>
      <c r="U4260">
        <f>ROUND((175/100)*ROUND([1]Source!R3993, 2), 2)</f>
        <v>0</v>
      </c>
      <c r="V4260">
        <f>ROUND((0/100)*ROUND([1]Source!R3994, 2), 2)</f>
        <v>0</v>
      </c>
      <c r="AC4260">
        <v>0</v>
      </c>
    </row>
    <row r="4261" spans="1:29" hidden="1" x14ac:dyDescent="0.25">
      <c r="C4261" s="32" t="str">
        <f>"Объем: "&amp;[1]Source!I3993&amp;"=968/"&amp;"100"</f>
        <v>Объем: 9,68=968/100</v>
      </c>
    </row>
    <row r="4262" spans="1:29" ht="14.4" hidden="1" x14ac:dyDescent="0.25">
      <c r="A4262" s="27"/>
      <c r="B4262" s="27"/>
      <c r="C4262" s="27" t="s">
        <v>36</v>
      </c>
      <c r="D4262" s="28"/>
      <c r="E4262" s="29"/>
      <c r="F4262" s="30">
        <f>[1]Source!AO3993</f>
        <v>6.03</v>
      </c>
      <c r="G4262" s="31" t="s">
        <v>777</v>
      </c>
      <c r="H4262" s="29">
        <f>[1]Source!AV3994</f>
        <v>1.0469999999999999</v>
      </c>
      <c r="I4262" s="30">
        <f>[1]Source!S3993</f>
        <v>725.3</v>
      </c>
      <c r="J4262" s="29">
        <f>IF([1]Source!BA3994&lt;&gt; 0, [1]Source!BA3994, 1)</f>
        <v>56.35</v>
      </c>
      <c r="K4262" s="30">
        <f>[1]Source!S3994</f>
        <v>40870.660000000003</v>
      </c>
    </row>
    <row r="4263" spans="1:29" ht="14.4" hidden="1" x14ac:dyDescent="0.25">
      <c r="A4263" s="27"/>
      <c r="B4263" s="27"/>
      <c r="C4263" s="27" t="s">
        <v>38</v>
      </c>
      <c r="D4263" s="28"/>
      <c r="E4263" s="29"/>
      <c r="F4263" s="30">
        <f>[1]Source!AM3993</f>
        <v>0.46</v>
      </c>
      <c r="G4263" s="31" t="s">
        <v>778</v>
      </c>
      <c r="H4263" s="29">
        <f>[1]Source!AV3994</f>
        <v>1.0469999999999999</v>
      </c>
      <c r="I4263" s="30">
        <f>[1]Source!Q3993</f>
        <v>60.14</v>
      </c>
      <c r="J4263" s="29">
        <f>IF([1]Source!BB3994&lt;&gt; 0, [1]Source!BB3994, 1)</f>
        <v>11.7</v>
      </c>
      <c r="K4263" s="30">
        <f>[1]Source!Q3994</f>
        <v>703.64</v>
      </c>
    </row>
    <row r="4264" spans="1:29" ht="27.6" hidden="1" x14ac:dyDescent="0.25">
      <c r="A4264" s="27" t="s">
        <v>810</v>
      </c>
      <c r="B4264" s="27" t="str">
        <f>[1]Source!F3995</f>
        <v>1.3-2-7</v>
      </c>
      <c r="C4264" s="27" t="s">
        <v>752</v>
      </c>
      <c r="D4264" s="28" t="str">
        <f>[1]Source!H3995</f>
        <v>м3</v>
      </c>
      <c r="E4264" s="29">
        <f>[1]Source!I3995</f>
        <v>42.456479999999999</v>
      </c>
      <c r="F4264" s="30">
        <f>[1]Source!AK3995</f>
        <v>507.97</v>
      </c>
      <c r="G4264" s="43" t="s">
        <v>54</v>
      </c>
      <c r="H4264" s="29">
        <f>[1]Source!AW3996</f>
        <v>1</v>
      </c>
      <c r="I4264" s="30">
        <f>[1]Source!O3995</f>
        <v>21566.62</v>
      </c>
      <c r="J4264" s="29">
        <f>IF([1]Source!BC3996&lt;&gt; 0, [1]Source!BC3996, 1)</f>
        <v>10.98</v>
      </c>
      <c r="K4264" s="30">
        <f>[1]Source!O3996</f>
        <v>236801.49</v>
      </c>
      <c r="Q4264">
        <f>[1]Source!X3995</f>
        <v>0</v>
      </c>
      <c r="R4264">
        <f>[1]Source!X3996</f>
        <v>0</v>
      </c>
      <c r="S4264">
        <f>[1]Source!Y3995</f>
        <v>0</v>
      </c>
      <c r="T4264">
        <f>[1]Source!Y3996</f>
        <v>0</v>
      </c>
      <c r="U4264">
        <f>ROUND((175/100)*ROUND([1]Source!R3995, 2), 2)</f>
        <v>0</v>
      </c>
      <c r="V4264">
        <f>ROUND((0/100)*ROUND([1]Source!R3996, 2), 2)</f>
        <v>0</v>
      </c>
      <c r="AC4264">
        <v>3</v>
      </c>
    </row>
    <row r="4265" spans="1:29" ht="14.4" hidden="1" x14ac:dyDescent="0.25">
      <c r="A4265" s="27"/>
      <c r="B4265" s="27"/>
      <c r="C4265" s="27" t="s">
        <v>42</v>
      </c>
      <c r="D4265" s="28" t="s">
        <v>43</v>
      </c>
      <c r="E4265" s="29">
        <f>[1]Source!BZ3994</f>
        <v>101</v>
      </c>
      <c r="F4265" s="30"/>
      <c r="G4265" s="31"/>
      <c r="H4265" s="29"/>
      <c r="I4265" s="30">
        <f>SUM(Q4260:Q4264)</f>
        <v>732.55</v>
      </c>
      <c r="J4265" s="29">
        <f>[1]Source!AT3994</f>
        <v>101</v>
      </c>
      <c r="K4265" s="30">
        <f>SUM(R4260:R4264)</f>
        <v>41279.370000000003</v>
      </c>
    </row>
    <row r="4266" spans="1:29" ht="14.4" hidden="1" x14ac:dyDescent="0.25">
      <c r="A4266" s="27"/>
      <c r="B4266" s="27"/>
      <c r="C4266" s="27" t="s">
        <v>44</v>
      </c>
      <c r="D4266" s="28" t="s">
        <v>43</v>
      </c>
      <c r="E4266" s="29">
        <f>[1]Source!CA3994</f>
        <v>55</v>
      </c>
      <c r="F4266" s="30"/>
      <c r="G4266" s="31"/>
      <c r="H4266" s="29"/>
      <c r="I4266" s="30">
        <f>SUM(S4260:S4265)</f>
        <v>398.92</v>
      </c>
      <c r="J4266" s="29">
        <f>[1]Source!AU3994</f>
        <v>55</v>
      </c>
      <c r="K4266" s="30">
        <f>SUM(T4260:T4265)</f>
        <v>22478.86</v>
      </c>
    </row>
    <row r="4267" spans="1:29" ht="14.4" hidden="1" x14ac:dyDescent="0.25">
      <c r="A4267" s="34"/>
      <c r="B4267" s="34"/>
      <c r="C4267" s="34" t="s">
        <v>45</v>
      </c>
      <c r="D4267" s="35" t="s">
        <v>46</v>
      </c>
      <c r="E4267" s="36">
        <f>[1]Source!AQ3993</f>
        <v>0.44</v>
      </c>
      <c r="F4267" s="37"/>
      <c r="G4267" s="38" t="s">
        <v>777</v>
      </c>
      <c r="H4267" s="36">
        <f>[1]Source!AV3994</f>
        <v>1.0469999999999999</v>
      </c>
      <c r="I4267" s="37">
        <f>[1]Source!U3993</f>
        <v>52.923950323199989</v>
      </c>
      <c r="J4267" s="36"/>
      <c r="K4267" s="37"/>
    </row>
    <row r="4268" spans="1:29" ht="13.8" hidden="1" x14ac:dyDescent="0.25">
      <c r="C4268" s="39" t="s">
        <v>47</v>
      </c>
      <c r="H4268" s="40">
        <f>I4262+I4263+I4265+I4266+SUM(I4264:I4264)-SUMIF(AC4264:AC4264, 5, I4264:I4264)-SUMIF(AC4264:AC4264, 6, I4264:I4264)</f>
        <v>23483.53</v>
      </c>
      <c r="I4268" s="40"/>
      <c r="J4268" s="40">
        <f>K4262+K4263+K4265+K4266+SUM(K4264:K4264)-SUMIF(AC4264:AC4264, 5, K4264:K4264)-SUMIF(AC4264:AC4264, 6, K4264:K4264)</f>
        <v>342134.02</v>
      </c>
      <c r="K4268" s="40"/>
    </row>
    <row r="4269" spans="1:29" ht="13.8" hidden="1" x14ac:dyDescent="0.25">
      <c r="C4269" s="39" t="s">
        <v>48</v>
      </c>
      <c r="H4269" s="41">
        <f>SUMIF(AC4264:AC4264, 5, I4264:I4264)+SUMIF(AC4264:AC4264, 6, I4264:I4264)</f>
        <v>0</v>
      </c>
      <c r="I4269" s="41"/>
      <c r="J4269" s="41">
        <f>SUMIF(AC4264:AC4264, 5, K4264:K4264)+SUMIF(AC4264:AC4264, 6, K4264:K4264)</f>
        <v>0</v>
      </c>
      <c r="K4269" s="41"/>
    </row>
    <row r="4270" spans="1:29" ht="13.8" hidden="1" x14ac:dyDescent="0.25">
      <c r="C4270" s="39" t="s">
        <v>49</v>
      </c>
      <c r="H4270" s="41">
        <f>I4262+I4263+I4265+I4266+SUM(I4264:I4264)</f>
        <v>23483.53</v>
      </c>
      <c r="I4270" s="41"/>
      <c r="J4270" s="41">
        <f>K4262+K4263+K4265+K4266+SUM(K4264:K4264)</f>
        <v>342134.02</v>
      </c>
      <c r="K4270" s="41"/>
      <c r="O4270" s="42">
        <f>I4262+I4263+I4265+I4266+SUM(I4264:I4264)</f>
        <v>23483.53</v>
      </c>
      <c r="P4270" s="42">
        <f>K4262+K4263+K4265+K4266+SUM(K4264:K4264)</f>
        <v>342134.02</v>
      </c>
    </row>
    <row r="4271" spans="1:29" hidden="1" x14ac:dyDescent="0.25"/>
    <row r="4272" spans="1:29" ht="27.6" hidden="1" x14ac:dyDescent="0.25">
      <c r="A4272" s="27">
        <v>410</v>
      </c>
      <c r="B4272" s="27" t="str">
        <f>[1]Source!F3997</f>
        <v>3.70-43-6</v>
      </c>
      <c r="C4272" s="27" t="s">
        <v>723</v>
      </c>
      <c r="D4272" s="28" t="str">
        <f>[1]Source!H3997</f>
        <v>1 Т</v>
      </c>
      <c r="E4272" s="29">
        <f>[1]Source!I3997</f>
        <v>2.12025</v>
      </c>
      <c r="F4272" s="30"/>
      <c r="G4272" s="31"/>
      <c r="H4272" s="29"/>
      <c r="I4272" s="30"/>
      <c r="J4272" s="29"/>
      <c r="K4272" s="30"/>
      <c r="Q4272">
        <f>[1]Source!X3997</f>
        <v>524.13</v>
      </c>
      <c r="R4272">
        <f>[1]Source!X3998</f>
        <v>29534.91</v>
      </c>
      <c r="S4272">
        <f>[1]Source!Y3997</f>
        <v>279.16000000000003</v>
      </c>
      <c r="T4272">
        <f>[1]Source!Y3998</f>
        <v>15730.55</v>
      </c>
      <c r="U4272">
        <f>ROUND((175/100)*ROUND([1]Source!R3997, 2), 2)</f>
        <v>29.49</v>
      </c>
      <c r="V4272">
        <f>ROUND((0/100)*ROUND([1]Source!R3998, 2), 2)</f>
        <v>0</v>
      </c>
      <c r="AC4272">
        <v>0</v>
      </c>
    </row>
    <row r="4273" spans="1:29" hidden="1" x14ac:dyDescent="0.25">
      <c r="C4273" s="32" t="str">
        <f>"Объем: "&amp;[1]Source!I3997&amp;"=(2,75*"&amp;"771)/"&amp;"1000"</f>
        <v>Объем: 2,12025=(2,75*771)/1000</v>
      </c>
    </row>
    <row r="4274" spans="1:29" ht="14.4" hidden="1" x14ac:dyDescent="0.25">
      <c r="A4274" s="27"/>
      <c r="B4274" s="27"/>
      <c r="C4274" s="27" t="s">
        <v>36</v>
      </c>
      <c r="D4274" s="28"/>
      <c r="E4274" s="29"/>
      <c r="F4274" s="30">
        <f>[1]Source!AO3997</f>
        <v>180.47</v>
      </c>
      <c r="G4274" s="31" t="s">
        <v>37</v>
      </c>
      <c r="H4274" s="29">
        <f>[1]Source!AV3998</f>
        <v>1.0469999999999999</v>
      </c>
      <c r="I4274" s="30">
        <f>[1]Source!S3997</f>
        <v>552.86</v>
      </c>
      <c r="J4274" s="29">
        <f>IF([1]Source!BA3998&lt;&gt; 0, [1]Source!BA3998, 1)</f>
        <v>56.35</v>
      </c>
      <c r="K4274" s="30">
        <f>[1]Source!S3998</f>
        <v>31153.66</v>
      </c>
    </row>
    <row r="4275" spans="1:29" ht="14.4" hidden="1" x14ac:dyDescent="0.25">
      <c r="A4275" s="27"/>
      <c r="B4275" s="27"/>
      <c r="C4275" s="27" t="s">
        <v>38</v>
      </c>
      <c r="D4275" s="28"/>
      <c r="E4275" s="29"/>
      <c r="F4275" s="30">
        <f>[1]Source!AM3997</f>
        <v>43.5</v>
      </c>
      <c r="G4275" s="31" t="s">
        <v>39</v>
      </c>
      <c r="H4275" s="29">
        <f>[1]Source!AV3998</f>
        <v>1.0469999999999999</v>
      </c>
      <c r="I4275" s="30">
        <f>[1]Source!Q3997</f>
        <v>144.85</v>
      </c>
      <c r="J4275" s="29">
        <f>IF([1]Source!BB3998&lt;&gt; 0, [1]Source!BB3998, 1)</f>
        <v>15.44</v>
      </c>
      <c r="K4275" s="30">
        <f>[1]Source!Q3998</f>
        <v>2236.48</v>
      </c>
    </row>
    <row r="4276" spans="1:29" ht="14.4" hidden="1" x14ac:dyDescent="0.25">
      <c r="A4276" s="27"/>
      <c r="B4276" s="27"/>
      <c r="C4276" s="27" t="s">
        <v>40</v>
      </c>
      <c r="D4276" s="28"/>
      <c r="E4276" s="29"/>
      <c r="F4276" s="30">
        <f>[1]Source!AN3997</f>
        <v>5.0599999999999996</v>
      </c>
      <c r="G4276" s="31" t="s">
        <v>39</v>
      </c>
      <c r="H4276" s="29">
        <f>[1]Source!AV3998</f>
        <v>1.0469999999999999</v>
      </c>
      <c r="I4276" s="33">
        <f>[1]Source!R3997</f>
        <v>16.850000000000001</v>
      </c>
      <c r="J4276" s="29">
        <f>IF([1]Source!BS3998&lt;&gt; 0, [1]Source!BS3998, 1)</f>
        <v>56.35</v>
      </c>
      <c r="K4276" s="33">
        <f>[1]Source!R3998</f>
        <v>949.5</v>
      </c>
    </row>
    <row r="4277" spans="1:29" ht="14.4" hidden="1" x14ac:dyDescent="0.25">
      <c r="A4277" s="27"/>
      <c r="B4277" s="27"/>
      <c r="C4277" s="27" t="s">
        <v>41</v>
      </c>
      <c r="D4277" s="28"/>
      <c r="E4277" s="29"/>
      <c r="F4277" s="30">
        <f>[1]Source!AL3997</f>
        <v>258.67</v>
      </c>
      <c r="G4277" s="31"/>
      <c r="H4277" s="29">
        <f>[1]Source!AW3998</f>
        <v>1.022</v>
      </c>
      <c r="I4277" s="30">
        <f>[1]Source!P3997</f>
        <v>560.51</v>
      </c>
      <c r="J4277" s="29">
        <f>IF([1]Source!BC3998&lt;&gt; 0, [1]Source!BC3998, 1)</f>
        <v>7.5</v>
      </c>
      <c r="K4277" s="30">
        <f>[1]Source!P3998</f>
        <v>4203.83</v>
      </c>
    </row>
    <row r="4278" spans="1:29" ht="55.2" hidden="1" x14ac:dyDescent="0.25">
      <c r="A4278" s="27" t="s">
        <v>811</v>
      </c>
      <c r="B4278" s="27" t="str">
        <f>[1]Source!F3999</f>
        <v>1.3-4-75</v>
      </c>
      <c r="C4278" s="27" t="s">
        <v>725</v>
      </c>
      <c r="D4278" s="28" t="str">
        <f>[1]Source!H3999</f>
        <v>т</v>
      </c>
      <c r="E4278" s="29">
        <f>[1]Source!I3999</f>
        <v>2.12025</v>
      </c>
      <c r="F4278" s="30">
        <f>[1]Source!AK3999</f>
        <v>9724.69</v>
      </c>
      <c r="G4278" s="43" t="s">
        <v>54</v>
      </c>
      <c r="H4278" s="29">
        <f>[1]Source!AW4000</f>
        <v>1.022</v>
      </c>
      <c r="I4278" s="30">
        <f>[1]Source!O3999</f>
        <v>21072.39</v>
      </c>
      <c r="J4278" s="29">
        <f>IF([1]Source!BC4000&lt;&gt; 0, [1]Source!BC4000, 1)</f>
        <v>3.88</v>
      </c>
      <c r="K4278" s="30">
        <f>[1]Source!O4000</f>
        <v>81760.87</v>
      </c>
      <c r="Q4278">
        <f>[1]Source!X3999</f>
        <v>0</v>
      </c>
      <c r="R4278">
        <f>[1]Source!X4000</f>
        <v>0</v>
      </c>
      <c r="S4278">
        <f>[1]Source!Y3999</f>
        <v>0</v>
      </c>
      <c r="T4278">
        <f>[1]Source!Y4000</f>
        <v>0</v>
      </c>
      <c r="U4278">
        <f>ROUND((175/100)*ROUND([1]Source!R3999, 2), 2)</f>
        <v>0</v>
      </c>
      <c r="V4278">
        <f>ROUND((0/100)*ROUND([1]Source!R4000, 2), 2)</f>
        <v>0</v>
      </c>
      <c r="AC4278">
        <v>3</v>
      </c>
    </row>
    <row r="4279" spans="1:29" ht="14.4" hidden="1" x14ac:dyDescent="0.25">
      <c r="A4279" s="27"/>
      <c r="B4279" s="27"/>
      <c r="C4279" s="27" t="s">
        <v>42</v>
      </c>
      <c r="D4279" s="28" t="s">
        <v>43</v>
      </c>
      <c r="E4279" s="29">
        <f>[1]Source!BZ3998</f>
        <v>92</v>
      </c>
      <c r="F4279" s="30"/>
      <c r="G4279" s="31"/>
      <c r="H4279" s="29"/>
      <c r="I4279" s="30">
        <f>SUM(Q4272:Q4278)</f>
        <v>524.13</v>
      </c>
      <c r="J4279" s="29">
        <f>[1]Source!AT3998</f>
        <v>92</v>
      </c>
      <c r="K4279" s="30">
        <f>SUM(R4272:R4278)</f>
        <v>29534.91</v>
      </c>
    </row>
    <row r="4280" spans="1:29" ht="14.4" hidden="1" x14ac:dyDescent="0.25">
      <c r="A4280" s="27"/>
      <c r="B4280" s="27"/>
      <c r="C4280" s="27" t="s">
        <v>44</v>
      </c>
      <c r="D4280" s="28" t="s">
        <v>43</v>
      </c>
      <c r="E4280" s="29">
        <f>[1]Source!CA3998</f>
        <v>49</v>
      </c>
      <c r="F4280" s="30"/>
      <c r="G4280" s="31"/>
      <c r="H4280" s="29"/>
      <c r="I4280" s="30">
        <f>SUM(S4272:S4279)</f>
        <v>279.16000000000003</v>
      </c>
      <c r="J4280" s="29">
        <f>[1]Source!AU3998</f>
        <v>49</v>
      </c>
      <c r="K4280" s="30">
        <f>SUM(T4272:T4279)</f>
        <v>15730.55</v>
      </c>
    </row>
    <row r="4281" spans="1:29" ht="14.4" hidden="1" x14ac:dyDescent="0.25">
      <c r="A4281" s="34"/>
      <c r="B4281" s="34"/>
      <c r="C4281" s="34" t="s">
        <v>45</v>
      </c>
      <c r="D4281" s="35" t="s">
        <v>46</v>
      </c>
      <c r="E4281" s="36">
        <f>[1]Source!AQ3997</f>
        <v>11.6</v>
      </c>
      <c r="F4281" s="37"/>
      <c r="G4281" s="38" t="s">
        <v>37</v>
      </c>
      <c r="H4281" s="36">
        <f>[1]Source!AV3998</f>
        <v>1.0469999999999999</v>
      </c>
      <c r="I4281" s="37">
        <f>[1]Source!U3997</f>
        <v>35.536187213999987</v>
      </c>
      <c r="J4281" s="36"/>
      <c r="K4281" s="37"/>
    </row>
    <row r="4282" spans="1:29" ht="13.8" hidden="1" x14ac:dyDescent="0.25">
      <c r="C4282" s="39" t="s">
        <v>47</v>
      </c>
      <c r="H4282" s="40">
        <f>I4274+I4275+I4277+I4279+I4280+SUM(I4278:I4278)-SUMIF(AC4278:AC4278, 5, I4278:I4278)-SUMIF(AC4278:AC4278, 6, I4278:I4278)</f>
        <v>23133.899999999998</v>
      </c>
      <c r="I4282" s="40"/>
      <c r="J4282" s="40">
        <f>K4274+K4275+K4277+K4279+K4280+SUM(K4278:K4278)-SUMIF(AC4278:AC4278, 5, K4278:K4278)-SUMIF(AC4278:AC4278, 6, K4278:K4278)</f>
        <v>164620.29999999999</v>
      </c>
      <c r="K4282" s="40"/>
    </row>
    <row r="4283" spans="1:29" ht="13.8" hidden="1" x14ac:dyDescent="0.25">
      <c r="C4283" s="39" t="s">
        <v>48</v>
      </c>
      <c r="H4283" s="41">
        <f>SUMIF(AC4278:AC4278, 5, I4278:I4278)+SUMIF(AC4278:AC4278, 6, I4278:I4278)</f>
        <v>0</v>
      </c>
      <c r="I4283" s="41"/>
      <c r="J4283" s="41">
        <f>SUMIF(AC4278:AC4278, 5, K4278:K4278)+SUMIF(AC4278:AC4278, 6, K4278:K4278)</f>
        <v>0</v>
      </c>
      <c r="K4283" s="41"/>
    </row>
    <row r="4284" spans="1:29" ht="13.8" hidden="1" x14ac:dyDescent="0.25">
      <c r="C4284" s="39" t="s">
        <v>49</v>
      </c>
      <c r="H4284" s="41">
        <f>I4274+I4275+I4277+I4279+I4280+SUM(I4278:I4278)</f>
        <v>23133.899999999998</v>
      </c>
      <c r="I4284" s="41"/>
      <c r="J4284" s="41">
        <f>K4274+K4275+K4277+K4279+K4280+SUM(K4278:K4278)</f>
        <v>164620.29999999999</v>
      </c>
      <c r="K4284" s="41"/>
      <c r="O4284" s="42">
        <f>I4274+I4275+I4277+I4279+I4280+SUM(I4278:I4278)</f>
        <v>23133.899999999998</v>
      </c>
      <c r="P4284" s="42">
        <f>K4274+K4275+K4277+K4279+K4280+SUM(K4278:K4278)</f>
        <v>164620.29999999999</v>
      </c>
    </row>
    <row r="4285" spans="1:29" hidden="1" x14ac:dyDescent="0.25"/>
    <row r="4286" spans="1:29" ht="57.6" hidden="1" x14ac:dyDescent="0.25">
      <c r="A4286" s="27">
        <v>411</v>
      </c>
      <c r="B4286" s="27" t="str">
        <f>[1]Source!F4001</f>
        <v>3.70-202-1</v>
      </c>
      <c r="C4286" s="27" t="s">
        <v>782</v>
      </c>
      <c r="D4286" s="28" t="str">
        <f>[1]Source!H4001</f>
        <v>100 м2 покрытия</v>
      </c>
      <c r="E4286" s="29">
        <f>[1]Source!I4001</f>
        <v>7.71</v>
      </c>
      <c r="F4286" s="30"/>
      <c r="G4286" s="31"/>
      <c r="H4286" s="29"/>
      <c r="I4286" s="30"/>
      <c r="J4286" s="29"/>
      <c r="K4286" s="30"/>
      <c r="Q4286">
        <f>[1]Source!X4001</f>
        <v>6957.06</v>
      </c>
      <c r="R4286">
        <f>[1]Source!X4002</f>
        <v>392030.43</v>
      </c>
      <c r="S4286">
        <f>[1]Source!Y4001</f>
        <v>3788.5</v>
      </c>
      <c r="T4286">
        <f>[1]Source!Y4002</f>
        <v>213481.92</v>
      </c>
      <c r="U4286">
        <f>ROUND((175/100)*ROUND([1]Source!R4001, 2), 2)</f>
        <v>179.27</v>
      </c>
      <c r="V4286">
        <f>ROUND((0/100)*ROUND([1]Source!R4002, 2), 2)</f>
        <v>0</v>
      </c>
      <c r="AC4286">
        <v>0</v>
      </c>
    </row>
    <row r="4287" spans="1:29" hidden="1" x14ac:dyDescent="0.25">
      <c r="C4287" s="32" t="str">
        <f>"Объем: "&amp;[1]Source!I4001&amp;"=771/"&amp;"100"</f>
        <v>Объем: 7,71=771/100</v>
      </c>
    </row>
    <row r="4288" spans="1:29" ht="14.4" hidden="1" x14ac:dyDescent="0.25">
      <c r="A4288" s="27"/>
      <c r="B4288" s="27"/>
      <c r="C4288" s="27" t="s">
        <v>36</v>
      </c>
      <c r="D4288" s="28"/>
      <c r="E4288" s="29"/>
      <c r="F4288" s="30">
        <f>[1]Source!AO4001</f>
        <v>609.14</v>
      </c>
      <c r="G4288" s="31" t="s">
        <v>37</v>
      </c>
      <c r="H4288" s="29">
        <f>[1]Source!AV4002</f>
        <v>1.0469999999999999</v>
      </c>
      <c r="I4288" s="30">
        <f>[1]Source!S4001</f>
        <v>6785.74</v>
      </c>
      <c r="J4288" s="29">
        <f>IF([1]Source!BA4002&lt;&gt; 0, [1]Source!BA4002, 1)</f>
        <v>56.35</v>
      </c>
      <c r="K4288" s="30">
        <f>[1]Source!S4002</f>
        <v>382376.45</v>
      </c>
    </row>
    <row r="4289" spans="1:43" ht="14.4" hidden="1" x14ac:dyDescent="0.25">
      <c r="A4289" s="27"/>
      <c r="B4289" s="27"/>
      <c r="C4289" s="27" t="s">
        <v>38</v>
      </c>
      <c r="D4289" s="28"/>
      <c r="E4289" s="29"/>
      <c r="F4289" s="30">
        <f>[1]Source!AM4001</f>
        <v>55.68</v>
      </c>
      <c r="G4289" s="31" t="s">
        <v>39</v>
      </c>
      <c r="H4289" s="29">
        <f>[1]Source!AV4002</f>
        <v>1.0469999999999999</v>
      </c>
      <c r="I4289" s="30">
        <f>[1]Source!Q4001</f>
        <v>674.2</v>
      </c>
      <c r="J4289" s="29">
        <f>IF([1]Source!BB4002&lt;&gt; 0, [1]Source!BB4002, 1)</f>
        <v>17.07</v>
      </c>
      <c r="K4289" s="30">
        <f>[1]Source!Q4002</f>
        <v>11508.59</v>
      </c>
    </row>
    <row r="4290" spans="1:43" ht="14.4" hidden="1" x14ac:dyDescent="0.25">
      <c r="A4290" s="27"/>
      <c r="B4290" s="27"/>
      <c r="C4290" s="27" t="s">
        <v>40</v>
      </c>
      <c r="D4290" s="28"/>
      <c r="E4290" s="29"/>
      <c r="F4290" s="30">
        <f>[1]Source!AN4001</f>
        <v>8.4600000000000009</v>
      </c>
      <c r="G4290" s="31" t="s">
        <v>39</v>
      </c>
      <c r="H4290" s="29">
        <f>[1]Source!AV4002</f>
        <v>1.0469999999999999</v>
      </c>
      <c r="I4290" s="33">
        <f>[1]Source!R4001</f>
        <v>102.44</v>
      </c>
      <c r="J4290" s="29">
        <f>IF([1]Source!BS4002&lt;&gt; 0, [1]Source!BS4002, 1)</f>
        <v>56.35</v>
      </c>
      <c r="K4290" s="33">
        <f>[1]Source!R4002</f>
        <v>5772.49</v>
      </c>
    </row>
    <row r="4291" spans="1:43" ht="14.4" hidden="1" x14ac:dyDescent="0.25">
      <c r="A4291" s="27"/>
      <c r="B4291" s="27"/>
      <c r="C4291" s="27" t="s">
        <v>41</v>
      </c>
      <c r="D4291" s="28"/>
      <c r="E4291" s="29"/>
      <c r="F4291" s="30">
        <f>[1]Source!AL4001</f>
        <v>0.81</v>
      </c>
      <c r="G4291" s="31"/>
      <c r="H4291" s="29">
        <f>[1]Source!AW4002</f>
        <v>1</v>
      </c>
      <c r="I4291" s="30">
        <f>[1]Source!P4001</f>
        <v>6.25</v>
      </c>
      <c r="J4291" s="29">
        <f>IF([1]Source!BC4002&lt;&gt; 0, [1]Source!BC4002, 1)</f>
        <v>14.57</v>
      </c>
      <c r="K4291" s="30">
        <f>[1]Source!P4002</f>
        <v>91.06</v>
      </c>
    </row>
    <row r="4292" spans="1:43" ht="27.6" hidden="1" x14ac:dyDescent="0.25">
      <c r="A4292" s="27" t="s">
        <v>812</v>
      </c>
      <c r="B4292" s="27" t="str">
        <f>[1]Source!F4003</f>
        <v>1.1-1-389</v>
      </c>
      <c r="C4292" s="27" t="s">
        <v>784</v>
      </c>
      <c r="D4292" s="28" t="str">
        <f>[1]Source!H4003</f>
        <v>т</v>
      </c>
      <c r="E4292" s="29">
        <f>[1]Source!I4003</f>
        <v>0.38550000000000001</v>
      </c>
      <c r="F4292" s="30">
        <f>[1]Source!AK4003</f>
        <v>43314.81</v>
      </c>
      <c r="G4292" s="43" t="s">
        <v>54</v>
      </c>
      <c r="H4292" s="29">
        <f>[1]Source!AW4004</f>
        <v>1</v>
      </c>
      <c r="I4292" s="30">
        <f>[1]Source!O4003</f>
        <v>16697.86</v>
      </c>
      <c r="J4292" s="29">
        <f>IF([1]Source!BC4004&lt;&gt; 0, [1]Source!BC4004, 1)</f>
        <v>2.11</v>
      </c>
      <c r="K4292" s="30">
        <f>[1]Source!O4004</f>
        <v>35232.480000000003</v>
      </c>
      <c r="Q4292">
        <f>[1]Source!X4003</f>
        <v>0</v>
      </c>
      <c r="R4292">
        <f>[1]Source!X4004</f>
        <v>0</v>
      </c>
      <c r="S4292">
        <f>[1]Source!Y4003</f>
        <v>0</v>
      </c>
      <c r="T4292">
        <f>[1]Source!Y4004</f>
        <v>0</v>
      </c>
      <c r="U4292">
        <f>ROUND((175/100)*ROUND([1]Source!R4003, 2), 2)</f>
        <v>0</v>
      </c>
      <c r="V4292">
        <f>ROUND((0/100)*ROUND([1]Source!R4004, 2), 2)</f>
        <v>0</v>
      </c>
      <c r="AC4292">
        <v>3</v>
      </c>
    </row>
    <row r="4293" spans="1:43" ht="40.799999999999997" x14ac:dyDescent="0.25">
      <c r="A4293" s="53" t="s">
        <v>813</v>
      </c>
      <c r="B4293" s="53" t="str">
        <f>[1]Source!F4005</f>
        <v>КА-188</v>
      </c>
      <c r="C4293" s="53" t="s">
        <v>814</v>
      </c>
      <c r="D4293" s="54" t="str">
        <f>[1]Source!H4005</f>
        <v>м2</v>
      </c>
      <c r="E4293" s="55">
        <f>[1]Source!I4005</f>
        <v>824.97</v>
      </c>
      <c r="F4293" s="30">
        <f>[1]Source!AK4005</f>
        <v>200.78</v>
      </c>
      <c r="G4293" s="43" t="s">
        <v>54</v>
      </c>
      <c r="H4293" s="29">
        <f>[1]Source!AW4006</f>
        <v>1</v>
      </c>
      <c r="I4293" s="30">
        <f>[1]Source!O4005</f>
        <v>165637.48000000001</v>
      </c>
      <c r="J4293" s="29">
        <f>IF([1]Source!BC4006&lt;&gt; 0, [1]Source!BC4006, 1)</f>
        <v>9.84</v>
      </c>
      <c r="K4293" s="56">
        <f>[1]Source!O4006</f>
        <v>1629872.8</v>
      </c>
      <c r="L4293">
        <v>2363</v>
      </c>
      <c r="M4293" s="50">
        <f>L4293*E4293</f>
        <v>1949404.11</v>
      </c>
      <c r="N4293" s="59" t="s">
        <v>180</v>
      </c>
      <c r="Q4293">
        <f>[1]Source!X4005</f>
        <v>0</v>
      </c>
      <c r="R4293">
        <f>[1]Source!X4006</f>
        <v>0</v>
      </c>
      <c r="S4293">
        <f>[1]Source!Y4005</f>
        <v>0</v>
      </c>
      <c r="T4293">
        <f>[1]Source!Y4006</f>
        <v>0</v>
      </c>
      <c r="U4293">
        <f>ROUND((175/100)*ROUND([1]Source!R4005, 2), 2)</f>
        <v>0</v>
      </c>
      <c r="V4293">
        <f>ROUND((0/100)*ROUND([1]Source!R4006, 2), 2)</f>
        <v>0</v>
      </c>
      <c r="AC4293">
        <v>3</v>
      </c>
    </row>
    <row r="4294" spans="1:43" ht="14.4" hidden="1" x14ac:dyDescent="0.25">
      <c r="A4294" s="27"/>
      <c r="B4294" s="27"/>
      <c r="C4294" s="27" t="s">
        <v>42</v>
      </c>
      <c r="D4294" s="28" t="s">
        <v>43</v>
      </c>
      <c r="E4294" s="29">
        <f>[1]Source!BZ4002</f>
        <v>101</v>
      </c>
      <c r="F4294" s="30"/>
      <c r="G4294" s="31"/>
      <c r="H4294" s="29"/>
      <c r="I4294" s="30">
        <f>SUM(Q4286:Q4293)</f>
        <v>6957.06</v>
      </c>
      <c r="J4294" s="29">
        <f>[1]Source!AT4002</f>
        <v>101</v>
      </c>
      <c r="K4294" s="30">
        <f>SUM(R4286:R4293)</f>
        <v>392030.43</v>
      </c>
    </row>
    <row r="4295" spans="1:43" ht="14.4" hidden="1" x14ac:dyDescent="0.25">
      <c r="A4295" s="27"/>
      <c r="B4295" s="27"/>
      <c r="C4295" s="27" t="s">
        <v>44</v>
      </c>
      <c r="D4295" s="28" t="s">
        <v>43</v>
      </c>
      <c r="E4295" s="29">
        <f>[1]Source!CA4002</f>
        <v>55</v>
      </c>
      <c r="F4295" s="30"/>
      <c r="G4295" s="31"/>
      <c r="H4295" s="29"/>
      <c r="I4295" s="30">
        <f>SUM(S4286:S4294)</f>
        <v>3788.5</v>
      </c>
      <c r="J4295" s="29">
        <f>[1]Source!AU4002</f>
        <v>55</v>
      </c>
      <c r="K4295" s="30">
        <f>SUM(T4286:T4294)</f>
        <v>213481.92</v>
      </c>
    </row>
    <row r="4296" spans="1:43" ht="14.4" hidden="1" x14ac:dyDescent="0.25">
      <c r="A4296" s="34"/>
      <c r="B4296" s="34"/>
      <c r="C4296" s="34" t="s">
        <v>45</v>
      </c>
      <c r="D4296" s="35" t="s">
        <v>46</v>
      </c>
      <c r="E4296" s="36">
        <f>[1]Source!AQ4001</f>
        <v>38.200000000000003</v>
      </c>
      <c r="F4296" s="37"/>
      <c r="G4296" s="38" t="s">
        <v>37</v>
      </c>
      <c r="H4296" s="36">
        <f>[1]Source!AV4002</f>
        <v>1.0469999999999999</v>
      </c>
      <c r="I4296" s="37">
        <f>[1]Source!U4001</f>
        <v>425.54305692000003</v>
      </c>
      <c r="J4296" s="36"/>
      <c r="K4296" s="37"/>
    </row>
    <row r="4297" spans="1:43" ht="13.8" hidden="1" x14ac:dyDescent="0.25">
      <c r="C4297" s="39" t="s">
        <v>47</v>
      </c>
      <c r="H4297" s="40">
        <f>I4288+I4289+I4291+I4294+I4295+SUM(I4292:I4293)-SUMIF(AC4292:AC4293, 5, I4292:I4293)-SUMIF(AC4292:AC4293, 6, I4292:I4293)</f>
        <v>200547.09000000003</v>
      </c>
      <c r="I4297" s="40"/>
      <c r="J4297" s="40">
        <f>K4288+K4289+K4291+K4294+K4295+SUM(K4292:K4293)-SUMIF(AC4292:AC4293, 5, K4292:K4293)-SUMIF(AC4292:AC4293, 6, K4292:K4293)</f>
        <v>2664593.73</v>
      </c>
      <c r="K4297" s="40"/>
    </row>
    <row r="4298" spans="1:43" ht="13.8" hidden="1" x14ac:dyDescent="0.25">
      <c r="C4298" s="39" t="s">
        <v>48</v>
      </c>
      <c r="H4298" s="41">
        <f>SUMIF(AC4292:AC4293, 5, I4292:I4293)+SUMIF(AC4292:AC4293, 6, I4292:I4293)</f>
        <v>0</v>
      </c>
      <c r="I4298" s="41"/>
      <c r="J4298" s="41">
        <f>SUMIF(AC4292:AC4293, 5, K4292:K4293)+SUMIF(AC4292:AC4293, 6, K4292:K4293)</f>
        <v>0</v>
      </c>
      <c r="K4298" s="41"/>
    </row>
    <row r="4299" spans="1:43" ht="13.8" hidden="1" x14ac:dyDescent="0.25">
      <c r="C4299" s="39" t="s">
        <v>49</v>
      </c>
      <c r="H4299" s="41">
        <f>I4288+I4289+I4291+I4294+I4295+SUM(I4292:I4293)</f>
        <v>200547.09000000003</v>
      </c>
      <c r="I4299" s="41"/>
      <c r="J4299" s="41">
        <f>K4288+K4289+K4291+K4294+K4295+SUM(K4292:K4293)</f>
        <v>2664593.73</v>
      </c>
      <c r="K4299" s="41"/>
      <c r="O4299" s="42">
        <f>I4288+I4289+I4291+I4294+I4295+SUM(I4292:I4293)</f>
        <v>200547.09000000003</v>
      </c>
      <c r="P4299" s="42">
        <f>K4288+K4289+K4291+K4294+K4295+SUM(K4292:K4293)</f>
        <v>2664593.73</v>
      </c>
    </row>
    <row r="4300" spans="1:43" hidden="1" x14ac:dyDescent="0.25"/>
    <row r="4301" spans="1:43" hidden="1" x14ac:dyDescent="0.25"/>
    <row r="4302" spans="1:43" ht="13.8" hidden="1" x14ac:dyDescent="0.25">
      <c r="A4302" s="44" t="str">
        <f>CONCATENATE("Итого по подразделу: ",IF([1]Source!G4008&lt;&gt;"Новый подраздел", [1]Source!G4008, ""))</f>
        <v>Итого по подразделу: Второй этаж. Кварц-виниловая дизайн-плитка 500х500 мм</v>
      </c>
      <c r="B4302" s="44"/>
      <c r="C4302" s="44"/>
      <c r="D4302" s="44"/>
      <c r="E4302" s="44"/>
      <c r="F4302" s="44"/>
      <c r="G4302" s="44"/>
      <c r="H4302" s="41">
        <f>SUM(O4246:O4301)</f>
        <v>264647.90000000002</v>
      </c>
      <c r="I4302" s="45"/>
      <c r="J4302" s="41">
        <f>SUM(P4246:P4301)</f>
        <v>3783802.91</v>
      </c>
      <c r="K4302" s="45"/>
      <c r="AQ4302" s="52" t="str">
        <f>CONCATENATE("Итого по подразделу: ",IF([1]Source!G4008&lt;&gt;"Новый подраздел", [1]Source!G4008, ""))</f>
        <v>Итого по подразделу: Второй этаж. Кварц-виниловая дизайн-плитка 500х500 мм</v>
      </c>
    </row>
    <row r="4303" spans="1:43" hidden="1" x14ac:dyDescent="0.25">
      <c r="A4303" t="s">
        <v>55</v>
      </c>
      <c r="I4303">
        <f>SUM(W4246:W4302)</f>
        <v>0</v>
      </c>
      <c r="J4303">
        <f>SUM(X4246:X4302)</f>
        <v>0</v>
      </c>
    </row>
    <row r="4304" spans="1:43" hidden="1" x14ac:dyDescent="0.25">
      <c r="A4304" t="s">
        <v>56</v>
      </c>
      <c r="I4304">
        <f>SUM(Y4246:Y4303)</f>
        <v>0</v>
      </c>
      <c r="J4304">
        <f>SUM(Z4246:Z4303)</f>
        <v>0</v>
      </c>
    </row>
    <row r="4305" spans="1:29" hidden="1" x14ac:dyDescent="0.25"/>
    <row r="4306" spans="1:29" ht="16.8" hidden="1" x14ac:dyDescent="0.25">
      <c r="A4306" s="11" t="str">
        <f>CONCATENATE("Подраздел: ",IF([1]Source!G4038&lt;&gt;"Новый подраздел", [1]Source!G4038, ""))</f>
        <v>Подраздел: Второй этаж. Керамогранит 600х600 мм</v>
      </c>
      <c r="B4306" s="11"/>
      <c r="C4306" s="11"/>
      <c r="D4306" s="11"/>
      <c r="E4306" s="11"/>
      <c r="F4306" s="11"/>
      <c r="G4306" s="11"/>
      <c r="H4306" s="11"/>
      <c r="I4306" s="11"/>
      <c r="J4306" s="11"/>
      <c r="K4306" s="11"/>
    </row>
    <row r="4307" spans="1:29" ht="57.6" hidden="1" x14ac:dyDescent="0.25">
      <c r="A4307" s="27">
        <v>412</v>
      </c>
      <c r="B4307" s="27" t="str">
        <f>[1]Source!F4042</f>
        <v>3.70-159-1</v>
      </c>
      <c r="C4307" s="27" t="s">
        <v>717</v>
      </c>
      <c r="D4307" s="28" t="str">
        <f>[1]Source!H4042</f>
        <v>100 м2 стяжки</v>
      </c>
      <c r="E4307" s="29">
        <f>[1]Source!I4042</f>
        <v>0.62</v>
      </c>
      <c r="F4307" s="30"/>
      <c r="G4307" s="31"/>
      <c r="H4307" s="29"/>
      <c r="I4307" s="30"/>
      <c r="J4307" s="29"/>
      <c r="K4307" s="30"/>
      <c r="Q4307">
        <f>[1]Source!X4042</f>
        <v>294.45999999999998</v>
      </c>
      <c r="R4307">
        <f>[1]Source!X4043</f>
        <v>16592.560000000001</v>
      </c>
      <c r="S4307">
        <f>[1]Source!Y4042</f>
        <v>160.35</v>
      </c>
      <c r="T4307">
        <f>[1]Source!Y4043</f>
        <v>9035.5499999999993</v>
      </c>
      <c r="U4307">
        <f>ROUND((175/100)*ROUND([1]Source!R4042, 2), 2)</f>
        <v>0</v>
      </c>
      <c r="V4307">
        <f>ROUND((0/100)*ROUND([1]Source!R4043, 2), 2)</f>
        <v>0</v>
      </c>
      <c r="AC4307">
        <v>0</v>
      </c>
    </row>
    <row r="4308" spans="1:29" hidden="1" x14ac:dyDescent="0.25">
      <c r="C4308" s="32" t="str">
        <f>"Объем: "&amp;[1]Source!I4042&amp;"=62/"&amp;"100"</f>
        <v>Объем: 0,62=62/100</v>
      </c>
    </row>
    <row r="4309" spans="1:29" ht="14.4" hidden="1" x14ac:dyDescent="0.25">
      <c r="A4309" s="27"/>
      <c r="B4309" s="27"/>
      <c r="C4309" s="27" t="s">
        <v>36</v>
      </c>
      <c r="D4309" s="28"/>
      <c r="E4309" s="29"/>
      <c r="F4309" s="30">
        <f>[1]Source!AO4042</f>
        <v>325.45</v>
      </c>
      <c r="G4309" s="31" t="s">
        <v>37</v>
      </c>
      <c r="H4309" s="29">
        <f>[1]Source!AV4043</f>
        <v>1.0469999999999999</v>
      </c>
      <c r="I4309" s="30">
        <f>[1]Source!S4042</f>
        <v>291.54000000000002</v>
      </c>
      <c r="J4309" s="29">
        <f>IF([1]Source!BA4043&lt;&gt; 0, [1]Source!BA4043, 1)</f>
        <v>56.35</v>
      </c>
      <c r="K4309" s="30">
        <f>[1]Source!S4043</f>
        <v>16428.28</v>
      </c>
    </row>
    <row r="4310" spans="1:29" ht="14.4" hidden="1" x14ac:dyDescent="0.25">
      <c r="A4310" s="27"/>
      <c r="B4310" s="27"/>
      <c r="C4310" s="27" t="s">
        <v>38</v>
      </c>
      <c r="D4310" s="28"/>
      <c r="E4310" s="29"/>
      <c r="F4310" s="30">
        <f>[1]Source!AM4042</f>
        <v>1.8</v>
      </c>
      <c r="G4310" s="31" t="s">
        <v>39</v>
      </c>
      <c r="H4310" s="29">
        <f>[1]Source!AV4043</f>
        <v>1.0469999999999999</v>
      </c>
      <c r="I4310" s="30">
        <f>[1]Source!Q4042</f>
        <v>1.75</v>
      </c>
      <c r="J4310" s="29">
        <f>IF([1]Source!BB4043&lt;&gt; 0, [1]Source!BB4043, 1)</f>
        <v>11.69</v>
      </c>
      <c r="K4310" s="30">
        <f>[1]Source!Q4043</f>
        <v>20.46</v>
      </c>
    </row>
    <row r="4311" spans="1:29" ht="14.4" hidden="1" x14ac:dyDescent="0.25">
      <c r="A4311" s="27"/>
      <c r="B4311" s="27"/>
      <c r="C4311" s="27" t="s">
        <v>41</v>
      </c>
      <c r="D4311" s="28"/>
      <c r="E4311" s="29"/>
      <c r="F4311" s="30">
        <f>[1]Source!AL4042</f>
        <v>24.75</v>
      </c>
      <c r="G4311" s="31"/>
      <c r="H4311" s="29">
        <f>[1]Source!AW4043</f>
        <v>1</v>
      </c>
      <c r="I4311" s="30">
        <f>[1]Source!P4042</f>
        <v>15.35</v>
      </c>
      <c r="J4311" s="29">
        <f>IF([1]Source!BC4043&lt;&gt; 0, [1]Source!BC4043, 1)</f>
        <v>7.75</v>
      </c>
      <c r="K4311" s="30">
        <f>[1]Source!P4043</f>
        <v>118.96</v>
      </c>
    </row>
    <row r="4312" spans="1:29" ht="27.6" hidden="1" x14ac:dyDescent="0.25">
      <c r="A4312" s="27" t="s">
        <v>815</v>
      </c>
      <c r="B4312" s="27" t="str">
        <f>[1]Source!F4044</f>
        <v>1.3-2-7</v>
      </c>
      <c r="C4312" s="27" t="s">
        <v>752</v>
      </c>
      <c r="D4312" s="28" t="str">
        <f>[1]Source!H4044</f>
        <v>м3</v>
      </c>
      <c r="E4312" s="29">
        <f>[1]Source!I4044</f>
        <v>1.2647999999999999</v>
      </c>
      <c r="F4312" s="30">
        <f>[1]Source!AK4044</f>
        <v>507.97</v>
      </c>
      <c r="G4312" s="43" t="s">
        <v>54</v>
      </c>
      <c r="H4312" s="29">
        <f>[1]Source!AW4045</f>
        <v>1</v>
      </c>
      <c r="I4312" s="30">
        <f>[1]Source!O4044</f>
        <v>642.48</v>
      </c>
      <c r="J4312" s="29">
        <f>IF([1]Source!BC4045&lt;&gt; 0, [1]Source!BC4045, 1)</f>
        <v>10.98</v>
      </c>
      <c r="K4312" s="30">
        <f>[1]Source!O4045</f>
        <v>7054.43</v>
      </c>
      <c r="Q4312">
        <f>[1]Source!X4044</f>
        <v>0</v>
      </c>
      <c r="R4312">
        <f>[1]Source!X4045</f>
        <v>0</v>
      </c>
      <c r="S4312">
        <f>[1]Source!Y4044</f>
        <v>0</v>
      </c>
      <c r="T4312">
        <f>[1]Source!Y4045</f>
        <v>0</v>
      </c>
      <c r="U4312">
        <f>ROUND((175/100)*ROUND([1]Source!R4044, 2), 2)</f>
        <v>0</v>
      </c>
      <c r="V4312">
        <f>ROUND((0/100)*ROUND([1]Source!R4045, 2), 2)</f>
        <v>0</v>
      </c>
      <c r="AC4312">
        <v>3</v>
      </c>
    </row>
    <row r="4313" spans="1:29" ht="14.4" hidden="1" x14ac:dyDescent="0.25">
      <c r="A4313" s="27"/>
      <c r="B4313" s="27"/>
      <c r="C4313" s="27" t="s">
        <v>42</v>
      </c>
      <c r="D4313" s="28" t="s">
        <v>43</v>
      </c>
      <c r="E4313" s="29">
        <f>[1]Source!BZ4043</f>
        <v>101</v>
      </c>
      <c r="F4313" s="30"/>
      <c r="G4313" s="31"/>
      <c r="H4313" s="29"/>
      <c r="I4313" s="30">
        <f>SUM(Q4307:Q4312)</f>
        <v>294.45999999999998</v>
      </c>
      <c r="J4313" s="29">
        <f>[1]Source!AT4043</f>
        <v>101</v>
      </c>
      <c r="K4313" s="30">
        <f>SUM(R4307:R4312)</f>
        <v>16592.560000000001</v>
      </c>
    </row>
    <row r="4314" spans="1:29" ht="14.4" hidden="1" x14ac:dyDescent="0.25">
      <c r="A4314" s="27"/>
      <c r="B4314" s="27"/>
      <c r="C4314" s="27" t="s">
        <v>44</v>
      </c>
      <c r="D4314" s="28" t="s">
        <v>43</v>
      </c>
      <c r="E4314" s="29">
        <f>[1]Source!CA4043</f>
        <v>55</v>
      </c>
      <c r="F4314" s="30"/>
      <c r="G4314" s="31"/>
      <c r="H4314" s="29"/>
      <c r="I4314" s="30">
        <f>SUM(S4307:S4313)</f>
        <v>160.35</v>
      </c>
      <c r="J4314" s="29">
        <f>[1]Source!AU4043</f>
        <v>55</v>
      </c>
      <c r="K4314" s="30">
        <f>SUM(T4307:T4313)</f>
        <v>9035.5499999999993</v>
      </c>
    </row>
    <row r="4315" spans="1:29" ht="14.4" hidden="1" x14ac:dyDescent="0.25">
      <c r="A4315" s="34"/>
      <c r="B4315" s="34"/>
      <c r="C4315" s="34" t="s">
        <v>45</v>
      </c>
      <c r="D4315" s="35" t="s">
        <v>46</v>
      </c>
      <c r="E4315" s="36">
        <f>[1]Source!AQ4042</f>
        <v>23.33</v>
      </c>
      <c r="F4315" s="37"/>
      <c r="G4315" s="38" t="s">
        <v>37</v>
      </c>
      <c r="H4315" s="36">
        <f>[1]Source!AV4043</f>
        <v>1.0469999999999999</v>
      </c>
      <c r="I4315" s="37">
        <f>[1]Source!U4042</f>
        <v>20.899321955999994</v>
      </c>
      <c r="J4315" s="36"/>
      <c r="K4315" s="37"/>
    </row>
    <row r="4316" spans="1:29" ht="13.8" hidden="1" x14ac:dyDescent="0.25">
      <c r="C4316" s="39" t="s">
        <v>47</v>
      </c>
      <c r="H4316" s="40">
        <f>I4309+I4310+I4311+I4313+I4314+SUM(I4312:I4312)-SUMIF(AC4312:AC4312, 5, I4312:I4312)-SUMIF(AC4312:AC4312, 6, I4312:I4312)</f>
        <v>1405.93</v>
      </c>
      <c r="I4316" s="40"/>
      <c r="J4316" s="40">
        <f>K4309+K4310+K4311+K4313+K4314+SUM(K4312:K4312)-SUMIF(AC4312:AC4312, 5, K4312:K4312)-SUMIF(AC4312:AC4312, 6, K4312:K4312)</f>
        <v>49250.239999999998</v>
      </c>
      <c r="K4316" s="40"/>
    </row>
    <row r="4317" spans="1:29" ht="13.8" hidden="1" x14ac:dyDescent="0.25">
      <c r="C4317" s="39" t="s">
        <v>48</v>
      </c>
      <c r="H4317" s="41">
        <f>SUMIF(AC4312:AC4312, 5, I4312:I4312)+SUMIF(AC4312:AC4312, 6, I4312:I4312)</f>
        <v>0</v>
      </c>
      <c r="I4317" s="41"/>
      <c r="J4317" s="41">
        <f>SUMIF(AC4312:AC4312, 5, K4312:K4312)+SUMIF(AC4312:AC4312, 6, K4312:K4312)</f>
        <v>0</v>
      </c>
      <c r="K4317" s="41"/>
    </row>
    <row r="4318" spans="1:29" ht="13.8" hidden="1" x14ac:dyDescent="0.25">
      <c r="C4318" s="39" t="s">
        <v>49</v>
      </c>
      <c r="H4318" s="41">
        <f>I4309+I4310+I4311+I4313+I4314+SUM(I4312:I4312)</f>
        <v>1405.93</v>
      </c>
      <c r="I4318" s="41"/>
      <c r="J4318" s="41">
        <f>K4309+K4310+K4311+K4313+K4314+SUM(K4312:K4312)</f>
        <v>49250.239999999998</v>
      </c>
      <c r="K4318" s="41"/>
      <c r="O4318" s="42">
        <f>I4309+I4310+I4311+I4313+I4314+SUM(I4312:I4312)</f>
        <v>1405.93</v>
      </c>
      <c r="P4318" s="42">
        <f>K4309+K4310+K4311+K4313+K4314+SUM(K4312:K4312)</f>
        <v>49250.239999999998</v>
      </c>
    </row>
    <row r="4319" spans="1:29" hidden="1" x14ac:dyDescent="0.25"/>
    <row r="4320" spans="1:29" ht="57.6" hidden="1" x14ac:dyDescent="0.25">
      <c r="A4320" s="27">
        <v>413</v>
      </c>
      <c r="B4320" s="27" t="str">
        <f>[1]Source!F4046</f>
        <v>3.70-159-2</v>
      </c>
      <c r="C4320" s="27" t="s">
        <v>719</v>
      </c>
      <c r="D4320" s="28" t="str">
        <f>[1]Source!H4046</f>
        <v>100 м2 стяжки</v>
      </c>
      <c r="E4320" s="29">
        <f>[1]Source!I4046</f>
        <v>0.62</v>
      </c>
      <c r="F4320" s="30"/>
      <c r="G4320" s="31"/>
      <c r="H4320" s="29"/>
      <c r="I4320" s="30"/>
      <c r="J4320" s="29"/>
      <c r="K4320" s="30"/>
      <c r="Q4320">
        <f>[1]Source!X4046</f>
        <v>46.92</v>
      </c>
      <c r="R4320">
        <f>[1]Source!X4047</f>
        <v>2644.2</v>
      </c>
      <c r="S4320">
        <f>[1]Source!Y4046</f>
        <v>25.55</v>
      </c>
      <c r="T4320">
        <f>[1]Source!Y4047</f>
        <v>1439.91</v>
      </c>
      <c r="U4320">
        <f>ROUND((175/100)*ROUND([1]Source!R4046, 2), 2)</f>
        <v>0</v>
      </c>
      <c r="V4320">
        <f>ROUND((0/100)*ROUND([1]Source!R4047, 2), 2)</f>
        <v>0</v>
      </c>
      <c r="AC4320">
        <v>0</v>
      </c>
    </row>
    <row r="4321" spans="1:29" hidden="1" x14ac:dyDescent="0.25">
      <c r="C4321" s="32" t="str">
        <f>"Объем: "&amp;[1]Source!I4046&amp;"=62/"&amp;"100"</f>
        <v>Объем: 0,62=62/100</v>
      </c>
    </row>
    <row r="4322" spans="1:29" ht="14.4" hidden="1" x14ac:dyDescent="0.25">
      <c r="A4322" s="27"/>
      <c r="B4322" s="27"/>
      <c r="C4322" s="27" t="s">
        <v>36</v>
      </c>
      <c r="D4322" s="28"/>
      <c r="E4322" s="29"/>
      <c r="F4322" s="30">
        <f>[1]Source!AO4046</f>
        <v>6.03</v>
      </c>
      <c r="G4322" s="31" t="s">
        <v>777</v>
      </c>
      <c r="H4322" s="29">
        <f>[1]Source!AV4047</f>
        <v>1.0469999999999999</v>
      </c>
      <c r="I4322" s="30">
        <f>[1]Source!S4046</f>
        <v>46.46</v>
      </c>
      <c r="J4322" s="29">
        <f>IF([1]Source!BA4047&lt;&gt; 0, [1]Source!BA4047, 1)</f>
        <v>56.35</v>
      </c>
      <c r="K4322" s="30">
        <f>[1]Source!S4047</f>
        <v>2618.02</v>
      </c>
    </row>
    <row r="4323" spans="1:29" ht="14.4" hidden="1" x14ac:dyDescent="0.25">
      <c r="A4323" s="27"/>
      <c r="B4323" s="27"/>
      <c r="C4323" s="27" t="s">
        <v>38</v>
      </c>
      <c r="D4323" s="28"/>
      <c r="E4323" s="29"/>
      <c r="F4323" s="30">
        <f>[1]Source!AM4046</f>
        <v>0.46</v>
      </c>
      <c r="G4323" s="31" t="s">
        <v>778</v>
      </c>
      <c r="H4323" s="29">
        <f>[1]Source!AV4047</f>
        <v>1.0469999999999999</v>
      </c>
      <c r="I4323" s="30">
        <f>[1]Source!Q4046</f>
        <v>3.85</v>
      </c>
      <c r="J4323" s="29">
        <f>IF([1]Source!BB4047&lt;&gt; 0, [1]Source!BB4047, 1)</f>
        <v>11.7</v>
      </c>
      <c r="K4323" s="30">
        <f>[1]Source!Q4047</f>
        <v>45.05</v>
      </c>
    </row>
    <row r="4324" spans="1:29" ht="27.6" hidden="1" x14ac:dyDescent="0.25">
      <c r="A4324" s="27" t="s">
        <v>816</v>
      </c>
      <c r="B4324" s="27" t="str">
        <f>[1]Source!F4048</f>
        <v>1.3-2-7</v>
      </c>
      <c r="C4324" s="27" t="s">
        <v>752</v>
      </c>
      <c r="D4324" s="28" t="str">
        <f>[1]Source!H4048</f>
        <v>м3</v>
      </c>
      <c r="E4324" s="29">
        <f>[1]Source!I4048</f>
        <v>2.7193200000000002</v>
      </c>
      <c r="F4324" s="30">
        <f>[1]Source!AK4048</f>
        <v>507.97</v>
      </c>
      <c r="G4324" s="43" t="s">
        <v>54</v>
      </c>
      <c r="H4324" s="29">
        <f>[1]Source!AW4049</f>
        <v>1</v>
      </c>
      <c r="I4324" s="30">
        <f>[1]Source!O4048</f>
        <v>1381.33</v>
      </c>
      <c r="J4324" s="29">
        <f>IF([1]Source!BC4049&lt;&gt; 0, [1]Source!BC4049, 1)</f>
        <v>10.98</v>
      </c>
      <c r="K4324" s="30">
        <f>[1]Source!O4049</f>
        <v>15167</v>
      </c>
      <c r="Q4324">
        <f>[1]Source!X4048</f>
        <v>0</v>
      </c>
      <c r="R4324">
        <f>[1]Source!X4049</f>
        <v>0</v>
      </c>
      <c r="S4324">
        <f>[1]Source!Y4048</f>
        <v>0</v>
      </c>
      <c r="T4324">
        <f>[1]Source!Y4049</f>
        <v>0</v>
      </c>
      <c r="U4324">
        <f>ROUND((175/100)*ROUND([1]Source!R4048, 2), 2)</f>
        <v>0</v>
      </c>
      <c r="V4324">
        <f>ROUND((0/100)*ROUND([1]Source!R4049, 2), 2)</f>
        <v>0</v>
      </c>
      <c r="AC4324">
        <v>3</v>
      </c>
    </row>
    <row r="4325" spans="1:29" ht="14.4" hidden="1" x14ac:dyDescent="0.25">
      <c r="A4325" s="27"/>
      <c r="B4325" s="27"/>
      <c r="C4325" s="27" t="s">
        <v>42</v>
      </c>
      <c r="D4325" s="28" t="s">
        <v>43</v>
      </c>
      <c r="E4325" s="29">
        <f>[1]Source!BZ4047</f>
        <v>101</v>
      </c>
      <c r="F4325" s="30"/>
      <c r="G4325" s="31"/>
      <c r="H4325" s="29"/>
      <c r="I4325" s="30">
        <f>SUM(Q4320:Q4324)</f>
        <v>46.92</v>
      </c>
      <c r="J4325" s="29">
        <f>[1]Source!AT4047</f>
        <v>101</v>
      </c>
      <c r="K4325" s="30">
        <f>SUM(R4320:R4324)</f>
        <v>2644.2</v>
      </c>
    </row>
    <row r="4326" spans="1:29" ht="14.4" hidden="1" x14ac:dyDescent="0.25">
      <c r="A4326" s="27"/>
      <c r="B4326" s="27"/>
      <c r="C4326" s="27" t="s">
        <v>44</v>
      </c>
      <c r="D4326" s="28" t="s">
        <v>43</v>
      </c>
      <c r="E4326" s="29">
        <f>[1]Source!CA4047</f>
        <v>55</v>
      </c>
      <c r="F4326" s="30"/>
      <c r="G4326" s="31"/>
      <c r="H4326" s="29"/>
      <c r="I4326" s="30">
        <f>SUM(S4320:S4325)</f>
        <v>25.55</v>
      </c>
      <c r="J4326" s="29">
        <f>[1]Source!AU4047</f>
        <v>55</v>
      </c>
      <c r="K4326" s="30">
        <f>SUM(T4320:T4325)</f>
        <v>1439.91</v>
      </c>
    </row>
    <row r="4327" spans="1:29" ht="14.4" hidden="1" x14ac:dyDescent="0.25">
      <c r="A4327" s="34"/>
      <c r="B4327" s="34"/>
      <c r="C4327" s="34" t="s">
        <v>45</v>
      </c>
      <c r="D4327" s="35" t="s">
        <v>46</v>
      </c>
      <c r="E4327" s="36">
        <f>[1]Source!AQ4046</f>
        <v>0.44</v>
      </c>
      <c r="F4327" s="37"/>
      <c r="G4327" s="38" t="s">
        <v>777</v>
      </c>
      <c r="H4327" s="36">
        <f>[1]Source!AV4047</f>
        <v>1.0469999999999999</v>
      </c>
      <c r="I4327" s="37">
        <f>[1]Source!U4046</f>
        <v>3.3897571487999993</v>
      </c>
      <c r="J4327" s="36"/>
      <c r="K4327" s="37"/>
    </row>
    <row r="4328" spans="1:29" ht="13.8" hidden="1" x14ac:dyDescent="0.25">
      <c r="C4328" s="39" t="s">
        <v>47</v>
      </c>
      <c r="H4328" s="40">
        <f>I4322+I4323+I4325+I4326+SUM(I4324:I4324)-SUMIF(AC4324:AC4324, 5, I4324:I4324)-SUMIF(AC4324:AC4324, 6, I4324:I4324)</f>
        <v>1504.11</v>
      </c>
      <c r="I4328" s="40"/>
      <c r="J4328" s="40">
        <f>K4322+K4323+K4325+K4326+SUM(K4324:K4324)-SUMIF(AC4324:AC4324, 5, K4324:K4324)-SUMIF(AC4324:AC4324, 6, K4324:K4324)</f>
        <v>21914.18</v>
      </c>
      <c r="K4328" s="40"/>
    </row>
    <row r="4329" spans="1:29" ht="13.8" hidden="1" x14ac:dyDescent="0.25">
      <c r="C4329" s="39" t="s">
        <v>48</v>
      </c>
      <c r="H4329" s="41">
        <f>SUMIF(AC4324:AC4324, 5, I4324:I4324)+SUMIF(AC4324:AC4324, 6, I4324:I4324)</f>
        <v>0</v>
      </c>
      <c r="I4329" s="41"/>
      <c r="J4329" s="41">
        <f>SUMIF(AC4324:AC4324, 5, K4324:K4324)+SUMIF(AC4324:AC4324, 6, K4324:K4324)</f>
        <v>0</v>
      </c>
      <c r="K4329" s="41"/>
    </row>
    <row r="4330" spans="1:29" ht="13.8" hidden="1" x14ac:dyDescent="0.25">
      <c r="C4330" s="39" t="s">
        <v>49</v>
      </c>
      <c r="H4330" s="41">
        <f>I4322+I4323+I4325+I4326+SUM(I4324:I4324)</f>
        <v>1504.11</v>
      </c>
      <c r="I4330" s="41"/>
      <c r="J4330" s="41">
        <f>K4322+K4323+K4325+K4326+SUM(K4324:K4324)</f>
        <v>21914.18</v>
      </c>
      <c r="K4330" s="41"/>
      <c r="O4330" s="42">
        <f>I4322+I4323+I4325+I4326+SUM(I4324:I4324)</f>
        <v>1504.11</v>
      </c>
      <c r="P4330" s="42">
        <f>K4322+K4323+K4325+K4326+SUM(K4324:K4324)</f>
        <v>21914.18</v>
      </c>
    </row>
    <row r="4331" spans="1:29" hidden="1" x14ac:dyDescent="0.25"/>
    <row r="4332" spans="1:29" ht="27.6" hidden="1" x14ac:dyDescent="0.25">
      <c r="A4332" s="27">
        <v>414</v>
      </c>
      <c r="B4332" s="27" t="str">
        <f>[1]Source!F4050</f>
        <v>3.70-43-6</v>
      </c>
      <c r="C4332" s="27" t="s">
        <v>723</v>
      </c>
      <c r="D4332" s="28" t="str">
        <f>[1]Source!H4050</f>
        <v>1 Т</v>
      </c>
      <c r="E4332" s="29">
        <f>[1]Source!I4050</f>
        <v>0.17050000000000001</v>
      </c>
      <c r="F4332" s="30"/>
      <c r="G4332" s="31"/>
      <c r="H4332" s="29"/>
      <c r="I4332" s="30"/>
      <c r="J4332" s="29"/>
      <c r="K4332" s="30"/>
      <c r="Q4332">
        <f>[1]Source!X4050</f>
        <v>42.15</v>
      </c>
      <c r="R4332">
        <f>[1]Source!X4051</f>
        <v>2374.88</v>
      </c>
      <c r="S4332">
        <f>[1]Source!Y4050</f>
        <v>22.45</v>
      </c>
      <c r="T4332">
        <f>[1]Source!Y4051</f>
        <v>1264.8800000000001</v>
      </c>
      <c r="U4332">
        <f>ROUND((175/100)*ROUND([1]Source!R4050, 2), 2)</f>
        <v>2.36</v>
      </c>
      <c r="V4332">
        <f>ROUND((0/100)*ROUND([1]Source!R4051, 2), 2)</f>
        <v>0</v>
      </c>
      <c r="AC4332">
        <v>0</v>
      </c>
    </row>
    <row r="4333" spans="1:29" hidden="1" x14ac:dyDescent="0.25">
      <c r="C4333" s="32" t="str">
        <f>"Объем: "&amp;[1]Source!I4050&amp;"=(2,75*"&amp;"62)/"&amp;"1000"</f>
        <v>Объем: 0,1705=(2,75*62)/1000</v>
      </c>
    </row>
    <row r="4334" spans="1:29" ht="14.4" hidden="1" x14ac:dyDescent="0.25">
      <c r="A4334" s="27"/>
      <c r="B4334" s="27"/>
      <c r="C4334" s="27" t="s">
        <v>36</v>
      </c>
      <c r="D4334" s="28"/>
      <c r="E4334" s="29"/>
      <c r="F4334" s="30">
        <f>[1]Source!AO4050</f>
        <v>180.47</v>
      </c>
      <c r="G4334" s="31" t="s">
        <v>37</v>
      </c>
      <c r="H4334" s="29">
        <f>[1]Source!AV4051</f>
        <v>1.0469999999999999</v>
      </c>
      <c r="I4334" s="30">
        <f>[1]Source!S4050</f>
        <v>44.46</v>
      </c>
      <c r="J4334" s="29">
        <f>IF([1]Source!BA4051&lt;&gt; 0, [1]Source!BA4051, 1)</f>
        <v>56.35</v>
      </c>
      <c r="K4334" s="30">
        <f>[1]Source!S4051</f>
        <v>2505.3200000000002</v>
      </c>
    </row>
    <row r="4335" spans="1:29" ht="14.4" hidden="1" x14ac:dyDescent="0.25">
      <c r="A4335" s="27"/>
      <c r="B4335" s="27"/>
      <c r="C4335" s="27" t="s">
        <v>38</v>
      </c>
      <c r="D4335" s="28"/>
      <c r="E4335" s="29"/>
      <c r="F4335" s="30">
        <f>[1]Source!AM4050</f>
        <v>43.5</v>
      </c>
      <c r="G4335" s="31" t="s">
        <v>39</v>
      </c>
      <c r="H4335" s="29">
        <f>[1]Source!AV4051</f>
        <v>1.0469999999999999</v>
      </c>
      <c r="I4335" s="30">
        <f>[1]Source!Q4050</f>
        <v>11.65</v>
      </c>
      <c r="J4335" s="29">
        <f>IF([1]Source!BB4051&lt;&gt; 0, [1]Source!BB4051, 1)</f>
        <v>15.44</v>
      </c>
      <c r="K4335" s="30">
        <f>[1]Source!Q4051</f>
        <v>179.88</v>
      </c>
    </row>
    <row r="4336" spans="1:29" ht="14.4" hidden="1" x14ac:dyDescent="0.25">
      <c r="A4336" s="27"/>
      <c r="B4336" s="27"/>
      <c r="C4336" s="27" t="s">
        <v>40</v>
      </c>
      <c r="D4336" s="28"/>
      <c r="E4336" s="29"/>
      <c r="F4336" s="30">
        <f>[1]Source!AN4050</f>
        <v>5.0599999999999996</v>
      </c>
      <c r="G4336" s="31" t="s">
        <v>39</v>
      </c>
      <c r="H4336" s="29">
        <f>[1]Source!AV4051</f>
        <v>1.0469999999999999</v>
      </c>
      <c r="I4336" s="33">
        <f>[1]Source!R4050</f>
        <v>1.35</v>
      </c>
      <c r="J4336" s="29">
        <f>IF([1]Source!BS4051&lt;&gt; 0, [1]Source!BS4051, 1)</f>
        <v>56.35</v>
      </c>
      <c r="K4336" s="33">
        <f>[1]Source!R4051</f>
        <v>76.069999999999993</v>
      </c>
    </row>
    <row r="4337" spans="1:29" ht="14.4" hidden="1" x14ac:dyDescent="0.25">
      <c r="A4337" s="27"/>
      <c r="B4337" s="27"/>
      <c r="C4337" s="27" t="s">
        <v>41</v>
      </c>
      <c r="D4337" s="28"/>
      <c r="E4337" s="29"/>
      <c r="F4337" s="30">
        <f>[1]Source!AL4050</f>
        <v>258.67</v>
      </c>
      <c r="G4337" s="31"/>
      <c r="H4337" s="29">
        <f>[1]Source!AW4051</f>
        <v>1.022</v>
      </c>
      <c r="I4337" s="30">
        <f>[1]Source!P4050</f>
        <v>45.07</v>
      </c>
      <c r="J4337" s="29">
        <f>IF([1]Source!BC4051&lt;&gt; 0, [1]Source!BC4051, 1)</f>
        <v>7.5</v>
      </c>
      <c r="K4337" s="30">
        <f>[1]Source!P4051</f>
        <v>338.03</v>
      </c>
    </row>
    <row r="4338" spans="1:29" ht="55.2" hidden="1" x14ac:dyDescent="0.25">
      <c r="A4338" s="27" t="s">
        <v>817</v>
      </c>
      <c r="B4338" s="27" t="str">
        <f>[1]Source!F4052</f>
        <v>1.3-4-75</v>
      </c>
      <c r="C4338" s="27" t="s">
        <v>725</v>
      </c>
      <c r="D4338" s="28" t="str">
        <f>[1]Source!H4052</f>
        <v>т</v>
      </c>
      <c r="E4338" s="29">
        <f>[1]Source!I4052</f>
        <v>0.17050000000000001</v>
      </c>
      <c r="F4338" s="30">
        <f>[1]Source!AK4052</f>
        <v>9724.69</v>
      </c>
      <c r="G4338" s="43" t="s">
        <v>54</v>
      </c>
      <c r="H4338" s="29">
        <f>[1]Source!AW4053</f>
        <v>1.022</v>
      </c>
      <c r="I4338" s="30">
        <f>[1]Source!O4052</f>
        <v>1694.54</v>
      </c>
      <c r="J4338" s="29">
        <f>IF([1]Source!BC4053&lt;&gt; 0, [1]Source!BC4053, 1)</f>
        <v>3.88</v>
      </c>
      <c r="K4338" s="30">
        <f>[1]Source!O4053</f>
        <v>6574.82</v>
      </c>
      <c r="Q4338">
        <f>[1]Source!X4052</f>
        <v>0</v>
      </c>
      <c r="R4338">
        <f>[1]Source!X4053</f>
        <v>0</v>
      </c>
      <c r="S4338">
        <f>[1]Source!Y4052</f>
        <v>0</v>
      </c>
      <c r="T4338">
        <f>[1]Source!Y4053</f>
        <v>0</v>
      </c>
      <c r="U4338">
        <f>ROUND((175/100)*ROUND([1]Source!R4052, 2), 2)</f>
        <v>0</v>
      </c>
      <c r="V4338">
        <f>ROUND((0/100)*ROUND([1]Source!R4053, 2), 2)</f>
        <v>0</v>
      </c>
      <c r="AC4338">
        <v>3</v>
      </c>
    </row>
    <row r="4339" spans="1:29" ht="14.4" hidden="1" x14ac:dyDescent="0.25">
      <c r="A4339" s="27"/>
      <c r="B4339" s="27"/>
      <c r="C4339" s="27" t="s">
        <v>42</v>
      </c>
      <c r="D4339" s="28" t="s">
        <v>43</v>
      </c>
      <c r="E4339" s="29">
        <f>[1]Source!BZ4051</f>
        <v>92</v>
      </c>
      <c r="F4339" s="30"/>
      <c r="G4339" s="31"/>
      <c r="H4339" s="29"/>
      <c r="I4339" s="30">
        <f>SUM(Q4332:Q4338)</f>
        <v>42.15</v>
      </c>
      <c r="J4339" s="29">
        <f>[1]Source!AT4051</f>
        <v>92</v>
      </c>
      <c r="K4339" s="30">
        <f>SUM(R4332:R4338)</f>
        <v>2374.88</v>
      </c>
    </row>
    <row r="4340" spans="1:29" ht="14.4" hidden="1" x14ac:dyDescent="0.25">
      <c r="A4340" s="27"/>
      <c r="B4340" s="27"/>
      <c r="C4340" s="27" t="s">
        <v>44</v>
      </c>
      <c r="D4340" s="28" t="s">
        <v>43</v>
      </c>
      <c r="E4340" s="29">
        <f>[1]Source!CA4051</f>
        <v>49</v>
      </c>
      <c r="F4340" s="30"/>
      <c r="G4340" s="31"/>
      <c r="H4340" s="29"/>
      <c r="I4340" s="30">
        <f>SUM(S4332:S4339)</f>
        <v>22.45</v>
      </c>
      <c r="J4340" s="29">
        <f>[1]Source!AU4051</f>
        <v>49</v>
      </c>
      <c r="K4340" s="30">
        <f>SUM(T4332:T4339)</f>
        <v>1264.8800000000001</v>
      </c>
    </row>
    <row r="4341" spans="1:29" ht="14.4" hidden="1" x14ac:dyDescent="0.25">
      <c r="A4341" s="34"/>
      <c r="B4341" s="34"/>
      <c r="C4341" s="34" t="s">
        <v>45</v>
      </c>
      <c r="D4341" s="35" t="s">
        <v>46</v>
      </c>
      <c r="E4341" s="36">
        <f>[1]Source!AQ4050</f>
        <v>11.6</v>
      </c>
      <c r="F4341" s="37"/>
      <c r="G4341" s="38" t="s">
        <v>37</v>
      </c>
      <c r="H4341" s="36">
        <f>[1]Source!AV4051</f>
        <v>1.0469999999999999</v>
      </c>
      <c r="I4341" s="37">
        <f>[1]Source!U4050</f>
        <v>2.8576441079999992</v>
      </c>
      <c r="J4341" s="36"/>
      <c r="K4341" s="37"/>
    </row>
    <row r="4342" spans="1:29" ht="13.8" hidden="1" x14ac:dyDescent="0.25">
      <c r="C4342" s="39" t="s">
        <v>47</v>
      </c>
      <c r="H4342" s="40">
        <f>I4334+I4335+I4337+I4339+I4340+SUM(I4338:I4338)-SUMIF(AC4338:AC4338, 5, I4338:I4338)-SUMIF(AC4338:AC4338, 6, I4338:I4338)</f>
        <v>1860.32</v>
      </c>
      <c r="I4342" s="40"/>
      <c r="J4342" s="40">
        <f>K4334+K4335+K4337+K4339+K4340+SUM(K4338:K4338)-SUMIF(AC4338:AC4338, 5, K4338:K4338)-SUMIF(AC4338:AC4338, 6, K4338:K4338)</f>
        <v>13237.810000000001</v>
      </c>
      <c r="K4342" s="40"/>
    </row>
    <row r="4343" spans="1:29" ht="13.8" hidden="1" x14ac:dyDescent="0.25">
      <c r="C4343" s="39" t="s">
        <v>48</v>
      </c>
      <c r="H4343" s="41">
        <f>SUMIF(AC4338:AC4338, 5, I4338:I4338)+SUMIF(AC4338:AC4338, 6, I4338:I4338)</f>
        <v>0</v>
      </c>
      <c r="I4343" s="41"/>
      <c r="J4343" s="41">
        <f>SUMIF(AC4338:AC4338, 5, K4338:K4338)+SUMIF(AC4338:AC4338, 6, K4338:K4338)</f>
        <v>0</v>
      </c>
      <c r="K4343" s="41"/>
    </row>
    <row r="4344" spans="1:29" ht="13.8" hidden="1" x14ac:dyDescent="0.25">
      <c r="C4344" s="39" t="s">
        <v>49</v>
      </c>
      <c r="H4344" s="41">
        <f>I4334+I4335+I4337+I4339+I4340+SUM(I4338:I4338)</f>
        <v>1860.32</v>
      </c>
      <c r="I4344" s="41"/>
      <c r="J4344" s="41">
        <f>K4334+K4335+K4337+K4339+K4340+SUM(K4338:K4338)</f>
        <v>13237.810000000001</v>
      </c>
      <c r="K4344" s="41"/>
      <c r="O4344" s="42">
        <f>I4334+I4335+I4337+I4339+I4340+SUM(I4338:I4338)</f>
        <v>1860.32</v>
      </c>
      <c r="P4344" s="42">
        <f>K4334+K4335+K4337+K4339+K4340+SUM(K4338:K4338)</f>
        <v>13237.810000000001</v>
      </c>
    </row>
    <row r="4345" spans="1:29" hidden="1" x14ac:dyDescent="0.25"/>
    <row r="4346" spans="1:29" ht="55.2" hidden="1" x14ac:dyDescent="0.25">
      <c r="A4346" s="27">
        <v>415</v>
      </c>
      <c r="B4346" s="27" t="str">
        <f>[1]Source!F4054</f>
        <v>3.70-2-1</v>
      </c>
      <c r="C4346" s="27" t="s">
        <v>726</v>
      </c>
      <c r="D4346" s="28" t="str">
        <f>[1]Source!H4054</f>
        <v>100 м2</v>
      </c>
      <c r="E4346" s="29">
        <f>[1]Source!I4054</f>
        <v>0.62</v>
      </c>
      <c r="F4346" s="30"/>
      <c r="G4346" s="31"/>
      <c r="H4346" s="29"/>
      <c r="I4346" s="30"/>
      <c r="J4346" s="29"/>
      <c r="K4346" s="30"/>
      <c r="Q4346">
        <f>[1]Source!X4054</f>
        <v>1272.21</v>
      </c>
      <c r="R4346">
        <f>[1]Source!X4055</f>
        <v>71689</v>
      </c>
      <c r="S4346">
        <f>[1]Source!Y4054</f>
        <v>758.19</v>
      </c>
      <c r="T4346">
        <f>[1]Source!Y4055</f>
        <v>42723.75</v>
      </c>
      <c r="U4346">
        <f>ROUND((175/100)*ROUND([1]Source!R4054, 2), 2)</f>
        <v>13.72</v>
      </c>
      <c r="V4346">
        <f>ROUND((0/100)*ROUND([1]Source!R4055, 2), 2)</f>
        <v>0</v>
      </c>
      <c r="AC4346">
        <v>0</v>
      </c>
    </row>
    <row r="4347" spans="1:29" hidden="1" x14ac:dyDescent="0.25">
      <c r="C4347" s="32" t="str">
        <f>"Объем: "&amp;[1]Source!I4054&amp;"=62/"&amp;"100"</f>
        <v>Объем: 0,62=62/100</v>
      </c>
    </row>
    <row r="4348" spans="1:29" ht="14.4" hidden="1" x14ac:dyDescent="0.25">
      <c r="A4348" s="27"/>
      <c r="B4348" s="27"/>
      <c r="C4348" s="27" t="s">
        <v>36</v>
      </c>
      <c r="D4348" s="28"/>
      <c r="E4348" s="29"/>
      <c r="F4348" s="30">
        <f>[1]Source!AO4054</f>
        <v>1425.77</v>
      </c>
      <c r="G4348" s="31" t="s">
        <v>37</v>
      </c>
      <c r="H4348" s="29">
        <f>[1]Source!AV4055</f>
        <v>1.0469999999999999</v>
      </c>
      <c r="I4348" s="30">
        <f>[1]Source!S4054</f>
        <v>1277.22</v>
      </c>
      <c r="J4348" s="29">
        <f>IF([1]Source!BA4055&lt;&gt; 0, [1]Source!BA4055, 1)</f>
        <v>56.35</v>
      </c>
      <c r="K4348" s="30">
        <f>[1]Source!S4055</f>
        <v>71971.350000000006</v>
      </c>
    </row>
    <row r="4349" spans="1:29" ht="14.4" hidden="1" x14ac:dyDescent="0.25">
      <c r="A4349" s="27"/>
      <c r="B4349" s="27"/>
      <c r="C4349" s="27" t="s">
        <v>38</v>
      </c>
      <c r="D4349" s="28"/>
      <c r="E4349" s="29"/>
      <c r="F4349" s="30">
        <f>[1]Source!AM4054</f>
        <v>9.41</v>
      </c>
      <c r="G4349" s="31" t="s">
        <v>39</v>
      </c>
      <c r="H4349" s="29">
        <f>[1]Source!AV4055</f>
        <v>1.0469999999999999</v>
      </c>
      <c r="I4349" s="30">
        <f>[1]Source!Q4054</f>
        <v>9.16</v>
      </c>
      <c r="J4349" s="29">
        <f>IF([1]Source!BB4055&lt;&gt; 0, [1]Source!BB4055, 1)</f>
        <v>54.4</v>
      </c>
      <c r="K4349" s="30">
        <f>[1]Source!Q4055</f>
        <v>498.3</v>
      </c>
    </row>
    <row r="4350" spans="1:29" ht="14.4" hidden="1" x14ac:dyDescent="0.25">
      <c r="A4350" s="27"/>
      <c r="B4350" s="27"/>
      <c r="C4350" s="27" t="s">
        <v>40</v>
      </c>
      <c r="D4350" s="28"/>
      <c r="E4350" s="29"/>
      <c r="F4350" s="30">
        <f>[1]Source!AN4054</f>
        <v>8.0500000000000007</v>
      </c>
      <c r="G4350" s="31" t="s">
        <v>39</v>
      </c>
      <c r="H4350" s="29">
        <f>[1]Source!AV4055</f>
        <v>1.0469999999999999</v>
      </c>
      <c r="I4350" s="33">
        <f>[1]Source!R4054</f>
        <v>7.84</v>
      </c>
      <c r="J4350" s="29">
        <f>IF([1]Source!BS4055&lt;&gt; 0, [1]Source!BS4055, 1)</f>
        <v>56.35</v>
      </c>
      <c r="K4350" s="33">
        <f>[1]Source!R4055</f>
        <v>441.78</v>
      </c>
    </row>
    <row r="4351" spans="1:29" ht="14.4" hidden="1" x14ac:dyDescent="0.25">
      <c r="A4351" s="27"/>
      <c r="B4351" s="27"/>
      <c r="C4351" s="27" t="s">
        <v>41</v>
      </c>
      <c r="D4351" s="28"/>
      <c r="E4351" s="29"/>
      <c r="F4351" s="30">
        <f>[1]Source!AL4054</f>
        <v>0.78</v>
      </c>
      <c r="G4351" s="31"/>
      <c r="H4351" s="29">
        <f>[1]Source!AW4055</f>
        <v>1</v>
      </c>
      <c r="I4351" s="30">
        <f>[1]Source!P4054</f>
        <v>0.48</v>
      </c>
      <c r="J4351" s="29">
        <f>IF([1]Source!BC4055&lt;&gt; 0, [1]Source!BC4055, 1)</f>
        <v>7.73</v>
      </c>
      <c r="K4351" s="30">
        <f>[1]Source!P4055</f>
        <v>3.71</v>
      </c>
    </row>
    <row r="4352" spans="1:29" ht="276" hidden="1" x14ac:dyDescent="0.25">
      <c r="A4352" s="27" t="s">
        <v>818</v>
      </c>
      <c r="B4352" s="27" t="str">
        <f>[1]Source!F4056</f>
        <v>1.3-2-97</v>
      </c>
      <c r="C4352" s="27" t="s">
        <v>728</v>
      </c>
      <c r="D4352" s="28" t="str">
        <f>[1]Source!H4056</f>
        <v>кг</v>
      </c>
      <c r="E4352" s="29">
        <f>[1]Source!I4056</f>
        <v>193.44</v>
      </c>
      <c r="F4352" s="30">
        <f>[1]Source!AK4056</f>
        <v>12.4</v>
      </c>
      <c r="G4352" s="43" t="s">
        <v>54</v>
      </c>
      <c r="H4352" s="29">
        <f>[1]Source!AW4057</f>
        <v>1</v>
      </c>
      <c r="I4352" s="30">
        <f>[1]Source!O4056</f>
        <v>2398.66</v>
      </c>
      <c r="J4352" s="29">
        <f>IF([1]Source!BC4057&lt;&gt; 0, [1]Source!BC4057, 1)</f>
        <v>4.7300000000000004</v>
      </c>
      <c r="K4352" s="30">
        <f>[1]Source!O4057</f>
        <v>11345.66</v>
      </c>
      <c r="Q4352">
        <f>[1]Source!X4056</f>
        <v>0</v>
      </c>
      <c r="R4352">
        <f>[1]Source!X4057</f>
        <v>0</v>
      </c>
      <c r="S4352">
        <f>[1]Source!Y4056</f>
        <v>0</v>
      </c>
      <c r="T4352">
        <f>[1]Source!Y4057</f>
        <v>0</v>
      </c>
      <c r="U4352">
        <f>ROUND((175/100)*ROUND([1]Source!R4056, 2), 2)</f>
        <v>0</v>
      </c>
      <c r="V4352">
        <f>ROUND((0/100)*ROUND([1]Source!R4057, 2), 2)</f>
        <v>0</v>
      </c>
      <c r="AC4352">
        <v>3</v>
      </c>
    </row>
    <row r="4353" spans="1:29" ht="14.4" hidden="1" x14ac:dyDescent="0.25">
      <c r="A4353" s="27"/>
      <c r="B4353" s="27"/>
      <c r="C4353" s="27" t="s">
        <v>42</v>
      </c>
      <c r="D4353" s="28" t="s">
        <v>43</v>
      </c>
      <c r="E4353" s="29">
        <f>[1]Source!BZ4055</f>
        <v>99</v>
      </c>
      <c r="F4353" s="30"/>
      <c r="G4353" s="31"/>
      <c r="H4353" s="29"/>
      <c r="I4353" s="30">
        <f>SUM(Q4346:Q4352)</f>
        <v>1272.21</v>
      </c>
      <c r="J4353" s="29">
        <f>[1]Source!AT4055</f>
        <v>99</v>
      </c>
      <c r="K4353" s="30">
        <f>SUM(R4346:R4352)</f>
        <v>71689</v>
      </c>
    </row>
    <row r="4354" spans="1:29" ht="14.4" hidden="1" x14ac:dyDescent="0.25">
      <c r="A4354" s="27"/>
      <c r="B4354" s="27"/>
      <c r="C4354" s="27" t="s">
        <v>44</v>
      </c>
      <c r="D4354" s="28" t="s">
        <v>43</v>
      </c>
      <c r="E4354" s="29">
        <f>[1]Source!CA4055</f>
        <v>59</v>
      </c>
      <c r="F4354" s="30"/>
      <c r="G4354" s="31"/>
      <c r="H4354" s="29"/>
      <c r="I4354" s="30">
        <f>SUM(S4346:S4353)</f>
        <v>758.19</v>
      </c>
      <c r="J4354" s="29">
        <f>[1]Source!AU4055</f>
        <v>59</v>
      </c>
      <c r="K4354" s="30">
        <f>SUM(T4346:T4353)</f>
        <v>42723.75</v>
      </c>
    </row>
    <row r="4355" spans="1:29" ht="14.4" hidden="1" x14ac:dyDescent="0.25">
      <c r="A4355" s="34"/>
      <c r="B4355" s="34"/>
      <c r="C4355" s="34" t="s">
        <v>45</v>
      </c>
      <c r="D4355" s="35" t="s">
        <v>46</v>
      </c>
      <c r="E4355" s="36">
        <f>[1]Source!AQ4054</f>
        <v>85.24</v>
      </c>
      <c r="F4355" s="37"/>
      <c r="G4355" s="38" t="s">
        <v>37</v>
      </c>
      <c r="H4355" s="36">
        <f>[1]Source!AV4055</f>
        <v>1.0469999999999999</v>
      </c>
      <c r="I4355" s="37">
        <f>[1]Source!U4054</f>
        <v>76.359117167999983</v>
      </c>
      <c r="J4355" s="36"/>
      <c r="K4355" s="37"/>
    </row>
    <row r="4356" spans="1:29" ht="13.8" hidden="1" x14ac:dyDescent="0.25">
      <c r="C4356" s="39" t="s">
        <v>47</v>
      </c>
      <c r="H4356" s="40">
        <f>I4348+I4349+I4351+I4353+I4354+SUM(I4352:I4352)-SUMIF(AC4352:AC4352, 5, I4352:I4352)-SUMIF(AC4352:AC4352, 6, I4352:I4352)</f>
        <v>5715.92</v>
      </c>
      <c r="I4356" s="40"/>
      <c r="J4356" s="40">
        <f>K4348+K4349+K4351+K4353+K4354+SUM(K4352:K4352)-SUMIF(AC4352:AC4352, 5, K4352:K4352)-SUMIF(AC4352:AC4352, 6, K4352:K4352)</f>
        <v>198231.77000000002</v>
      </c>
      <c r="K4356" s="40"/>
    </row>
    <row r="4357" spans="1:29" ht="13.8" hidden="1" x14ac:dyDescent="0.25">
      <c r="C4357" s="39" t="s">
        <v>48</v>
      </c>
      <c r="H4357" s="41">
        <f>SUMIF(AC4352:AC4352, 5, I4352:I4352)+SUMIF(AC4352:AC4352, 6, I4352:I4352)</f>
        <v>0</v>
      </c>
      <c r="I4357" s="41"/>
      <c r="J4357" s="41">
        <f>SUMIF(AC4352:AC4352, 5, K4352:K4352)+SUMIF(AC4352:AC4352, 6, K4352:K4352)</f>
        <v>0</v>
      </c>
      <c r="K4357" s="41"/>
    </row>
    <row r="4358" spans="1:29" ht="13.8" hidden="1" x14ac:dyDescent="0.25">
      <c r="C4358" s="39" t="s">
        <v>49</v>
      </c>
      <c r="H4358" s="41">
        <f>I4348+I4349+I4351+I4353+I4354+SUM(I4352:I4352)</f>
        <v>5715.92</v>
      </c>
      <c r="I4358" s="41"/>
      <c r="J4358" s="41">
        <f>K4348+K4349+K4351+K4353+K4354+SUM(K4352:K4352)</f>
        <v>198231.77000000002</v>
      </c>
      <c r="K4358" s="41"/>
      <c r="O4358" s="42">
        <f>I4348+I4349+I4351+I4353+I4354+SUM(I4352:I4352)</f>
        <v>5715.92</v>
      </c>
      <c r="P4358" s="42">
        <f>K4348+K4349+K4351+K4353+K4354+SUM(K4352:K4352)</f>
        <v>198231.77000000002</v>
      </c>
    </row>
    <row r="4359" spans="1:29" hidden="1" x14ac:dyDescent="0.25"/>
    <row r="4360" spans="1:29" ht="69" hidden="1" x14ac:dyDescent="0.25">
      <c r="A4360" s="27">
        <v>416</v>
      </c>
      <c r="B4360" s="27" t="str">
        <f>[1]Source!F4058</f>
        <v>3.70-198-6</v>
      </c>
      <c r="C4360" s="27" t="s">
        <v>136</v>
      </c>
      <c r="D4360" s="28" t="str">
        <f>[1]Source!H4058</f>
        <v>100 м2</v>
      </c>
      <c r="E4360" s="29">
        <f>[1]Source!I4058</f>
        <v>0.62</v>
      </c>
      <c r="F4360" s="30"/>
      <c r="G4360" s="31"/>
      <c r="H4360" s="29"/>
      <c r="I4360" s="30"/>
      <c r="J4360" s="29"/>
      <c r="K4360" s="30"/>
      <c r="Q4360">
        <f>[1]Source!X4058</f>
        <v>929.98</v>
      </c>
      <c r="R4360">
        <f>[1]Source!X4059</f>
        <v>52404.24</v>
      </c>
      <c r="S4360">
        <f>[1]Source!Y4058</f>
        <v>506.42</v>
      </c>
      <c r="T4360">
        <f>[1]Source!Y4059</f>
        <v>28536.959999999999</v>
      </c>
      <c r="U4360">
        <f>ROUND((175/100)*ROUND([1]Source!R4058, 2), 2)</f>
        <v>23.22</v>
      </c>
      <c r="V4360">
        <f>ROUND((0/100)*ROUND([1]Source!R4059, 2), 2)</f>
        <v>0</v>
      </c>
      <c r="AC4360">
        <v>0</v>
      </c>
    </row>
    <row r="4361" spans="1:29" hidden="1" x14ac:dyDescent="0.25">
      <c r="C4361" s="32" t="str">
        <f>"Объем: "&amp;[1]Source!I4058&amp;"=62/"&amp;"100"</f>
        <v>Объем: 0,62=62/100</v>
      </c>
    </row>
    <row r="4362" spans="1:29" ht="14.4" hidden="1" x14ac:dyDescent="0.25">
      <c r="A4362" s="27"/>
      <c r="B4362" s="27"/>
      <c r="C4362" s="27" t="s">
        <v>36</v>
      </c>
      <c r="D4362" s="28"/>
      <c r="E4362" s="29"/>
      <c r="F4362" s="30">
        <f>[1]Source!AO4058</f>
        <v>1013.05</v>
      </c>
      <c r="G4362" s="31" t="s">
        <v>37</v>
      </c>
      <c r="H4362" s="29">
        <f>[1]Source!AV4059</f>
        <v>1.0469999999999999</v>
      </c>
      <c r="I4362" s="30">
        <f>[1]Source!S4058</f>
        <v>907.5</v>
      </c>
      <c r="J4362" s="29">
        <f>IF([1]Source!BA4059&lt;&gt; 0, [1]Source!BA4059, 1)</f>
        <v>56.35</v>
      </c>
      <c r="K4362" s="30">
        <f>[1]Source!S4059</f>
        <v>51137.63</v>
      </c>
    </row>
    <row r="4363" spans="1:29" ht="14.4" hidden="1" x14ac:dyDescent="0.25">
      <c r="A4363" s="27"/>
      <c r="B4363" s="27"/>
      <c r="C4363" s="27" t="s">
        <v>38</v>
      </c>
      <c r="D4363" s="28"/>
      <c r="E4363" s="29"/>
      <c r="F4363" s="30">
        <f>[1]Source!AM4058</f>
        <v>77.48</v>
      </c>
      <c r="G4363" s="31" t="s">
        <v>39</v>
      </c>
      <c r="H4363" s="29">
        <f>[1]Source!AV4059</f>
        <v>1.0469999999999999</v>
      </c>
      <c r="I4363" s="30">
        <f>[1]Source!Q4058</f>
        <v>75.44</v>
      </c>
      <c r="J4363" s="29">
        <f>IF([1]Source!BB4059&lt;&gt; 0, [1]Source!BB4059, 1)</f>
        <v>18.91</v>
      </c>
      <c r="K4363" s="30">
        <f>[1]Source!Q4059</f>
        <v>1426.57</v>
      </c>
    </row>
    <row r="4364" spans="1:29" ht="14.4" hidden="1" x14ac:dyDescent="0.25">
      <c r="A4364" s="27"/>
      <c r="B4364" s="27"/>
      <c r="C4364" s="27" t="s">
        <v>40</v>
      </c>
      <c r="D4364" s="28"/>
      <c r="E4364" s="29"/>
      <c r="F4364" s="30">
        <f>[1]Source!AN4058</f>
        <v>13.63</v>
      </c>
      <c r="G4364" s="31" t="s">
        <v>39</v>
      </c>
      <c r="H4364" s="29">
        <f>[1]Source!AV4059</f>
        <v>1.0469999999999999</v>
      </c>
      <c r="I4364" s="33">
        <f>[1]Source!R4058</f>
        <v>13.27</v>
      </c>
      <c r="J4364" s="29">
        <f>IF([1]Source!BS4059&lt;&gt; 0, [1]Source!BS4059, 1)</f>
        <v>56.35</v>
      </c>
      <c r="K4364" s="33">
        <f>[1]Source!R4059</f>
        <v>747.76</v>
      </c>
    </row>
    <row r="4365" spans="1:29" ht="14.4" hidden="1" x14ac:dyDescent="0.25">
      <c r="A4365" s="27"/>
      <c r="B4365" s="27"/>
      <c r="C4365" s="27" t="s">
        <v>41</v>
      </c>
      <c r="D4365" s="28"/>
      <c r="E4365" s="29"/>
      <c r="F4365" s="30">
        <f>[1]Source!AL4058</f>
        <v>7.2</v>
      </c>
      <c r="G4365" s="31"/>
      <c r="H4365" s="29">
        <f>[1]Source!AW4059</f>
        <v>1</v>
      </c>
      <c r="I4365" s="30">
        <f>[1]Source!P4058</f>
        <v>4.46</v>
      </c>
      <c r="J4365" s="29">
        <f>IF([1]Source!BC4059&lt;&gt; 0, [1]Source!BC4059, 1)</f>
        <v>5.07</v>
      </c>
      <c r="K4365" s="30">
        <f>[1]Source!P4059</f>
        <v>22.61</v>
      </c>
    </row>
    <row r="4366" spans="1:29" ht="41.4" hidden="1" x14ac:dyDescent="0.25">
      <c r="A4366" s="27" t="s">
        <v>819</v>
      </c>
      <c r="B4366" s="27" t="str">
        <f>[1]Source!F4060</f>
        <v>1.1-1-8205</v>
      </c>
      <c r="C4366" s="27" t="s">
        <v>731</v>
      </c>
      <c r="D4366" s="28" t="str">
        <f>[1]Source!H4060</f>
        <v>100 шт.</v>
      </c>
      <c r="E4366" s="29">
        <f>[1]Source!I4060</f>
        <v>7.1857999999999995</v>
      </c>
      <c r="F4366" s="30">
        <f>[1]Source!AK4060</f>
        <v>4.26</v>
      </c>
      <c r="G4366" s="43" t="s">
        <v>54</v>
      </c>
      <c r="H4366" s="29">
        <f>[1]Source!AW4061</f>
        <v>1</v>
      </c>
      <c r="I4366" s="30">
        <f>[1]Source!O4060</f>
        <v>30.61</v>
      </c>
      <c r="J4366" s="29">
        <f>IF([1]Source!BC4061&lt;&gt; 0, [1]Source!BC4061, 1)</f>
        <v>9.99</v>
      </c>
      <c r="K4366" s="30">
        <f>[1]Source!O4061</f>
        <v>305.79000000000002</v>
      </c>
      <c r="Q4366">
        <f>[1]Source!X4060</f>
        <v>0</v>
      </c>
      <c r="R4366">
        <f>[1]Source!X4061</f>
        <v>0</v>
      </c>
      <c r="S4366">
        <f>[1]Source!Y4060</f>
        <v>0</v>
      </c>
      <c r="T4366">
        <f>[1]Source!Y4061</f>
        <v>0</v>
      </c>
      <c r="U4366">
        <f>ROUND((175/100)*ROUND([1]Source!R4060, 2), 2)</f>
        <v>0</v>
      </c>
      <c r="V4366">
        <f>ROUND((0/100)*ROUND([1]Source!R4061, 2), 2)</f>
        <v>0</v>
      </c>
      <c r="AC4366">
        <v>3</v>
      </c>
    </row>
    <row r="4367" spans="1:29" ht="41.4" hidden="1" x14ac:dyDescent="0.25">
      <c r="A4367" s="27" t="s">
        <v>820</v>
      </c>
      <c r="B4367" s="27" t="str">
        <f>[1]Source!F4062</f>
        <v>1.1-1-3257</v>
      </c>
      <c r="C4367" s="27" t="s">
        <v>129</v>
      </c>
      <c r="D4367" s="28" t="str">
        <f>[1]Source!H4062</f>
        <v>кг</v>
      </c>
      <c r="E4367" s="29">
        <f>[1]Source!I4062</f>
        <v>8.68</v>
      </c>
      <c r="F4367" s="30">
        <f>[1]Source!AK4062</f>
        <v>17.3</v>
      </c>
      <c r="G4367" s="43" t="s">
        <v>54</v>
      </c>
      <c r="H4367" s="29">
        <f>[1]Source!AW4063</f>
        <v>1</v>
      </c>
      <c r="I4367" s="30">
        <f>[1]Source!O4062</f>
        <v>150.16</v>
      </c>
      <c r="J4367" s="29">
        <f>IF([1]Source!BC4063&lt;&gt; 0, [1]Source!BC4063, 1)</f>
        <v>5.93</v>
      </c>
      <c r="K4367" s="30">
        <f>[1]Source!O4063</f>
        <v>890.45</v>
      </c>
      <c r="Q4367">
        <f>[1]Source!X4062</f>
        <v>0</v>
      </c>
      <c r="R4367">
        <f>[1]Source!X4063</f>
        <v>0</v>
      </c>
      <c r="S4367">
        <f>[1]Source!Y4062</f>
        <v>0</v>
      </c>
      <c r="T4367">
        <f>[1]Source!Y4063</f>
        <v>0</v>
      </c>
      <c r="U4367">
        <f>ROUND((175/100)*ROUND([1]Source!R4062, 2), 2)</f>
        <v>0</v>
      </c>
      <c r="V4367">
        <f>ROUND((0/100)*ROUND([1]Source!R4063, 2), 2)</f>
        <v>0</v>
      </c>
      <c r="AC4367">
        <v>3</v>
      </c>
    </row>
    <row r="4368" spans="1:29" ht="96.6" hidden="1" x14ac:dyDescent="0.25">
      <c r="A4368" s="27" t="s">
        <v>821</v>
      </c>
      <c r="B4368" s="27" t="str">
        <f>[1]Source!F4064</f>
        <v>1.3-2-50</v>
      </c>
      <c r="C4368" s="27" t="s">
        <v>131</v>
      </c>
      <c r="D4368" s="28" t="str">
        <f>[1]Source!H4064</f>
        <v>т</v>
      </c>
      <c r="E4368" s="29">
        <f>[1]Source!I4064</f>
        <v>2.4799999999999999E-2</v>
      </c>
      <c r="F4368" s="30">
        <f>[1]Source!AK4064</f>
        <v>5978.05</v>
      </c>
      <c r="G4368" s="43" t="s">
        <v>54</v>
      </c>
      <c r="H4368" s="29">
        <f>[1]Source!AW4065</f>
        <v>1</v>
      </c>
      <c r="I4368" s="30">
        <f>[1]Source!O4064</f>
        <v>148.26</v>
      </c>
      <c r="J4368" s="29">
        <f>IF([1]Source!BC4065&lt;&gt; 0, [1]Source!BC4065, 1)</f>
        <v>15.31</v>
      </c>
      <c r="K4368" s="30">
        <f>[1]Source!O4065</f>
        <v>2269.86</v>
      </c>
      <c r="Q4368">
        <f>[1]Source!X4064</f>
        <v>0</v>
      </c>
      <c r="R4368">
        <f>[1]Source!X4065</f>
        <v>0</v>
      </c>
      <c r="S4368">
        <f>[1]Source!Y4064</f>
        <v>0</v>
      </c>
      <c r="T4368">
        <f>[1]Source!Y4065</f>
        <v>0</v>
      </c>
      <c r="U4368">
        <f>ROUND((175/100)*ROUND([1]Source!R4064, 2), 2)</f>
        <v>0</v>
      </c>
      <c r="V4368">
        <f>ROUND((0/100)*ROUND([1]Source!R4065, 2), 2)</f>
        <v>0</v>
      </c>
      <c r="AC4368">
        <v>3</v>
      </c>
    </row>
    <row r="4369" spans="1:29" ht="69" hidden="1" x14ac:dyDescent="0.25">
      <c r="A4369" s="27" t="s">
        <v>822</v>
      </c>
      <c r="B4369" s="27" t="str">
        <f>[1]Source!F4066</f>
        <v>1.3-2-35</v>
      </c>
      <c r="C4369" s="27" t="s">
        <v>634</v>
      </c>
      <c r="D4369" s="28" t="str">
        <f>[1]Source!H4066</f>
        <v>т</v>
      </c>
      <c r="E4369" s="29">
        <f>[1]Source!I4066</f>
        <v>0.44685900000000001</v>
      </c>
      <c r="F4369" s="30">
        <f>[1]Source!AK4066</f>
        <v>1669.7</v>
      </c>
      <c r="G4369" s="43" t="s">
        <v>54</v>
      </c>
      <c r="H4369" s="29">
        <f>[1]Source!AW4067</f>
        <v>1</v>
      </c>
      <c r="I4369" s="30">
        <f>[1]Source!O4066</f>
        <v>746.12</v>
      </c>
      <c r="J4369" s="29">
        <f>IF([1]Source!BC4067&lt;&gt; 0, [1]Source!BC4067, 1)</f>
        <v>8</v>
      </c>
      <c r="K4369" s="30">
        <f>[1]Source!O4067</f>
        <v>5968.96</v>
      </c>
      <c r="Q4369">
        <f>[1]Source!X4066</f>
        <v>0</v>
      </c>
      <c r="R4369">
        <f>[1]Source!X4067</f>
        <v>0</v>
      </c>
      <c r="S4369">
        <f>[1]Source!Y4066</f>
        <v>0</v>
      </c>
      <c r="T4369">
        <f>[1]Source!Y4067</f>
        <v>0</v>
      </c>
      <c r="U4369">
        <f>ROUND((175/100)*ROUND([1]Source!R4066, 2), 2)</f>
        <v>0</v>
      </c>
      <c r="V4369">
        <f>ROUND((0/100)*ROUND([1]Source!R4067, 2), 2)</f>
        <v>0</v>
      </c>
      <c r="AC4369">
        <v>3</v>
      </c>
    </row>
    <row r="4370" spans="1:29" ht="55.2" hidden="1" x14ac:dyDescent="0.25">
      <c r="A4370" s="27" t="s">
        <v>823</v>
      </c>
      <c r="B4370" s="27" t="str">
        <f>[1]Source!F4068</f>
        <v>1.1-1-3225</v>
      </c>
      <c r="C4370" s="27" t="s">
        <v>126</v>
      </c>
      <c r="D4370" s="28" t="str">
        <f>[1]Source!H4068</f>
        <v>м2</v>
      </c>
      <c r="E4370" s="29">
        <f>[1]Source!I4068</f>
        <v>66.959999999999994</v>
      </c>
      <c r="F4370" s="30">
        <f>[1]Source!AK4068</f>
        <v>124.57</v>
      </c>
      <c r="G4370" s="43" t="s">
        <v>54</v>
      </c>
      <c r="H4370" s="29">
        <f>[1]Source!AW4069</f>
        <v>1</v>
      </c>
      <c r="I4370" s="30">
        <f>[1]Source!O4068</f>
        <v>8341.2099999999991</v>
      </c>
      <c r="J4370" s="29">
        <f>IF([1]Source!BC4069&lt;&gt; 0, [1]Source!BC4069, 1)</f>
        <v>6.63</v>
      </c>
      <c r="K4370" s="30">
        <f>[1]Source!O4069</f>
        <v>55302.22</v>
      </c>
      <c r="Q4370">
        <f>[1]Source!X4068</f>
        <v>0</v>
      </c>
      <c r="R4370">
        <f>[1]Source!X4069</f>
        <v>0</v>
      </c>
      <c r="S4370">
        <f>[1]Source!Y4068</f>
        <v>0</v>
      </c>
      <c r="T4370">
        <f>[1]Source!Y4069</f>
        <v>0</v>
      </c>
      <c r="U4370">
        <f>ROUND((175/100)*ROUND([1]Source!R4068, 2), 2)</f>
        <v>0</v>
      </c>
      <c r="V4370">
        <f>ROUND((0/100)*ROUND([1]Source!R4069, 2), 2)</f>
        <v>0</v>
      </c>
      <c r="AC4370">
        <v>3</v>
      </c>
    </row>
    <row r="4371" spans="1:29" ht="14.4" hidden="1" x14ac:dyDescent="0.25">
      <c r="A4371" s="27"/>
      <c r="B4371" s="27"/>
      <c r="C4371" s="27" t="s">
        <v>42</v>
      </c>
      <c r="D4371" s="28" t="s">
        <v>43</v>
      </c>
      <c r="E4371" s="29">
        <f>[1]Source!BZ4059</f>
        <v>101</v>
      </c>
      <c r="F4371" s="30"/>
      <c r="G4371" s="31"/>
      <c r="H4371" s="29"/>
      <c r="I4371" s="30">
        <f>SUM(Q4360:Q4370)</f>
        <v>929.98</v>
      </c>
      <c r="J4371" s="29">
        <f>[1]Source!AT4059</f>
        <v>101</v>
      </c>
      <c r="K4371" s="30">
        <f>SUM(R4360:R4370)</f>
        <v>52404.24</v>
      </c>
    </row>
    <row r="4372" spans="1:29" ht="14.4" hidden="1" x14ac:dyDescent="0.25">
      <c r="A4372" s="27"/>
      <c r="B4372" s="27"/>
      <c r="C4372" s="27" t="s">
        <v>44</v>
      </c>
      <c r="D4372" s="28" t="s">
        <v>43</v>
      </c>
      <c r="E4372" s="29">
        <f>[1]Source!CA4059</f>
        <v>55</v>
      </c>
      <c r="F4372" s="30"/>
      <c r="G4372" s="31"/>
      <c r="H4372" s="29"/>
      <c r="I4372" s="30">
        <f>SUM(S4360:S4371)</f>
        <v>506.42</v>
      </c>
      <c r="J4372" s="29">
        <f>[1]Source!AU4059</f>
        <v>55</v>
      </c>
      <c r="K4372" s="30">
        <f>SUM(T4360:T4371)</f>
        <v>28536.959999999999</v>
      </c>
    </row>
    <row r="4373" spans="1:29" ht="14.4" hidden="1" x14ac:dyDescent="0.25">
      <c r="A4373" s="34"/>
      <c r="B4373" s="34"/>
      <c r="C4373" s="34" t="s">
        <v>45</v>
      </c>
      <c r="D4373" s="35" t="s">
        <v>46</v>
      </c>
      <c r="E4373" s="36">
        <f>[1]Source!AQ4058</f>
        <v>61.6</v>
      </c>
      <c r="F4373" s="37"/>
      <c r="G4373" s="38" t="s">
        <v>37</v>
      </c>
      <c r="H4373" s="36">
        <f>[1]Source!AV4059</f>
        <v>1.0469999999999999</v>
      </c>
      <c r="I4373" s="37">
        <f>[1]Source!U4058</f>
        <v>55.182093119999983</v>
      </c>
      <c r="J4373" s="36"/>
      <c r="K4373" s="37"/>
    </row>
    <row r="4374" spans="1:29" ht="13.8" hidden="1" x14ac:dyDescent="0.25">
      <c r="C4374" s="39" t="s">
        <v>47</v>
      </c>
      <c r="H4374" s="40">
        <f>I4362+I4363+I4365+I4371+I4372+SUM(I4366:I4370)-SUMIF(AC4366:AC4370, 5, I4366:I4370)-SUMIF(AC4366:AC4370, 6, I4366:I4370)</f>
        <v>11840.16</v>
      </c>
      <c r="I4374" s="40"/>
      <c r="J4374" s="40">
        <f>K4362+K4363+K4365+K4371+K4372+SUM(K4366:K4370)-SUMIF(AC4366:AC4370, 5, K4366:K4370)-SUMIF(AC4366:AC4370, 6, K4366:K4370)</f>
        <v>198265.28999999998</v>
      </c>
      <c r="K4374" s="40"/>
    </row>
    <row r="4375" spans="1:29" ht="13.8" hidden="1" x14ac:dyDescent="0.25">
      <c r="C4375" s="39" t="s">
        <v>48</v>
      </c>
      <c r="H4375" s="41">
        <f>SUMIF(AC4366:AC4370, 5, I4366:I4370)+SUMIF(AC4366:AC4370, 6, I4366:I4370)</f>
        <v>0</v>
      </c>
      <c r="I4375" s="41"/>
      <c r="J4375" s="41">
        <f>SUMIF(AC4366:AC4370, 5, K4366:K4370)+SUMIF(AC4366:AC4370, 6, K4366:K4370)</f>
        <v>0</v>
      </c>
      <c r="K4375" s="41"/>
    </row>
    <row r="4376" spans="1:29" ht="13.8" hidden="1" x14ac:dyDescent="0.25">
      <c r="C4376" s="39" t="s">
        <v>49</v>
      </c>
      <c r="H4376" s="41">
        <f>I4362+I4363+I4365+I4371+I4372+SUM(I4366:I4370)</f>
        <v>11840.16</v>
      </c>
      <c r="I4376" s="41"/>
      <c r="J4376" s="41">
        <f>K4362+K4363+K4365+K4371+K4372+SUM(K4366:K4370)</f>
        <v>198265.28999999998</v>
      </c>
      <c r="K4376" s="41"/>
      <c r="O4376" s="42">
        <f>I4362+I4363+I4365+I4371+I4372+SUM(I4366:I4370)</f>
        <v>11840.16</v>
      </c>
      <c r="P4376" s="42">
        <f>K4362+K4363+K4365+K4371+K4372+SUM(K4366:K4370)</f>
        <v>198265.28999999998</v>
      </c>
    </row>
    <row r="4377" spans="1:29" hidden="1" x14ac:dyDescent="0.25"/>
    <row r="4378" spans="1:29" hidden="1" x14ac:dyDescent="0.25"/>
    <row r="4379" spans="1:29" ht="13.8" hidden="1" x14ac:dyDescent="0.25">
      <c r="A4379" s="44" t="str">
        <f>CONCATENATE("Итого по подразделу: ",IF([1]Source!G4071&lt;&gt;"Новый подраздел", [1]Source!G4071, ""))</f>
        <v>Итого по подразделу: Второй этаж. Керамогранит 600х600 мм</v>
      </c>
      <c r="B4379" s="44"/>
      <c r="C4379" s="44"/>
      <c r="D4379" s="44"/>
      <c r="E4379" s="44"/>
      <c r="F4379" s="44"/>
      <c r="G4379" s="44"/>
      <c r="H4379" s="41">
        <f>SUM(O4306:O4378)</f>
        <v>22326.44</v>
      </c>
      <c r="I4379" s="45"/>
      <c r="J4379" s="41">
        <f>SUM(P4306:P4378)</f>
        <v>480899.29</v>
      </c>
      <c r="K4379" s="45"/>
    </row>
    <row r="4380" spans="1:29" hidden="1" x14ac:dyDescent="0.25">
      <c r="A4380" t="s">
        <v>55</v>
      </c>
      <c r="I4380">
        <f>SUM(W4306:W4379)</f>
        <v>0</v>
      </c>
      <c r="J4380">
        <f>SUM(X4306:X4379)</f>
        <v>0</v>
      </c>
    </row>
    <row r="4381" spans="1:29" hidden="1" x14ac:dyDescent="0.25">
      <c r="A4381" t="s">
        <v>56</v>
      </c>
      <c r="I4381">
        <f>SUM(Y4306:Y4380)</f>
        <v>0</v>
      </c>
      <c r="J4381">
        <f>SUM(Z4306:Z4380)</f>
        <v>0</v>
      </c>
    </row>
    <row r="4382" spans="1:29" hidden="1" x14ac:dyDescent="0.25"/>
    <row r="4383" spans="1:29" ht="16.8" hidden="1" x14ac:dyDescent="0.25">
      <c r="A4383" s="11" t="str">
        <f>CONCATENATE("Подраздел: ",IF([1]Source!G4101&lt;&gt;"Новый подраздел", [1]Source!G4101, ""))</f>
        <v>Подраздел: Второй этаж. Паркетная доска</v>
      </c>
      <c r="B4383" s="11"/>
      <c r="C4383" s="11"/>
      <c r="D4383" s="11"/>
      <c r="E4383" s="11"/>
      <c r="F4383" s="11"/>
      <c r="G4383" s="11"/>
      <c r="H4383" s="11"/>
      <c r="I4383" s="11"/>
      <c r="J4383" s="11"/>
      <c r="K4383" s="11"/>
    </row>
    <row r="4384" spans="1:29" ht="57.6" hidden="1" x14ac:dyDescent="0.25">
      <c r="A4384" s="27">
        <v>417</v>
      </c>
      <c r="B4384" s="27" t="str">
        <f>[1]Source!F4105</f>
        <v>3.70-159-1</v>
      </c>
      <c r="C4384" s="27" t="s">
        <v>166</v>
      </c>
      <c r="D4384" s="28" t="str">
        <f>[1]Source!H4105</f>
        <v>100 м2 стяжки</v>
      </c>
      <c r="E4384" s="29">
        <f>[1]Source!I4105</f>
        <v>2.65</v>
      </c>
      <c r="F4384" s="30"/>
      <c r="G4384" s="31"/>
      <c r="H4384" s="29"/>
      <c r="I4384" s="30"/>
      <c r="J4384" s="29"/>
      <c r="K4384" s="30"/>
      <c r="Q4384">
        <f>[1]Source!X4105</f>
        <v>1258.57</v>
      </c>
      <c r="R4384">
        <f>[1]Source!X4106</f>
        <v>70920.479999999996</v>
      </c>
      <c r="S4384">
        <f>[1]Source!Y4105</f>
        <v>685.36</v>
      </c>
      <c r="T4384">
        <f>[1]Source!Y4106</f>
        <v>38620.07</v>
      </c>
      <c r="U4384">
        <f>ROUND((175/100)*ROUND([1]Source!R4105, 2), 2)</f>
        <v>0</v>
      </c>
      <c r="V4384">
        <f>ROUND((0/100)*ROUND([1]Source!R4106, 2), 2)</f>
        <v>0</v>
      </c>
      <c r="AC4384">
        <v>0</v>
      </c>
    </row>
    <row r="4385" spans="1:29" hidden="1" x14ac:dyDescent="0.25">
      <c r="C4385" s="32" t="str">
        <f>"Объем: "&amp;[1]Source!I4105&amp;"=265/"&amp;"100"</f>
        <v>Объем: 2,65=265/100</v>
      </c>
    </row>
    <row r="4386" spans="1:29" ht="14.4" hidden="1" x14ac:dyDescent="0.25">
      <c r="A4386" s="27"/>
      <c r="B4386" s="27"/>
      <c r="C4386" s="27" t="s">
        <v>36</v>
      </c>
      <c r="D4386" s="28"/>
      <c r="E4386" s="29"/>
      <c r="F4386" s="30">
        <f>[1]Source!AO4105</f>
        <v>325.45</v>
      </c>
      <c r="G4386" s="31" t="s">
        <v>37</v>
      </c>
      <c r="H4386" s="29">
        <f>[1]Source!AV4106</f>
        <v>1.0469999999999999</v>
      </c>
      <c r="I4386" s="30">
        <f>[1]Source!S4105</f>
        <v>1246.1099999999999</v>
      </c>
      <c r="J4386" s="29">
        <f>IF([1]Source!BA4106&lt;&gt; 0, [1]Source!BA4106, 1)</f>
        <v>56.35</v>
      </c>
      <c r="K4386" s="30">
        <f>[1]Source!S4106</f>
        <v>70218.3</v>
      </c>
    </row>
    <row r="4387" spans="1:29" ht="14.4" hidden="1" x14ac:dyDescent="0.25">
      <c r="A4387" s="27"/>
      <c r="B4387" s="27"/>
      <c r="C4387" s="27" t="s">
        <v>38</v>
      </c>
      <c r="D4387" s="28"/>
      <c r="E4387" s="29"/>
      <c r="F4387" s="30">
        <f>[1]Source!AM4105</f>
        <v>1.8</v>
      </c>
      <c r="G4387" s="31" t="s">
        <v>39</v>
      </c>
      <c r="H4387" s="29">
        <f>[1]Source!AV4106</f>
        <v>1.0469999999999999</v>
      </c>
      <c r="I4387" s="30">
        <f>[1]Source!Q4105</f>
        <v>7.49</v>
      </c>
      <c r="J4387" s="29">
        <f>IF([1]Source!BB4106&lt;&gt; 0, [1]Source!BB4106, 1)</f>
        <v>11.69</v>
      </c>
      <c r="K4387" s="30">
        <f>[1]Source!Q4106</f>
        <v>87.56</v>
      </c>
    </row>
    <row r="4388" spans="1:29" ht="14.4" hidden="1" x14ac:dyDescent="0.25">
      <c r="A4388" s="27"/>
      <c r="B4388" s="27"/>
      <c r="C4388" s="27" t="s">
        <v>41</v>
      </c>
      <c r="D4388" s="28"/>
      <c r="E4388" s="29"/>
      <c r="F4388" s="30">
        <f>[1]Source!AL4105</f>
        <v>24.75</v>
      </c>
      <c r="G4388" s="31"/>
      <c r="H4388" s="29">
        <f>[1]Source!AW4106</f>
        <v>1</v>
      </c>
      <c r="I4388" s="30">
        <f>[1]Source!P4105</f>
        <v>65.59</v>
      </c>
      <c r="J4388" s="29">
        <f>IF([1]Source!BC4106&lt;&gt; 0, [1]Source!BC4106, 1)</f>
        <v>7.75</v>
      </c>
      <c r="K4388" s="30">
        <f>[1]Source!P4106</f>
        <v>508.32</v>
      </c>
    </row>
    <row r="4389" spans="1:29" ht="27.6" hidden="1" x14ac:dyDescent="0.25">
      <c r="A4389" s="27" t="s">
        <v>824</v>
      </c>
      <c r="B4389" s="27" t="str">
        <f>[1]Source!F4107</f>
        <v>1.3-2-7</v>
      </c>
      <c r="C4389" s="27" t="s">
        <v>752</v>
      </c>
      <c r="D4389" s="28" t="str">
        <f>[1]Source!H4107</f>
        <v>м3</v>
      </c>
      <c r="E4389" s="29">
        <f>[1]Source!I4107</f>
        <v>5.4059999999999997</v>
      </c>
      <c r="F4389" s="30">
        <f>[1]Source!AK4107</f>
        <v>507.97</v>
      </c>
      <c r="G4389" s="43" t="s">
        <v>54</v>
      </c>
      <c r="H4389" s="29">
        <f>[1]Source!AW4108</f>
        <v>1</v>
      </c>
      <c r="I4389" s="30">
        <f>[1]Source!O4107</f>
        <v>2746.09</v>
      </c>
      <c r="J4389" s="29">
        <f>IF([1]Source!BC4108&lt;&gt; 0, [1]Source!BC4108, 1)</f>
        <v>10.98</v>
      </c>
      <c r="K4389" s="30">
        <f>[1]Source!O4108</f>
        <v>30152.07</v>
      </c>
      <c r="Q4389">
        <f>[1]Source!X4107</f>
        <v>0</v>
      </c>
      <c r="R4389">
        <f>[1]Source!X4108</f>
        <v>0</v>
      </c>
      <c r="S4389">
        <f>[1]Source!Y4107</f>
        <v>0</v>
      </c>
      <c r="T4389">
        <f>[1]Source!Y4108</f>
        <v>0</v>
      </c>
      <c r="U4389">
        <f>ROUND((175/100)*ROUND([1]Source!R4107, 2), 2)</f>
        <v>0</v>
      </c>
      <c r="V4389">
        <f>ROUND((0/100)*ROUND([1]Source!R4108, 2), 2)</f>
        <v>0</v>
      </c>
      <c r="AC4389">
        <v>3</v>
      </c>
    </row>
    <row r="4390" spans="1:29" ht="14.4" hidden="1" x14ac:dyDescent="0.25">
      <c r="A4390" s="27"/>
      <c r="B4390" s="27"/>
      <c r="C4390" s="27" t="s">
        <v>42</v>
      </c>
      <c r="D4390" s="28" t="s">
        <v>43</v>
      </c>
      <c r="E4390" s="29">
        <f>[1]Source!BZ4106</f>
        <v>101</v>
      </c>
      <c r="F4390" s="30"/>
      <c r="G4390" s="31"/>
      <c r="H4390" s="29"/>
      <c r="I4390" s="30">
        <f>SUM(Q4384:Q4389)</f>
        <v>1258.57</v>
      </c>
      <c r="J4390" s="29">
        <f>[1]Source!AT4106</f>
        <v>101</v>
      </c>
      <c r="K4390" s="30">
        <f>SUM(R4384:R4389)</f>
        <v>70920.479999999996</v>
      </c>
    </row>
    <row r="4391" spans="1:29" ht="14.4" hidden="1" x14ac:dyDescent="0.25">
      <c r="A4391" s="27"/>
      <c r="B4391" s="27"/>
      <c r="C4391" s="27" t="s">
        <v>44</v>
      </c>
      <c r="D4391" s="28" t="s">
        <v>43</v>
      </c>
      <c r="E4391" s="29">
        <f>[1]Source!CA4106</f>
        <v>55</v>
      </c>
      <c r="F4391" s="30"/>
      <c r="G4391" s="31"/>
      <c r="H4391" s="29"/>
      <c r="I4391" s="30">
        <f>SUM(S4384:S4390)</f>
        <v>685.36</v>
      </c>
      <c r="J4391" s="29">
        <f>[1]Source!AU4106</f>
        <v>55</v>
      </c>
      <c r="K4391" s="30">
        <f>SUM(T4384:T4390)</f>
        <v>38620.07</v>
      </c>
    </row>
    <row r="4392" spans="1:29" ht="14.4" hidden="1" x14ac:dyDescent="0.25">
      <c r="A4392" s="34"/>
      <c r="B4392" s="34"/>
      <c r="C4392" s="34" t="s">
        <v>45</v>
      </c>
      <c r="D4392" s="35" t="s">
        <v>46</v>
      </c>
      <c r="E4392" s="36">
        <f>[1]Source!AQ4105</f>
        <v>23.33</v>
      </c>
      <c r="F4392" s="37"/>
      <c r="G4392" s="38" t="s">
        <v>37</v>
      </c>
      <c r="H4392" s="36">
        <f>[1]Source!AV4106</f>
        <v>1.0469999999999999</v>
      </c>
      <c r="I4392" s="37">
        <f>[1]Source!U4105</f>
        <v>89.327747069999972</v>
      </c>
      <c r="J4392" s="36"/>
      <c r="K4392" s="37"/>
    </row>
    <row r="4393" spans="1:29" ht="13.8" hidden="1" x14ac:dyDescent="0.25">
      <c r="C4393" s="39" t="s">
        <v>47</v>
      </c>
      <c r="H4393" s="40">
        <f>I4386+I4387+I4388+I4390+I4391+SUM(I4389:I4389)-SUMIF(AC4389:AC4389, 5, I4389:I4389)-SUMIF(AC4389:AC4389, 6, I4389:I4389)</f>
        <v>6009.21</v>
      </c>
      <c r="I4393" s="40"/>
      <c r="J4393" s="40">
        <f>K4386+K4387+K4388+K4390+K4391+SUM(K4389:K4389)-SUMIF(AC4389:AC4389, 5, K4389:K4389)-SUMIF(AC4389:AC4389, 6, K4389:K4389)</f>
        <v>210506.80000000002</v>
      </c>
      <c r="K4393" s="40"/>
    </row>
    <row r="4394" spans="1:29" ht="13.8" hidden="1" x14ac:dyDescent="0.25">
      <c r="C4394" s="39" t="s">
        <v>48</v>
      </c>
      <c r="H4394" s="41">
        <f>SUMIF(AC4389:AC4389, 5, I4389:I4389)+SUMIF(AC4389:AC4389, 6, I4389:I4389)</f>
        <v>0</v>
      </c>
      <c r="I4394" s="41"/>
      <c r="J4394" s="41">
        <f>SUMIF(AC4389:AC4389, 5, K4389:K4389)+SUMIF(AC4389:AC4389, 6, K4389:K4389)</f>
        <v>0</v>
      </c>
      <c r="K4394" s="41"/>
    </row>
    <row r="4395" spans="1:29" ht="13.8" hidden="1" x14ac:dyDescent="0.25">
      <c r="C4395" s="39" t="s">
        <v>49</v>
      </c>
      <c r="H4395" s="41">
        <f>I4386+I4387+I4388+I4390+I4391+SUM(I4389:I4389)</f>
        <v>6009.21</v>
      </c>
      <c r="I4395" s="41"/>
      <c r="J4395" s="41">
        <f>K4386+K4387+K4388+K4390+K4391+SUM(K4389:K4389)</f>
        <v>210506.80000000002</v>
      </c>
      <c r="K4395" s="41"/>
      <c r="O4395" s="42">
        <f>I4386+I4387+I4388+I4390+I4391+SUM(I4389:I4389)</f>
        <v>6009.21</v>
      </c>
      <c r="P4395" s="42">
        <f>K4386+K4387+K4388+K4390+K4391+SUM(K4389:K4389)</f>
        <v>210506.80000000002</v>
      </c>
    </row>
    <row r="4396" spans="1:29" hidden="1" x14ac:dyDescent="0.25"/>
    <row r="4397" spans="1:29" ht="41.4" hidden="1" x14ac:dyDescent="0.25">
      <c r="A4397" s="27">
        <v>418</v>
      </c>
      <c r="B4397" s="27" t="str">
        <f>[1]Source!F4109</f>
        <v>3.70-164-1</v>
      </c>
      <c r="C4397" s="27" t="s">
        <v>753</v>
      </c>
      <c r="D4397" s="28" t="str">
        <f>[1]Source!H4109</f>
        <v>100 м2</v>
      </c>
      <c r="E4397" s="29">
        <f>[1]Source!I4109</f>
        <v>2.65</v>
      </c>
      <c r="F4397" s="30"/>
      <c r="G4397" s="31"/>
      <c r="H4397" s="29"/>
      <c r="I4397" s="30"/>
      <c r="J4397" s="29"/>
      <c r="K4397" s="30"/>
      <c r="Q4397">
        <f>[1]Source!X4109</f>
        <v>5212.42</v>
      </c>
      <c r="R4397">
        <f>[1]Source!X4110</f>
        <v>293719.77</v>
      </c>
      <c r="S4397">
        <f>[1]Source!Y4109</f>
        <v>2838.45</v>
      </c>
      <c r="T4397">
        <f>[1]Source!Y4110</f>
        <v>159946.41</v>
      </c>
      <c r="U4397">
        <f>ROUND((175/100)*ROUND([1]Source!R4109, 2), 2)</f>
        <v>5.53</v>
      </c>
      <c r="V4397">
        <f>ROUND((0/100)*ROUND([1]Source!R4110, 2), 2)</f>
        <v>0</v>
      </c>
      <c r="AC4397">
        <v>0</v>
      </c>
    </row>
    <row r="4398" spans="1:29" hidden="1" x14ac:dyDescent="0.25">
      <c r="C4398" s="32" t="str">
        <f>"Объем: "&amp;[1]Source!I4109&amp;"=265/"&amp;"100"</f>
        <v>Объем: 2,65=265/100</v>
      </c>
    </row>
    <row r="4399" spans="1:29" ht="14.4" hidden="1" x14ac:dyDescent="0.25">
      <c r="A4399" s="27"/>
      <c r="B4399" s="27"/>
      <c r="C4399" s="27" t="s">
        <v>36</v>
      </c>
      <c r="D4399" s="28"/>
      <c r="E4399" s="29"/>
      <c r="F4399" s="30">
        <f>[1]Source!AO4109</f>
        <v>1347.04</v>
      </c>
      <c r="G4399" s="31" t="s">
        <v>37</v>
      </c>
      <c r="H4399" s="29">
        <f>[1]Source!AV4110</f>
        <v>1.0469999999999999</v>
      </c>
      <c r="I4399" s="30">
        <f>[1]Source!S4109</f>
        <v>5157.6499999999996</v>
      </c>
      <c r="J4399" s="29">
        <f>IF([1]Source!BA4110&lt;&gt; 0, [1]Source!BA4110, 1)</f>
        <v>56.35</v>
      </c>
      <c r="K4399" s="30">
        <f>[1]Source!S4110</f>
        <v>290633.58</v>
      </c>
    </row>
    <row r="4400" spans="1:29" ht="14.4" hidden="1" x14ac:dyDescent="0.25">
      <c r="A4400" s="27"/>
      <c r="B4400" s="27"/>
      <c r="C4400" s="27" t="s">
        <v>38</v>
      </c>
      <c r="D4400" s="28"/>
      <c r="E4400" s="29"/>
      <c r="F4400" s="30">
        <f>[1]Source!AM4109</f>
        <v>43.45</v>
      </c>
      <c r="G4400" s="31" t="s">
        <v>39</v>
      </c>
      <c r="H4400" s="29">
        <f>[1]Source!AV4110</f>
        <v>1.0469999999999999</v>
      </c>
      <c r="I4400" s="30">
        <f>[1]Source!Q4109</f>
        <v>180.83</v>
      </c>
      <c r="J4400" s="29">
        <f>IF([1]Source!BB4110&lt;&gt; 0, [1]Source!BB4110, 1)</f>
        <v>10.91</v>
      </c>
      <c r="K4400" s="30">
        <f>[1]Source!Q4110</f>
        <v>1972.86</v>
      </c>
    </row>
    <row r="4401" spans="1:29" ht="14.4" hidden="1" x14ac:dyDescent="0.25">
      <c r="A4401" s="27"/>
      <c r="B4401" s="27"/>
      <c r="C4401" s="27" t="s">
        <v>40</v>
      </c>
      <c r="D4401" s="28"/>
      <c r="E4401" s="29"/>
      <c r="F4401" s="30">
        <f>[1]Source!AN4109</f>
        <v>0.76</v>
      </c>
      <c r="G4401" s="31" t="s">
        <v>39</v>
      </c>
      <c r="H4401" s="29">
        <f>[1]Source!AV4110</f>
        <v>1.0469999999999999</v>
      </c>
      <c r="I4401" s="33">
        <f>[1]Source!R4109</f>
        <v>3.16</v>
      </c>
      <c r="J4401" s="29">
        <f>IF([1]Source!BS4110&lt;&gt; 0, [1]Source!BS4110, 1)</f>
        <v>56.35</v>
      </c>
      <c r="K4401" s="33">
        <f>[1]Source!R4110</f>
        <v>178.07</v>
      </c>
    </row>
    <row r="4402" spans="1:29" ht="14.4" hidden="1" x14ac:dyDescent="0.25">
      <c r="A4402" s="27"/>
      <c r="B4402" s="27"/>
      <c r="C4402" s="27" t="s">
        <v>41</v>
      </c>
      <c r="D4402" s="28"/>
      <c r="E4402" s="29"/>
      <c r="F4402" s="30">
        <f>[1]Source!AL4109</f>
        <v>108.37</v>
      </c>
      <c r="G4402" s="31"/>
      <c r="H4402" s="29">
        <f>[1]Source!AW4110</f>
        <v>1</v>
      </c>
      <c r="I4402" s="30">
        <f>[1]Source!P4109</f>
        <v>287.18</v>
      </c>
      <c r="J4402" s="29">
        <f>IF([1]Source!BC4110&lt;&gt; 0, [1]Source!BC4110, 1)</f>
        <v>14.11</v>
      </c>
      <c r="K4402" s="30">
        <f>[1]Source!P4110</f>
        <v>4052.11</v>
      </c>
    </row>
    <row r="4403" spans="1:29" ht="28.8" hidden="1" x14ac:dyDescent="0.25">
      <c r="A4403" s="27" t="s">
        <v>825</v>
      </c>
      <c r="B4403" s="27" t="str">
        <f>[1]Source!F4111</f>
        <v>1.1-1-3383</v>
      </c>
      <c r="C4403" s="27" t="s">
        <v>755</v>
      </c>
      <c r="D4403" s="28" t="str">
        <f>[1]Source!H4111</f>
        <v>100 шт.</v>
      </c>
      <c r="E4403" s="29">
        <f>[1]Source!I4111</f>
        <v>40.28</v>
      </c>
      <c r="F4403" s="30">
        <f>[1]Source!AK4111</f>
        <v>94.93</v>
      </c>
      <c r="G4403" s="43" t="s">
        <v>54</v>
      </c>
      <c r="H4403" s="29">
        <f>[1]Source!AW4112</f>
        <v>1</v>
      </c>
      <c r="I4403" s="30">
        <f>[1]Source!O4111</f>
        <v>3823.78</v>
      </c>
      <c r="J4403" s="29">
        <f>IF([1]Source!BC4112&lt;&gt; 0, [1]Source!BC4112, 1)</f>
        <v>3.7</v>
      </c>
      <c r="K4403" s="30">
        <f>[1]Source!O4112</f>
        <v>14147.99</v>
      </c>
      <c r="Q4403">
        <f>[1]Source!X4111</f>
        <v>0</v>
      </c>
      <c r="R4403">
        <f>[1]Source!X4112</f>
        <v>0</v>
      </c>
      <c r="S4403">
        <f>[1]Source!Y4111</f>
        <v>0</v>
      </c>
      <c r="T4403">
        <f>[1]Source!Y4112</f>
        <v>0</v>
      </c>
      <c r="U4403">
        <f>ROUND((175/100)*ROUND([1]Source!R4111, 2), 2)</f>
        <v>0</v>
      </c>
      <c r="V4403">
        <f>ROUND((0/100)*ROUND([1]Source!R4112, 2), 2)</f>
        <v>0</v>
      </c>
      <c r="AC4403">
        <v>3</v>
      </c>
    </row>
    <row r="4404" spans="1:29" ht="27.6" hidden="1" x14ac:dyDescent="0.25">
      <c r="A4404" s="27" t="s">
        <v>826</v>
      </c>
      <c r="B4404" s="27" t="str">
        <f>[1]Source!F4113</f>
        <v>1.1-1-394</v>
      </c>
      <c r="C4404" s="27" t="s">
        <v>757</v>
      </c>
      <c r="D4404" s="28" t="str">
        <f>[1]Source!H4113</f>
        <v>кг</v>
      </c>
      <c r="E4404" s="29">
        <f>[1]Source!I4113</f>
        <v>212</v>
      </c>
      <c r="F4404" s="30">
        <f>[1]Source!AK4113</f>
        <v>9.98</v>
      </c>
      <c r="G4404" s="43" t="s">
        <v>54</v>
      </c>
      <c r="H4404" s="29">
        <f>[1]Source!AW4114</f>
        <v>1</v>
      </c>
      <c r="I4404" s="30">
        <f>[1]Source!O4113</f>
        <v>2115.7600000000002</v>
      </c>
      <c r="J4404" s="29">
        <f>IF([1]Source!BC4114&lt;&gt; 0, [1]Source!BC4114, 1)</f>
        <v>8.49</v>
      </c>
      <c r="K4404" s="30">
        <f>[1]Source!O4114</f>
        <v>17962.8</v>
      </c>
      <c r="Q4404">
        <f>[1]Source!X4113</f>
        <v>0</v>
      </c>
      <c r="R4404">
        <f>[1]Source!X4114</f>
        <v>0</v>
      </c>
      <c r="S4404">
        <f>[1]Source!Y4113</f>
        <v>0</v>
      </c>
      <c r="T4404">
        <f>[1]Source!Y4114</f>
        <v>0</v>
      </c>
      <c r="U4404">
        <f>ROUND((175/100)*ROUND([1]Source!R4113, 2), 2)</f>
        <v>0</v>
      </c>
      <c r="V4404">
        <f>ROUND((0/100)*ROUND([1]Source!R4114, 2), 2)</f>
        <v>0</v>
      </c>
      <c r="AC4404">
        <v>3</v>
      </c>
    </row>
    <row r="4405" spans="1:29" ht="14.4" hidden="1" x14ac:dyDescent="0.25">
      <c r="A4405" s="27"/>
      <c r="B4405" s="27"/>
      <c r="C4405" s="27" t="s">
        <v>42</v>
      </c>
      <c r="D4405" s="28" t="s">
        <v>43</v>
      </c>
      <c r="E4405" s="29">
        <f>[1]Source!BZ4110</f>
        <v>101</v>
      </c>
      <c r="F4405" s="30"/>
      <c r="G4405" s="31"/>
      <c r="H4405" s="29"/>
      <c r="I4405" s="30">
        <f>SUM(Q4397:Q4404)</f>
        <v>5212.42</v>
      </c>
      <c r="J4405" s="29">
        <f>[1]Source!AT4110</f>
        <v>101</v>
      </c>
      <c r="K4405" s="30">
        <f>SUM(R4397:R4404)</f>
        <v>293719.77</v>
      </c>
    </row>
    <row r="4406" spans="1:29" ht="14.4" hidden="1" x14ac:dyDescent="0.25">
      <c r="A4406" s="27"/>
      <c r="B4406" s="27"/>
      <c r="C4406" s="27" t="s">
        <v>44</v>
      </c>
      <c r="D4406" s="28" t="s">
        <v>43</v>
      </c>
      <c r="E4406" s="29">
        <f>[1]Source!CA4110</f>
        <v>55</v>
      </c>
      <c r="F4406" s="30"/>
      <c r="G4406" s="31"/>
      <c r="H4406" s="29"/>
      <c r="I4406" s="30">
        <f>SUM(S4397:S4405)</f>
        <v>2838.45</v>
      </c>
      <c r="J4406" s="29">
        <f>[1]Source!AU4110</f>
        <v>55</v>
      </c>
      <c r="K4406" s="30">
        <f>SUM(T4397:T4405)</f>
        <v>159946.41</v>
      </c>
    </row>
    <row r="4407" spans="1:29" ht="14.4" hidden="1" x14ac:dyDescent="0.25">
      <c r="A4407" s="34"/>
      <c r="B4407" s="34"/>
      <c r="C4407" s="34" t="s">
        <v>45</v>
      </c>
      <c r="D4407" s="35" t="s">
        <v>46</v>
      </c>
      <c r="E4407" s="36">
        <f>[1]Source!AQ4109</f>
        <v>83.04</v>
      </c>
      <c r="F4407" s="37"/>
      <c r="G4407" s="38" t="s">
        <v>37</v>
      </c>
      <c r="H4407" s="36">
        <f>[1]Source!AV4110</f>
        <v>1.0469999999999999</v>
      </c>
      <c r="I4407" s="37">
        <f>[1]Source!U4109</f>
        <v>317.95011215999995</v>
      </c>
      <c r="J4407" s="36"/>
      <c r="K4407" s="37"/>
    </row>
    <row r="4408" spans="1:29" ht="13.8" hidden="1" x14ac:dyDescent="0.25">
      <c r="C4408" s="39" t="s">
        <v>47</v>
      </c>
      <c r="H4408" s="40">
        <f>I4399+I4400+I4402+I4405+I4406+SUM(I4403:I4404)-SUMIF(AC4403:AC4404, 5, I4403:I4404)-SUMIF(AC4403:AC4404, 6, I4403:I4404)</f>
        <v>19616.07</v>
      </c>
      <c r="I4408" s="40"/>
      <c r="J4408" s="40">
        <f>K4399+K4400+K4402+K4405+K4406+SUM(K4403:K4404)-SUMIF(AC4403:AC4404, 5, K4403:K4404)-SUMIF(AC4403:AC4404, 6, K4403:K4404)</f>
        <v>782435.52000000014</v>
      </c>
      <c r="K4408" s="40"/>
    </row>
    <row r="4409" spans="1:29" ht="13.8" hidden="1" x14ac:dyDescent="0.25">
      <c r="C4409" s="39" t="s">
        <v>48</v>
      </c>
      <c r="H4409" s="41">
        <f>SUMIF(AC4403:AC4404, 5, I4403:I4404)+SUMIF(AC4403:AC4404, 6, I4403:I4404)</f>
        <v>0</v>
      </c>
      <c r="I4409" s="41"/>
      <c r="J4409" s="41">
        <f>SUMIF(AC4403:AC4404, 5, K4403:K4404)+SUMIF(AC4403:AC4404, 6, K4403:K4404)</f>
        <v>0</v>
      </c>
      <c r="K4409" s="41"/>
    </row>
    <row r="4410" spans="1:29" ht="13.8" hidden="1" x14ac:dyDescent="0.25">
      <c r="C4410" s="39" t="s">
        <v>49</v>
      </c>
      <c r="H4410" s="41">
        <f>I4399+I4400+I4402+I4405+I4406+SUM(I4403:I4404)</f>
        <v>19616.07</v>
      </c>
      <c r="I4410" s="41"/>
      <c r="J4410" s="41">
        <f>K4399+K4400+K4402+K4405+K4406+SUM(K4403:K4404)</f>
        <v>782435.52000000014</v>
      </c>
      <c r="K4410" s="41"/>
      <c r="O4410" s="42">
        <f>I4399+I4400+I4402+I4405+I4406+SUM(I4403:I4404)</f>
        <v>19616.07</v>
      </c>
      <c r="P4410" s="42">
        <f>K4399+K4400+K4402+K4405+K4406+SUM(K4403:K4404)</f>
        <v>782435.52000000014</v>
      </c>
    </row>
    <row r="4411" spans="1:29" hidden="1" x14ac:dyDescent="0.25"/>
    <row r="4412" spans="1:29" ht="69" hidden="1" x14ac:dyDescent="0.25">
      <c r="A4412" s="34">
        <v>419</v>
      </c>
      <c r="B4412" s="34" t="str">
        <f>[1]Source!F4115</f>
        <v>1.1-1-1308</v>
      </c>
      <c r="C4412" s="34" t="s">
        <v>758</v>
      </c>
      <c r="D4412" s="35" t="str">
        <f>[1]Source!H4115</f>
        <v>м3</v>
      </c>
      <c r="E4412" s="36">
        <f>[1]Source!I4115</f>
        <v>1.5</v>
      </c>
      <c r="F4412" s="37">
        <f>[1]Source!AL4115</f>
        <v>2520.42</v>
      </c>
      <c r="G4412" s="38"/>
      <c r="H4412" s="36">
        <f>[1]Source!AW4116</f>
        <v>1</v>
      </c>
      <c r="I4412" s="37">
        <f>[1]Source!P4115</f>
        <v>3780.63</v>
      </c>
      <c r="J4412" s="36">
        <f>IF([1]Source!BC4116&lt;&gt; 0, [1]Source!BC4116, 1)</f>
        <v>20.51</v>
      </c>
      <c r="K4412" s="37">
        <f>[1]Source!P4116</f>
        <v>77540.72</v>
      </c>
      <c r="Q4412">
        <f>[1]Source!X4115</f>
        <v>0</v>
      </c>
      <c r="R4412">
        <f>[1]Source!X4116</f>
        <v>0</v>
      </c>
      <c r="S4412">
        <f>[1]Source!Y4115</f>
        <v>0</v>
      </c>
      <c r="T4412">
        <f>[1]Source!Y4116</f>
        <v>0</v>
      </c>
      <c r="U4412">
        <f>ROUND((175/100)*ROUND([1]Source!R4115, 2), 2)</f>
        <v>0</v>
      </c>
      <c r="V4412">
        <f>ROUND((0/100)*ROUND([1]Source!R4116, 2), 2)</f>
        <v>0</v>
      </c>
      <c r="AC4412">
        <v>3</v>
      </c>
    </row>
    <row r="4413" spans="1:29" ht="13.8" hidden="1" x14ac:dyDescent="0.25">
      <c r="C4413" s="39" t="s">
        <v>49</v>
      </c>
      <c r="H4413" s="40">
        <f>I4412+0</f>
        <v>3780.63</v>
      </c>
      <c r="I4413" s="40"/>
      <c r="J4413" s="40">
        <f>K4412+0</f>
        <v>77540.72</v>
      </c>
      <c r="K4413" s="40"/>
      <c r="O4413" s="42">
        <f>I4412+0</f>
        <v>3780.63</v>
      </c>
      <c r="P4413" s="42">
        <f>K4412+0</f>
        <v>77540.72</v>
      </c>
    </row>
    <row r="4414" spans="1:29" hidden="1" x14ac:dyDescent="0.25"/>
    <row r="4415" spans="1:29" ht="41.4" hidden="1" x14ac:dyDescent="0.25">
      <c r="A4415" s="27">
        <v>420</v>
      </c>
      <c r="B4415" s="27" t="str">
        <f>[1]Source!F4117</f>
        <v>3.70-164-1</v>
      </c>
      <c r="C4415" s="27" t="s">
        <v>759</v>
      </c>
      <c r="D4415" s="28" t="str">
        <f>[1]Source!H4117</f>
        <v>100 м2</v>
      </c>
      <c r="E4415" s="29">
        <f>[1]Source!I4117</f>
        <v>2.65</v>
      </c>
      <c r="F4415" s="30"/>
      <c r="G4415" s="31"/>
      <c r="H4415" s="29"/>
      <c r="I4415" s="30"/>
      <c r="J4415" s="29"/>
      <c r="K4415" s="30"/>
      <c r="Q4415">
        <f>[1]Source!X4117</f>
        <v>5212.42</v>
      </c>
      <c r="R4415">
        <f>[1]Source!X4118</f>
        <v>293719.77</v>
      </c>
      <c r="S4415">
        <f>[1]Source!Y4117</f>
        <v>2838.45</v>
      </c>
      <c r="T4415">
        <f>[1]Source!Y4118</f>
        <v>159946.41</v>
      </c>
      <c r="U4415">
        <f>ROUND((175/100)*ROUND([1]Source!R4117, 2), 2)</f>
        <v>5.53</v>
      </c>
      <c r="V4415">
        <f>ROUND((0/100)*ROUND([1]Source!R4118, 2), 2)</f>
        <v>0</v>
      </c>
      <c r="AC4415">
        <v>0</v>
      </c>
    </row>
    <row r="4416" spans="1:29" hidden="1" x14ac:dyDescent="0.25">
      <c r="C4416" s="32" t="str">
        <f>"Объем: "&amp;[1]Source!I4117&amp;"=265/"&amp;"100"</f>
        <v>Объем: 2,65=265/100</v>
      </c>
    </row>
    <row r="4417" spans="1:29" ht="14.4" hidden="1" x14ac:dyDescent="0.25">
      <c r="A4417" s="27"/>
      <c r="B4417" s="27"/>
      <c r="C4417" s="27" t="s">
        <v>36</v>
      </c>
      <c r="D4417" s="28"/>
      <c r="E4417" s="29"/>
      <c r="F4417" s="30">
        <f>[1]Source!AO4117</f>
        <v>1347.04</v>
      </c>
      <c r="G4417" s="31" t="s">
        <v>37</v>
      </c>
      <c r="H4417" s="29">
        <f>[1]Source!AV4118</f>
        <v>1.0469999999999999</v>
      </c>
      <c r="I4417" s="30">
        <f>[1]Source!S4117</f>
        <v>5157.6499999999996</v>
      </c>
      <c r="J4417" s="29">
        <f>IF([1]Source!BA4118&lt;&gt; 0, [1]Source!BA4118, 1)</f>
        <v>56.35</v>
      </c>
      <c r="K4417" s="30">
        <f>[1]Source!S4118</f>
        <v>290633.58</v>
      </c>
    </row>
    <row r="4418" spans="1:29" ht="14.4" hidden="1" x14ac:dyDescent="0.25">
      <c r="A4418" s="27"/>
      <c r="B4418" s="27"/>
      <c r="C4418" s="27" t="s">
        <v>38</v>
      </c>
      <c r="D4418" s="28"/>
      <c r="E4418" s="29"/>
      <c r="F4418" s="30">
        <f>[1]Source!AM4117</f>
        <v>43.45</v>
      </c>
      <c r="G4418" s="31" t="s">
        <v>39</v>
      </c>
      <c r="H4418" s="29">
        <f>[1]Source!AV4118</f>
        <v>1.0469999999999999</v>
      </c>
      <c r="I4418" s="30">
        <f>[1]Source!Q4117</f>
        <v>180.83</v>
      </c>
      <c r="J4418" s="29">
        <f>IF([1]Source!BB4118&lt;&gt; 0, [1]Source!BB4118, 1)</f>
        <v>10.91</v>
      </c>
      <c r="K4418" s="30">
        <f>[1]Source!Q4118</f>
        <v>1972.86</v>
      </c>
    </row>
    <row r="4419" spans="1:29" ht="14.4" hidden="1" x14ac:dyDescent="0.25">
      <c r="A4419" s="27"/>
      <c r="B4419" s="27"/>
      <c r="C4419" s="27" t="s">
        <v>40</v>
      </c>
      <c r="D4419" s="28"/>
      <c r="E4419" s="29"/>
      <c r="F4419" s="30">
        <f>[1]Source!AN4117</f>
        <v>0.76</v>
      </c>
      <c r="G4419" s="31" t="s">
        <v>39</v>
      </c>
      <c r="H4419" s="29">
        <f>[1]Source!AV4118</f>
        <v>1.0469999999999999</v>
      </c>
      <c r="I4419" s="33">
        <f>[1]Source!R4117</f>
        <v>3.16</v>
      </c>
      <c r="J4419" s="29">
        <f>IF([1]Source!BS4118&lt;&gt; 0, [1]Source!BS4118, 1)</f>
        <v>56.35</v>
      </c>
      <c r="K4419" s="33">
        <f>[1]Source!R4118</f>
        <v>178.07</v>
      </c>
    </row>
    <row r="4420" spans="1:29" ht="14.4" hidden="1" x14ac:dyDescent="0.25">
      <c r="A4420" s="27"/>
      <c r="B4420" s="27"/>
      <c r="C4420" s="27" t="s">
        <v>41</v>
      </c>
      <c r="D4420" s="28"/>
      <c r="E4420" s="29"/>
      <c r="F4420" s="30">
        <f>[1]Source!AL4117</f>
        <v>108.37</v>
      </c>
      <c r="G4420" s="31"/>
      <c r="H4420" s="29">
        <f>[1]Source!AW4118</f>
        <v>1</v>
      </c>
      <c r="I4420" s="30">
        <f>[1]Source!P4117</f>
        <v>287.18</v>
      </c>
      <c r="J4420" s="29">
        <f>IF([1]Source!BC4118&lt;&gt; 0, [1]Source!BC4118, 1)</f>
        <v>14.11</v>
      </c>
      <c r="K4420" s="30">
        <f>[1]Source!P4118</f>
        <v>4052.11</v>
      </c>
    </row>
    <row r="4421" spans="1:29" ht="28.8" hidden="1" x14ac:dyDescent="0.25">
      <c r="A4421" s="27" t="s">
        <v>827</v>
      </c>
      <c r="B4421" s="27" t="str">
        <f>[1]Source!F4119</f>
        <v>1.1-1-3383</v>
      </c>
      <c r="C4421" s="27" t="s">
        <v>755</v>
      </c>
      <c r="D4421" s="28" t="str">
        <f>[1]Source!H4119</f>
        <v>100 шт.</v>
      </c>
      <c r="E4421" s="29">
        <f>[1]Source!I4119</f>
        <v>40.28</v>
      </c>
      <c r="F4421" s="30">
        <f>[1]Source!AK4119</f>
        <v>94.93</v>
      </c>
      <c r="G4421" s="43" t="s">
        <v>54</v>
      </c>
      <c r="H4421" s="29">
        <f>[1]Source!AW4120</f>
        <v>1</v>
      </c>
      <c r="I4421" s="30">
        <f>[1]Source!O4119</f>
        <v>3823.78</v>
      </c>
      <c r="J4421" s="29">
        <f>IF([1]Source!BC4120&lt;&gt; 0, [1]Source!BC4120, 1)</f>
        <v>3.7</v>
      </c>
      <c r="K4421" s="30">
        <f>[1]Source!O4120</f>
        <v>14147.99</v>
      </c>
      <c r="Q4421">
        <f>[1]Source!X4119</f>
        <v>0</v>
      </c>
      <c r="R4421">
        <f>[1]Source!X4120</f>
        <v>0</v>
      </c>
      <c r="S4421">
        <f>[1]Source!Y4119</f>
        <v>0</v>
      </c>
      <c r="T4421">
        <f>[1]Source!Y4120</f>
        <v>0</v>
      </c>
      <c r="U4421">
        <f>ROUND((175/100)*ROUND([1]Source!R4119, 2), 2)</f>
        <v>0</v>
      </c>
      <c r="V4421">
        <f>ROUND((0/100)*ROUND([1]Source!R4120, 2), 2)</f>
        <v>0</v>
      </c>
      <c r="AC4421">
        <v>3</v>
      </c>
    </row>
    <row r="4422" spans="1:29" ht="27.6" hidden="1" x14ac:dyDescent="0.25">
      <c r="A4422" s="27" t="s">
        <v>828</v>
      </c>
      <c r="B4422" s="27" t="str">
        <f>[1]Source!F4121</f>
        <v>1.1-1-394</v>
      </c>
      <c r="C4422" s="27" t="s">
        <v>757</v>
      </c>
      <c r="D4422" s="28" t="str">
        <f>[1]Source!H4121</f>
        <v>кг</v>
      </c>
      <c r="E4422" s="29">
        <f>[1]Source!I4121</f>
        <v>212</v>
      </c>
      <c r="F4422" s="30">
        <f>[1]Source!AK4121</f>
        <v>9.98</v>
      </c>
      <c r="G4422" s="43" t="s">
        <v>54</v>
      </c>
      <c r="H4422" s="29">
        <f>[1]Source!AW4122</f>
        <v>1</v>
      </c>
      <c r="I4422" s="30">
        <f>[1]Source!O4121</f>
        <v>2115.7600000000002</v>
      </c>
      <c r="J4422" s="29">
        <f>IF([1]Source!BC4122&lt;&gt; 0, [1]Source!BC4122, 1)</f>
        <v>8.49</v>
      </c>
      <c r="K4422" s="30">
        <f>[1]Source!O4122</f>
        <v>17962.8</v>
      </c>
      <c r="Q4422">
        <f>[1]Source!X4121</f>
        <v>0</v>
      </c>
      <c r="R4422">
        <f>[1]Source!X4122</f>
        <v>0</v>
      </c>
      <c r="S4422">
        <f>[1]Source!Y4121</f>
        <v>0</v>
      </c>
      <c r="T4422">
        <f>[1]Source!Y4122</f>
        <v>0</v>
      </c>
      <c r="U4422">
        <f>ROUND((175/100)*ROUND([1]Source!R4121, 2), 2)</f>
        <v>0</v>
      </c>
      <c r="V4422">
        <f>ROUND((0/100)*ROUND([1]Source!R4122, 2), 2)</f>
        <v>0</v>
      </c>
      <c r="AC4422">
        <v>3</v>
      </c>
    </row>
    <row r="4423" spans="1:29" ht="69" hidden="1" x14ac:dyDescent="0.25">
      <c r="A4423" s="27" t="s">
        <v>829</v>
      </c>
      <c r="B4423" s="27" t="str">
        <f>[1]Source!F4123</f>
        <v>1.1-1-1308</v>
      </c>
      <c r="C4423" s="27" t="s">
        <v>758</v>
      </c>
      <c r="D4423" s="28" t="str">
        <f>[1]Source!H4123</f>
        <v>м3</v>
      </c>
      <c r="E4423" s="29">
        <f>[1]Source!I4123</f>
        <v>3.18</v>
      </c>
      <c r="F4423" s="30">
        <f>[1]Source!AK4123</f>
        <v>2520.42</v>
      </c>
      <c r="G4423" s="43" t="s">
        <v>54</v>
      </c>
      <c r="H4423" s="29">
        <f>[1]Source!AW4124</f>
        <v>1</v>
      </c>
      <c r="I4423" s="30">
        <f>[1]Source!O4123</f>
        <v>8014.94</v>
      </c>
      <c r="J4423" s="29">
        <f>IF([1]Source!BC4124&lt;&gt; 0, [1]Source!BC4124, 1)</f>
        <v>20.51</v>
      </c>
      <c r="K4423" s="30">
        <f>[1]Source!O4124</f>
        <v>164386.42000000001</v>
      </c>
      <c r="Q4423">
        <f>[1]Source!X4123</f>
        <v>0</v>
      </c>
      <c r="R4423">
        <f>[1]Source!X4124</f>
        <v>0</v>
      </c>
      <c r="S4423">
        <f>[1]Source!Y4123</f>
        <v>0</v>
      </c>
      <c r="T4423">
        <f>[1]Source!Y4124</f>
        <v>0</v>
      </c>
      <c r="U4423">
        <f>ROUND((175/100)*ROUND([1]Source!R4123, 2), 2)</f>
        <v>0</v>
      </c>
      <c r="V4423">
        <f>ROUND((0/100)*ROUND([1]Source!R4124, 2), 2)</f>
        <v>0</v>
      </c>
      <c r="AC4423">
        <v>3</v>
      </c>
    </row>
    <row r="4424" spans="1:29" ht="14.4" hidden="1" x14ac:dyDescent="0.25">
      <c r="A4424" s="27"/>
      <c r="B4424" s="27"/>
      <c r="C4424" s="27" t="s">
        <v>42</v>
      </c>
      <c r="D4424" s="28" t="s">
        <v>43</v>
      </c>
      <c r="E4424" s="29">
        <f>[1]Source!BZ4118</f>
        <v>101</v>
      </c>
      <c r="F4424" s="30"/>
      <c r="G4424" s="31"/>
      <c r="H4424" s="29"/>
      <c r="I4424" s="30">
        <f>SUM(Q4415:Q4423)</f>
        <v>5212.42</v>
      </c>
      <c r="J4424" s="29">
        <f>[1]Source!AT4118</f>
        <v>101</v>
      </c>
      <c r="K4424" s="30">
        <f>SUM(R4415:R4423)</f>
        <v>293719.77</v>
      </c>
    </row>
    <row r="4425" spans="1:29" ht="14.4" hidden="1" x14ac:dyDescent="0.25">
      <c r="A4425" s="27"/>
      <c r="B4425" s="27"/>
      <c r="C4425" s="27" t="s">
        <v>44</v>
      </c>
      <c r="D4425" s="28" t="s">
        <v>43</v>
      </c>
      <c r="E4425" s="29">
        <f>[1]Source!CA4118</f>
        <v>55</v>
      </c>
      <c r="F4425" s="30"/>
      <c r="G4425" s="31"/>
      <c r="H4425" s="29"/>
      <c r="I4425" s="30">
        <f>SUM(S4415:S4424)</f>
        <v>2838.45</v>
      </c>
      <c r="J4425" s="29">
        <f>[1]Source!AU4118</f>
        <v>55</v>
      </c>
      <c r="K4425" s="30">
        <f>SUM(T4415:T4424)</f>
        <v>159946.41</v>
      </c>
    </row>
    <row r="4426" spans="1:29" ht="14.4" hidden="1" x14ac:dyDescent="0.25">
      <c r="A4426" s="34"/>
      <c r="B4426" s="34"/>
      <c r="C4426" s="34" t="s">
        <v>45</v>
      </c>
      <c r="D4426" s="35" t="s">
        <v>46</v>
      </c>
      <c r="E4426" s="36">
        <f>[1]Source!AQ4117</f>
        <v>83.04</v>
      </c>
      <c r="F4426" s="37"/>
      <c r="G4426" s="38" t="s">
        <v>37</v>
      </c>
      <c r="H4426" s="36">
        <f>[1]Source!AV4118</f>
        <v>1.0469999999999999</v>
      </c>
      <c r="I4426" s="37">
        <f>[1]Source!U4117</f>
        <v>317.95011215999995</v>
      </c>
      <c r="J4426" s="36"/>
      <c r="K4426" s="37"/>
    </row>
    <row r="4427" spans="1:29" ht="13.8" hidden="1" x14ac:dyDescent="0.25">
      <c r="C4427" s="39" t="s">
        <v>47</v>
      </c>
      <c r="H4427" s="40">
        <f>I4417+I4418+I4420+I4424+I4425+SUM(I4421:I4423)-SUMIF(AC4421:AC4423, 5, I4421:I4423)-SUMIF(AC4421:AC4423, 6, I4421:I4423)</f>
        <v>27631.01</v>
      </c>
      <c r="I4427" s="40"/>
      <c r="J4427" s="40">
        <f>K4417+K4418+K4420+K4424+K4425+SUM(K4421:K4423)-SUMIF(AC4421:AC4423, 5, K4421:K4423)-SUMIF(AC4421:AC4423, 6, K4421:K4423)</f>
        <v>946821.94000000018</v>
      </c>
      <c r="K4427" s="40"/>
    </row>
    <row r="4428" spans="1:29" ht="13.8" hidden="1" x14ac:dyDescent="0.25">
      <c r="C4428" s="39" t="s">
        <v>48</v>
      </c>
      <c r="H4428" s="41">
        <f>SUMIF(AC4421:AC4423, 5, I4421:I4423)+SUMIF(AC4421:AC4423, 6, I4421:I4423)</f>
        <v>0</v>
      </c>
      <c r="I4428" s="41"/>
      <c r="J4428" s="41">
        <f>SUMIF(AC4421:AC4423, 5, K4421:K4423)+SUMIF(AC4421:AC4423, 6, K4421:K4423)</f>
        <v>0</v>
      </c>
      <c r="K4428" s="41"/>
    </row>
    <row r="4429" spans="1:29" ht="13.8" hidden="1" x14ac:dyDescent="0.25">
      <c r="C4429" s="39" t="s">
        <v>49</v>
      </c>
      <c r="H4429" s="41">
        <f>I4417+I4418+I4420+I4424+I4425+SUM(I4421:I4423)</f>
        <v>27631.01</v>
      </c>
      <c r="I4429" s="41"/>
      <c r="J4429" s="41">
        <f>K4417+K4418+K4420+K4424+K4425+SUM(K4421:K4423)</f>
        <v>946821.94000000018</v>
      </c>
      <c r="K4429" s="41"/>
      <c r="O4429" s="42">
        <f>I4417+I4418+I4420+I4424+I4425+SUM(I4421:I4423)</f>
        <v>27631.01</v>
      </c>
      <c r="P4429" s="42">
        <f>K4417+K4418+K4420+K4424+K4425+SUM(K4421:K4423)</f>
        <v>946821.94000000018</v>
      </c>
    </row>
    <row r="4430" spans="1:29" hidden="1" x14ac:dyDescent="0.25"/>
    <row r="4431" spans="1:29" ht="57.6" hidden="1" x14ac:dyDescent="0.25">
      <c r="A4431" s="27">
        <v>421</v>
      </c>
      <c r="B4431" s="27" t="str">
        <f>[1]Source!F4125</f>
        <v>3.11-24-1</v>
      </c>
      <c r="C4431" s="27" t="s">
        <v>763</v>
      </c>
      <c r="D4431" s="28" t="str">
        <f>[1]Source!H4125</f>
        <v>100 м2 покрытия</v>
      </c>
      <c r="E4431" s="29">
        <f>[1]Source!I4125</f>
        <v>2.65</v>
      </c>
      <c r="F4431" s="30"/>
      <c r="G4431" s="31"/>
      <c r="H4431" s="29"/>
      <c r="I4431" s="30"/>
      <c r="J4431" s="29"/>
      <c r="K4431" s="30"/>
      <c r="Q4431">
        <f>[1]Source!X4125</f>
        <v>1543.9</v>
      </c>
      <c r="R4431">
        <f>[1]Source!X4126</f>
        <v>86998.55</v>
      </c>
      <c r="S4431">
        <f>[1]Source!Y4125</f>
        <v>840.74</v>
      </c>
      <c r="T4431">
        <f>[1]Source!Y4126</f>
        <v>47375.45</v>
      </c>
      <c r="U4431">
        <f>ROUND((175/100)*ROUND([1]Source!R4125, 2), 2)</f>
        <v>56.09</v>
      </c>
      <c r="V4431">
        <f>ROUND((0/100)*ROUND([1]Source!R4126, 2), 2)</f>
        <v>0</v>
      </c>
      <c r="AC4431">
        <v>0</v>
      </c>
    </row>
    <row r="4432" spans="1:29" hidden="1" x14ac:dyDescent="0.25">
      <c r="C4432" s="32" t="str">
        <f>"Объем: "&amp;[1]Source!I4125&amp;"=265/"&amp;"100"</f>
        <v>Объем: 2,65=265/100</v>
      </c>
    </row>
    <row r="4433" spans="1:29" ht="14.4" hidden="1" x14ac:dyDescent="0.25">
      <c r="A4433" s="27"/>
      <c r="B4433" s="27"/>
      <c r="C4433" s="27" t="s">
        <v>36</v>
      </c>
      <c r="D4433" s="28"/>
      <c r="E4433" s="29"/>
      <c r="F4433" s="30">
        <f>[1]Source!AO4125</f>
        <v>390.86</v>
      </c>
      <c r="G4433" s="31" t="s">
        <v>37</v>
      </c>
      <c r="H4433" s="29">
        <f>[1]Source!AV4126</f>
        <v>1.0469999999999999</v>
      </c>
      <c r="I4433" s="30">
        <f>[1]Source!S4125</f>
        <v>1496.56</v>
      </c>
      <c r="J4433" s="29">
        <f>IF([1]Source!BA4126&lt;&gt; 0, [1]Source!BA4126, 1)</f>
        <v>56.35</v>
      </c>
      <c r="K4433" s="30">
        <f>[1]Source!S4126</f>
        <v>84331.16</v>
      </c>
    </row>
    <row r="4434" spans="1:29" ht="14.4" hidden="1" x14ac:dyDescent="0.25">
      <c r="A4434" s="27"/>
      <c r="B4434" s="27"/>
      <c r="C4434" s="27" t="s">
        <v>38</v>
      </c>
      <c r="D4434" s="28"/>
      <c r="E4434" s="29"/>
      <c r="F4434" s="30">
        <f>[1]Source!AM4125</f>
        <v>66.430000000000007</v>
      </c>
      <c r="G4434" s="31" t="s">
        <v>39</v>
      </c>
      <c r="H4434" s="29">
        <f>[1]Source!AV4126</f>
        <v>1.0469999999999999</v>
      </c>
      <c r="I4434" s="30">
        <f>[1]Source!Q4125</f>
        <v>276.47000000000003</v>
      </c>
      <c r="J4434" s="29">
        <f>IF([1]Source!BB4126&lt;&gt; 0, [1]Source!BB4126, 1)</f>
        <v>15.28</v>
      </c>
      <c r="K4434" s="30">
        <f>[1]Source!Q4126</f>
        <v>4224.46</v>
      </c>
    </row>
    <row r="4435" spans="1:29" ht="14.4" hidden="1" x14ac:dyDescent="0.25">
      <c r="A4435" s="27"/>
      <c r="B4435" s="27"/>
      <c r="C4435" s="27" t="s">
        <v>40</v>
      </c>
      <c r="D4435" s="28"/>
      <c r="E4435" s="29"/>
      <c r="F4435" s="30">
        <f>[1]Source!AN4125</f>
        <v>7.7</v>
      </c>
      <c r="G4435" s="31" t="s">
        <v>39</v>
      </c>
      <c r="H4435" s="29">
        <f>[1]Source!AV4126</f>
        <v>1.0469999999999999</v>
      </c>
      <c r="I4435" s="33">
        <f>[1]Source!R4125</f>
        <v>32.049999999999997</v>
      </c>
      <c r="J4435" s="29">
        <f>IF([1]Source!BS4126&lt;&gt; 0, [1]Source!BS4126, 1)</f>
        <v>56.35</v>
      </c>
      <c r="K4435" s="33">
        <f>[1]Source!R4126</f>
        <v>1806.02</v>
      </c>
    </row>
    <row r="4436" spans="1:29" ht="14.4" hidden="1" x14ac:dyDescent="0.25">
      <c r="A4436" s="27"/>
      <c r="B4436" s="27"/>
      <c r="C4436" s="27" t="s">
        <v>41</v>
      </c>
      <c r="D4436" s="28"/>
      <c r="E4436" s="29"/>
      <c r="F4436" s="30">
        <f>[1]Source!AL4125</f>
        <v>247.64</v>
      </c>
      <c r="G4436" s="31"/>
      <c r="H4436" s="29">
        <f>[1]Source!AW4126</f>
        <v>1</v>
      </c>
      <c r="I4436" s="30">
        <f>[1]Source!P4125</f>
        <v>656.25</v>
      </c>
      <c r="J4436" s="29">
        <f>IF([1]Source!BC4126&lt;&gt; 0, [1]Source!BC4126, 1)</f>
        <v>12.63</v>
      </c>
      <c r="K4436" s="30">
        <f>[1]Source!P4126</f>
        <v>8288.44</v>
      </c>
    </row>
    <row r="4437" spans="1:29" ht="54.6" x14ac:dyDescent="0.25">
      <c r="A4437" s="53" t="s">
        <v>830</v>
      </c>
      <c r="B4437" s="53" t="str">
        <f>[1]Source!F4127</f>
        <v>КА-187</v>
      </c>
      <c r="C4437" s="53" t="s">
        <v>765</v>
      </c>
      <c r="D4437" s="54" t="str">
        <f>[1]Source!H4127</f>
        <v>ШТ</v>
      </c>
      <c r="E4437" s="55">
        <f>[1]Source!I4127</f>
        <v>4505</v>
      </c>
      <c r="F4437" s="30">
        <f>[1]Source!AK4127</f>
        <v>5.0999999999999996</v>
      </c>
      <c r="G4437" s="43" t="s">
        <v>54</v>
      </c>
      <c r="H4437" s="29">
        <f>[1]Source!AW4128</f>
        <v>1</v>
      </c>
      <c r="I4437" s="30">
        <f>[1]Source!O4127</f>
        <v>22975.5</v>
      </c>
      <c r="J4437" s="29">
        <f>IF([1]Source!BC4128&lt;&gt; 0, [1]Source!BC4128, 1)</f>
        <v>9.84</v>
      </c>
      <c r="K4437" s="56">
        <f>[1]Source!O4128</f>
        <v>226078.92</v>
      </c>
      <c r="L4437">
        <v>60</v>
      </c>
      <c r="M4437" s="50">
        <f>L4437*E4437</f>
        <v>270300</v>
      </c>
      <c r="N4437" s="59" t="s">
        <v>180</v>
      </c>
      <c r="Q4437">
        <f>[1]Source!X4127</f>
        <v>0</v>
      </c>
      <c r="R4437">
        <f>[1]Source!X4128</f>
        <v>0</v>
      </c>
      <c r="S4437">
        <f>[1]Source!Y4127</f>
        <v>0</v>
      </c>
      <c r="T4437">
        <f>[1]Source!Y4128</f>
        <v>0</v>
      </c>
      <c r="U4437">
        <f>ROUND((175/100)*ROUND([1]Source!R4127, 2), 2)</f>
        <v>0</v>
      </c>
      <c r="V4437">
        <f>ROUND((0/100)*ROUND([1]Source!R4128, 2), 2)</f>
        <v>0</v>
      </c>
      <c r="AC4437">
        <v>3</v>
      </c>
    </row>
    <row r="4438" spans="1:29" ht="14.4" hidden="1" x14ac:dyDescent="0.25">
      <c r="A4438" s="27"/>
      <c r="B4438" s="27"/>
      <c r="C4438" s="27" t="s">
        <v>42</v>
      </c>
      <c r="D4438" s="28" t="s">
        <v>43</v>
      </c>
      <c r="E4438" s="29">
        <f>[1]Source!BZ4126</f>
        <v>101</v>
      </c>
      <c r="F4438" s="30"/>
      <c r="G4438" s="31"/>
      <c r="H4438" s="29"/>
      <c r="I4438" s="30">
        <f>SUM(Q4431:Q4437)</f>
        <v>1543.9</v>
      </c>
      <c r="J4438" s="29">
        <f>[1]Source!AT4126</f>
        <v>101</v>
      </c>
      <c r="K4438" s="30">
        <f>SUM(R4431:R4437)</f>
        <v>86998.55</v>
      </c>
    </row>
    <row r="4439" spans="1:29" ht="14.4" hidden="1" x14ac:dyDescent="0.25">
      <c r="A4439" s="27"/>
      <c r="B4439" s="27"/>
      <c r="C4439" s="27" t="s">
        <v>44</v>
      </c>
      <c r="D4439" s="28" t="s">
        <v>43</v>
      </c>
      <c r="E4439" s="29">
        <f>[1]Source!CA4126</f>
        <v>55</v>
      </c>
      <c r="F4439" s="30"/>
      <c r="G4439" s="31"/>
      <c r="H4439" s="29"/>
      <c r="I4439" s="30">
        <f>SUM(S4431:S4438)</f>
        <v>840.74</v>
      </c>
      <c r="J4439" s="29">
        <f>[1]Source!AU4126</f>
        <v>55</v>
      </c>
      <c r="K4439" s="30">
        <f>SUM(T4431:T4438)</f>
        <v>47375.45</v>
      </c>
    </row>
    <row r="4440" spans="1:29" ht="14.4" hidden="1" x14ac:dyDescent="0.25">
      <c r="A4440" s="34"/>
      <c r="B4440" s="34"/>
      <c r="C4440" s="34" t="s">
        <v>45</v>
      </c>
      <c r="D4440" s="35" t="s">
        <v>46</v>
      </c>
      <c r="E4440" s="36">
        <f>[1]Source!AQ4125</f>
        <v>31.7</v>
      </c>
      <c r="F4440" s="37"/>
      <c r="G4440" s="38" t="s">
        <v>37</v>
      </c>
      <c r="H4440" s="36">
        <f>[1]Source!AV4126</f>
        <v>1.0469999999999999</v>
      </c>
      <c r="I4440" s="37">
        <f>[1]Source!U4125</f>
        <v>121.37546429999998</v>
      </c>
      <c r="J4440" s="36"/>
      <c r="K4440" s="37"/>
    </row>
    <row r="4441" spans="1:29" ht="13.8" hidden="1" x14ac:dyDescent="0.25">
      <c r="C4441" s="39" t="s">
        <v>47</v>
      </c>
      <c r="H4441" s="40">
        <f>I4433+I4434+I4436+I4438+I4439+SUM(I4437:I4437)-SUMIF(AC4437:AC4437, 5, I4437:I4437)-SUMIF(AC4437:AC4437, 6, I4437:I4437)</f>
        <v>27789.42</v>
      </c>
      <c r="I4441" s="40"/>
      <c r="J4441" s="40">
        <f>K4433+K4434+K4436+K4438+K4439+SUM(K4437:K4437)-SUMIF(AC4437:AC4437, 5, K4437:K4437)-SUMIF(AC4437:AC4437, 6, K4437:K4437)</f>
        <v>457296.98</v>
      </c>
      <c r="K4441" s="40"/>
    </row>
    <row r="4442" spans="1:29" ht="13.8" hidden="1" x14ac:dyDescent="0.25">
      <c r="C4442" s="39" t="s">
        <v>48</v>
      </c>
      <c r="H4442" s="41">
        <f>SUMIF(AC4437:AC4437, 5, I4437:I4437)+SUMIF(AC4437:AC4437, 6, I4437:I4437)</f>
        <v>0</v>
      </c>
      <c r="I4442" s="41"/>
      <c r="J4442" s="41">
        <f>SUMIF(AC4437:AC4437, 5, K4437:K4437)+SUMIF(AC4437:AC4437, 6, K4437:K4437)</f>
        <v>0</v>
      </c>
      <c r="K4442" s="41"/>
    </row>
    <row r="4443" spans="1:29" ht="13.8" hidden="1" x14ac:dyDescent="0.25">
      <c r="C4443" s="39" t="s">
        <v>49</v>
      </c>
      <c r="H4443" s="41">
        <f>I4433+I4434+I4436+I4438+I4439+SUM(I4437:I4437)</f>
        <v>27789.42</v>
      </c>
      <c r="I4443" s="41"/>
      <c r="J4443" s="41">
        <f>K4433+K4434+K4436+K4438+K4439+SUM(K4437:K4437)</f>
        <v>457296.98</v>
      </c>
      <c r="K4443" s="41"/>
      <c r="O4443" s="42">
        <f>I4433+I4434+I4436+I4438+I4439+SUM(I4437:I4437)</f>
        <v>27789.42</v>
      </c>
      <c r="P4443" s="42">
        <f>K4433+K4434+K4436+K4438+K4439+SUM(K4437:K4437)</f>
        <v>457296.98</v>
      </c>
    </row>
    <row r="4444" spans="1:29" hidden="1" x14ac:dyDescent="0.25"/>
    <row r="4445" spans="1:29" ht="27.6" hidden="1" x14ac:dyDescent="0.25">
      <c r="A4445" s="27">
        <v>422</v>
      </c>
      <c r="B4445" s="27" t="str">
        <f>[1]Source!F4129</f>
        <v>1.1-1-746</v>
      </c>
      <c r="C4445" s="27" t="s">
        <v>766</v>
      </c>
      <c r="D4445" s="28" t="str">
        <f>[1]Source!H4129</f>
        <v>м2</v>
      </c>
      <c r="E4445" s="29">
        <f>[1]Source!I4129</f>
        <v>275.60000000000002</v>
      </c>
      <c r="F4445" s="30">
        <f>[1]Source!AL4129</f>
        <v>523.29999999999995</v>
      </c>
      <c r="G4445" s="31"/>
      <c r="H4445" s="29">
        <f>[1]Source!AW4130</f>
        <v>1</v>
      </c>
      <c r="I4445" s="30">
        <f>[1]Source!P4129</f>
        <v>144221.48000000001</v>
      </c>
      <c r="J4445" s="29">
        <f>IF([1]Source!BC4130&lt;&gt; 0, [1]Source!BC4130, 1)</f>
        <v>8.41</v>
      </c>
      <c r="K4445" s="30">
        <f>[1]Source!P4130</f>
        <v>1212902.6499999999</v>
      </c>
      <c r="Q4445">
        <f>[1]Source!X4129</f>
        <v>0</v>
      </c>
      <c r="R4445">
        <f>[1]Source!X4130</f>
        <v>0</v>
      </c>
      <c r="S4445">
        <f>[1]Source!Y4129</f>
        <v>0</v>
      </c>
      <c r="T4445">
        <f>[1]Source!Y4130</f>
        <v>0</v>
      </c>
      <c r="U4445">
        <f>ROUND((175/100)*ROUND([1]Source!R4129, 2), 2)</f>
        <v>0</v>
      </c>
      <c r="V4445">
        <f>ROUND((0/100)*ROUND([1]Source!R4130, 2), 2)</f>
        <v>0</v>
      </c>
      <c r="AC4445">
        <v>3</v>
      </c>
    </row>
    <row r="4446" spans="1:29" hidden="1" x14ac:dyDescent="0.25">
      <c r="A4446" s="57"/>
      <c r="B4446" s="57"/>
      <c r="C4446" s="58" t="str">
        <f>"Объем: "&amp;[1]Source!I4129&amp;"=265*"&amp;"1,04"</f>
        <v>Объем: 275,6=265*1,04</v>
      </c>
      <c r="D4446" s="57"/>
      <c r="E4446" s="57"/>
      <c r="F4446" s="57"/>
      <c r="G4446" s="57"/>
      <c r="H4446" s="57"/>
      <c r="I4446" s="57"/>
      <c r="J4446" s="57"/>
      <c r="K4446" s="57"/>
    </row>
    <row r="4447" spans="1:29" ht="13.8" hidden="1" x14ac:dyDescent="0.25">
      <c r="C4447" s="39" t="s">
        <v>49</v>
      </c>
      <c r="H4447" s="40">
        <f>I4445+0</f>
        <v>144221.48000000001</v>
      </c>
      <c r="I4447" s="40"/>
      <c r="J4447" s="40">
        <f>K4445+0</f>
        <v>1212902.6499999999</v>
      </c>
      <c r="K4447" s="40"/>
      <c r="O4447" s="42">
        <f>I4445+0</f>
        <v>144221.48000000001</v>
      </c>
      <c r="P4447" s="42">
        <f>K4445+0</f>
        <v>1212902.6499999999</v>
      </c>
    </row>
    <row r="4448" spans="1:29" hidden="1" x14ac:dyDescent="0.25"/>
    <row r="4449" spans="1:29" hidden="1" x14ac:dyDescent="0.25"/>
    <row r="4450" spans="1:29" ht="13.8" hidden="1" x14ac:dyDescent="0.25">
      <c r="A4450" s="44" t="str">
        <f>CONCATENATE("Итого по подразделу: ",IF([1]Source!G4132&lt;&gt;"Новый подраздел", [1]Source!G4132, ""))</f>
        <v>Итого по подразделу: Второй этаж. Паркетная доска</v>
      </c>
      <c r="B4450" s="44"/>
      <c r="C4450" s="44"/>
      <c r="D4450" s="44"/>
      <c r="E4450" s="44"/>
      <c r="F4450" s="44"/>
      <c r="G4450" s="44"/>
      <c r="H4450" s="41">
        <f>SUM(O4383:O4449)</f>
        <v>229047.82</v>
      </c>
      <c r="I4450" s="45"/>
      <c r="J4450" s="41">
        <f>SUM(P4383:P4449)</f>
        <v>3687504.6100000003</v>
      </c>
      <c r="K4450" s="45"/>
    </row>
    <row r="4451" spans="1:29" hidden="1" x14ac:dyDescent="0.25">
      <c r="A4451" t="s">
        <v>55</v>
      </c>
      <c r="I4451">
        <f>SUM(W4383:W4450)</f>
        <v>0</v>
      </c>
      <c r="J4451">
        <f>SUM(X4383:X4450)</f>
        <v>0</v>
      </c>
    </row>
    <row r="4452" spans="1:29" hidden="1" x14ac:dyDescent="0.25">
      <c r="A4452" t="s">
        <v>56</v>
      </c>
      <c r="I4452">
        <f>SUM(Y4383:Y4451)</f>
        <v>0</v>
      </c>
      <c r="J4452">
        <f>SUM(Z4383:Z4451)</f>
        <v>0</v>
      </c>
    </row>
    <row r="4453" spans="1:29" hidden="1" x14ac:dyDescent="0.25"/>
    <row r="4454" spans="1:29" ht="16.8" hidden="1" x14ac:dyDescent="0.25">
      <c r="A4454" s="11" t="str">
        <f>CONCATENATE("Подраздел: ",IF([1]Source!G4162&lt;&gt;"Новый подраздел", [1]Source!G4162, ""))</f>
        <v>Подраздел: Третий  этаж. Кварц-виниловая дизайн-плитка 500х500 мм</v>
      </c>
      <c r="B4454" s="11"/>
      <c r="C4454" s="11"/>
      <c r="D4454" s="11"/>
      <c r="E4454" s="11"/>
      <c r="F4454" s="11"/>
      <c r="G4454" s="11"/>
      <c r="H4454" s="11"/>
      <c r="I4454" s="11"/>
      <c r="J4454" s="11"/>
      <c r="K4454" s="11"/>
    </row>
    <row r="4455" spans="1:29" ht="57.6" hidden="1" x14ac:dyDescent="0.25">
      <c r="A4455" s="27">
        <v>423</v>
      </c>
      <c r="B4455" s="27" t="str">
        <f>[1]Source!F4166</f>
        <v>3.70-159-1</v>
      </c>
      <c r="C4455" s="27" t="s">
        <v>831</v>
      </c>
      <c r="D4455" s="28" t="str">
        <f>[1]Source!H4166</f>
        <v>100 м2 стяжки</v>
      </c>
      <c r="E4455" s="29">
        <f>[1]Source!I4166</f>
        <v>6.86</v>
      </c>
      <c r="F4455" s="30"/>
      <c r="G4455" s="31"/>
      <c r="H4455" s="29"/>
      <c r="I4455" s="30"/>
      <c r="J4455" s="29"/>
      <c r="K4455" s="30"/>
      <c r="Q4455">
        <f>[1]Source!X4166</f>
        <v>3258.04</v>
      </c>
      <c r="R4455">
        <f>[1]Source!X4167</f>
        <v>183590.43</v>
      </c>
      <c r="S4455">
        <f>[1]Source!Y4166</f>
        <v>1774.18</v>
      </c>
      <c r="T4455">
        <f>[1]Source!Y4167</f>
        <v>99974.99</v>
      </c>
      <c r="U4455">
        <f>ROUND((175/100)*ROUND([1]Source!R4166, 2), 2)</f>
        <v>0</v>
      </c>
      <c r="V4455">
        <f>ROUND((0/100)*ROUND([1]Source!R4167, 2), 2)</f>
        <v>0</v>
      </c>
      <c r="AC4455">
        <v>0</v>
      </c>
    </row>
    <row r="4456" spans="1:29" hidden="1" x14ac:dyDescent="0.25">
      <c r="C4456" s="32" t="str">
        <f>"Объем: "&amp;[1]Source!I4166&amp;"=686/"&amp;"100"</f>
        <v>Объем: 6,86=686/100</v>
      </c>
    </row>
    <row r="4457" spans="1:29" ht="14.4" hidden="1" x14ac:dyDescent="0.25">
      <c r="A4457" s="27"/>
      <c r="B4457" s="27"/>
      <c r="C4457" s="27" t="s">
        <v>36</v>
      </c>
      <c r="D4457" s="28"/>
      <c r="E4457" s="29"/>
      <c r="F4457" s="30">
        <f>[1]Source!AO4166</f>
        <v>325.45</v>
      </c>
      <c r="G4457" s="31" t="s">
        <v>37</v>
      </c>
      <c r="H4457" s="29">
        <f>[1]Source!AV4167</f>
        <v>1.0469999999999999</v>
      </c>
      <c r="I4457" s="30">
        <f>[1]Source!S4166</f>
        <v>3225.78</v>
      </c>
      <c r="J4457" s="29">
        <f>IF([1]Source!BA4167&lt;&gt; 0, [1]Source!BA4167, 1)</f>
        <v>56.35</v>
      </c>
      <c r="K4457" s="30">
        <f>[1]Source!S4167</f>
        <v>181772.7</v>
      </c>
    </row>
    <row r="4458" spans="1:29" ht="14.4" hidden="1" x14ac:dyDescent="0.25">
      <c r="A4458" s="27"/>
      <c r="B4458" s="27"/>
      <c r="C4458" s="27" t="s">
        <v>38</v>
      </c>
      <c r="D4458" s="28"/>
      <c r="E4458" s="29"/>
      <c r="F4458" s="30">
        <f>[1]Source!AM4166</f>
        <v>1.8</v>
      </c>
      <c r="G4458" s="31" t="s">
        <v>39</v>
      </c>
      <c r="H4458" s="29">
        <f>[1]Source!AV4167</f>
        <v>1.0469999999999999</v>
      </c>
      <c r="I4458" s="30">
        <f>[1]Source!Q4166</f>
        <v>19.39</v>
      </c>
      <c r="J4458" s="29">
        <f>IF([1]Source!BB4167&lt;&gt; 0, [1]Source!BB4167, 1)</f>
        <v>11.69</v>
      </c>
      <c r="K4458" s="30">
        <f>[1]Source!Q4167</f>
        <v>226.67</v>
      </c>
    </row>
    <row r="4459" spans="1:29" ht="14.4" hidden="1" x14ac:dyDescent="0.25">
      <c r="A4459" s="27"/>
      <c r="B4459" s="27"/>
      <c r="C4459" s="27" t="s">
        <v>41</v>
      </c>
      <c r="D4459" s="28"/>
      <c r="E4459" s="29"/>
      <c r="F4459" s="30">
        <f>[1]Source!AL4166</f>
        <v>24.75</v>
      </c>
      <c r="G4459" s="31"/>
      <c r="H4459" s="29">
        <f>[1]Source!AW4167</f>
        <v>1</v>
      </c>
      <c r="I4459" s="30">
        <f>[1]Source!P4166</f>
        <v>169.79</v>
      </c>
      <c r="J4459" s="29">
        <f>IF([1]Source!BC4167&lt;&gt; 0, [1]Source!BC4167, 1)</f>
        <v>7.75</v>
      </c>
      <c r="K4459" s="30">
        <f>[1]Source!P4167</f>
        <v>1315.87</v>
      </c>
    </row>
    <row r="4460" spans="1:29" ht="27.6" hidden="1" x14ac:dyDescent="0.25">
      <c r="A4460" s="27" t="s">
        <v>832</v>
      </c>
      <c r="B4460" s="27" t="str">
        <f>[1]Source!F4168</f>
        <v>1.3-2-7</v>
      </c>
      <c r="C4460" s="27" t="s">
        <v>752</v>
      </c>
      <c r="D4460" s="28" t="str">
        <f>[1]Source!H4168</f>
        <v>м3</v>
      </c>
      <c r="E4460" s="29">
        <f>[1]Source!I4168</f>
        <v>13.994400000000001</v>
      </c>
      <c r="F4460" s="30">
        <f>[1]Source!AK4168</f>
        <v>507.97</v>
      </c>
      <c r="G4460" s="43" t="s">
        <v>54</v>
      </c>
      <c r="H4460" s="29">
        <f>[1]Source!AW4169</f>
        <v>1</v>
      </c>
      <c r="I4460" s="30">
        <f>[1]Source!O4168</f>
        <v>7108.74</v>
      </c>
      <c r="J4460" s="29">
        <f>IF([1]Source!BC4169&lt;&gt; 0, [1]Source!BC4169, 1)</f>
        <v>10.98</v>
      </c>
      <c r="K4460" s="30">
        <f>[1]Source!O4169</f>
        <v>78053.97</v>
      </c>
      <c r="Q4460">
        <f>[1]Source!X4168</f>
        <v>0</v>
      </c>
      <c r="R4460">
        <f>[1]Source!X4169</f>
        <v>0</v>
      </c>
      <c r="S4460">
        <f>[1]Source!Y4168</f>
        <v>0</v>
      </c>
      <c r="T4460">
        <f>[1]Source!Y4169</f>
        <v>0</v>
      </c>
      <c r="U4460">
        <f>ROUND((175/100)*ROUND([1]Source!R4168, 2), 2)</f>
        <v>0</v>
      </c>
      <c r="V4460">
        <f>ROUND((0/100)*ROUND([1]Source!R4169, 2), 2)</f>
        <v>0</v>
      </c>
      <c r="AC4460">
        <v>3</v>
      </c>
    </row>
    <row r="4461" spans="1:29" ht="14.4" hidden="1" x14ac:dyDescent="0.25">
      <c r="A4461" s="27"/>
      <c r="B4461" s="27"/>
      <c r="C4461" s="27" t="s">
        <v>42</v>
      </c>
      <c r="D4461" s="28" t="s">
        <v>43</v>
      </c>
      <c r="E4461" s="29">
        <f>[1]Source!BZ4167</f>
        <v>101</v>
      </c>
      <c r="F4461" s="30"/>
      <c r="G4461" s="31"/>
      <c r="H4461" s="29"/>
      <c r="I4461" s="30">
        <f>SUM(Q4455:Q4460)</f>
        <v>3258.04</v>
      </c>
      <c r="J4461" s="29">
        <f>[1]Source!AT4167</f>
        <v>101</v>
      </c>
      <c r="K4461" s="30">
        <f>SUM(R4455:R4460)</f>
        <v>183590.43</v>
      </c>
    </row>
    <row r="4462" spans="1:29" ht="14.4" hidden="1" x14ac:dyDescent="0.25">
      <c r="A4462" s="27"/>
      <c r="B4462" s="27"/>
      <c r="C4462" s="27" t="s">
        <v>44</v>
      </c>
      <c r="D4462" s="28" t="s">
        <v>43</v>
      </c>
      <c r="E4462" s="29">
        <f>[1]Source!CA4167</f>
        <v>55</v>
      </c>
      <c r="F4462" s="30"/>
      <c r="G4462" s="31"/>
      <c r="H4462" s="29"/>
      <c r="I4462" s="30">
        <f>SUM(S4455:S4461)</f>
        <v>1774.18</v>
      </c>
      <c r="J4462" s="29">
        <f>[1]Source!AU4167</f>
        <v>55</v>
      </c>
      <c r="K4462" s="30">
        <f>SUM(T4455:T4461)</f>
        <v>99974.99</v>
      </c>
    </row>
    <row r="4463" spans="1:29" ht="14.4" hidden="1" x14ac:dyDescent="0.25">
      <c r="A4463" s="34"/>
      <c r="B4463" s="34"/>
      <c r="C4463" s="34" t="s">
        <v>45</v>
      </c>
      <c r="D4463" s="35" t="s">
        <v>46</v>
      </c>
      <c r="E4463" s="36">
        <f>[1]Source!AQ4166</f>
        <v>23.33</v>
      </c>
      <c r="F4463" s="37"/>
      <c r="G4463" s="38" t="s">
        <v>37</v>
      </c>
      <c r="H4463" s="36">
        <f>[1]Source!AV4167</f>
        <v>1.0469999999999999</v>
      </c>
      <c r="I4463" s="37">
        <f>[1]Source!U4166</f>
        <v>231.24088486799997</v>
      </c>
      <c r="J4463" s="36"/>
      <c r="K4463" s="37"/>
    </row>
    <row r="4464" spans="1:29" ht="13.8" hidden="1" x14ac:dyDescent="0.25">
      <c r="C4464" s="39" t="s">
        <v>47</v>
      </c>
      <c r="H4464" s="40">
        <f>I4457+I4458+I4459+I4461+I4462+SUM(I4460:I4460)-SUMIF(AC4460:AC4460, 5, I4460:I4460)-SUMIF(AC4460:AC4460, 6, I4460:I4460)</f>
        <v>15555.92</v>
      </c>
      <c r="I4464" s="40"/>
      <c r="J4464" s="40">
        <f>K4457+K4458+K4459+K4461+K4462+SUM(K4460:K4460)-SUMIF(AC4460:AC4460, 5, K4460:K4460)-SUMIF(AC4460:AC4460, 6, K4460:K4460)</f>
        <v>544934.63</v>
      </c>
      <c r="K4464" s="40"/>
    </row>
    <row r="4465" spans="1:29" ht="13.8" hidden="1" x14ac:dyDescent="0.25">
      <c r="C4465" s="39" t="s">
        <v>48</v>
      </c>
      <c r="H4465" s="41">
        <f>SUMIF(AC4460:AC4460, 5, I4460:I4460)+SUMIF(AC4460:AC4460, 6, I4460:I4460)</f>
        <v>0</v>
      </c>
      <c r="I4465" s="41"/>
      <c r="J4465" s="41">
        <f>SUMIF(AC4460:AC4460, 5, K4460:K4460)+SUMIF(AC4460:AC4460, 6, K4460:K4460)</f>
        <v>0</v>
      </c>
      <c r="K4465" s="41"/>
    </row>
    <row r="4466" spans="1:29" ht="13.8" hidden="1" x14ac:dyDescent="0.25">
      <c r="C4466" s="39" t="s">
        <v>49</v>
      </c>
      <c r="H4466" s="41">
        <f>I4457+I4458+I4459+I4461+I4462+SUM(I4460:I4460)</f>
        <v>15555.92</v>
      </c>
      <c r="I4466" s="41"/>
      <c r="J4466" s="41">
        <f>K4457+K4458+K4459+K4461+K4462+SUM(K4460:K4460)</f>
        <v>544934.63</v>
      </c>
      <c r="K4466" s="41"/>
      <c r="O4466" s="42">
        <f>I4457+I4458+I4459+I4461+I4462+SUM(I4460:I4460)</f>
        <v>15555.92</v>
      </c>
      <c r="P4466" s="42">
        <f>K4457+K4458+K4459+K4461+K4462+SUM(K4460:K4460)</f>
        <v>544934.63</v>
      </c>
    </row>
    <row r="4467" spans="1:29" hidden="1" x14ac:dyDescent="0.25"/>
    <row r="4468" spans="1:29" ht="57.6" hidden="1" x14ac:dyDescent="0.25">
      <c r="A4468" s="27">
        <v>424</v>
      </c>
      <c r="B4468" s="27" t="str">
        <f>[1]Source!F4170</f>
        <v>3.70-159-2</v>
      </c>
      <c r="C4468" s="27" t="s">
        <v>719</v>
      </c>
      <c r="D4468" s="28" t="str">
        <f>[1]Source!H4170</f>
        <v>100 м2 стяжки</v>
      </c>
      <c r="E4468" s="29">
        <f>[1]Source!I4170</f>
        <v>6.86</v>
      </c>
      <c r="F4468" s="30"/>
      <c r="G4468" s="31"/>
      <c r="H4468" s="29"/>
      <c r="I4468" s="30"/>
      <c r="J4468" s="29"/>
      <c r="K4468" s="30"/>
      <c r="Q4468">
        <f>[1]Source!X4170</f>
        <v>639.88</v>
      </c>
      <c r="R4468">
        <f>[1]Source!X4171</f>
        <v>36056.980000000003</v>
      </c>
      <c r="S4468">
        <f>[1]Source!Y4170</f>
        <v>348.45</v>
      </c>
      <c r="T4468">
        <f>[1]Source!Y4171</f>
        <v>19634.990000000002</v>
      </c>
      <c r="U4468">
        <f>ROUND((175/100)*ROUND([1]Source!R4170, 2), 2)</f>
        <v>0</v>
      </c>
      <c r="V4468">
        <f>ROUND((0/100)*ROUND([1]Source!R4171, 2), 2)</f>
        <v>0</v>
      </c>
      <c r="AC4468">
        <v>0</v>
      </c>
    </row>
    <row r="4469" spans="1:29" hidden="1" x14ac:dyDescent="0.25">
      <c r="C4469" s="32" t="str">
        <f>"Объем: "&amp;[1]Source!I4170&amp;"=686/"&amp;"100"</f>
        <v>Объем: 6,86=686/100</v>
      </c>
    </row>
    <row r="4470" spans="1:29" ht="27.6" hidden="1" x14ac:dyDescent="0.25">
      <c r="A4470" s="27"/>
      <c r="B4470" s="27"/>
      <c r="C4470" s="27" t="s">
        <v>36</v>
      </c>
      <c r="D4470" s="28"/>
      <c r="E4470" s="29"/>
      <c r="F4470" s="30">
        <f>[1]Source!AO4170</f>
        <v>6.03</v>
      </c>
      <c r="G4470" s="31" t="s">
        <v>738</v>
      </c>
      <c r="H4470" s="29">
        <f>[1]Source!AV4171</f>
        <v>1.0469999999999999</v>
      </c>
      <c r="I4470" s="30">
        <f>[1]Source!S4170</f>
        <v>633.54</v>
      </c>
      <c r="J4470" s="29">
        <f>IF([1]Source!BA4171&lt;&gt; 0, [1]Source!BA4171, 1)</f>
        <v>56.35</v>
      </c>
      <c r="K4470" s="30">
        <f>[1]Source!S4171</f>
        <v>35699.980000000003</v>
      </c>
    </row>
    <row r="4471" spans="1:29" ht="27.6" hidden="1" x14ac:dyDescent="0.25">
      <c r="A4471" s="27"/>
      <c r="B4471" s="27"/>
      <c r="C4471" s="27" t="s">
        <v>38</v>
      </c>
      <c r="D4471" s="28"/>
      <c r="E4471" s="29"/>
      <c r="F4471" s="30">
        <f>[1]Source!AM4170</f>
        <v>0.46</v>
      </c>
      <c r="G4471" s="31" t="s">
        <v>739</v>
      </c>
      <c r="H4471" s="29">
        <f>[1]Source!AV4171</f>
        <v>1.0469999999999999</v>
      </c>
      <c r="I4471" s="30">
        <f>[1]Source!Q4170</f>
        <v>52.53</v>
      </c>
      <c r="J4471" s="29">
        <f>IF([1]Source!BB4171&lt;&gt; 0, [1]Source!BB4171, 1)</f>
        <v>11.7</v>
      </c>
      <c r="K4471" s="30">
        <f>[1]Source!Q4171</f>
        <v>614.6</v>
      </c>
    </row>
    <row r="4472" spans="1:29" ht="27.6" hidden="1" x14ac:dyDescent="0.25">
      <c r="A4472" s="27" t="s">
        <v>833</v>
      </c>
      <c r="B4472" s="27" t="str">
        <f>[1]Source!F4172</f>
        <v>1.3-2-7</v>
      </c>
      <c r="C4472" s="27" t="s">
        <v>752</v>
      </c>
      <c r="D4472" s="28" t="str">
        <f>[1]Source!H4172</f>
        <v>м3</v>
      </c>
      <c r="E4472" s="29">
        <f>[1]Source!I4172</f>
        <v>37.085160000000002</v>
      </c>
      <c r="F4472" s="30">
        <f>[1]Source!AK4172</f>
        <v>507.97</v>
      </c>
      <c r="G4472" s="43" t="s">
        <v>54</v>
      </c>
      <c r="H4472" s="29">
        <f>[1]Source!AW4173</f>
        <v>1</v>
      </c>
      <c r="I4472" s="30">
        <f>[1]Source!O4172</f>
        <v>18838.150000000001</v>
      </c>
      <c r="J4472" s="29">
        <f>IF([1]Source!BC4173&lt;&gt; 0, [1]Source!BC4173, 1)</f>
        <v>10.98</v>
      </c>
      <c r="K4472" s="30">
        <f>[1]Source!O4173</f>
        <v>206842.89</v>
      </c>
      <c r="Q4472">
        <f>[1]Source!X4172</f>
        <v>0</v>
      </c>
      <c r="R4472">
        <f>[1]Source!X4173</f>
        <v>0</v>
      </c>
      <c r="S4472">
        <f>[1]Source!Y4172</f>
        <v>0</v>
      </c>
      <c r="T4472">
        <f>[1]Source!Y4173</f>
        <v>0</v>
      </c>
      <c r="U4472">
        <f>ROUND((175/100)*ROUND([1]Source!R4172, 2), 2)</f>
        <v>0</v>
      </c>
      <c r="V4472">
        <f>ROUND((0/100)*ROUND([1]Source!R4173, 2), 2)</f>
        <v>0</v>
      </c>
      <c r="AC4472">
        <v>3</v>
      </c>
    </row>
    <row r="4473" spans="1:29" ht="14.4" hidden="1" x14ac:dyDescent="0.25">
      <c r="A4473" s="27"/>
      <c r="B4473" s="27"/>
      <c r="C4473" s="27" t="s">
        <v>42</v>
      </c>
      <c r="D4473" s="28" t="s">
        <v>43</v>
      </c>
      <c r="E4473" s="29">
        <f>[1]Source!BZ4171</f>
        <v>101</v>
      </c>
      <c r="F4473" s="30"/>
      <c r="G4473" s="31"/>
      <c r="H4473" s="29"/>
      <c r="I4473" s="30">
        <f>SUM(Q4468:Q4472)</f>
        <v>639.88</v>
      </c>
      <c r="J4473" s="29">
        <f>[1]Source!AT4171</f>
        <v>101</v>
      </c>
      <c r="K4473" s="30">
        <f>SUM(R4468:R4472)</f>
        <v>36056.980000000003</v>
      </c>
    </row>
    <row r="4474" spans="1:29" ht="14.4" hidden="1" x14ac:dyDescent="0.25">
      <c r="A4474" s="27"/>
      <c r="B4474" s="27"/>
      <c r="C4474" s="27" t="s">
        <v>44</v>
      </c>
      <c r="D4474" s="28" t="s">
        <v>43</v>
      </c>
      <c r="E4474" s="29">
        <f>[1]Source!CA4171</f>
        <v>55</v>
      </c>
      <c r="F4474" s="30"/>
      <c r="G4474" s="31"/>
      <c r="H4474" s="29"/>
      <c r="I4474" s="30">
        <f>SUM(S4468:S4473)</f>
        <v>348.45</v>
      </c>
      <c r="J4474" s="29">
        <f>[1]Source!AU4171</f>
        <v>55</v>
      </c>
      <c r="K4474" s="30">
        <f>SUM(T4468:T4473)</f>
        <v>19634.990000000002</v>
      </c>
    </row>
    <row r="4475" spans="1:29" ht="27.6" hidden="1" x14ac:dyDescent="0.25">
      <c r="A4475" s="34"/>
      <c r="B4475" s="34"/>
      <c r="C4475" s="34" t="s">
        <v>45</v>
      </c>
      <c r="D4475" s="35" t="s">
        <v>46</v>
      </c>
      <c r="E4475" s="36">
        <f>[1]Source!AQ4170</f>
        <v>0.44</v>
      </c>
      <c r="F4475" s="37"/>
      <c r="G4475" s="38" t="s">
        <v>738</v>
      </c>
      <c r="H4475" s="36">
        <f>[1]Source!AV4171</f>
        <v>1.0469999999999999</v>
      </c>
      <c r="I4475" s="37">
        <f>[1]Source!U4170</f>
        <v>46.22835349439999</v>
      </c>
      <c r="J4475" s="36"/>
      <c r="K4475" s="37"/>
    </row>
    <row r="4476" spans="1:29" ht="13.8" hidden="1" x14ac:dyDescent="0.25">
      <c r="C4476" s="39" t="s">
        <v>47</v>
      </c>
      <c r="H4476" s="40">
        <f>I4470+I4471+I4473+I4474+SUM(I4472:I4472)-SUMIF(AC4472:AC4472, 5, I4472:I4472)-SUMIF(AC4472:AC4472, 6, I4472:I4472)</f>
        <v>20512.550000000003</v>
      </c>
      <c r="I4476" s="40"/>
      <c r="J4476" s="40">
        <f>K4470+K4471+K4473+K4474+SUM(K4472:K4472)-SUMIF(AC4472:AC4472, 5, K4472:K4472)-SUMIF(AC4472:AC4472, 6, K4472:K4472)</f>
        <v>298849.44</v>
      </c>
      <c r="K4476" s="40"/>
    </row>
    <row r="4477" spans="1:29" ht="13.8" hidden="1" x14ac:dyDescent="0.25">
      <c r="C4477" s="39" t="s">
        <v>48</v>
      </c>
      <c r="H4477" s="41">
        <f>SUMIF(AC4472:AC4472, 5, I4472:I4472)+SUMIF(AC4472:AC4472, 6, I4472:I4472)</f>
        <v>0</v>
      </c>
      <c r="I4477" s="41"/>
      <c r="J4477" s="41">
        <f>SUMIF(AC4472:AC4472, 5, K4472:K4472)+SUMIF(AC4472:AC4472, 6, K4472:K4472)</f>
        <v>0</v>
      </c>
      <c r="K4477" s="41"/>
    </row>
    <row r="4478" spans="1:29" ht="13.8" hidden="1" x14ac:dyDescent="0.25">
      <c r="C4478" s="39" t="s">
        <v>49</v>
      </c>
      <c r="H4478" s="41">
        <f>I4470+I4471+I4473+I4474+SUM(I4472:I4472)</f>
        <v>20512.550000000003</v>
      </c>
      <c r="I4478" s="41"/>
      <c r="J4478" s="41">
        <f>K4470+K4471+K4473+K4474+SUM(K4472:K4472)</f>
        <v>298849.44</v>
      </c>
      <c r="K4478" s="41"/>
      <c r="O4478" s="42">
        <f>I4470+I4471+I4473+I4474+SUM(I4472:I4472)</f>
        <v>20512.550000000003</v>
      </c>
      <c r="P4478" s="42">
        <f>K4470+K4471+K4473+K4474+SUM(K4472:K4472)</f>
        <v>298849.44</v>
      </c>
    </row>
    <row r="4479" spans="1:29" hidden="1" x14ac:dyDescent="0.25"/>
    <row r="4480" spans="1:29" ht="27.6" hidden="1" x14ac:dyDescent="0.25">
      <c r="A4480" s="27">
        <v>425</v>
      </c>
      <c r="B4480" s="27" t="str">
        <f>[1]Source!F4174</f>
        <v>3.70-43-6</v>
      </c>
      <c r="C4480" s="27" t="s">
        <v>723</v>
      </c>
      <c r="D4480" s="28" t="str">
        <f>[1]Source!H4174</f>
        <v>1 Т</v>
      </c>
      <c r="E4480" s="29">
        <f>[1]Source!I4174</f>
        <v>1.8865000000000001</v>
      </c>
      <c r="F4480" s="30"/>
      <c r="G4480" s="31"/>
      <c r="H4480" s="29"/>
      <c r="I4480" s="30"/>
      <c r="J4480" s="29"/>
      <c r="K4480" s="30"/>
      <c r="Q4480">
        <f>[1]Source!X4174</f>
        <v>466.35</v>
      </c>
      <c r="R4480">
        <f>[1]Source!X4175</f>
        <v>26278.71</v>
      </c>
      <c r="S4480">
        <f>[1]Source!Y4174</f>
        <v>248.38</v>
      </c>
      <c r="T4480">
        <f>[1]Source!Y4175</f>
        <v>13996.27</v>
      </c>
      <c r="U4480">
        <f>ROUND((175/100)*ROUND([1]Source!R4174, 2), 2)</f>
        <v>26.23</v>
      </c>
      <c r="V4480">
        <f>ROUND((0/100)*ROUND([1]Source!R4175, 2), 2)</f>
        <v>0</v>
      </c>
      <c r="AC4480">
        <v>0</v>
      </c>
    </row>
    <row r="4481" spans="1:29" hidden="1" x14ac:dyDescent="0.25">
      <c r="C4481" s="32" t="str">
        <f>"Объем: "&amp;[1]Source!I4174&amp;"=(2,75*"&amp;"686)/"&amp;"1000"</f>
        <v>Объем: 1,8865=(2,75*686)/1000</v>
      </c>
    </row>
    <row r="4482" spans="1:29" ht="14.4" hidden="1" x14ac:dyDescent="0.25">
      <c r="A4482" s="27"/>
      <c r="B4482" s="27"/>
      <c r="C4482" s="27" t="s">
        <v>36</v>
      </c>
      <c r="D4482" s="28"/>
      <c r="E4482" s="29"/>
      <c r="F4482" s="30">
        <f>[1]Source!AO4174</f>
        <v>180.47</v>
      </c>
      <c r="G4482" s="31" t="s">
        <v>37</v>
      </c>
      <c r="H4482" s="29">
        <f>[1]Source!AV4175</f>
        <v>1.0469999999999999</v>
      </c>
      <c r="I4482" s="30">
        <f>[1]Source!S4174</f>
        <v>491.91</v>
      </c>
      <c r="J4482" s="29">
        <f>IF([1]Source!BA4175&lt;&gt; 0, [1]Source!BA4175, 1)</f>
        <v>56.35</v>
      </c>
      <c r="K4482" s="30">
        <f>[1]Source!S4175</f>
        <v>27719.13</v>
      </c>
    </row>
    <row r="4483" spans="1:29" ht="14.4" hidden="1" x14ac:dyDescent="0.25">
      <c r="A4483" s="27"/>
      <c r="B4483" s="27"/>
      <c r="C4483" s="27" t="s">
        <v>38</v>
      </c>
      <c r="D4483" s="28"/>
      <c r="E4483" s="29"/>
      <c r="F4483" s="30">
        <f>[1]Source!AM4174</f>
        <v>43.5</v>
      </c>
      <c r="G4483" s="31" t="s">
        <v>39</v>
      </c>
      <c r="H4483" s="29">
        <f>[1]Source!AV4175</f>
        <v>1.0469999999999999</v>
      </c>
      <c r="I4483" s="30">
        <f>[1]Source!Q4174</f>
        <v>128.88</v>
      </c>
      <c r="J4483" s="29">
        <f>IF([1]Source!BB4175&lt;&gt; 0, [1]Source!BB4175, 1)</f>
        <v>15.44</v>
      </c>
      <c r="K4483" s="30">
        <f>[1]Source!Q4175</f>
        <v>1989.91</v>
      </c>
    </row>
    <row r="4484" spans="1:29" ht="14.4" hidden="1" x14ac:dyDescent="0.25">
      <c r="A4484" s="27"/>
      <c r="B4484" s="27"/>
      <c r="C4484" s="27" t="s">
        <v>40</v>
      </c>
      <c r="D4484" s="28"/>
      <c r="E4484" s="29"/>
      <c r="F4484" s="30">
        <f>[1]Source!AN4174</f>
        <v>5.0599999999999996</v>
      </c>
      <c r="G4484" s="31" t="s">
        <v>39</v>
      </c>
      <c r="H4484" s="29">
        <f>[1]Source!AV4175</f>
        <v>1.0469999999999999</v>
      </c>
      <c r="I4484" s="33">
        <f>[1]Source!R4174</f>
        <v>14.99</v>
      </c>
      <c r="J4484" s="29">
        <f>IF([1]Source!BS4175&lt;&gt; 0, [1]Source!BS4175, 1)</f>
        <v>56.35</v>
      </c>
      <c r="K4484" s="33">
        <f>[1]Source!R4175</f>
        <v>844.69</v>
      </c>
    </row>
    <row r="4485" spans="1:29" ht="14.4" hidden="1" x14ac:dyDescent="0.25">
      <c r="A4485" s="27"/>
      <c r="B4485" s="27"/>
      <c r="C4485" s="27" t="s">
        <v>41</v>
      </c>
      <c r="D4485" s="28"/>
      <c r="E4485" s="29"/>
      <c r="F4485" s="30">
        <f>[1]Source!AL4174</f>
        <v>258.67</v>
      </c>
      <c r="G4485" s="31"/>
      <c r="H4485" s="29">
        <f>[1]Source!AW4175</f>
        <v>1.022</v>
      </c>
      <c r="I4485" s="30">
        <f>[1]Source!P4174</f>
        <v>498.72</v>
      </c>
      <c r="J4485" s="29">
        <f>IF([1]Source!BC4175&lt;&gt; 0, [1]Source!BC4175, 1)</f>
        <v>7.5</v>
      </c>
      <c r="K4485" s="30">
        <f>[1]Source!P4175</f>
        <v>3740.4</v>
      </c>
    </row>
    <row r="4486" spans="1:29" ht="55.2" hidden="1" x14ac:dyDescent="0.25">
      <c r="A4486" s="27" t="s">
        <v>834</v>
      </c>
      <c r="B4486" s="27" t="str">
        <f>[1]Source!F4176</f>
        <v>1.3-4-75</v>
      </c>
      <c r="C4486" s="27" t="s">
        <v>725</v>
      </c>
      <c r="D4486" s="28" t="str">
        <f>[1]Source!H4176</f>
        <v>т</v>
      </c>
      <c r="E4486" s="29">
        <f>[1]Source!I4176</f>
        <v>1.8865000000000001</v>
      </c>
      <c r="F4486" s="30">
        <f>[1]Source!AK4176</f>
        <v>9724.69</v>
      </c>
      <c r="G4486" s="43" t="s">
        <v>54</v>
      </c>
      <c r="H4486" s="29">
        <f>[1]Source!AW4177</f>
        <v>1.022</v>
      </c>
      <c r="I4486" s="30">
        <f>[1]Source!O4176</f>
        <v>18749.23</v>
      </c>
      <c r="J4486" s="29">
        <f>IF([1]Source!BC4177&lt;&gt; 0, [1]Source!BC4177, 1)</f>
        <v>3.88</v>
      </c>
      <c r="K4486" s="30">
        <f>[1]Source!O4177</f>
        <v>72747.009999999995</v>
      </c>
      <c r="Q4486">
        <f>[1]Source!X4176</f>
        <v>0</v>
      </c>
      <c r="R4486">
        <f>[1]Source!X4177</f>
        <v>0</v>
      </c>
      <c r="S4486">
        <f>[1]Source!Y4176</f>
        <v>0</v>
      </c>
      <c r="T4486">
        <f>[1]Source!Y4177</f>
        <v>0</v>
      </c>
      <c r="U4486">
        <f>ROUND((175/100)*ROUND([1]Source!R4176, 2), 2)</f>
        <v>0</v>
      </c>
      <c r="V4486">
        <f>ROUND((0/100)*ROUND([1]Source!R4177, 2), 2)</f>
        <v>0</v>
      </c>
      <c r="AC4486">
        <v>3</v>
      </c>
    </row>
    <row r="4487" spans="1:29" ht="14.4" hidden="1" x14ac:dyDescent="0.25">
      <c r="A4487" s="27"/>
      <c r="B4487" s="27"/>
      <c r="C4487" s="27" t="s">
        <v>42</v>
      </c>
      <c r="D4487" s="28" t="s">
        <v>43</v>
      </c>
      <c r="E4487" s="29">
        <f>[1]Source!BZ4175</f>
        <v>92</v>
      </c>
      <c r="F4487" s="30"/>
      <c r="G4487" s="31"/>
      <c r="H4487" s="29"/>
      <c r="I4487" s="30">
        <f>SUM(Q4480:Q4486)</f>
        <v>466.35</v>
      </c>
      <c r="J4487" s="29">
        <f>[1]Source!AT4175</f>
        <v>92</v>
      </c>
      <c r="K4487" s="30">
        <f>SUM(R4480:R4486)</f>
        <v>26278.71</v>
      </c>
    </row>
    <row r="4488" spans="1:29" ht="14.4" hidden="1" x14ac:dyDescent="0.25">
      <c r="A4488" s="27"/>
      <c r="B4488" s="27"/>
      <c r="C4488" s="27" t="s">
        <v>44</v>
      </c>
      <c r="D4488" s="28" t="s">
        <v>43</v>
      </c>
      <c r="E4488" s="29">
        <f>[1]Source!CA4175</f>
        <v>49</v>
      </c>
      <c r="F4488" s="30"/>
      <c r="G4488" s="31"/>
      <c r="H4488" s="29"/>
      <c r="I4488" s="30">
        <f>SUM(S4480:S4487)</f>
        <v>248.38</v>
      </c>
      <c r="J4488" s="29">
        <f>[1]Source!AU4175</f>
        <v>49</v>
      </c>
      <c r="K4488" s="30">
        <f>SUM(T4480:T4487)</f>
        <v>13996.27</v>
      </c>
    </row>
    <row r="4489" spans="1:29" ht="14.4" hidden="1" x14ac:dyDescent="0.25">
      <c r="A4489" s="34"/>
      <c r="B4489" s="34"/>
      <c r="C4489" s="34" t="s">
        <v>45</v>
      </c>
      <c r="D4489" s="35" t="s">
        <v>46</v>
      </c>
      <c r="E4489" s="36">
        <f>[1]Source!AQ4174</f>
        <v>11.6</v>
      </c>
      <c r="F4489" s="37"/>
      <c r="G4489" s="38" t="s">
        <v>37</v>
      </c>
      <c r="H4489" s="36">
        <f>[1]Source!AV4175</f>
        <v>1.0469999999999999</v>
      </c>
      <c r="I4489" s="37">
        <f>[1]Source!U4174</f>
        <v>31.61844932399999</v>
      </c>
      <c r="J4489" s="36"/>
      <c r="K4489" s="37"/>
    </row>
    <row r="4490" spans="1:29" ht="13.8" hidden="1" x14ac:dyDescent="0.25">
      <c r="C4490" s="39" t="s">
        <v>47</v>
      </c>
      <c r="H4490" s="40">
        <f>I4482+I4483+I4485+I4487+I4488+SUM(I4486:I4486)-SUMIF(AC4486:AC4486, 5, I4486:I4486)-SUMIF(AC4486:AC4486, 6, I4486:I4486)</f>
        <v>20583.47</v>
      </c>
      <c r="I4490" s="40"/>
      <c r="J4490" s="40">
        <f>K4482+K4483+K4485+K4487+K4488+SUM(K4486:K4486)-SUMIF(AC4486:AC4486, 5, K4486:K4486)-SUMIF(AC4486:AC4486, 6, K4486:K4486)</f>
        <v>146471.43</v>
      </c>
      <c r="K4490" s="40"/>
    </row>
    <row r="4491" spans="1:29" ht="13.8" hidden="1" x14ac:dyDescent="0.25">
      <c r="C4491" s="39" t="s">
        <v>48</v>
      </c>
      <c r="H4491" s="41">
        <f>SUMIF(AC4486:AC4486, 5, I4486:I4486)+SUMIF(AC4486:AC4486, 6, I4486:I4486)</f>
        <v>0</v>
      </c>
      <c r="I4491" s="41"/>
      <c r="J4491" s="41">
        <f>SUMIF(AC4486:AC4486, 5, K4486:K4486)+SUMIF(AC4486:AC4486, 6, K4486:K4486)</f>
        <v>0</v>
      </c>
      <c r="K4491" s="41"/>
    </row>
    <row r="4492" spans="1:29" ht="13.8" hidden="1" x14ac:dyDescent="0.25">
      <c r="C4492" s="39" t="s">
        <v>49</v>
      </c>
      <c r="H4492" s="41">
        <f>I4482+I4483+I4485+I4487+I4488+SUM(I4486:I4486)</f>
        <v>20583.47</v>
      </c>
      <c r="I4492" s="41"/>
      <c r="J4492" s="41">
        <f>K4482+K4483+K4485+K4487+K4488+SUM(K4486:K4486)</f>
        <v>146471.43</v>
      </c>
      <c r="K4492" s="41"/>
      <c r="O4492" s="42">
        <f>I4482+I4483+I4485+I4487+I4488+SUM(I4486:I4486)</f>
        <v>20583.47</v>
      </c>
      <c r="P4492" s="42">
        <f>K4482+K4483+K4485+K4487+K4488+SUM(K4486:K4486)</f>
        <v>146471.43</v>
      </c>
    </row>
    <row r="4493" spans="1:29" hidden="1" x14ac:dyDescent="0.25"/>
    <row r="4494" spans="1:29" ht="57.6" hidden="1" x14ac:dyDescent="0.25">
      <c r="A4494" s="27">
        <v>426</v>
      </c>
      <c r="B4494" s="27" t="str">
        <f>[1]Source!F4178</f>
        <v>3.70-202-1</v>
      </c>
      <c r="C4494" s="27" t="s">
        <v>782</v>
      </c>
      <c r="D4494" s="28" t="str">
        <f>[1]Source!H4178</f>
        <v>100 м2 покрытия</v>
      </c>
      <c r="E4494" s="29">
        <f>[1]Source!I4178</f>
        <v>6.86</v>
      </c>
      <c r="F4494" s="30"/>
      <c r="G4494" s="31"/>
      <c r="H4494" s="29"/>
      <c r="I4494" s="30"/>
      <c r="J4494" s="29"/>
      <c r="K4494" s="30"/>
      <c r="Q4494">
        <f>[1]Source!X4178</f>
        <v>6190.07</v>
      </c>
      <c r="R4494">
        <f>[1]Source!X4179</f>
        <v>348810.32</v>
      </c>
      <c r="S4494">
        <f>[1]Source!Y4178</f>
        <v>3370.83</v>
      </c>
      <c r="T4494">
        <f>[1]Source!Y4179</f>
        <v>189946.21</v>
      </c>
      <c r="U4494">
        <f>ROUND((175/100)*ROUND([1]Source!R4178, 2), 2)</f>
        <v>159.5</v>
      </c>
      <c r="V4494">
        <f>ROUND((0/100)*ROUND([1]Source!R4179, 2), 2)</f>
        <v>0</v>
      </c>
      <c r="AC4494">
        <v>0</v>
      </c>
    </row>
    <row r="4495" spans="1:29" hidden="1" x14ac:dyDescent="0.25">
      <c r="C4495" s="32" t="str">
        <f>"Объем: "&amp;[1]Source!I4178&amp;"=686/"&amp;"100"</f>
        <v>Объем: 6,86=686/100</v>
      </c>
    </row>
    <row r="4496" spans="1:29" ht="14.4" hidden="1" x14ac:dyDescent="0.25">
      <c r="A4496" s="27"/>
      <c r="B4496" s="27"/>
      <c r="C4496" s="27" t="s">
        <v>36</v>
      </c>
      <c r="D4496" s="28"/>
      <c r="E4496" s="29"/>
      <c r="F4496" s="30">
        <f>[1]Source!AO4178</f>
        <v>609.14</v>
      </c>
      <c r="G4496" s="31" t="s">
        <v>37</v>
      </c>
      <c r="H4496" s="29">
        <f>[1]Source!AV4179</f>
        <v>1.0469999999999999</v>
      </c>
      <c r="I4496" s="30">
        <f>[1]Source!S4178</f>
        <v>6037.64</v>
      </c>
      <c r="J4496" s="29">
        <f>IF([1]Source!BA4179&lt;&gt; 0, [1]Source!BA4179, 1)</f>
        <v>56.35</v>
      </c>
      <c r="K4496" s="30">
        <f>[1]Source!S4179</f>
        <v>340221.01</v>
      </c>
    </row>
    <row r="4497" spans="1:43" ht="14.4" hidden="1" x14ac:dyDescent="0.25">
      <c r="A4497" s="27"/>
      <c r="B4497" s="27"/>
      <c r="C4497" s="27" t="s">
        <v>38</v>
      </c>
      <c r="D4497" s="28"/>
      <c r="E4497" s="29"/>
      <c r="F4497" s="30">
        <f>[1]Source!AM4178</f>
        <v>55.68</v>
      </c>
      <c r="G4497" s="31" t="s">
        <v>39</v>
      </c>
      <c r="H4497" s="29">
        <f>[1]Source!AV4179</f>
        <v>1.0469999999999999</v>
      </c>
      <c r="I4497" s="30">
        <f>[1]Source!Q4178</f>
        <v>599.88</v>
      </c>
      <c r="J4497" s="29">
        <f>IF([1]Source!BB4179&lt;&gt; 0, [1]Source!BB4179, 1)</f>
        <v>17.07</v>
      </c>
      <c r="K4497" s="30">
        <f>[1]Source!Q4179</f>
        <v>10239.950000000001</v>
      </c>
    </row>
    <row r="4498" spans="1:43" ht="14.4" hidden="1" x14ac:dyDescent="0.25">
      <c r="A4498" s="27"/>
      <c r="B4498" s="27"/>
      <c r="C4498" s="27" t="s">
        <v>40</v>
      </c>
      <c r="D4498" s="28"/>
      <c r="E4498" s="29"/>
      <c r="F4498" s="30">
        <f>[1]Source!AN4178</f>
        <v>8.4600000000000009</v>
      </c>
      <c r="G4498" s="31" t="s">
        <v>39</v>
      </c>
      <c r="H4498" s="29">
        <f>[1]Source!AV4179</f>
        <v>1.0469999999999999</v>
      </c>
      <c r="I4498" s="33">
        <f>[1]Source!R4178</f>
        <v>91.14</v>
      </c>
      <c r="J4498" s="29">
        <f>IF([1]Source!BS4179&lt;&gt; 0, [1]Source!BS4179, 1)</f>
        <v>56.35</v>
      </c>
      <c r="K4498" s="33">
        <f>[1]Source!R4179</f>
        <v>5135.74</v>
      </c>
    </row>
    <row r="4499" spans="1:43" ht="14.4" hidden="1" x14ac:dyDescent="0.25">
      <c r="A4499" s="27"/>
      <c r="B4499" s="27"/>
      <c r="C4499" s="27" t="s">
        <v>41</v>
      </c>
      <c r="D4499" s="28"/>
      <c r="E4499" s="29"/>
      <c r="F4499" s="30">
        <f>[1]Source!AL4178</f>
        <v>0.81</v>
      </c>
      <c r="G4499" s="31"/>
      <c r="H4499" s="29">
        <f>[1]Source!AW4179</f>
        <v>1</v>
      </c>
      <c r="I4499" s="30">
        <f>[1]Source!P4178</f>
        <v>5.56</v>
      </c>
      <c r="J4499" s="29">
        <f>IF([1]Source!BC4179&lt;&gt; 0, [1]Source!BC4179, 1)</f>
        <v>14.57</v>
      </c>
      <c r="K4499" s="30">
        <f>[1]Source!P4179</f>
        <v>81.010000000000005</v>
      </c>
    </row>
    <row r="4500" spans="1:43" ht="27.6" hidden="1" x14ac:dyDescent="0.25">
      <c r="A4500" s="27" t="s">
        <v>835</v>
      </c>
      <c r="B4500" s="27" t="str">
        <f>[1]Source!F4180</f>
        <v>1.1-1-389</v>
      </c>
      <c r="C4500" s="27" t="s">
        <v>784</v>
      </c>
      <c r="D4500" s="28" t="str">
        <f>[1]Source!H4180</f>
        <v>т</v>
      </c>
      <c r="E4500" s="29">
        <f>[1]Source!I4180</f>
        <v>0.34300000000000003</v>
      </c>
      <c r="F4500" s="30">
        <f>[1]Source!AK4180</f>
        <v>43314.81</v>
      </c>
      <c r="G4500" s="43" t="s">
        <v>54</v>
      </c>
      <c r="H4500" s="29">
        <f>[1]Source!AW4181</f>
        <v>1</v>
      </c>
      <c r="I4500" s="30">
        <f>[1]Source!O4180</f>
        <v>14856.98</v>
      </c>
      <c r="J4500" s="29">
        <f>IF([1]Source!BC4181&lt;&gt; 0, [1]Source!BC4181, 1)</f>
        <v>2.11</v>
      </c>
      <c r="K4500" s="30">
        <f>[1]Source!O4181</f>
        <v>31348.23</v>
      </c>
      <c r="Q4500">
        <f>[1]Source!X4180</f>
        <v>0</v>
      </c>
      <c r="R4500">
        <f>[1]Source!X4181</f>
        <v>0</v>
      </c>
      <c r="S4500">
        <f>[1]Source!Y4180</f>
        <v>0</v>
      </c>
      <c r="T4500">
        <f>[1]Source!Y4181</f>
        <v>0</v>
      </c>
      <c r="U4500">
        <f>ROUND((175/100)*ROUND([1]Source!R4180, 2), 2)</f>
        <v>0</v>
      </c>
      <c r="V4500">
        <f>ROUND((0/100)*ROUND([1]Source!R4181, 2), 2)</f>
        <v>0</v>
      </c>
      <c r="AC4500">
        <v>3</v>
      </c>
    </row>
    <row r="4501" spans="1:43" ht="40.799999999999997" x14ac:dyDescent="0.25">
      <c r="A4501" s="53" t="s">
        <v>836</v>
      </c>
      <c r="B4501" s="53" t="str">
        <f>[1]Source!F4182</f>
        <v>КА-188</v>
      </c>
      <c r="C4501" s="53" t="s">
        <v>814</v>
      </c>
      <c r="D4501" s="54" t="str">
        <f>[1]Source!H4182</f>
        <v>м2</v>
      </c>
      <c r="E4501" s="55">
        <f>[1]Source!I4182</f>
        <v>734.02</v>
      </c>
      <c r="F4501" s="30">
        <f>[1]Source!AK4182</f>
        <v>200.78</v>
      </c>
      <c r="G4501" s="43" t="s">
        <v>54</v>
      </c>
      <c r="H4501" s="29">
        <f>[1]Source!AW4183</f>
        <v>1</v>
      </c>
      <c r="I4501" s="30">
        <f>[1]Source!O4182</f>
        <v>147376.54</v>
      </c>
      <c r="J4501" s="29">
        <f>IF([1]Source!BC4183&lt;&gt; 0, [1]Source!BC4183, 1)</f>
        <v>9.84</v>
      </c>
      <c r="K4501" s="56">
        <f>[1]Source!O4183</f>
        <v>1450185.15</v>
      </c>
      <c r="L4501">
        <v>2363</v>
      </c>
      <c r="M4501" s="50">
        <f>L4501*E4501</f>
        <v>1734489.26</v>
      </c>
      <c r="N4501" s="59" t="s">
        <v>180</v>
      </c>
      <c r="Q4501">
        <f>[1]Source!X4182</f>
        <v>0</v>
      </c>
      <c r="R4501">
        <f>[1]Source!X4183</f>
        <v>0</v>
      </c>
      <c r="S4501">
        <f>[1]Source!Y4182</f>
        <v>0</v>
      </c>
      <c r="T4501">
        <f>[1]Source!Y4183</f>
        <v>0</v>
      </c>
      <c r="U4501">
        <f>ROUND((175/100)*ROUND([1]Source!R4182, 2), 2)</f>
        <v>0</v>
      </c>
      <c r="V4501">
        <f>ROUND((0/100)*ROUND([1]Source!R4183, 2), 2)</f>
        <v>0</v>
      </c>
      <c r="AC4501">
        <v>3</v>
      </c>
    </row>
    <row r="4502" spans="1:43" ht="14.4" hidden="1" x14ac:dyDescent="0.25">
      <c r="A4502" s="27"/>
      <c r="B4502" s="27"/>
      <c r="C4502" s="27" t="s">
        <v>42</v>
      </c>
      <c r="D4502" s="28" t="s">
        <v>43</v>
      </c>
      <c r="E4502" s="29">
        <f>[1]Source!BZ4179</f>
        <v>101</v>
      </c>
      <c r="F4502" s="30"/>
      <c r="G4502" s="31"/>
      <c r="H4502" s="29"/>
      <c r="I4502" s="30">
        <f>SUM(Q4494:Q4501)</f>
        <v>6190.07</v>
      </c>
      <c r="J4502" s="29">
        <f>[1]Source!AT4179</f>
        <v>101</v>
      </c>
      <c r="K4502" s="30">
        <f>SUM(R4494:R4501)</f>
        <v>348810.32</v>
      </c>
    </row>
    <row r="4503" spans="1:43" ht="14.4" hidden="1" x14ac:dyDescent="0.25">
      <c r="A4503" s="27"/>
      <c r="B4503" s="27"/>
      <c r="C4503" s="27" t="s">
        <v>44</v>
      </c>
      <c r="D4503" s="28" t="s">
        <v>43</v>
      </c>
      <c r="E4503" s="29">
        <f>[1]Source!CA4179</f>
        <v>55</v>
      </c>
      <c r="F4503" s="30"/>
      <c r="G4503" s="31"/>
      <c r="H4503" s="29"/>
      <c r="I4503" s="30">
        <f>SUM(S4494:S4502)</f>
        <v>3370.83</v>
      </c>
      <c r="J4503" s="29">
        <f>[1]Source!AU4179</f>
        <v>55</v>
      </c>
      <c r="K4503" s="30">
        <f>SUM(T4494:T4502)</f>
        <v>189946.21</v>
      </c>
    </row>
    <row r="4504" spans="1:43" ht="14.4" hidden="1" x14ac:dyDescent="0.25">
      <c r="A4504" s="34"/>
      <c r="B4504" s="34"/>
      <c r="C4504" s="34" t="s">
        <v>45</v>
      </c>
      <c r="D4504" s="35" t="s">
        <v>46</v>
      </c>
      <c r="E4504" s="36">
        <f>[1]Source!AQ4178</f>
        <v>38.200000000000003</v>
      </c>
      <c r="F4504" s="37"/>
      <c r="G4504" s="38" t="s">
        <v>37</v>
      </c>
      <c r="H4504" s="36">
        <f>[1]Source!AV4179</f>
        <v>1.0469999999999999</v>
      </c>
      <c r="I4504" s="37">
        <f>[1]Source!U4178</f>
        <v>378.62845272000004</v>
      </c>
      <c r="J4504" s="36"/>
      <c r="K4504" s="37"/>
    </row>
    <row r="4505" spans="1:43" ht="13.8" hidden="1" x14ac:dyDescent="0.25">
      <c r="C4505" s="39" t="s">
        <v>47</v>
      </c>
      <c r="H4505" s="40">
        <f>I4496+I4497+I4499+I4502+I4503+SUM(I4500:I4501)-SUMIF(AC4500:AC4501, 5, I4500:I4501)-SUMIF(AC4500:AC4501, 6, I4500:I4501)</f>
        <v>178437.50000000003</v>
      </c>
      <c r="I4505" s="40"/>
      <c r="J4505" s="40">
        <f>K4496+K4497+K4499+K4502+K4503+SUM(K4500:K4501)-SUMIF(AC4500:AC4501, 5, K4500:K4501)-SUMIF(AC4500:AC4501, 6, K4500:K4501)</f>
        <v>2370831.88</v>
      </c>
      <c r="K4505" s="40"/>
    </row>
    <row r="4506" spans="1:43" ht="13.8" hidden="1" x14ac:dyDescent="0.25">
      <c r="C4506" s="39" t="s">
        <v>48</v>
      </c>
      <c r="H4506" s="41">
        <f>SUMIF(AC4500:AC4501, 5, I4500:I4501)+SUMIF(AC4500:AC4501, 6, I4500:I4501)</f>
        <v>0</v>
      </c>
      <c r="I4506" s="41"/>
      <c r="J4506" s="41">
        <f>SUMIF(AC4500:AC4501, 5, K4500:K4501)+SUMIF(AC4500:AC4501, 6, K4500:K4501)</f>
        <v>0</v>
      </c>
      <c r="K4506" s="41"/>
    </row>
    <row r="4507" spans="1:43" ht="13.8" hidden="1" x14ac:dyDescent="0.25">
      <c r="C4507" s="39" t="s">
        <v>49</v>
      </c>
      <c r="H4507" s="41">
        <f>I4496+I4497+I4499+I4502+I4503+SUM(I4500:I4501)</f>
        <v>178437.50000000003</v>
      </c>
      <c r="I4507" s="41"/>
      <c r="J4507" s="41">
        <f>K4496+K4497+K4499+K4502+K4503+SUM(K4500:K4501)</f>
        <v>2370831.88</v>
      </c>
      <c r="K4507" s="41"/>
      <c r="O4507" s="42">
        <f>I4496+I4497+I4499+I4502+I4503+SUM(I4500:I4501)</f>
        <v>178437.50000000003</v>
      </c>
      <c r="P4507" s="42">
        <f>K4496+K4497+K4499+K4502+K4503+SUM(K4500:K4501)</f>
        <v>2370831.88</v>
      </c>
    </row>
    <row r="4508" spans="1:43" hidden="1" x14ac:dyDescent="0.25"/>
    <row r="4509" spans="1:43" hidden="1" x14ac:dyDescent="0.25"/>
    <row r="4510" spans="1:43" ht="13.8" hidden="1" x14ac:dyDescent="0.25">
      <c r="A4510" s="44" t="str">
        <f>CONCATENATE("Итого по подразделу: ",IF([1]Source!G4185&lt;&gt;"Новый подраздел", [1]Source!G4185, ""))</f>
        <v>Итого по подразделу: Третий  этаж. Кварц-виниловая дизайн-плитка 500х500 мм</v>
      </c>
      <c r="B4510" s="44"/>
      <c r="C4510" s="44"/>
      <c r="D4510" s="44"/>
      <c r="E4510" s="44"/>
      <c r="F4510" s="44"/>
      <c r="G4510" s="44"/>
      <c r="H4510" s="41">
        <f>SUM(O4454:O4509)</f>
        <v>235089.44000000003</v>
      </c>
      <c r="I4510" s="45"/>
      <c r="J4510" s="41">
        <f>SUM(P4454:P4509)</f>
        <v>3361087.38</v>
      </c>
      <c r="K4510" s="45"/>
      <c r="AQ4510" s="52" t="str">
        <f>CONCATENATE("Итого по подразделу: ",IF([1]Source!G4185&lt;&gt;"Новый подраздел", [1]Source!G4185, ""))</f>
        <v>Итого по подразделу: Третий  этаж. Кварц-виниловая дизайн-плитка 500х500 мм</v>
      </c>
    </row>
    <row r="4511" spans="1:43" hidden="1" x14ac:dyDescent="0.25">
      <c r="A4511" t="s">
        <v>55</v>
      </c>
      <c r="I4511">
        <f>SUM(W4454:W4510)</f>
        <v>0</v>
      </c>
      <c r="J4511">
        <f>SUM(X4454:X4510)</f>
        <v>0</v>
      </c>
    </row>
    <row r="4512" spans="1:43" hidden="1" x14ac:dyDescent="0.25">
      <c r="A4512" t="s">
        <v>56</v>
      </c>
      <c r="I4512">
        <f>SUM(Y4454:Y4511)</f>
        <v>0</v>
      </c>
      <c r="J4512">
        <f>SUM(Z4454:Z4511)</f>
        <v>0</v>
      </c>
    </row>
    <row r="4513" spans="1:29" hidden="1" x14ac:dyDescent="0.25"/>
    <row r="4514" spans="1:29" ht="16.8" hidden="1" x14ac:dyDescent="0.25">
      <c r="A4514" s="11" t="str">
        <f>CONCATENATE("Подраздел: ",IF([1]Source!G4215&lt;&gt;"Новый подраздел", [1]Source!G4215, ""))</f>
        <v>Подраздел: Третий  этаж. Керамогранит 600х600 мм</v>
      </c>
      <c r="B4514" s="11"/>
      <c r="C4514" s="11"/>
      <c r="D4514" s="11"/>
      <c r="E4514" s="11"/>
      <c r="F4514" s="11"/>
      <c r="G4514" s="11"/>
      <c r="H4514" s="11"/>
      <c r="I4514" s="11"/>
      <c r="J4514" s="11"/>
      <c r="K4514" s="11"/>
    </row>
    <row r="4515" spans="1:29" ht="57.6" hidden="1" x14ac:dyDescent="0.25">
      <c r="A4515" s="27">
        <v>427</v>
      </c>
      <c r="B4515" s="27" t="str">
        <f>[1]Source!F4219</f>
        <v>3.70-159-1</v>
      </c>
      <c r="C4515" s="27" t="s">
        <v>147</v>
      </c>
      <c r="D4515" s="28" t="str">
        <f>[1]Source!H4219</f>
        <v>100 м2 стяжки</v>
      </c>
      <c r="E4515" s="29">
        <f>[1]Source!I4219</f>
        <v>0.7</v>
      </c>
      <c r="F4515" s="30"/>
      <c r="G4515" s="31"/>
      <c r="H4515" s="29"/>
      <c r="I4515" s="30"/>
      <c r="J4515" s="29"/>
      <c r="K4515" s="30"/>
      <c r="Q4515">
        <f>[1]Source!X4219</f>
        <v>332.45</v>
      </c>
      <c r="R4515">
        <f>[1]Source!X4220</f>
        <v>18733.650000000001</v>
      </c>
      <c r="S4515">
        <f>[1]Source!Y4219</f>
        <v>181.04</v>
      </c>
      <c r="T4515">
        <f>[1]Source!Y4220</f>
        <v>10201.49</v>
      </c>
      <c r="U4515">
        <f>ROUND((175/100)*ROUND([1]Source!R4219, 2), 2)</f>
        <v>0</v>
      </c>
      <c r="V4515">
        <f>ROUND((0/100)*ROUND([1]Source!R4220, 2), 2)</f>
        <v>0</v>
      </c>
      <c r="AC4515">
        <v>0</v>
      </c>
    </row>
    <row r="4516" spans="1:29" hidden="1" x14ac:dyDescent="0.25">
      <c r="C4516" s="32" t="str">
        <f>"Объем: "&amp;[1]Source!I4219&amp;"=70/"&amp;"100"</f>
        <v>Объем: 0,7=70/100</v>
      </c>
    </row>
    <row r="4517" spans="1:29" ht="14.4" hidden="1" x14ac:dyDescent="0.25">
      <c r="A4517" s="27"/>
      <c r="B4517" s="27"/>
      <c r="C4517" s="27" t="s">
        <v>36</v>
      </c>
      <c r="D4517" s="28"/>
      <c r="E4517" s="29"/>
      <c r="F4517" s="30">
        <f>[1]Source!AO4219</f>
        <v>325.45</v>
      </c>
      <c r="G4517" s="31" t="s">
        <v>37</v>
      </c>
      <c r="H4517" s="29">
        <f>[1]Source!AV4220</f>
        <v>1.0469999999999999</v>
      </c>
      <c r="I4517" s="30">
        <f>[1]Source!S4219</f>
        <v>329.16</v>
      </c>
      <c r="J4517" s="29">
        <f>IF([1]Source!BA4220&lt;&gt; 0, [1]Source!BA4220, 1)</f>
        <v>56.35</v>
      </c>
      <c r="K4517" s="30">
        <f>[1]Source!S4220</f>
        <v>18548.169999999998</v>
      </c>
    </row>
    <row r="4518" spans="1:29" ht="14.4" hidden="1" x14ac:dyDescent="0.25">
      <c r="A4518" s="27"/>
      <c r="B4518" s="27"/>
      <c r="C4518" s="27" t="s">
        <v>38</v>
      </c>
      <c r="D4518" s="28"/>
      <c r="E4518" s="29"/>
      <c r="F4518" s="30">
        <f>[1]Source!AM4219</f>
        <v>1.8</v>
      </c>
      <c r="G4518" s="31" t="s">
        <v>39</v>
      </c>
      <c r="H4518" s="29">
        <f>[1]Source!AV4220</f>
        <v>1.0469999999999999</v>
      </c>
      <c r="I4518" s="30">
        <f>[1]Source!Q4219</f>
        <v>1.98</v>
      </c>
      <c r="J4518" s="29">
        <f>IF([1]Source!BB4220&lt;&gt; 0, [1]Source!BB4220, 1)</f>
        <v>11.69</v>
      </c>
      <c r="K4518" s="30">
        <f>[1]Source!Q4220</f>
        <v>23.15</v>
      </c>
    </row>
    <row r="4519" spans="1:29" ht="14.4" hidden="1" x14ac:dyDescent="0.25">
      <c r="A4519" s="27"/>
      <c r="B4519" s="27"/>
      <c r="C4519" s="27" t="s">
        <v>41</v>
      </c>
      <c r="D4519" s="28"/>
      <c r="E4519" s="29"/>
      <c r="F4519" s="30">
        <f>[1]Source!AL4219</f>
        <v>24.75</v>
      </c>
      <c r="G4519" s="31"/>
      <c r="H4519" s="29">
        <f>[1]Source!AW4220</f>
        <v>1</v>
      </c>
      <c r="I4519" s="30">
        <f>[1]Source!P4219</f>
        <v>17.329999999999998</v>
      </c>
      <c r="J4519" s="29">
        <f>IF([1]Source!BC4220&lt;&gt; 0, [1]Source!BC4220, 1)</f>
        <v>7.75</v>
      </c>
      <c r="K4519" s="30">
        <f>[1]Source!P4220</f>
        <v>134.31</v>
      </c>
    </row>
    <row r="4520" spans="1:29" ht="27.6" hidden="1" x14ac:dyDescent="0.25">
      <c r="A4520" s="27" t="s">
        <v>837</v>
      </c>
      <c r="B4520" s="27" t="str">
        <f>[1]Source!F4221</f>
        <v>1.3-2-7</v>
      </c>
      <c r="C4520" s="27" t="s">
        <v>752</v>
      </c>
      <c r="D4520" s="28" t="str">
        <f>[1]Source!H4221</f>
        <v>м3</v>
      </c>
      <c r="E4520" s="29">
        <f>[1]Source!I4221</f>
        <v>1.4279999999999999</v>
      </c>
      <c r="F4520" s="30">
        <f>[1]Source!AK4221</f>
        <v>507.97</v>
      </c>
      <c r="G4520" s="43" t="s">
        <v>54</v>
      </c>
      <c r="H4520" s="29">
        <f>[1]Source!AW4222</f>
        <v>1</v>
      </c>
      <c r="I4520" s="30">
        <f>[1]Source!O4221</f>
        <v>725.38</v>
      </c>
      <c r="J4520" s="29">
        <f>IF([1]Source!BC4222&lt;&gt; 0, [1]Source!BC4222, 1)</f>
        <v>10.98</v>
      </c>
      <c r="K4520" s="30">
        <f>[1]Source!O4222</f>
        <v>7964.67</v>
      </c>
      <c r="Q4520">
        <f>[1]Source!X4221</f>
        <v>0</v>
      </c>
      <c r="R4520">
        <f>[1]Source!X4222</f>
        <v>0</v>
      </c>
      <c r="S4520">
        <f>[1]Source!Y4221</f>
        <v>0</v>
      </c>
      <c r="T4520">
        <f>[1]Source!Y4222</f>
        <v>0</v>
      </c>
      <c r="U4520">
        <f>ROUND((175/100)*ROUND([1]Source!R4221, 2), 2)</f>
        <v>0</v>
      </c>
      <c r="V4520">
        <f>ROUND((0/100)*ROUND([1]Source!R4222, 2), 2)</f>
        <v>0</v>
      </c>
      <c r="AC4520">
        <v>3</v>
      </c>
    </row>
    <row r="4521" spans="1:29" ht="14.4" hidden="1" x14ac:dyDescent="0.25">
      <c r="A4521" s="27"/>
      <c r="B4521" s="27"/>
      <c r="C4521" s="27" t="s">
        <v>42</v>
      </c>
      <c r="D4521" s="28" t="s">
        <v>43</v>
      </c>
      <c r="E4521" s="29">
        <f>[1]Source!BZ4220</f>
        <v>101</v>
      </c>
      <c r="F4521" s="30"/>
      <c r="G4521" s="31"/>
      <c r="H4521" s="29"/>
      <c r="I4521" s="30">
        <f>SUM(Q4515:Q4520)</f>
        <v>332.45</v>
      </c>
      <c r="J4521" s="29">
        <f>[1]Source!AT4220</f>
        <v>101</v>
      </c>
      <c r="K4521" s="30">
        <f>SUM(R4515:R4520)</f>
        <v>18733.650000000001</v>
      </c>
    </row>
    <row r="4522" spans="1:29" ht="14.4" hidden="1" x14ac:dyDescent="0.25">
      <c r="A4522" s="27"/>
      <c r="B4522" s="27"/>
      <c r="C4522" s="27" t="s">
        <v>44</v>
      </c>
      <c r="D4522" s="28" t="s">
        <v>43</v>
      </c>
      <c r="E4522" s="29">
        <f>[1]Source!CA4220</f>
        <v>55</v>
      </c>
      <c r="F4522" s="30"/>
      <c r="G4522" s="31"/>
      <c r="H4522" s="29"/>
      <c r="I4522" s="30">
        <f>SUM(S4515:S4521)</f>
        <v>181.04</v>
      </c>
      <c r="J4522" s="29">
        <f>[1]Source!AU4220</f>
        <v>55</v>
      </c>
      <c r="K4522" s="30">
        <f>SUM(T4515:T4521)</f>
        <v>10201.49</v>
      </c>
    </row>
    <row r="4523" spans="1:29" ht="14.4" hidden="1" x14ac:dyDescent="0.25">
      <c r="A4523" s="34"/>
      <c r="B4523" s="34"/>
      <c r="C4523" s="34" t="s">
        <v>45</v>
      </c>
      <c r="D4523" s="35" t="s">
        <v>46</v>
      </c>
      <c r="E4523" s="36">
        <f>[1]Source!AQ4219</f>
        <v>23.33</v>
      </c>
      <c r="F4523" s="37"/>
      <c r="G4523" s="38" t="s">
        <v>37</v>
      </c>
      <c r="H4523" s="36">
        <f>[1]Source!AV4220</f>
        <v>1.0469999999999999</v>
      </c>
      <c r="I4523" s="37">
        <f>[1]Source!U4219</f>
        <v>23.596008659999992</v>
      </c>
      <c r="J4523" s="36"/>
      <c r="K4523" s="37"/>
    </row>
    <row r="4524" spans="1:29" ht="13.8" hidden="1" x14ac:dyDescent="0.25">
      <c r="C4524" s="39" t="s">
        <v>47</v>
      </c>
      <c r="H4524" s="40">
        <f>I4517+I4518+I4519+I4521+I4522+SUM(I4520:I4520)-SUMIF(AC4520:AC4520, 5, I4520:I4520)-SUMIF(AC4520:AC4520, 6, I4520:I4520)</f>
        <v>1587.3400000000001</v>
      </c>
      <c r="I4524" s="40"/>
      <c r="J4524" s="40">
        <f>K4517+K4518+K4519+K4521+K4522+SUM(K4520:K4520)-SUMIF(AC4520:AC4520, 5, K4520:K4520)-SUMIF(AC4520:AC4520, 6, K4520:K4520)</f>
        <v>55605.439999999995</v>
      </c>
      <c r="K4524" s="40"/>
    </row>
    <row r="4525" spans="1:29" ht="13.8" hidden="1" x14ac:dyDescent="0.25">
      <c r="C4525" s="39" t="s">
        <v>48</v>
      </c>
      <c r="H4525" s="41">
        <f>SUMIF(AC4520:AC4520, 5, I4520:I4520)+SUMIF(AC4520:AC4520, 6, I4520:I4520)</f>
        <v>0</v>
      </c>
      <c r="I4525" s="41"/>
      <c r="J4525" s="41">
        <f>SUMIF(AC4520:AC4520, 5, K4520:K4520)+SUMIF(AC4520:AC4520, 6, K4520:K4520)</f>
        <v>0</v>
      </c>
      <c r="K4525" s="41"/>
    </row>
    <row r="4526" spans="1:29" ht="13.8" hidden="1" x14ac:dyDescent="0.25">
      <c r="C4526" s="39" t="s">
        <v>49</v>
      </c>
      <c r="H4526" s="41">
        <f>I4517+I4518+I4519+I4521+I4522+SUM(I4520:I4520)</f>
        <v>1587.3400000000001</v>
      </c>
      <c r="I4526" s="41"/>
      <c r="J4526" s="41">
        <f>K4517+K4518+K4519+K4521+K4522+SUM(K4520:K4520)</f>
        <v>55605.439999999995</v>
      </c>
      <c r="K4526" s="41"/>
      <c r="O4526" s="42">
        <f>I4517+I4518+I4519+I4521+I4522+SUM(I4520:I4520)</f>
        <v>1587.3400000000001</v>
      </c>
      <c r="P4526" s="42">
        <f>K4517+K4518+K4519+K4521+K4522+SUM(K4520:K4520)</f>
        <v>55605.439999999995</v>
      </c>
    </row>
    <row r="4527" spans="1:29" hidden="1" x14ac:dyDescent="0.25"/>
    <row r="4528" spans="1:29" ht="57.6" hidden="1" x14ac:dyDescent="0.25">
      <c r="A4528" s="27">
        <v>428</v>
      </c>
      <c r="B4528" s="27" t="str">
        <f>[1]Source!F4223</f>
        <v>3.70-159-2</v>
      </c>
      <c r="C4528" s="27" t="s">
        <v>719</v>
      </c>
      <c r="D4528" s="28" t="str">
        <f>[1]Source!H4223</f>
        <v>100 м2 стяжки</v>
      </c>
      <c r="E4528" s="29">
        <f>[1]Source!I4223</f>
        <v>0.7</v>
      </c>
      <c r="F4528" s="30"/>
      <c r="G4528" s="31"/>
      <c r="H4528" s="29"/>
      <c r="I4528" s="30"/>
      <c r="J4528" s="29"/>
      <c r="K4528" s="30"/>
      <c r="Q4528">
        <f>[1]Source!X4223</f>
        <v>24.64</v>
      </c>
      <c r="R4528">
        <f>[1]Source!X4224</f>
        <v>1388.69</v>
      </c>
      <c r="S4528">
        <f>[1]Source!Y4223</f>
        <v>13.42</v>
      </c>
      <c r="T4528">
        <f>[1]Source!Y4224</f>
        <v>756.22</v>
      </c>
      <c r="U4528">
        <f>ROUND((175/100)*ROUND([1]Source!R4223, 2), 2)</f>
        <v>0</v>
      </c>
      <c r="V4528">
        <f>ROUND((0/100)*ROUND([1]Source!R4224, 2), 2)</f>
        <v>0</v>
      </c>
      <c r="AC4528">
        <v>0</v>
      </c>
    </row>
    <row r="4529" spans="1:29" hidden="1" x14ac:dyDescent="0.25">
      <c r="C4529" s="32" t="str">
        <f>"Объем: "&amp;[1]Source!I4223&amp;"=70/"&amp;"100"</f>
        <v>Объем: 0,7=70/100</v>
      </c>
    </row>
    <row r="4530" spans="1:29" ht="14.4" hidden="1" x14ac:dyDescent="0.25">
      <c r="A4530" s="27"/>
      <c r="B4530" s="27"/>
      <c r="C4530" s="27" t="s">
        <v>36</v>
      </c>
      <c r="D4530" s="28"/>
      <c r="E4530" s="29"/>
      <c r="F4530" s="30">
        <f>[1]Source!AO4223</f>
        <v>6.03</v>
      </c>
      <c r="G4530" s="31" t="s">
        <v>838</v>
      </c>
      <c r="H4530" s="29">
        <f>[1]Source!AV4224</f>
        <v>1.0469999999999999</v>
      </c>
      <c r="I4530" s="30">
        <f>[1]Source!S4223</f>
        <v>24.4</v>
      </c>
      <c r="J4530" s="29">
        <f>IF([1]Source!BA4224&lt;&gt; 0, [1]Source!BA4224, 1)</f>
        <v>56.35</v>
      </c>
      <c r="K4530" s="30">
        <f>[1]Source!S4224</f>
        <v>1374.94</v>
      </c>
    </row>
    <row r="4531" spans="1:29" ht="14.4" hidden="1" x14ac:dyDescent="0.25">
      <c r="A4531" s="27"/>
      <c r="B4531" s="27"/>
      <c r="C4531" s="27" t="s">
        <v>38</v>
      </c>
      <c r="D4531" s="28"/>
      <c r="E4531" s="29"/>
      <c r="F4531" s="30">
        <f>[1]Source!AM4223</f>
        <v>0.46</v>
      </c>
      <c r="G4531" s="31" t="s">
        <v>839</v>
      </c>
      <c r="H4531" s="29">
        <f>[1]Source!AV4224</f>
        <v>1.0469999999999999</v>
      </c>
      <c r="I4531" s="30">
        <f>[1]Source!Q4223</f>
        <v>2.02</v>
      </c>
      <c r="J4531" s="29">
        <f>IF([1]Source!BB4224&lt;&gt; 0, [1]Source!BB4224, 1)</f>
        <v>11.7</v>
      </c>
      <c r="K4531" s="30">
        <f>[1]Source!Q4224</f>
        <v>23.63</v>
      </c>
    </row>
    <row r="4532" spans="1:29" ht="27.6" hidden="1" x14ac:dyDescent="0.25">
      <c r="A4532" s="27" t="s">
        <v>840</v>
      </c>
      <c r="B4532" s="27" t="str">
        <f>[1]Source!F4225</f>
        <v>1.3-2-7</v>
      </c>
      <c r="C4532" s="27" t="s">
        <v>752</v>
      </c>
      <c r="D4532" s="28" t="str">
        <f>[1]Source!H4225</f>
        <v>м3</v>
      </c>
      <c r="E4532" s="29">
        <f>[1]Source!I4225</f>
        <v>1.4279999999999999</v>
      </c>
      <c r="F4532" s="30">
        <f>[1]Source!AK4225</f>
        <v>507.97</v>
      </c>
      <c r="G4532" s="43" t="s">
        <v>54</v>
      </c>
      <c r="H4532" s="29">
        <f>[1]Source!AW4226</f>
        <v>1</v>
      </c>
      <c r="I4532" s="30">
        <f>[1]Source!O4225</f>
        <v>725.38</v>
      </c>
      <c r="J4532" s="29">
        <f>IF([1]Source!BC4226&lt;&gt; 0, [1]Source!BC4226, 1)</f>
        <v>10.98</v>
      </c>
      <c r="K4532" s="30">
        <f>[1]Source!O4226</f>
        <v>7964.67</v>
      </c>
      <c r="Q4532">
        <f>[1]Source!X4225</f>
        <v>0</v>
      </c>
      <c r="R4532">
        <f>[1]Source!X4226</f>
        <v>0</v>
      </c>
      <c r="S4532">
        <f>[1]Source!Y4225</f>
        <v>0</v>
      </c>
      <c r="T4532">
        <f>[1]Source!Y4226</f>
        <v>0</v>
      </c>
      <c r="U4532">
        <f>ROUND((175/100)*ROUND([1]Source!R4225, 2), 2)</f>
        <v>0</v>
      </c>
      <c r="V4532">
        <f>ROUND((0/100)*ROUND([1]Source!R4226, 2), 2)</f>
        <v>0</v>
      </c>
      <c r="AC4532">
        <v>3</v>
      </c>
    </row>
    <row r="4533" spans="1:29" ht="14.4" hidden="1" x14ac:dyDescent="0.25">
      <c r="A4533" s="27"/>
      <c r="B4533" s="27"/>
      <c r="C4533" s="27" t="s">
        <v>42</v>
      </c>
      <c r="D4533" s="28" t="s">
        <v>43</v>
      </c>
      <c r="E4533" s="29">
        <f>[1]Source!BZ4224</f>
        <v>101</v>
      </c>
      <c r="F4533" s="30"/>
      <c r="G4533" s="31"/>
      <c r="H4533" s="29"/>
      <c r="I4533" s="30">
        <f>SUM(Q4528:Q4532)</f>
        <v>24.64</v>
      </c>
      <c r="J4533" s="29">
        <f>[1]Source!AT4224</f>
        <v>101</v>
      </c>
      <c r="K4533" s="30">
        <f>SUM(R4528:R4532)</f>
        <v>1388.69</v>
      </c>
    </row>
    <row r="4534" spans="1:29" ht="14.4" hidden="1" x14ac:dyDescent="0.25">
      <c r="A4534" s="27"/>
      <c r="B4534" s="27"/>
      <c r="C4534" s="27" t="s">
        <v>44</v>
      </c>
      <c r="D4534" s="28" t="s">
        <v>43</v>
      </c>
      <c r="E4534" s="29">
        <f>[1]Source!CA4224</f>
        <v>55</v>
      </c>
      <c r="F4534" s="30"/>
      <c r="G4534" s="31"/>
      <c r="H4534" s="29"/>
      <c r="I4534" s="30">
        <f>SUM(S4528:S4533)</f>
        <v>13.42</v>
      </c>
      <c r="J4534" s="29">
        <f>[1]Source!AU4224</f>
        <v>55</v>
      </c>
      <c r="K4534" s="30">
        <f>SUM(T4528:T4533)</f>
        <v>756.22</v>
      </c>
    </row>
    <row r="4535" spans="1:29" ht="14.4" hidden="1" x14ac:dyDescent="0.25">
      <c r="A4535" s="34"/>
      <c r="B4535" s="34"/>
      <c r="C4535" s="34" t="s">
        <v>45</v>
      </c>
      <c r="D4535" s="35" t="s">
        <v>46</v>
      </c>
      <c r="E4535" s="36">
        <f>[1]Source!AQ4223</f>
        <v>0.44</v>
      </c>
      <c r="F4535" s="37"/>
      <c r="G4535" s="38" t="s">
        <v>838</v>
      </c>
      <c r="H4535" s="36">
        <f>[1]Source!AV4224</f>
        <v>1.0469999999999999</v>
      </c>
      <c r="I4535" s="37">
        <f>[1]Source!U4223</f>
        <v>1.7800675199999996</v>
      </c>
      <c r="J4535" s="36"/>
      <c r="K4535" s="37"/>
    </row>
    <row r="4536" spans="1:29" ht="13.8" hidden="1" x14ac:dyDescent="0.25">
      <c r="C4536" s="39" t="s">
        <v>47</v>
      </c>
      <c r="H4536" s="40">
        <f>I4530+I4531+I4533+I4534+SUM(I4532:I4532)-SUMIF(AC4532:AC4532, 5, I4532:I4532)-SUMIF(AC4532:AC4532, 6, I4532:I4532)</f>
        <v>789.86</v>
      </c>
      <c r="I4536" s="40"/>
      <c r="J4536" s="40">
        <f>K4530+K4531+K4533+K4534+SUM(K4532:K4532)-SUMIF(AC4532:AC4532, 5, K4532:K4532)-SUMIF(AC4532:AC4532, 6, K4532:K4532)</f>
        <v>11508.150000000001</v>
      </c>
      <c r="K4536" s="40"/>
    </row>
    <row r="4537" spans="1:29" ht="13.8" hidden="1" x14ac:dyDescent="0.25">
      <c r="C4537" s="39" t="s">
        <v>48</v>
      </c>
      <c r="H4537" s="41">
        <f>SUMIF(AC4532:AC4532, 5, I4532:I4532)+SUMIF(AC4532:AC4532, 6, I4532:I4532)</f>
        <v>0</v>
      </c>
      <c r="I4537" s="41"/>
      <c r="J4537" s="41">
        <f>SUMIF(AC4532:AC4532, 5, K4532:K4532)+SUMIF(AC4532:AC4532, 6, K4532:K4532)</f>
        <v>0</v>
      </c>
      <c r="K4537" s="41"/>
    </row>
    <row r="4538" spans="1:29" ht="13.8" hidden="1" x14ac:dyDescent="0.25">
      <c r="C4538" s="39" t="s">
        <v>49</v>
      </c>
      <c r="H4538" s="41">
        <f>I4530+I4531+I4533+I4534+SUM(I4532:I4532)</f>
        <v>789.86</v>
      </c>
      <c r="I4538" s="41"/>
      <c r="J4538" s="41">
        <f>K4530+K4531+K4533+K4534+SUM(K4532:K4532)</f>
        <v>11508.150000000001</v>
      </c>
      <c r="K4538" s="41"/>
      <c r="O4538" s="42">
        <f>I4530+I4531+I4533+I4534+SUM(I4532:I4532)</f>
        <v>789.86</v>
      </c>
      <c r="P4538" s="42">
        <f>K4530+K4531+K4533+K4534+SUM(K4532:K4532)</f>
        <v>11508.150000000001</v>
      </c>
    </row>
    <row r="4539" spans="1:29" hidden="1" x14ac:dyDescent="0.25"/>
    <row r="4540" spans="1:29" ht="27.6" hidden="1" x14ac:dyDescent="0.25">
      <c r="A4540" s="27">
        <v>429</v>
      </c>
      <c r="B4540" s="27" t="str">
        <f>[1]Source!F4227</f>
        <v>3.70-43-6</v>
      </c>
      <c r="C4540" s="27" t="s">
        <v>723</v>
      </c>
      <c r="D4540" s="28" t="str">
        <f>[1]Source!H4227</f>
        <v>1 Т</v>
      </c>
      <c r="E4540" s="29">
        <f>[1]Source!I4227</f>
        <v>0.1925</v>
      </c>
      <c r="F4540" s="30"/>
      <c r="G4540" s="31"/>
      <c r="H4540" s="29"/>
      <c r="I4540" s="30"/>
      <c r="J4540" s="29"/>
      <c r="K4540" s="30"/>
      <c r="Q4540">
        <f>[1]Source!X4227</f>
        <v>47.59</v>
      </c>
      <c r="R4540">
        <f>[1]Source!X4228</f>
        <v>2681.79</v>
      </c>
      <c r="S4540">
        <f>[1]Source!Y4227</f>
        <v>25.35</v>
      </c>
      <c r="T4540">
        <f>[1]Source!Y4228</f>
        <v>1428.35</v>
      </c>
      <c r="U4540">
        <f>ROUND((175/100)*ROUND([1]Source!R4227, 2), 2)</f>
        <v>2.68</v>
      </c>
      <c r="V4540">
        <f>ROUND((0/100)*ROUND([1]Source!R4228, 2), 2)</f>
        <v>0</v>
      </c>
      <c r="AC4540">
        <v>0</v>
      </c>
    </row>
    <row r="4541" spans="1:29" hidden="1" x14ac:dyDescent="0.25">
      <c r="C4541" s="32" t="str">
        <f>"Объем: "&amp;[1]Source!I4227&amp;"=(2,75*"&amp;"70)/"&amp;"1000"</f>
        <v>Объем: 0,1925=(2,75*70)/1000</v>
      </c>
    </row>
    <row r="4542" spans="1:29" ht="14.4" hidden="1" x14ac:dyDescent="0.25">
      <c r="A4542" s="27"/>
      <c r="B4542" s="27"/>
      <c r="C4542" s="27" t="s">
        <v>36</v>
      </c>
      <c r="D4542" s="28"/>
      <c r="E4542" s="29"/>
      <c r="F4542" s="30">
        <f>[1]Source!AO4227</f>
        <v>180.47</v>
      </c>
      <c r="G4542" s="31" t="s">
        <v>37</v>
      </c>
      <c r="H4542" s="29">
        <f>[1]Source!AV4228</f>
        <v>1.0469999999999999</v>
      </c>
      <c r="I4542" s="30">
        <f>[1]Source!S4227</f>
        <v>50.2</v>
      </c>
      <c r="J4542" s="29">
        <f>IF([1]Source!BA4228&lt;&gt; 0, [1]Source!BA4228, 1)</f>
        <v>56.35</v>
      </c>
      <c r="K4542" s="30">
        <f>[1]Source!S4228</f>
        <v>2828.77</v>
      </c>
    </row>
    <row r="4543" spans="1:29" ht="14.4" hidden="1" x14ac:dyDescent="0.25">
      <c r="A4543" s="27"/>
      <c r="B4543" s="27"/>
      <c r="C4543" s="27" t="s">
        <v>38</v>
      </c>
      <c r="D4543" s="28"/>
      <c r="E4543" s="29"/>
      <c r="F4543" s="30">
        <f>[1]Source!AM4227</f>
        <v>43.5</v>
      </c>
      <c r="G4543" s="31" t="s">
        <v>39</v>
      </c>
      <c r="H4543" s="29">
        <f>[1]Source!AV4228</f>
        <v>1.0469999999999999</v>
      </c>
      <c r="I4543" s="30">
        <f>[1]Source!Q4227</f>
        <v>13.15</v>
      </c>
      <c r="J4543" s="29">
        <f>IF([1]Source!BB4228&lt;&gt; 0, [1]Source!BB4228, 1)</f>
        <v>15.44</v>
      </c>
      <c r="K4543" s="30">
        <f>[1]Source!Q4228</f>
        <v>203.04</v>
      </c>
    </row>
    <row r="4544" spans="1:29" ht="14.4" hidden="1" x14ac:dyDescent="0.25">
      <c r="A4544" s="27"/>
      <c r="B4544" s="27"/>
      <c r="C4544" s="27" t="s">
        <v>40</v>
      </c>
      <c r="D4544" s="28"/>
      <c r="E4544" s="29"/>
      <c r="F4544" s="30">
        <f>[1]Source!AN4227</f>
        <v>5.0599999999999996</v>
      </c>
      <c r="G4544" s="31" t="s">
        <v>39</v>
      </c>
      <c r="H4544" s="29">
        <f>[1]Source!AV4228</f>
        <v>1.0469999999999999</v>
      </c>
      <c r="I4544" s="33">
        <f>[1]Source!R4227</f>
        <v>1.53</v>
      </c>
      <c r="J4544" s="29">
        <f>IF([1]Source!BS4228&lt;&gt; 0, [1]Source!BS4228, 1)</f>
        <v>56.35</v>
      </c>
      <c r="K4544" s="33">
        <f>[1]Source!R4228</f>
        <v>86.22</v>
      </c>
    </row>
    <row r="4545" spans="1:29" ht="14.4" hidden="1" x14ac:dyDescent="0.25">
      <c r="A4545" s="27"/>
      <c r="B4545" s="27"/>
      <c r="C4545" s="27" t="s">
        <v>41</v>
      </c>
      <c r="D4545" s="28"/>
      <c r="E4545" s="29"/>
      <c r="F4545" s="30">
        <f>[1]Source!AL4227</f>
        <v>258.67</v>
      </c>
      <c r="G4545" s="31"/>
      <c r="H4545" s="29">
        <f>[1]Source!AW4228</f>
        <v>1.022</v>
      </c>
      <c r="I4545" s="30">
        <f>[1]Source!P4227</f>
        <v>50.89</v>
      </c>
      <c r="J4545" s="29">
        <f>IF([1]Source!BC4228&lt;&gt; 0, [1]Source!BC4228, 1)</f>
        <v>7.5</v>
      </c>
      <c r="K4545" s="30">
        <f>[1]Source!P4228</f>
        <v>381.68</v>
      </c>
    </row>
    <row r="4546" spans="1:29" ht="55.2" hidden="1" x14ac:dyDescent="0.25">
      <c r="A4546" s="27" t="s">
        <v>841</v>
      </c>
      <c r="B4546" s="27" t="str">
        <f>[1]Source!F4229</f>
        <v>1.3-4-75</v>
      </c>
      <c r="C4546" s="27" t="s">
        <v>725</v>
      </c>
      <c r="D4546" s="28" t="str">
        <f>[1]Source!H4229</f>
        <v>т</v>
      </c>
      <c r="E4546" s="29">
        <f>[1]Source!I4229</f>
        <v>0.1925</v>
      </c>
      <c r="F4546" s="30">
        <f>[1]Source!AK4229</f>
        <v>9724.69</v>
      </c>
      <c r="G4546" s="43" t="s">
        <v>54</v>
      </c>
      <c r="H4546" s="29">
        <f>[1]Source!AW4230</f>
        <v>1.022</v>
      </c>
      <c r="I4546" s="30">
        <f>[1]Source!O4229</f>
        <v>1913.19</v>
      </c>
      <c r="J4546" s="29">
        <f>IF([1]Source!BC4230&lt;&gt; 0, [1]Source!BC4230, 1)</f>
        <v>3.88</v>
      </c>
      <c r="K4546" s="30">
        <f>[1]Source!O4230</f>
        <v>7423.18</v>
      </c>
      <c r="Q4546">
        <f>[1]Source!X4229</f>
        <v>0</v>
      </c>
      <c r="R4546">
        <f>[1]Source!X4230</f>
        <v>0</v>
      </c>
      <c r="S4546">
        <f>[1]Source!Y4229</f>
        <v>0</v>
      </c>
      <c r="T4546">
        <f>[1]Source!Y4230</f>
        <v>0</v>
      </c>
      <c r="U4546">
        <f>ROUND((175/100)*ROUND([1]Source!R4229, 2), 2)</f>
        <v>0</v>
      </c>
      <c r="V4546">
        <f>ROUND((0/100)*ROUND([1]Source!R4230, 2), 2)</f>
        <v>0</v>
      </c>
      <c r="AC4546">
        <v>3</v>
      </c>
    </row>
    <row r="4547" spans="1:29" ht="14.4" hidden="1" x14ac:dyDescent="0.25">
      <c r="A4547" s="27"/>
      <c r="B4547" s="27"/>
      <c r="C4547" s="27" t="s">
        <v>42</v>
      </c>
      <c r="D4547" s="28" t="s">
        <v>43</v>
      </c>
      <c r="E4547" s="29">
        <f>[1]Source!BZ4228</f>
        <v>92</v>
      </c>
      <c r="F4547" s="30"/>
      <c r="G4547" s="31"/>
      <c r="H4547" s="29"/>
      <c r="I4547" s="30">
        <f>SUM(Q4540:Q4546)</f>
        <v>47.59</v>
      </c>
      <c r="J4547" s="29">
        <f>[1]Source!AT4228</f>
        <v>92</v>
      </c>
      <c r="K4547" s="30">
        <f>SUM(R4540:R4546)</f>
        <v>2681.79</v>
      </c>
    </row>
    <row r="4548" spans="1:29" ht="14.4" hidden="1" x14ac:dyDescent="0.25">
      <c r="A4548" s="27"/>
      <c r="B4548" s="27"/>
      <c r="C4548" s="27" t="s">
        <v>44</v>
      </c>
      <c r="D4548" s="28" t="s">
        <v>43</v>
      </c>
      <c r="E4548" s="29">
        <f>[1]Source!CA4228</f>
        <v>49</v>
      </c>
      <c r="F4548" s="30"/>
      <c r="G4548" s="31"/>
      <c r="H4548" s="29"/>
      <c r="I4548" s="30">
        <f>SUM(S4540:S4547)</f>
        <v>25.35</v>
      </c>
      <c r="J4548" s="29">
        <f>[1]Source!AU4228</f>
        <v>49</v>
      </c>
      <c r="K4548" s="30">
        <f>SUM(T4540:T4547)</f>
        <v>1428.35</v>
      </c>
    </row>
    <row r="4549" spans="1:29" ht="14.4" hidden="1" x14ac:dyDescent="0.25">
      <c r="A4549" s="34"/>
      <c r="B4549" s="34"/>
      <c r="C4549" s="34" t="s">
        <v>45</v>
      </c>
      <c r="D4549" s="35" t="s">
        <v>46</v>
      </c>
      <c r="E4549" s="36">
        <f>[1]Source!AQ4227</f>
        <v>11.6</v>
      </c>
      <c r="F4549" s="37"/>
      <c r="G4549" s="38" t="s">
        <v>37</v>
      </c>
      <c r="H4549" s="36">
        <f>[1]Source!AV4228</f>
        <v>1.0469999999999999</v>
      </c>
      <c r="I4549" s="37">
        <f>[1]Source!U4227</f>
        <v>3.226372379999999</v>
      </c>
      <c r="J4549" s="36"/>
      <c r="K4549" s="37"/>
    </row>
    <row r="4550" spans="1:29" ht="13.8" hidden="1" x14ac:dyDescent="0.25">
      <c r="C4550" s="39" t="s">
        <v>47</v>
      </c>
      <c r="H4550" s="40">
        <f>I4542+I4543+I4545+I4547+I4548+SUM(I4546:I4546)-SUMIF(AC4546:AC4546, 5, I4546:I4546)-SUMIF(AC4546:AC4546, 6, I4546:I4546)</f>
        <v>2100.37</v>
      </c>
      <c r="I4550" s="40"/>
      <c r="J4550" s="40">
        <f>K4542+K4543+K4545+K4547+K4548+SUM(K4546:K4546)-SUMIF(AC4546:AC4546, 5, K4546:K4546)-SUMIF(AC4546:AC4546, 6, K4546:K4546)</f>
        <v>14946.81</v>
      </c>
      <c r="K4550" s="40"/>
    </row>
    <row r="4551" spans="1:29" ht="13.8" hidden="1" x14ac:dyDescent="0.25">
      <c r="C4551" s="39" t="s">
        <v>48</v>
      </c>
      <c r="H4551" s="41">
        <f>SUMIF(AC4546:AC4546, 5, I4546:I4546)+SUMIF(AC4546:AC4546, 6, I4546:I4546)</f>
        <v>0</v>
      </c>
      <c r="I4551" s="41"/>
      <c r="J4551" s="41">
        <f>SUMIF(AC4546:AC4546, 5, K4546:K4546)+SUMIF(AC4546:AC4546, 6, K4546:K4546)</f>
        <v>0</v>
      </c>
      <c r="K4551" s="41"/>
    </row>
    <row r="4552" spans="1:29" ht="13.8" hidden="1" x14ac:dyDescent="0.25">
      <c r="C4552" s="39" t="s">
        <v>49</v>
      </c>
      <c r="H4552" s="41">
        <f>I4542+I4543+I4545+I4547+I4548+SUM(I4546:I4546)</f>
        <v>2100.37</v>
      </c>
      <c r="I4552" s="41"/>
      <c r="J4552" s="41">
        <f>K4542+K4543+K4545+K4547+K4548+SUM(K4546:K4546)</f>
        <v>14946.81</v>
      </c>
      <c r="K4552" s="41"/>
      <c r="O4552" s="42">
        <f>I4542+I4543+I4545+I4547+I4548+SUM(I4546:I4546)</f>
        <v>2100.37</v>
      </c>
      <c r="P4552" s="42">
        <f>K4542+K4543+K4545+K4547+K4548+SUM(K4546:K4546)</f>
        <v>14946.81</v>
      </c>
    </row>
    <row r="4553" spans="1:29" hidden="1" x14ac:dyDescent="0.25"/>
    <row r="4554" spans="1:29" ht="55.2" hidden="1" x14ac:dyDescent="0.25">
      <c r="A4554" s="27">
        <v>430</v>
      </c>
      <c r="B4554" s="27" t="str">
        <f>[1]Source!F4231</f>
        <v>3.70-2-1</v>
      </c>
      <c r="C4554" s="27" t="s">
        <v>726</v>
      </c>
      <c r="D4554" s="28" t="str">
        <f>[1]Source!H4231</f>
        <v>100 м2</v>
      </c>
      <c r="E4554" s="29">
        <f>[1]Source!I4231</f>
        <v>0.7</v>
      </c>
      <c r="F4554" s="30"/>
      <c r="G4554" s="31"/>
      <c r="H4554" s="29"/>
      <c r="I4554" s="30"/>
      <c r="J4554" s="29"/>
      <c r="K4554" s="30"/>
      <c r="Q4554">
        <f>[1]Source!X4231</f>
        <v>1436.37</v>
      </c>
      <c r="R4554">
        <f>[1]Source!X4232</f>
        <v>80939.520000000004</v>
      </c>
      <c r="S4554">
        <f>[1]Source!Y4231</f>
        <v>856.02</v>
      </c>
      <c r="T4554">
        <f>[1]Source!Y4232</f>
        <v>48236.68</v>
      </c>
      <c r="U4554">
        <f>ROUND((175/100)*ROUND([1]Source!R4231, 2), 2)</f>
        <v>15.49</v>
      </c>
      <c r="V4554">
        <f>ROUND((0/100)*ROUND([1]Source!R4232, 2), 2)</f>
        <v>0</v>
      </c>
      <c r="AC4554">
        <v>0</v>
      </c>
    </row>
    <row r="4555" spans="1:29" hidden="1" x14ac:dyDescent="0.25">
      <c r="C4555" s="32" t="str">
        <f>"Объем: "&amp;[1]Source!I4231&amp;"=70/"&amp;"100"</f>
        <v>Объем: 0,7=70/100</v>
      </c>
    </row>
    <row r="4556" spans="1:29" ht="14.4" hidden="1" x14ac:dyDescent="0.25">
      <c r="A4556" s="27"/>
      <c r="B4556" s="27"/>
      <c r="C4556" s="27" t="s">
        <v>36</v>
      </c>
      <c r="D4556" s="28"/>
      <c r="E4556" s="29"/>
      <c r="F4556" s="30">
        <f>[1]Source!AO4231</f>
        <v>1425.77</v>
      </c>
      <c r="G4556" s="31" t="s">
        <v>37</v>
      </c>
      <c r="H4556" s="29">
        <f>[1]Source!AV4232</f>
        <v>1.0469999999999999</v>
      </c>
      <c r="I4556" s="30">
        <f>[1]Source!S4231</f>
        <v>1442.03</v>
      </c>
      <c r="J4556" s="29">
        <f>IF([1]Source!BA4232&lt;&gt; 0, [1]Source!BA4232, 1)</f>
        <v>56.35</v>
      </c>
      <c r="K4556" s="30">
        <f>[1]Source!S4232</f>
        <v>81258.39</v>
      </c>
    </row>
    <row r="4557" spans="1:29" ht="14.4" hidden="1" x14ac:dyDescent="0.25">
      <c r="A4557" s="27"/>
      <c r="B4557" s="27"/>
      <c r="C4557" s="27" t="s">
        <v>38</v>
      </c>
      <c r="D4557" s="28"/>
      <c r="E4557" s="29"/>
      <c r="F4557" s="30">
        <f>[1]Source!AM4231</f>
        <v>9.41</v>
      </c>
      <c r="G4557" s="31" t="s">
        <v>39</v>
      </c>
      <c r="H4557" s="29">
        <f>[1]Source!AV4232</f>
        <v>1.0469999999999999</v>
      </c>
      <c r="I4557" s="30">
        <f>[1]Source!Q4231</f>
        <v>10.34</v>
      </c>
      <c r="J4557" s="29">
        <f>IF([1]Source!BB4232&lt;&gt; 0, [1]Source!BB4232, 1)</f>
        <v>54.4</v>
      </c>
      <c r="K4557" s="30">
        <f>[1]Source!Q4232</f>
        <v>562.5</v>
      </c>
    </row>
    <row r="4558" spans="1:29" ht="14.4" hidden="1" x14ac:dyDescent="0.25">
      <c r="A4558" s="27"/>
      <c r="B4558" s="27"/>
      <c r="C4558" s="27" t="s">
        <v>40</v>
      </c>
      <c r="D4558" s="28"/>
      <c r="E4558" s="29"/>
      <c r="F4558" s="30">
        <f>[1]Source!AN4231</f>
        <v>8.0500000000000007</v>
      </c>
      <c r="G4558" s="31" t="s">
        <v>39</v>
      </c>
      <c r="H4558" s="29">
        <f>[1]Source!AV4232</f>
        <v>1.0469999999999999</v>
      </c>
      <c r="I4558" s="33">
        <f>[1]Source!R4231</f>
        <v>8.85</v>
      </c>
      <c r="J4558" s="29">
        <f>IF([1]Source!BS4232&lt;&gt; 0, [1]Source!BS4232, 1)</f>
        <v>56.35</v>
      </c>
      <c r="K4558" s="33">
        <f>[1]Source!R4232</f>
        <v>498.7</v>
      </c>
    </row>
    <row r="4559" spans="1:29" ht="14.4" hidden="1" x14ac:dyDescent="0.25">
      <c r="A4559" s="27"/>
      <c r="B4559" s="27"/>
      <c r="C4559" s="27" t="s">
        <v>41</v>
      </c>
      <c r="D4559" s="28"/>
      <c r="E4559" s="29"/>
      <c r="F4559" s="30">
        <f>[1]Source!AL4231</f>
        <v>0.78</v>
      </c>
      <c r="G4559" s="31"/>
      <c r="H4559" s="29">
        <f>[1]Source!AW4232</f>
        <v>1</v>
      </c>
      <c r="I4559" s="30">
        <f>[1]Source!P4231</f>
        <v>0.55000000000000004</v>
      </c>
      <c r="J4559" s="29">
        <f>IF([1]Source!BC4232&lt;&gt; 0, [1]Source!BC4232, 1)</f>
        <v>7.73</v>
      </c>
      <c r="K4559" s="30">
        <f>[1]Source!P4232</f>
        <v>4.25</v>
      </c>
    </row>
    <row r="4560" spans="1:29" ht="276" hidden="1" x14ac:dyDescent="0.25">
      <c r="A4560" s="27" t="s">
        <v>842</v>
      </c>
      <c r="B4560" s="27" t="str">
        <f>[1]Source!F4233</f>
        <v>1.3-2-97</v>
      </c>
      <c r="C4560" s="27" t="s">
        <v>728</v>
      </c>
      <c r="D4560" s="28" t="str">
        <f>[1]Source!H4233</f>
        <v>кг</v>
      </c>
      <c r="E4560" s="29">
        <f>[1]Source!I4233</f>
        <v>218.39999999999998</v>
      </c>
      <c r="F4560" s="30">
        <f>[1]Source!AK4233</f>
        <v>12.4</v>
      </c>
      <c r="G4560" s="43" t="s">
        <v>54</v>
      </c>
      <c r="H4560" s="29">
        <f>[1]Source!AW4234</f>
        <v>1</v>
      </c>
      <c r="I4560" s="30">
        <f>[1]Source!O4233</f>
        <v>2708.16</v>
      </c>
      <c r="J4560" s="29">
        <f>IF([1]Source!BC4234&lt;&gt; 0, [1]Source!BC4234, 1)</f>
        <v>4.7300000000000004</v>
      </c>
      <c r="K4560" s="30">
        <f>[1]Source!O4234</f>
        <v>12809.6</v>
      </c>
      <c r="Q4560">
        <f>[1]Source!X4233</f>
        <v>0</v>
      </c>
      <c r="R4560">
        <f>[1]Source!X4234</f>
        <v>0</v>
      </c>
      <c r="S4560">
        <f>[1]Source!Y4233</f>
        <v>0</v>
      </c>
      <c r="T4560">
        <f>[1]Source!Y4234</f>
        <v>0</v>
      </c>
      <c r="U4560">
        <f>ROUND((175/100)*ROUND([1]Source!R4233, 2), 2)</f>
        <v>0</v>
      </c>
      <c r="V4560">
        <f>ROUND((0/100)*ROUND([1]Source!R4234, 2), 2)</f>
        <v>0</v>
      </c>
      <c r="AC4560">
        <v>3</v>
      </c>
    </row>
    <row r="4561" spans="1:29" ht="14.4" hidden="1" x14ac:dyDescent="0.25">
      <c r="A4561" s="27"/>
      <c r="B4561" s="27"/>
      <c r="C4561" s="27" t="s">
        <v>42</v>
      </c>
      <c r="D4561" s="28" t="s">
        <v>43</v>
      </c>
      <c r="E4561" s="29">
        <f>[1]Source!BZ4232</f>
        <v>99</v>
      </c>
      <c r="F4561" s="30"/>
      <c r="G4561" s="31"/>
      <c r="H4561" s="29"/>
      <c r="I4561" s="30">
        <f>SUM(Q4554:Q4560)</f>
        <v>1436.37</v>
      </c>
      <c r="J4561" s="29">
        <f>[1]Source!AT4232</f>
        <v>99</v>
      </c>
      <c r="K4561" s="30">
        <f>SUM(R4554:R4560)</f>
        <v>80939.520000000004</v>
      </c>
    </row>
    <row r="4562" spans="1:29" ht="14.4" hidden="1" x14ac:dyDescent="0.25">
      <c r="A4562" s="27"/>
      <c r="B4562" s="27"/>
      <c r="C4562" s="27" t="s">
        <v>44</v>
      </c>
      <c r="D4562" s="28" t="s">
        <v>43</v>
      </c>
      <c r="E4562" s="29">
        <f>[1]Source!CA4232</f>
        <v>59</v>
      </c>
      <c r="F4562" s="30"/>
      <c r="G4562" s="31"/>
      <c r="H4562" s="29"/>
      <c r="I4562" s="30">
        <f>SUM(S4554:S4561)</f>
        <v>856.02</v>
      </c>
      <c r="J4562" s="29">
        <f>[1]Source!AU4232</f>
        <v>59</v>
      </c>
      <c r="K4562" s="30">
        <f>SUM(T4554:T4561)</f>
        <v>48236.68</v>
      </c>
    </row>
    <row r="4563" spans="1:29" ht="14.4" hidden="1" x14ac:dyDescent="0.25">
      <c r="A4563" s="34"/>
      <c r="B4563" s="34"/>
      <c r="C4563" s="34" t="s">
        <v>45</v>
      </c>
      <c r="D4563" s="35" t="s">
        <v>46</v>
      </c>
      <c r="E4563" s="36">
        <f>[1]Source!AQ4231</f>
        <v>85.24</v>
      </c>
      <c r="F4563" s="37"/>
      <c r="G4563" s="38" t="s">
        <v>37</v>
      </c>
      <c r="H4563" s="36">
        <f>[1]Source!AV4232</f>
        <v>1.0469999999999999</v>
      </c>
      <c r="I4563" s="37">
        <f>[1]Source!U4231</f>
        <v>86.211906479999968</v>
      </c>
      <c r="J4563" s="36"/>
      <c r="K4563" s="37"/>
    </row>
    <row r="4564" spans="1:29" ht="13.8" hidden="1" x14ac:dyDescent="0.25">
      <c r="C4564" s="39" t="s">
        <v>47</v>
      </c>
      <c r="H4564" s="40">
        <f>I4556+I4557+I4559+I4561+I4562+SUM(I4560:I4560)-SUMIF(AC4560:AC4560, 5, I4560:I4560)-SUMIF(AC4560:AC4560, 6, I4560:I4560)</f>
        <v>6453.4699999999993</v>
      </c>
      <c r="I4564" s="40"/>
      <c r="J4564" s="40">
        <f>K4556+K4557+K4559+K4561+K4562+SUM(K4560:K4560)-SUMIF(AC4560:AC4560, 5, K4560:K4560)-SUMIF(AC4560:AC4560, 6, K4560:K4560)</f>
        <v>223810.94</v>
      </c>
      <c r="K4564" s="40"/>
    </row>
    <row r="4565" spans="1:29" ht="13.8" hidden="1" x14ac:dyDescent="0.25">
      <c r="C4565" s="39" t="s">
        <v>48</v>
      </c>
      <c r="H4565" s="41">
        <f>SUMIF(AC4560:AC4560, 5, I4560:I4560)+SUMIF(AC4560:AC4560, 6, I4560:I4560)</f>
        <v>0</v>
      </c>
      <c r="I4565" s="41"/>
      <c r="J4565" s="41">
        <f>SUMIF(AC4560:AC4560, 5, K4560:K4560)+SUMIF(AC4560:AC4560, 6, K4560:K4560)</f>
        <v>0</v>
      </c>
      <c r="K4565" s="41"/>
    </row>
    <row r="4566" spans="1:29" ht="13.8" hidden="1" x14ac:dyDescent="0.25">
      <c r="C4566" s="39" t="s">
        <v>49</v>
      </c>
      <c r="H4566" s="41">
        <f>I4556+I4557+I4559+I4561+I4562+SUM(I4560:I4560)</f>
        <v>6453.4699999999993</v>
      </c>
      <c r="I4566" s="41"/>
      <c r="J4566" s="41">
        <f>K4556+K4557+K4559+K4561+K4562+SUM(K4560:K4560)</f>
        <v>223810.94</v>
      </c>
      <c r="K4566" s="41"/>
      <c r="O4566" s="42">
        <f>I4556+I4557+I4559+I4561+I4562+SUM(I4560:I4560)</f>
        <v>6453.4699999999993</v>
      </c>
      <c r="P4566" s="42">
        <f>K4556+K4557+K4559+K4561+K4562+SUM(K4560:K4560)</f>
        <v>223810.94</v>
      </c>
    </row>
    <row r="4567" spans="1:29" hidden="1" x14ac:dyDescent="0.25"/>
    <row r="4568" spans="1:29" ht="69" hidden="1" x14ac:dyDescent="0.25">
      <c r="A4568" s="27">
        <v>431</v>
      </c>
      <c r="B4568" s="27" t="str">
        <f>[1]Source!F4235</f>
        <v>3.70-198-6</v>
      </c>
      <c r="C4568" s="27" t="s">
        <v>136</v>
      </c>
      <c r="D4568" s="28" t="str">
        <f>[1]Source!H4235</f>
        <v>100 м2</v>
      </c>
      <c r="E4568" s="29">
        <f>[1]Source!I4235</f>
        <v>0.7</v>
      </c>
      <c r="F4568" s="30"/>
      <c r="G4568" s="31"/>
      <c r="H4568" s="29"/>
      <c r="I4568" s="30"/>
      <c r="J4568" s="29"/>
      <c r="K4568" s="30"/>
      <c r="Q4568">
        <f>[1]Source!X4235</f>
        <v>1049.98</v>
      </c>
      <c r="R4568">
        <f>[1]Source!X4236</f>
        <v>59166.13</v>
      </c>
      <c r="S4568">
        <f>[1]Source!Y4235</f>
        <v>571.77</v>
      </c>
      <c r="T4568">
        <f>[1]Source!Y4236</f>
        <v>32219.18</v>
      </c>
      <c r="U4568">
        <f>ROUND((175/100)*ROUND([1]Source!R4235, 2), 2)</f>
        <v>26.22</v>
      </c>
      <c r="V4568">
        <f>ROUND((0/100)*ROUND([1]Source!R4236, 2), 2)</f>
        <v>0</v>
      </c>
      <c r="AC4568">
        <v>0</v>
      </c>
    </row>
    <row r="4569" spans="1:29" hidden="1" x14ac:dyDescent="0.25">
      <c r="C4569" s="32" t="str">
        <f>"Объем: "&amp;[1]Source!I4235&amp;"=70/"&amp;"100"</f>
        <v>Объем: 0,7=70/100</v>
      </c>
    </row>
    <row r="4570" spans="1:29" ht="14.4" hidden="1" x14ac:dyDescent="0.25">
      <c r="A4570" s="27"/>
      <c r="B4570" s="27"/>
      <c r="C4570" s="27" t="s">
        <v>36</v>
      </c>
      <c r="D4570" s="28"/>
      <c r="E4570" s="29"/>
      <c r="F4570" s="30">
        <f>[1]Source!AO4235</f>
        <v>1013.05</v>
      </c>
      <c r="G4570" s="31" t="s">
        <v>37</v>
      </c>
      <c r="H4570" s="29">
        <f>[1]Source!AV4236</f>
        <v>1.0469999999999999</v>
      </c>
      <c r="I4570" s="30">
        <f>[1]Source!S4235</f>
        <v>1024.5999999999999</v>
      </c>
      <c r="J4570" s="29">
        <f>IF([1]Source!BA4236&lt;&gt; 0, [1]Source!BA4236, 1)</f>
        <v>56.35</v>
      </c>
      <c r="K4570" s="30">
        <f>[1]Source!S4236</f>
        <v>57736.21</v>
      </c>
    </row>
    <row r="4571" spans="1:29" ht="14.4" hidden="1" x14ac:dyDescent="0.25">
      <c r="A4571" s="27"/>
      <c r="B4571" s="27"/>
      <c r="C4571" s="27" t="s">
        <v>38</v>
      </c>
      <c r="D4571" s="28"/>
      <c r="E4571" s="29"/>
      <c r="F4571" s="30">
        <f>[1]Source!AM4235</f>
        <v>77.48</v>
      </c>
      <c r="G4571" s="31" t="s">
        <v>39</v>
      </c>
      <c r="H4571" s="29">
        <f>[1]Source!AV4236</f>
        <v>1.0469999999999999</v>
      </c>
      <c r="I4571" s="30">
        <f>[1]Source!Q4235</f>
        <v>85.18</v>
      </c>
      <c r="J4571" s="29">
        <f>IF([1]Source!BB4236&lt;&gt; 0, [1]Source!BB4236, 1)</f>
        <v>18.91</v>
      </c>
      <c r="K4571" s="30">
        <f>[1]Source!Q4236</f>
        <v>1610.75</v>
      </c>
    </row>
    <row r="4572" spans="1:29" ht="14.4" hidden="1" x14ac:dyDescent="0.25">
      <c r="A4572" s="27"/>
      <c r="B4572" s="27"/>
      <c r="C4572" s="27" t="s">
        <v>40</v>
      </c>
      <c r="D4572" s="28"/>
      <c r="E4572" s="29"/>
      <c r="F4572" s="30">
        <f>[1]Source!AN4235</f>
        <v>13.63</v>
      </c>
      <c r="G4572" s="31" t="s">
        <v>39</v>
      </c>
      <c r="H4572" s="29">
        <f>[1]Source!AV4236</f>
        <v>1.0469999999999999</v>
      </c>
      <c r="I4572" s="33">
        <f>[1]Source!R4235</f>
        <v>14.98</v>
      </c>
      <c r="J4572" s="29">
        <f>IF([1]Source!BS4236&lt;&gt; 0, [1]Source!BS4236, 1)</f>
        <v>56.35</v>
      </c>
      <c r="K4572" s="33">
        <f>[1]Source!R4236</f>
        <v>844.12</v>
      </c>
    </row>
    <row r="4573" spans="1:29" ht="14.4" hidden="1" x14ac:dyDescent="0.25">
      <c r="A4573" s="27"/>
      <c r="B4573" s="27"/>
      <c r="C4573" s="27" t="s">
        <v>41</v>
      </c>
      <c r="D4573" s="28"/>
      <c r="E4573" s="29"/>
      <c r="F4573" s="30">
        <f>[1]Source!AL4235</f>
        <v>7.2</v>
      </c>
      <c r="G4573" s="31"/>
      <c r="H4573" s="29">
        <f>[1]Source!AW4236</f>
        <v>1</v>
      </c>
      <c r="I4573" s="30">
        <f>[1]Source!P4235</f>
        <v>5.04</v>
      </c>
      <c r="J4573" s="29">
        <f>IF([1]Source!BC4236&lt;&gt; 0, [1]Source!BC4236, 1)</f>
        <v>5.07</v>
      </c>
      <c r="K4573" s="30">
        <f>[1]Source!P4236</f>
        <v>25.55</v>
      </c>
    </row>
    <row r="4574" spans="1:29" ht="41.4" hidden="1" x14ac:dyDescent="0.25">
      <c r="A4574" s="27" t="s">
        <v>843</v>
      </c>
      <c r="B4574" s="27" t="str">
        <f>[1]Source!F4237</f>
        <v>1.1-1-8205</v>
      </c>
      <c r="C4574" s="27" t="s">
        <v>731</v>
      </c>
      <c r="D4574" s="28" t="str">
        <f>[1]Source!H4237</f>
        <v>100 шт.</v>
      </c>
      <c r="E4574" s="29">
        <f>[1]Source!I4237</f>
        <v>8.1129999999999995</v>
      </c>
      <c r="F4574" s="30">
        <f>[1]Source!AK4237</f>
        <v>4.26</v>
      </c>
      <c r="G4574" s="43" t="s">
        <v>54</v>
      </c>
      <c r="H4574" s="29">
        <f>[1]Source!AW4238</f>
        <v>1</v>
      </c>
      <c r="I4574" s="30">
        <f>[1]Source!O4237</f>
        <v>34.56</v>
      </c>
      <c r="J4574" s="29">
        <f>IF([1]Source!BC4238&lt;&gt; 0, [1]Source!BC4238, 1)</f>
        <v>9.99</v>
      </c>
      <c r="K4574" s="30">
        <f>[1]Source!O4238</f>
        <v>345.25</v>
      </c>
      <c r="Q4574">
        <f>[1]Source!X4237</f>
        <v>0</v>
      </c>
      <c r="R4574">
        <f>[1]Source!X4238</f>
        <v>0</v>
      </c>
      <c r="S4574">
        <f>[1]Source!Y4237</f>
        <v>0</v>
      </c>
      <c r="T4574">
        <f>[1]Source!Y4238</f>
        <v>0</v>
      </c>
      <c r="U4574">
        <f>ROUND((175/100)*ROUND([1]Source!R4237, 2), 2)</f>
        <v>0</v>
      </c>
      <c r="V4574">
        <f>ROUND((0/100)*ROUND([1]Source!R4238, 2), 2)</f>
        <v>0</v>
      </c>
      <c r="AC4574">
        <v>3</v>
      </c>
    </row>
    <row r="4575" spans="1:29" ht="41.4" hidden="1" x14ac:dyDescent="0.25">
      <c r="A4575" s="27" t="s">
        <v>844</v>
      </c>
      <c r="B4575" s="27" t="str">
        <f>[1]Source!F4239</f>
        <v>1.1-1-3257</v>
      </c>
      <c r="C4575" s="27" t="s">
        <v>129</v>
      </c>
      <c r="D4575" s="28" t="str">
        <f>[1]Source!H4239</f>
        <v>кг</v>
      </c>
      <c r="E4575" s="29">
        <f>[1]Source!I4239</f>
        <v>9.8000000000000007</v>
      </c>
      <c r="F4575" s="30">
        <f>[1]Source!AK4239</f>
        <v>17.3</v>
      </c>
      <c r="G4575" s="43" t="s">
        <v>54</v>
      </c>
      <c r="H4575" s="29">
        <f>[1]Source!AW4240</f>
        <v>1</v>
      </c>
      <c r="I4575" s="30">
        <f>[1]Source!O4239</f>
        <v>169.54</v>
      </c>
      <c r="J4575" s="29">
        <f>IF([1]Source!BC4240&lt;&gt; 0, [1]Source!BC4240, 1)</f>
        <v>5.93</v>
      </c>
      <c r="K4575" s="30">
        <f>[1]Source!O4240</f>
        <v>1005.37</v>
      </c>
      <c r="Q4575">
        <f>[1]Source!X4239</f>
        <v>0</v>
      </c>
      <c r="R4575">
        <f>[1]Source!X4240</f>
        <v>0</v>
      </c>
      <c r="S4575">
        <f>[1]Source!Y4239</f>
        <v>0</v>
      </c>
      <c r="T4575">
        <f>[1]Source!Y4240</f>
        <v>0</v>
      </c>
      <c r="U4575">
        <f>ROUND((175/100)*ROUND([1]Source!R4239, 2), 2)</f>
        <v>0</v>
      </c>
      <c r="V4575">
        <f>ROUND((0/100)*ROUND([1]Source!R4240, 2), 2)</f>
        <v>0</v>
      </c>
      <c r="AC4575">
        <v>3</v>
      </c>
    </row>
    <row r="4576" spans="1:29" ht="96.6" hidden="1" x14ac:dyDescent="0.25">
      <c r="A4576" s="27" t="s">
        <v>845</v>
      </c>
      <c r="B4576" s="27" t="str">
        <f>[1]Source!F4241</f>
        <v>1.3-2-50</v>
      </c>
      <c r="C4576" s="27" t="s">
        <v>131</v>
      </c>
      <c r="D4576" s="28" t="str">
        <f>[1]Source!H4241</f>
        <v>т</v>
      </c>
      <c r="E4576" s="29">
        <f>[1]Source!I4241</f>
        <v>2.7999999999999997E-2</v>
      </c>
      <c r="F4576" s="30">
        <f>[1]Source!AK4241</f>
        <v>5978.05</v>
      </c>
      <c r="G4576" s="43" t="s">
        <v>54</v>
      </c>
      <c r="H4576" s="29">
        <f>[1]Source!AW4242</f>
        <v>1</v>
      </c>
      <c r="I4576" s="30">
        <f>[1]Source!O4241</f>
        <v>167.39</v>
      </c>
      <c r="J4576" s="29">
        <f>IF([1]Source!BC4242&lt;&gt; 0, [1]Source!BC4242, 1)</f>
        <v>15.31</v>
      </c>
      <c r="K4576" s="30">
        <f>[1]Source!O4242</f>
        <v>2562.7399999999998</v>
      </c>
      <c r="Q4576">
        <f>[1]Source!X4241</f>
        <v>0</v>
      </c>
      <c r="R4576">
        <f>[1]Source!X4242</f>
        <v>0</v>
      </c>
      <c r="S4576">
        <f>[1]Source!Y4241</f>
        <v>0</v>
      </c>
      <c r="T4576">
        <f>[1]Source!Y4242</f>
        <v>0</v>
      </c>
      <c r="U4576">
        <f>ROUND((175/100)*ROUND([1]Source!R4241, 2), 2)</f>
        <v>0</v>
      </c>
      <c r="V4576">
        <f>ROUND((0/100)*ROUND([1]Source!R4242, 2), 2)</f>
        <v>0</v>
      </c>
      <c r="AC4576">
        <v>3</v>
      </c>
    </row>
    <row r="4577" spans="1:29" ht="69" hidden="1" x14ac:dyDescent="0.25">
      <c r="A4577" s="27" t="s">
        <v>846</v>
      </c>
      <c r="B4577" s="27" t="str">
        <f>[1]Source!F4243</f>
        <v>1.3-2-35</v>
      </c>
      <c r="C4577" s="27" t="s">
        <v>634</v>
      </c>
      <c r="D4577" s="28" t="str">
        <f>[1]Source!H4243</f>
        <v>т</v>
      </c>
      <c r="E4577" s="29">
        <f>[1]Source!I4243</f>
        <v>0.50451800000000002</v>
      </c>
      <c r="F4577" s="30">
        <f>[1]Source!AK4243</f>
        <v>1669.7</v>
      </c>
      <c r="G4577" s="43" t="s">
        <v>54</v>
      </c>
      <c r="H4577" s="29">
        <f>[1]Source!AW4244</f>
        <v>1</v>
      </c>
      <c r="I4577" s="30">
        <f>[1]Source!O4243</f>
        <v>842.39</v>
      </c>
      <c r="J4577" s="29">
        <f>IF([1]Source!BC4244&lt;&gt; 0, [1]Source!BC4244, 1)</f>
        <v>8</v>
      </c>
      <c r="K4577" s="30">
        <f>[1]Source!O4244</f>
        <v>6739.12</v>
      </c>
      <c r="Q4577">
        <f>[1]Source!X4243</f>
        <v>0</v>
      </c>
      <c r="R4577">
        <f>[1]Source!X4244</f>
        <v>0</v>
      </c>
      <c r="S4577">
        <f>[1]Source!Y4243</f>
        <v>0</v>
      </c>
      <c r="T4577">
        <f>[1]Source!Y4244</f>
        <v>0</v>
      </c>
      <c r="U4577">
        <f>ROUND((175/100)*ROUND([1]Source!R4243, 2), 2)</f>
        <v>0</v>
      </c>
      <c r="V4577">
        <f>ROUND((0/100)*ROUND([1]Source!R4244, 2), 2)</f>
        <v>0</v>
      </c>
      <c r="AC4577">
        <v>3</v>
      </c>
    </row>
    <row r="4578" spans="1:29" ht="55.2" hidden="1" x14ac:dyDescent="0.25">
      <c r="A4578" s="27" t="s">
        <v>847</v>
      </c>
      <c r="B4578" s="27" t="str">
        <f>[1]Source!F4245</f>
        <v>1.1-1-3225</v>
      </c>
      <c r="C4578" s="27" t="s">
        <v>126</v>
      </c>
      <c r="D4578" s="28" t="str">
        <f>[1]Source!H4245</f>
        <v>м2</v>
      </c>
      <c r="E4578" s="29">
        <f>[1]Source!I4245</f>
        <v>75.599999999999994</v>
      </c>
      <c r="F4578" s="30">
        <f>[1]Source!AK4245</f>
        <v>124.57</v>
      </c>
      <c r="G4578" s="43" t="s">
        <v>54</v>
      </c>
      <c r="H4578" s="29">
        <f>[1]Source!AW4246</f>
        <v>1</v>
      </c>
      <c r="I4578" s="30">
        <f>[1]Source!O4245</f>
        <v>9417.49</v>
      </c>
      <c r="J4578" s="29">
        <f>IF([1]Source!BC4246&lt;&gt; 0, [1]Source!BC4246, 1)</f>
        <v>6.63</v>
      </c>
      <c r="K4578" s="30">
        <f>[1]Source!O4246</f>
        <v>62437.96</v>
      </c>
      <c r="Q4578">
        <f>[1]Source!X4245</f>
        <v>0</v>
      </c>
      <c r="R4578">
        <f>[1]Source!X4246</f>
        <v>0</v>
      </c>
      <c r="S4578">
        <f>[1]Source!Y4245</f>
        <v>0</v>
      </c>
      <c r="T4578">
        <f>[1]Source!Y4246</f>
        <v>0</v>
      </c>
      <c r="U4578">
        <f>ROUND((175/100)*ROUND([1]Source!R4245, 2), 2)</f>
        <v>0</v>
      </c>
      <c r="V4578">
        <f>ROUND((0/100)*ROUND([1]Source!R4246, 2), 2)</f>
        <v>0</v>
      </c>
      <c r="AC4578">
        <v>3</v>
      </c>
    </row>
    <row r="4579" spans="1:29" ht="14.4" hidden="1" x14ac:dyDescent="0.25">
      <c r="A4579" s="27"/>
      <c r="B4579" s="27"/>
      <c r="C4579" s="27" t="s">
        <v>42</v>
      </c>
      <c r="D4579" s="28" t="s">
        <v>43</v>
      </c>
      <c r="E4579" s="29">
        <f>[1]Source!BZ4236</f>
        <v>101</v>
      </c>
      <c r="F4579" s="30"/>
      <c r="G4579" s="31"/>
      <c r="H4579" s="29"/>
      <c r="I4579" s="30">
        <f>SUM(Q4568:Q4578)</f>
        <v>1049.98</v>
      </c>
      <c r="J4579" s="29">
        <f>[1]Source!AT4236</f>
        <v>101</v>
      </c>
      <c r="K4579" s="30">
        <f>SUM(R4568:R4578)</f>
        <v>59166.13</v>
      </c>
    </row>
    <row r="4580" spans="1:29" ht="14.4" hidden="1" x14ac:dyDescent="0.25">
      <c r="A4580" s="27"/>
      <c r="B4580" s="27"/>
      <c r="C4580" s="27" t="s">
        <v>44</v>
      </c>
      <c r="D4580" s="28" t="s">
        <v>43</v>
      </c>
      <c r="E4580" s="29">
        <f>[1]Source!CA4236</f>
        <v>55</v>
      </c>
      <c r="F4580" s="30"/>
      <c r="G4580" s="31"/>
      <c r="H4580" s="29"/>
      <c r="I4580" s="30">
        <f>SUM(S4568:S4579)</f>
        <v>571.77</v>
      </c>
      <c r="J4580" s="29">
        <f>[1]Source!AU4236</f>
        <v>55</v>
      </c>
      <c r="K4580" s="30">
        <f>SUM(T4568:T4579)</f>
        <v>32219.18</v>
      </c>
    </row>
    <row r="4581" spans="1:29" ht="14.4" hidden="1" x14ac:dyDescent="0.25">
      <c r="A4581" s="34"/>
      <c r="B4581" s="34"/>
      <c r="C4581" s="34" t="s">
        <v>45</v>
      </c>
      <c r="D4581" s="35" t="s">
        <v>46</v>
      </c>
      <c r="E4581" s="36">
        <f>[1]Source!AQ4235</f>
        <v>61.6</v>
      </c>
      <c r="F4581" s="37"/>
      <c r="G4581" s="38" t="s">
        <v>37</v>
      </c>
      <c r="H4581" s="36">
        <f>[1]Source!AV4236</f>
        <v>1.0469999999999999</v>
      </c>
      <c r="I4581" s="37">
        <f>[1]Source!U4235</f>
        <v>62.302363199999981</v>
      </c>
      <c r="J4581" s="36"/>
      <c r="K4581" s="37"/>
    </row>
    <row r="4582" spans="1:29" ht="13.8" hidden="1" x14ac:dyDescent="0.25">
      <c r="C4582" s="39" t="s">
        <v>47</v>
      </c>
      <c r="H4582" s="40">
        <f>I4570+I4571+I4573+I4579+I4580+SUM(I4574:I4578)-SUMIF(AC4574:AC4578, 5, I4574:I4578)-SUMIF(AC4574:AC4578, 6, I4574:I4578)</f>
        <v>13367.939999999999</v>
      </c>
      <c r="I4582" s="40"/>
      <c r="J4582" s="40">
        <f>K4570+K4571+K4573+K4579+K4580+SUM(K4574:K4578)-SUMIF(AC4574:AC4578, 5, K4574:K4578)-SUMIF(AC4574:AC4578, 6, K4574:K4578)</f>
        <v>223848.26</v>
      </c>
      <c r="K4582" s="40"/>
    </row>
    <row r="4583" spans="1:29" ht="13.8" hidden="1" x14ac:dyDescent="0.25">
      <c r="C4583" s="39" t="s">
        <v>48</v>
      </c>
      <c r="H4583" s="41">
        <f>SUMIF(AC4574:AC4578, 5, I4574:I4578)+SUMIF(AC4574:AC4578, 6, I4574:I4578)</f>
        <v>0</v>
      </c>
      <c r="I4583" s="41"/>
      <c r="J4583" s="41">
        <f>SUMIF(AC4574:AC4578, 5, K4574:K4578)+SUMIF(AC4574:AC4578, 6, K4574:K4578)</f>
        <v>0</v>
      </c>
      <c r="K4583" s="41"/>
    </row>
    <row r="4584" spans="1:29" ht="13.8" hidden="1" x14ac:dyDescent="0.25">
      <c r="C4584" s="39" t="s">
        <v>49</v>
      </c>
      <c r="H4584" s="41">
        <f>I4570+I4571+I4573+I4579+I4580+SUM(I4574:I4578)</f>
        <v>13367.939999999999</v>
      </c>
      <c r="I4584" s="41"/>
      <c r="J4584" s="41">
        <f>K4570+K4571+K4573+K4579+K4580+SUM(K4574:K4578)</f>
        <v>223848.26</v>
      </c>
      <c r="K4584" s="41"/>
      <c r="O4584" s="42">
        <f>I4570+I4571+I4573+I4579+I4580+SUM(I4574:I4578)</f>
        <v>13367.939999999999</v>
      </c>
      <c r="P4584" s="42">
        <f>K4570+K4571+K4573+K4579+K4580+SUM(K4574:K4578)</f>
        <v>223848.26</v>
      </c>
    </row>
    <row r="4585" spans="1:29" hidden="1" x14ac:dyDescent="0.25"/>
    <row r="4586" spans="1:29" hidden="1" x14ac:dyDescent="0.25"/>
    <row r="4587" spans="1:29" ht="13.8" hidden="1" x14ac:dyDescent="0.25">
      <c r="A4587" s="44" t="str">
        <f>CONCATENATE("Итого по подразделу: ",IF([1]Source!G4248&lt;&gt;"Новый подраздел", [1]Source!G4248, ""))</f>
        <v>Итого по подразделу: Третий  этаж. Керамогранит 600х600 мм</v>
      </c>
      <c r="B4587" s="44"/>
      <c r="C4587" s="44"/>
      <c r="D4587" s="44"/>
      <c r="E4587" s="44"/>
      <c r="F4587" s="44"/>
      <c r="G4587" s="44"/>
      <c r="H4587" s="41">
        <f>SUM(O4514:O4586)</f>
        <v>24298.979999999996</v>
      </c>
      <c r="I4587" s="45"/>
      <c r="J4587" s="41">
        <f>SUM(P4514:P4586)</f>
        <v>529719.6</v>
      </c>
      <c r="K4587" s="45"/>
    </row>
    <row r="4588" spans="1:29" hidden="1" x14ac:dyDescent="0.25">
      <c r="A4588" t="s">
        <v>55</v>
      </c>
      <c r="I4588">
        <f>SUM(W4514:W4587)</f>
        <v>0</v>
      </c>
      <c r="J4588">
        <f>SUM(X4514:X4587)</f>
        <v>0</v>
      </c>
    </row>
    <row r="4589" spans="1:29" hidden="1" x14ac:dyDescent="0.25">
      <c r="A4589" t="s">
        <v>56</v>
      </c>
      <c r="I4589">
        <f>SUM(Y4514:Y4588)</f>
        <v>0</v>
      </c>
      <c r="J4589">
        <f>SUM(Z4514:Z4588)</f>
        <v>0</v>
      </c>
    </row>
    <row r="4590" spans="1:29" hidden="1" x14ac:dyDescent="0.25"/>
    <row r="4591" spans="1:29" ht="16.8" hidden="1" x14ac:dyDescent="0.25">
      <c r="A4591" s="11" t="str">
        <f>CONCATENATE("Подраздел: ",IF([1]Source!G4278&lt;&gt;"Новый подраздел", [1]Source!G4278, ""))</f>
        <v>Подраздел: Четвертый  этаж. Кварц-виниловая дизайн-плитка 500х500 мм</v>
      </c>
      <c r="B4591" s="11"/>
      <c r="C4591" s="11"/>
      <c r="D4591" s="11"/>
      <c r="E4591" s="11"/>
      <c r="F4591" s="11"/>
      <c r="G4591" s="11"/>
      <c r="H4591" s="11"/>
      <c r="I4591" s="11"/>
      <c r="J4591" s="11"/>
      <c r="K4591" s="11"/>
    </row>
    <row r="4592" spans="1:29" ht="57.6" hidden="1" x14ac:dyDescent="0.25">
      <c r="A4592" s="27">
        <v>432</v>
      </c>
      <c r="B4592" s="27" t="str">
        <f>[1]Source!F4282</f>
        <v>3.70-159-1</v>
      </c>
      <c r="C4592" s="27" t="s">
        <v>848</v>
      </c>
      <c r="D4592" s="28" t="str">
        <f>[1]Source!H4282</f>
        <v>100 м2 стяжки</v>
      </c>
      <c r="E4592" s="29">
        <f>[1]Source!I4282</f>
        <v>7.18</v>
      </c>
      <c r="F4592" s="30"/>
      <c r="G4592" s="31"/>
      <c r="H4592" s="29"/>
      <c r="I4592" s="30"/>
      <c r="J4592" s="29"/>
      <c r="K4592" s="30"/>
      <c r="Q4592">
        <f>[1]Source!X4282</f>
        <v>3410.01</v>
      </c>
      <c r="R4592">
        <f>[1]Source!X4283</f>
        <v>192154.21</v>
      </c>
      <c r="S4592">
        <f>[1]Source!Y4282</f>
        <v>1856.94</v>
      </c>
      <c r="T4592">
        <f>[1]Source!Y4283</f>
        <v>104638.43</v>
      </c>
      <c r="U4592">
        <f>ROUND((175/100)*ROUND([1]Source!R4282, 2), 2)</f>
        <v>0</v>
      </c>
      <c r="V4592">
        <f>ROUND((0/100)*ROUND([1]Source!R4283, 2), 2)</f>
        <v>0</v>
      </c>
      <c r="AC4592">
        <v>0</v>
      </c>
    </row>
    <row r="4593" spans="1:29" hidden="1" x14ac:dyDescent="0.25">
      <c r="C4593" s="32" t="str">
        <f>"Объем: "&amp;[1]Source!I4282&amp;"=718/"&amp;"100"</f>
        <v>Объем: 7,18=718/100</v>
      </c>
    </row>
    <row r="4594" spans="1:29" ht="14.4" hidden="1" x14ac:dyDescent="0.25">
      <c r="A4594" s="27"/>
      <c r="B4594" s="27"/>
      <c r="C4594" s="27" t="s">
        <v>36</v>
      </c>
      <c r="D4594" s="28"/>
      <c r="E4594" s="29"/>
      <c r="F4594" s="30">
        <f>[1]Source!AO4282</f>
        <v>325.45</v>
      </c>
      <c r="G4594" s="31" t="s">
        <v>37</v>
      </c>
      <c r="H4594" s="29">
        <f>[1]Source!AV4283</f>
        <v>1.0469999999999999</v>
      </c>
      <c r="I4594" s="30">
        <f>[1]Source!S4282</f>
        <v>3376.25</v>
      </c>
      <c r="J4594" s="29">
        <f>IF([1]Source!BA4283&lt;&gt; 0, [1]Source!BA4283, 1)</f>
        <v>56.35</v>
      </c>
      <c r="K4594" s="30">
        <f>[1]Source!S4283</f>
        <v>190251.69</v>
      </c>
    </row>
    <row r="4595" spans="1:29" ht="14.4" hidden="1" x14ac:dyDescent="0.25">
      <c r="A4595" s="27"/>
      <c r="B4595" s="27"/>
      <c r="C4595" s="27" t="s">
        <v>38</v>
      </c>
      <c r="D4595" s="28"/>
      <c r="E4595" s="29"/>
      <c r="F4595" s="30">
        <f>[1]Source!AM4282</f>
        <v>1.8</v>
      </c>
      <c r="G4595" s="31" t="s">
        <v>39</v>
      </c>
      <c r="H4595" s="29">
        <f>[1]Source!AV4283</f>
        <v>1.0469999999999999</v>
      </c>
      <c r="I4595" s="30">
        <f>[1]Source!Q4282</f>
        <v>20.3</v>
      </c>
      <c r="J4595" s="29">
        <f>IF([1]Source!BB4283&lt;&gt; 0, [1]Source!BB4283, 1)</f>
        <v>11.69</v>
      </c>
      <c r="K4595" s="30">
        <f>[1]Source!Q4283</f>
        <v>237.31</v>
      </c>
    </row>
    <row r="4596" spans="1:29" ht="14.4" hidden="1" x14ac:dyDescent="0.25">
      <c r="A4596" s="27"/>
      <c r="B4596" s="27"/>
      <c r="C4596" s="27" t="s">
        <v>41</v>
      </c>
      <c r="D4596" s="28"/>
      <c r="E4596" s="29"/>
      <c r="F4596" s="30">
        <f>[1]Source!AL4282</f>
        <v>24.75</v>
      </c>
      <c r="G4596" s="31"/>
      <c r="H4596" s="29">
        <f>[1]Source!AW4283</f>
        <v>1</v>
      </c>
      <c r="I4596" s="30">
        <f>[1]Source!P4282</f>
        <v>177.71</v>
      </c>
      <c r="J4596" s="29">
        <f>IF([1]Source!BC4283&lt;&gt; 0, [1]Source!BC4283, 1)</f>
        <v>7.75</v>
      </c>
      <c r="K4596" s="30">
        <f>[1]Source!P4283</f>
        <v>1377.25</v>
      </c>
    </row>
    <row r="4597" spans="1:29" ht="27.6" hidden="1" x14ac:dyDescent="0.25">
      <c r="A4597" s="27" t="s">
        <v>849</v>
      </c>
      <c r="B4597" s="27" t="str">
        <f>[1]Source!F4284</f>
        <v>1.3-2-7</v>
      </c>
      <c r="C4597" s="27" t="s">
        <v>752</v>
      </c>
      <c r="D4597" s="28" t="str">
        <f>[1]Source!H4284</f>
        <v>м3</v>
      </c>
      <c r="E4597" s="29">
        <f>[1]Source!I4284</f>
        <v>14.6472</v>
      </c>
      <c r="F4597" s="30">
        <f>[1]Source!AK4284</f>
        <v>507.97</v>
      </c>
      <c r="G4597" s="43" t="s">
        <v>54</v>
      </c>
      <c r="H4597" s="29">
        <f>[1]Source!AW4285</f>
        <v>1</v>
      </c>
      <c r="I4597" s="30">
        <f>[1]Source!O4284</f>
        <v>7440.34</v>
      </c>
      <c r="J4597" s="29">
        <f>IF([1]Source!BC4285&lt;&gt; 0, [1]Source!BC4285, 1)</f>
        <v>10.98</v>
      </c>
      <c r="K4597" s="30">
        <f>[1]Source!O4285</f>
        <v>81694.929999999993</v>
      </c>
      <c r="Q4597">
        <f>[1]Source!X4284</f>
        <v>0</v>
      </c>
      <c r="R4597">
        <f>[1]Source!X4285</f>
        <v>0</v>
      </c>
      <c r="S4597">
        <f>[1]Source!Y4284</f>
        <v>0</v>
      </c>
      <c r="T4597">
        <f>[1]Source!Y4285</f>
        <v>0</v>
      </c>
      <c r="U4597">
        <f>ROUND((175/100)*ROUND([1]Source!R4284, 2), 2)</f>
        <v>0</v>
      </c>
      <c r="V4597">
        <f>ROUND((0/100)*ROUND([1]Source!R4285, 2), 2)</f>
        <v>0</v>
      </c>
      <c r="AC4597">
        <v>3</v>
      </c>
    </row>
    <row r="4598" spans="1:29" ht="14.4" hidden="1" x14ac:dyDescent="0.25">
      <c r="A4598" s="27"/>
      <c r="B4598" s="27"/>
      <c r="C4598" s="27" t="s">
        <v>42</v>
      </c>
      <c r="D4598" s="28" t="s">
        <v>43</v>
      </c>
      <c r="E4598" s="29">
        <f>[1]Source!BZ4283</f>
        <v>101</v>
      </c>
      <c r="F4598" s="30"/>
      <c r="G4598" s="31"/>
      <c r="H4598" s="29"/>
      <c r="I4598" s="30">
        <f>SUM(Q4592:Q4597)</f>
        <v>3410.01</v>
      </c>
      <c r="J4598" s="29">
        <f>[1]Source!AT4283</f>
        <v>101</v>
      </c>
      <c r="K4598" s="30">
        <f>SUM(R4592:R4597)</f>
        <v>192154.21</v>
      </c>
    </row>
    <row r="4599" spans="1:29" ht="14.4" hidden="1" x14ac:dyDescent="0.25">
      <c r="A4599" s="27"/>
      <c r="B4599" s="27"/>
      <c r="C4599" s="27" t="s">
        <v>44</v>
      </c>
      <c r="D4599" s="28" t="s">
        <v>43</v>
      </c>
      <c r="E4599" s="29">
        <f>[1]Source!CA4283</f>
        <v>55</v>
      </c>
      <c r="F4599" s="30"/>
      <c r="G4599" s="31"/>
      <c r="H4599" s="29"/>
      <c r="I4599" s="30">
        <f>SUM(S4592:S4598)</f>
        <v>1856.94</v>
      </c>
      <c r="J4599" s="29">
        <f>[1]Source!AU4283</f>
        <v>55</v>
      </c>
      <c r="K4599" s="30">
        <f>SUM(T4592:T4598)</f>
        <v>104638.43</v>
      </c>
    </row>
    <row r="4600" spans="1:29" ht="14.4" hidden="1" x14ac:dyDescent="0.25">
      <c r="A4600" s="34"/>
      <c r="B4600" s="34"/>
      <c r="C4600" s="34" t="s">
        <v>45</v>
      </c>
      <c r="D4600" s="35" t="s">
        <v>46</v>
      </c>
      <c r="E4600" s="36">
        <f>[1]Source!AQ4282</f>
        <v>23.33</v>
      </c>
      <c r="F4600" s="37"/>
      <c r="G4600" s="38" t="s">
        <v>37</v>
      </c>
      <c r="H4600" s="36">
        <f>[1]Source!AV4283</f>
        <v>1.0469999999999999</v>
      </c>
      <c r="I4600" s="37">
        <f>[1]Source!U4282</f>
        <v>242.02763168399994</v>
      </c>
      <c r="J4600" s="36"/>
      <c r="K4600" s="37"/>
    </row>
    <row r="4601" spans="1:29" ht="13.8" hidden="1" x14ac:dyDescent="0.25">
      <c r="C4601" s="39" t="s">
        <v>47</v>
      </c>
      <c r="H4601" s="40">
        <f>I4594+I4595+I4596+I4598+I4599+SUM(I4597:I4597)-SUMIF(AC4597:AC4597, 5, I4597:I4597)-SUMIF(AC4597:AC4597, 6, I4597:I4597)</f>
        <v>16281.550000000001</v>
      </c>
      <c r="I4601" s="40"/>
      <c r="J4601" s="40">
        <f>K4594+K4595+K4596+K4598+K4599+SUM(K4597:K4597)-SUMIF(AC4597:AC4597, 5, K4597:K4597)-SUMIF(AC4597:AC4597, 6, K4597:K4597)</f>
        <v>570353.81999999995</v>
      </c>
      <c r="K4601" s="40"/>
    </row>
    <row r="4602" spans="1:29" ht="13.8" hidden="1" x14ac:dyDescent="0.25">
      <c r="C4602" s="39" t="s">
        <v>48</v>
      </c>
      <c r="H4602" s="41">
        <f>SUMIF(AC4597:AC4597, 5, I4597:I4597)+SUMIF(AC4597:AC4597, 6, I4597:I4597)</f>
        <v>0</v>
      </c>
      <c r="I4602" s="41"/>
      <c r="J4602" s="41">
        <f>SUMIF(AC4597:AC4597, 5, K4597:K4597)+SUMIF(AC4597:AC4597, 6, K4597:K4597)</f>
        <v>0</v>
      </c>
      <c r="K4602" s="41"/>
    </row>
    <row r="4603" spans="1:29" ht="13.8" hidden="1" x14ac:dyDescent="0.25">
      <c r="C4603" s="39" t="s">
        <v>49</v>
      </c>
      <c r="H4603" s="41">
        <f>I4594+I4595+I4596+I4598+I4599+SUM(I4597:I4597)</f>
        <v>16281.550000000001</v>
      </c>
      <c r="I4603" s="41"/>
      <c r="J4603" s="41">
        <f>K4594+K4595+K4596+K4598+K4599+SUM(K4597:K4597)</f>
        <v>570353.81999999995</v>
      </c>
      <c r="K4603" s="41"/>
      <c r="O4603" s="42">
        <f>I4594+I4595+I4596+I4598+I4599+SUM(I4597:I4597)</f>
        <v>16281.550000000001</v>
      </c>
      <c r="P4603" s="42">
        <f>K4594+K4595+K4596+K4598+K4599+SUM(K4597:K4597)</f>
        <v>570353.81999999995</v>
      </c>
    </row>
    <row r="4604" spans="1:29" hidden="1" x14ac:dyDescent="0.25"/>
    <row r="4605" spans="1:29" ht="57.6" hidden="1" x14ac:dyDescent="0.25">
      <c r="A4605" s="27">
        <v>433</v>
      </c>
      <c r="B4605" s="27" t="str">
        <f>[1]Source!F4286</f>
        <v>3.70-159-2</v>
      </c>
      <c r="C4605" s="27" t="s">
        <v>719</v>
      </c>
      <c r="D4605" s="28" t="str">
        <f>[1]Source!H4286</f>
        <v>100 м2 стяжки</v>
      </c>
      <c r="E4605" s="29">
        <f>[1]Source!I4286</f>
        <v>7.18</v>
      </c>
      <c r="F4605" s="30"/>
      <c r="G4605" s="31"/>
      <c r="H4605" s="29"/>
      <c r="I4605" s="30"/>
      <c r="J4605" s="29"/>
      <c r="K4605" s="30"/>
      <c r="Q4605">
        <f>[1]Source!X4286</f>
        <v>543.36</v>
      </c>
      <c r="R4605">
        <f>[1]Source!X4287</f>
        <v>30618.32</v>
      </c>
      <c r="S4605">
        <f>[1]Source!Y4286</f>
        <v>295.89</v>
      </c>
      <c r="T4605">
        <f>[1]Source!Y4287</f>
        <v>16673.34</v>
      </c>
      <c r="U4605">
        <f>ROUND((175/100)*ROUND([1]Source!R4286, 2), 2)</f>
        <v>0</v>
      </c>
      <c r="V4605">
        <f>ROUND((0/100)*ROUND([1]Source!R4287, 2), 2)</f>
        <v>0</v>
      </c>
      <c r="AC4605">
        <v>0</v>
      </c>
    </row>
    <row r="4606" spans="1:29" hidden="1" x14ac:dyDescent="0.25">
      <c r="C4606" s="32" t="str">
        <f>"Объем: "&amp;[1]Source!I4286&amp;"=718/"&amp;"100"</f>
        <v>Объем: 7,18=718/100</v>
      </c>
    </row>
    <row r="4607" spans="1:29" ht="14.4" hidden="1" x14ac:dyDescent="0.25">
      <c r="A4607" s="27"/>
      <c r="B4607" s="27"/>
      <c r="C4607" s="27" t="s">
        <v>36</v>
      </c>
      <c r="D4607" s="28"/>
      <c r="E4607" s="29"/>
      <c r="F4607" s="30">
        <f>[1]Source!AO4286</f>
        <v>6.03</v>
      </c>
      <c r="G4607" s="31" t="s">
        <v>777</v>
      </c>
      <c r="H4607" s="29">
        <f>[1]Source!AV4287</f>
        <v>1.0469999999999999</v>
      </c>
      <c r="I4607" s="30">
        <f>[1]Source!S4286</f>
        <v>537.98</v>
      </c>
      <c r="J4607" s="29">
        <f>IF([1]Source!BA4287&lt;&gt; 0, [1]Source!BA4287, 1)</f>
        <v>56.35</v>
      </c>
      <c r="K4607" s="30">
        <f>[1]Source!S4287</f>
        <v>30315.17</v>
      </c>
    </row>
    <row r="4608" spans="1:29" ht="14.4" hidden="1" x14ac:dyDescent="0.25">
      <c r="A4608" s="27"/>
      <c r="B4608" s="27"/>
      <c r="C4608" s="27" t="s">
        <v>38</v>
      </c>
      <c r="D4608" s="28"/>
      <c r="E4608" s="29"/>
      <c r="F4608" s="30">
        <f>[1]Source!AM4286</f>
        <v>0.46</v>
      </c>
      <c r="G4608" s="31" t="s">
        <v>778</v>
      </c>
      <c r="H4608" s="29">
        <f>[1]Source!AV4287</f>
        <v>1.0469999999999999</v>
      </c>
      <c r="I4608" s="30">
        <f>[1]Source!Q4286</f>
        <v>44.61</v>
      </c>
      <c r="J4608" s="29">
        <f>IF([1]Source!BB4287&lt;&gt; 0, [1]Source!BB4287, 1)</f>
        <v>11.7</v>
      </c>
      <c r="K4608" s="30">
        <f>[1]Source!Q4287</f>
        <v>521.94000000000005</v>
      </c>
    </row>
    <row r="4609" spans="1:29" ht="27.6" hidden="1" x14ac:dyDescent="0.25">
      <c r="A4609" s="27" t="s">
        <v>850</v>
      </c>
      <c r="B4609" s="27" t="str">
        <f>[1]Source!F4288</f>
        <v>1.3-2-7</v>
      </c>
      <c r="C4609" s="27" t="s">
        <v>752</v>
      </c>
      <c r="D4609" s="28" t="str">
        <f>[1]Source!H4288</f>
        <v>м3</v>
      </c>
      <c r="E4609" s="29">
        <f>[1]Source!I4288</f>
        <v>31.491479999999999</v>
      </c>
      <c r="F4609" s="30">
        <f>[1]Source!AK4288</f>
        <v>507.97</v>
      </c>
      <c r="G4609" s="43" t="s">
        <v>54</v>
      </c>
      <c r="H4609" s="29">
        <f>[1]Source!AW4289</f>
        <v>1</v>
      </c>
      <c r="I4609" s="30">
        <f>[1]Source!O4288</f>
        <v>15996.73</v>
      </c>
      <c r="J4609" s="29">
        <f>IF([1]Source!BC4289&lt;&gt; 0, [1]Source!BC4289, 1)</f>
        <v>10.98</v>
      </c>
      <c r="K4609" s="30">
        <f>[1]Source!O4289</f>
        <v>175644.1</v>
      </c>
      <c r="Q4609">
        <f>[1]Source!X4288</f>
        <v>0</v>
      </c>
      <c r="R4609">
        <f>[1]Source!X4289</f>
        <v>0</v>
      </c>
      <c r="S4609">
        <f>[1]Source!Y4288</f>
        <v>0</v>
      </c>
      <c r="T4609">
        <f>[1]Source!Y4289</f>
        <v>0</v>
      </c>
      <c r="U4609">
        <f>ROUND((175/100)*ROUND([1]Source!R4288, 2), 2)</f>
        <v>0</v>
      </c>
      <c r="V4609">
        <f>ROUND((0/100)*ROUND([1]Source!R4289, 2), 2)</f>
        <v>0</v>
      </c>
      <c r="AC4609">
        <v>3</v>
      </c>
    </row>
    <row r="4610" spans="1:29" ht="14.4" hidden="1" x14ac:dyDescent="0.25">
      <c r="A4610" s="27"/>
      <c r="B4610" s="27"/>
      <c r="C4610" s="27" t="s">
        <v>42</v>
      </c>
      <c r="D4610" s="28" t="s">
        <v>43</v>
      </c>
      <c r="E4610" s="29">
        <f>[1]Source!BZ4287</f>
        <v>101</v>
      </c>
      <c r="F4610" s="30"/>
      <c r="G4610" s="31"/>
      <c r="H4610" s="29"/>
      <c r="I4610" s="30">
        <f>SUM(Q4605:Q4609)</f>
        <v>543.36</v>
      </c>
      <c r="J4610" s="29">
        <f>[1]Source!AT4287</f>
        <v>101</v>
      </c>
      <c r="K4610" s="30">
        <f>SUM(R4605:R4609)</f>
        <v>30618.32</v>
      </c>
    </row>
    <row r="4611" spans="1:29" ht="14.4" hidden="1" x14ac:dyDescent="0.25">
      <c r="A4611" s="27"/>
      <c r="B4611" s="27"/>
      <c r="C4611" s="27" t="s">
        <v>44</v>
      </c>
      <c r="D4611" s="28" t="s">
        <v>43</v>
      </c>
      <c r="E4611" s="29">
        <f>[1]Source!CA4287</f>
        <v>55</v>
      </c>
      <c r="F4611" s="30"/>
      <c r="G4611" s="31"/>
      <c r="H4611" s="29"/>
      <c r="I4611" s="30">
        <f>SUM(S4605:S4610)</f>
        <v>295.89</v>
      </c>
      <c r="J4611" s="29">
        <f>[1]Source!AU4287</f>
        <v>55</v>
      </c>
      <c r="K4611" s="30">
        <f>SUM(T4605:T4610)</f>
        <v>16673.34</v>
      </c>
    </row>
    <row r="4612" spans="1:29" ht="14.4" hidden="1" x14ac:dyDescent="0.25">
      <c r="A4612" s="34"/>
      <c r="B4612" s="34"/>
      <c r="C4612" s="34" t="s">
        <v>45</v>
      </c>
      <c r="D4612" s="35" t="s">
        <v>46</v>
      </c>
      <c r="E4612" s="36">
        <f>[1]Source!AQ4286</f>
        <v>0.44</v>
      </c>
      <c r="F4612" s="37"/>
      <c r="G4612" s="38" t="s">
        <v>777</v>
      </c>
      <c r="H4612" s="36">
        <f>[1]Source!AV4287</f>
        <v>1.0469999999999999</v>
      </c>
      <c r="I4612" s="37">
        <f>[1]Source!U4286</f>
        <v>39.255574723199992</v>
      </c>
      <c r="J4612" s="36"/>
      <c r="K4612" s="37"/>
    </row>
    <row r="4613" spans="1:29" ht="13.8" hidden="1" x14ac:dyDescent="0.25">
      <c r="C4613" s="39" t="s">
        <v>47</v>
      </c>
      <c r="H4613" s="40">
        <f>I4607+I4608+I4610+I4611+SUM(I4609:I4609)-SUMIF(AC4609:AC4609, 5, I4609:I4609)-SUMIF(AC4609:AC4609, 6, I4609:I4609)</f>
        <v>17418.57</v>
      </c>
      <c r="I4613" s="40"/>
      <c r="J4613" s="40">
        <f>K4607+K4608+K4610+K4611+SUM(K4609:K4609)-SUMIF(AC4609:AC4609, 5, K4609:K4609)-SUMIF(AC4609:AC4609, 6, K4609:K4609)</f>
        <v>253772.87</v>
      </c>
      <c r="K4613" s="40"/>
    </row>
    <row r="4614" spans="1:29" ht="13.8" hidden="1" x14ac:dyDescent="0.25">
      <c r="C4614" s="39" t="s">
        <v>48</v>
      </c>
      <c r="H4614" s="41">
        <f>SUMIF(AC4609:AC4609, 5, I4609:I4609)+SUMIF(AC4609:AC4609, 6, I4609:I4609)</f>
        <v>0</v>
      </c>
      <c r="I4614" s="41"/>
      <c r="J4614" s="41">
        <f>SUMIF(AC4609:AC4609, 5, K4609:K4609)+SUMIF(AC4609:AC4609, 6, K4609:K4609)</f>
        <v>0</v>
      </c>
      <c r="K4614" s="41"/>
    </row>
    <row r="4615" spans="1:29" ht="13.8" hidden="1" x14ac:dyDescent="0.25">
      <c r="C4615" s="39" t="s">
        <v>49</v>
      </c>
      <c r="H4615" s="41">
        <f>I4607+I4608+I4610+I4611+SUM(I4609:I4609)</f>
        <v>17418.57</v>
      </c>
      <c r="I4615" s="41"/>
      <c r="J4615" s="41">
        <f>K4607+K4608+K4610+K4611+SUM(K4609:K4609)</f>
        <v>253772.87</v>
      </c>
      <c r="K4615" s="41"/>
      <c r="O4615" s="42">
        <f>I4607+I4608+I4610+I4611+SUM(I4609:I4609)</f>
        <v>17418.57</v>
      </c>
      <c r="P4615" s="42">
        <f>K4607+K4608+K4610+K4611+SUM(K4609:K4609)</f>
        <v>253772.87</v>
      </c>
    </row>
    <row r="4616" spans="1:29" hidden="1" x14ac:dyDescent="0.25"/>
    <row r="4617" spans="1:29" ht="27.6" hidden="1" x14ac:dyDescent="0.25">
      <c r="A4617" s="27">
        <v>434</v>
      </c>
      <c r="B4617" s="27" t="str">
        <f>[1]Source!F4290</f>
        <v>3.70-43-6</v>
      </c>
      <c r="C4617" s="27" t="s">
        <v>723</v>
      </c>
      <c r="D4617" s="28" t="str">
        <f>[1]Source!H4290</f>
        <v>1 Т</v>
      </c>
      <c r="E4617" s="29">
        <f>[1]Source!I4290</f>
        <v>1.9744999999999999</v>
      </c>
      <c r="F4617" s="30"/>
      <c r="G4617" s="31"/>
      <c r="H4617" s="29"/>
      <c r="I4617" s="30"/>
      <c r="J4617" s="29"/>
      <c r="K4617" s="30"/>
      <c r="Q4617">
        <f>[1]Source!X4290</f>
        <v>488.11</v>
      </c>
      <c r="R4617">
        <f>[1]Source!X4291</f>
        <v>27504.77</v>
      </c>
      <c r="S4617">
        <f>[1]Source!Y4290</f>
        <v>259.97000000000003</v>
      </c>
      <c r="T4617">
        <f>[1]Source!Y4291</f>
        <v>14649.28</v>
      </c>
      <c r="U4617">
        <f>ROUND((175/100)*ROUND([1]Source!R4290, 2), 2)</f>
        <v>27.46</v>
      </c>
      <c r="V4617">
        <f>ROUND((0/100)*ROUND([1]Source!R4291, 2), 2)</f>
        <v>0</v>
      </c>
      <c r="AC4617">
        <v>0</v>
      </c>
    </row>
    <row r="4618" spans="1:29" hidden="1" x14ac:dyDescent="0.25">
      <c r="C4618" s="32" t="str">
        <f>"Объем: "&amp;[1]Source!I4290&amp;"=(2,75*"&amp;"718)/"&amp;"1000"</f>
        <v>Объем: 1,9745=(2,75*718)/1000</v>
      </c>
    </row>
    <row r="4619" spans="1:29" ht="14.4" hidden="1" x14ac:dyDescent="0.25">
      <c r="A4619" s="27"/>
      <c r="B4619" s="27"/>
      <c r="C4619" s="27" t="s">
        <v>36</v>
      </c>
      <c r="D4619" s="28"/>
      <c r="E4619" s="29"/>
      <c r="F4619" s="30">
        <f>[1]Source!AO4290</f>
        <v>180.47</v>
      </c>
      <c r="G4619" s="31" t="s">
        <v>37</v>
      </c>
      <c r="H4619" s="29">
        <f>[1]Source!AV4291</f>
        <v>1.0469999999999999</v>
      </c>
      <c r="I4619" s="30">
        <f>[1]Source!S4290</f>
        <v>514.86</v>
      </c>
      <c r="J4619" s="29">
        <f>IF([1]Source!BA4291&lt;&gt; 0, [1]Source!BA4291, 1)</f>
        <v>56.35</v>
      </c>
      <c r="K4619" s="30">
        <f>[1]Source!S4291</f>
        <v>29012.36</v>
      </c>
    </row>
    <row r="4620" spans="1:29" ht="14.4" hidden="1" x14ac:dyDescent="0.25">
      <c r="A4620" s="27"/>
      <c r="B4620" s="27"/>
      <c r="C4620" s="27" t="s">
        <v>38</v>
      </c>
      <c r="D4620" s="28"/>
      <c r="E4620" s="29"/>
      <c r="F4620" s="30">
        <f>[1]Source!AM4290</f>
        <v>43.5</v>
      </c>
      <c r="G4620" s="31" t="s">
        <v>39</v>
      </c>
      <c r="H4620" s="29">
        <f>[1]Source!AV4291</f>
        <v>1.0469999999999999</v>
      </c>
      <c r="I4620" s="30">
        <f>[1]Source!Q4290</f>
        <v>134.88999999999999</v>
      </c>
      <c r="J4620" s="29">
        <f>IF([1]Source!BB4291&lt;&gt; 0, [1]Source!BB4291, 1)</f>
        <v>15.44</v>
      </c>
      <c r="K4620" s="30">
        <f>[1]Source!Q4291</f>
        <v>2082.6999999999998</v>
      </c>
    </row>
    <row r="4621" spans="1:29" ht="14.4" hidden="1" x14ac:dyDescent="0.25">
      <c r="A4621" s="27"/>
      <c r="B4621" s="27"/>
      <c r="C4621" s="27" t="s">
        <v>40</v>
      </c>
      <c r="D4621" s="28"/>
      <c r="E4621" s="29"/>
      <c r="F4621" s="30">
        <f>[1]Source!AN4290</f>
        <v>5.0599999999999996</v>
      </c>
      <c r="G4621" s="31" t="s">
        <v>39</v>
      </c>
      <c r="H4621" s="29">
        <f>[1]Source!AV4291</f>
        <v>1.0469999999999999</v>
      </c>
      <c r="I4621" s="33">
        <f>[1]Source!R4290</f>
        <v>15.69</v>
      </c>
      <c r="J4621" s="29">
        <f>IF([1]Source!BS4291&lt;&gt; 0, [1]Source!BS4291, 1)</f>
        <v>56.35</v>
      </c>
      <c r="K4621" s="33">
        <f>[1]Source!R4291</f>
        <v>884.13</v>
      </c>
    </row>
    <row r="4622" spans="1:29" ht="14.4" hidden="1" x14ac:dyDescent="0.25">
      <c r="A4622" s="27"/>
      <c r="B4622" s="27"/>
      <c r="C4622" s="27" t="s">
        <v>41</v>
      </c>
      <c r="D4622" s="28"/>
      <c r="E4622" s="29"/>
      <c r="F4622" s="30">
        <f>[1]Source!AL4290</f>
        <v>258.67</v>
      </c>
      <c r="G4622" s="31"/>
      <c r="H4622" s="29">
        <f>[1]Source!AW4291</f>
        <v>1.022</v>
      </c>
      <c r="I4622" s="30">
        <f>[1]Source!P4290</f>
        <v>521.98</v>
      </c>
      <c r="J4622" s="29">
        <f>IF([1]Source!BC4291&lt;&gt; 0, [1]Source!BC4291, 1)</f>
        <v>7.5</v>
      </c>
      <c r="K4622" s="30">
        <f>[1]Source!P4291</f>
        <v>3914.85</v>
      </c>
    </row>
    <row r="4623" spans="1:29" ht="55.2" hidden="1" x14ac:dyDescent="0.25">
      <c r="A4623" s="27" t="s">
        <v>851</v>
      </c>
      <c r="B4623" s="27" t="str">
        <f>[1]Source!F4292</f>
        <v>1.3-4-75</v>
      </c>
      <c r="C4623" s="27" t="s">
        <v>725</v>
      </c>
      <c r="D4623" s="28" t="str">
        <f>[1]Source!H4292</f>
        <v>т</v>
      </c>
      <c r="E4623" s="29">
        <f>[1]Source!I4292</f>
        <v>1.9744999999999999</v>
      </c>
      <c r="F4623" s="30">
        <f>[1]Source!AK4292</f>
        <v>9724.69</v>
      </c>
      <c r="G4623" s="43" t="s">
        <v>54</v>
      </c>
      <c r="H4623" s="29">
        <f>[1]Source!AW4293</f>
        <v>1.022</v>
      </c>
      <c r="I4623" s="30">
        <f>[1]Source!O4292</f>
        <v>19623.830000000002</v>
      </c>
      <c r="J4623" s="29">
        <f>IF([1]Source!BC4293&lt;&gt; 0, [1]Source!BC4293, 1)</f>
        <v>3.88</v>
      </c>
      <c r="K4623" s="30">
        <f>[1]Source!O4293</f>
        <v>76140.460000000006</v>
      </c>
      <c r="Q4623">
        <f>[1]Source!X4292</f>
        <v>0</v>
      </c>
      <c r="R4623">
        <f>[1]Source!X4293</f>
        <v>0</v>
      </c>
      <c r="S4623">
        <f>[1]Source!Y4292</f>
        <v>0</v>
      </c>
      <c r="T4623">
        <f>[1]Source!Y4293</f>
        <v>0</v>
      </c>
      <c r="U4623">
        <f>ROUND((175/100)*ROUND([1]Source!R4292, 2), 2)</f>
        <v>0</v>
      </c>
      <c r="V4623">
        <f>ROUND((0/100)*ROUND([1]Source!R4293, 2), 2)</f>
        <v>0</v>
      </c>
      <c r="AC4623">
        <v>3</v>
      </c>
    </row>
    <row r="4624" spans="1:29" ht="14.4" hidden="1" x14ac:dyDescent="0.25">
      <c r="A4624" s="27"/>
      <c r="B4624" s="27"/>
      <c r="C4624" s="27" t="s">
        <v>42</v>
      </c>
      <c r="D4624" s="28" t="s">
        <v>43</v>
      </c>
      <c r="E4624" s="29">
        <f>[1]Source!BZ4291</f>
        <v>92</v>
      </c>
      <c r="F4624" s="30"/>
      <c r="G4624" s="31"/>
      <c r="H4624" s="29"/>
      <c r="I4624" s="30">
        <f>SUM(Q4617:Q4623)</f>
        <v>488.11</v>
      </c>
      <c r="J4624" s="29">
        <f>[1]Source!AT4291</f>
        <v>92</v>
      </c>
      <c r="K4624" s="30">
        <f>SUM(R4617:R4623)</f>
        <v>27504.77</v>
      </c>
    </row>
    <row r="4625" spans="1:29" ht="14.4" hidden="1" x14ac:dyDescent="0.25">
      <c r="A4625" s="27"/>
      <c r="B4625" s="27"/>
      <c r="C4625" s="27" t="s">
        <v>44</v>
      </c>
      <c r="D4625" s="28" t="s">
        <v>43</v>
      </c>
      <c r="E4625" s="29">
        <f>[1]Source!CA4291</f>
        <v>49</v>
      </c>
      <c r="F4625" s="30"/>
      <c r="G4625" s="31"/>
      <c r="H4625" s="29"/>
      <c r="I4625" s="30">
        <f>SUM(S4617:S4624)</f>
        <v>259.97000000000003</v>
      </c>
      <c r="J4625" s="29">
        <f>[1]Source!AU4291</f>
        <v>49</v>
      </c>
      <c r="K4625" s="30">
        <f>SUM(T4617:T4624)</f>
        <v>14649.28</v>
      </c>
    </row>
    <row r="4626" spans="1:29" ht="14.4" hidden="1" x14ac:dyDescent="0.25">
      <c r="A4626" s="34"/>
      <c r="B4626" s="34"/>
      <c r="C4626" s="34" t="s">
        <v>45</v>
      </c>
      <c r="D4626" s="35" t="s">
        <v>46</v>
      </c>
      <c r="E4626" s="36">
        <f>[1]Source!AQ4290</f>
        <v>11.6</v>
      </c>
      <c r="F4626" s="37"/>
      <c r="G4626" s="38" t="s">
        <v>37</v>
      </c>
      <c r="H4626" s="36">
        <f>[1]Source!AV4291</f>
        <v>1.0469999999999999</v>
      </c>
      <c r="I4626" s="37">
        <f>[1]Source!U4290</f>
        <v>33.093362411999983</v>
      </c>
      <c r="J4626" s="36"/>
      <c r="K4626" s="37"/>
    </row>
    <row r="4627" spans="1:29" ht="13.8" hidden="1" x14ac:dyDescent="0.25">
      <c r="C4627" s="39" t="s">
        <v>47</v>
      </c>
      <c r="H4627" s="40">
        <f>I4619+I4620+I4622+I4624+I4625+SUM(I4623:I4623)-SUMIF(AC4623:AC4623, 5, I4623:I4623)-SUMIF(AC4623:AC4623, 6, I4623:I4623)</f>
        <v>21543.640000000003</v>
      </c>
      <c r="I4627" s="40"/>
      <c r="J4627" s="40">
        <f>K4619+K4620+K4622+K4624+K4625+SUM(K4623:K4623)-SUMIF(AC4623:AC4623, 5, K4623:K4623)-SUMIF(AC4623:AC4623, 6, K4623:K4623)</f>
        <v>153304.42000000001</v>
      </c>
      <c r="K4627" s="40"/>
    </row>
    <row r="4628" spans="1:29" ht="13.8" hidden="1" x14ac:dyDescent="0.25">
      <c r="C4628" s="39" t="s">
        <v>48</v>
      </c>
      <c r="H4628" s="41">
        <f>SUMIF(AC4623:AC4623, 5, I4623:I4623)+SUMIF(AC4623:AC4623, 6, I4623:I4623)</f>
        <v>0</v>
      </c>
      <c r="I4628" s="41"/>
      <c r="J4628" s="41">
        <f>SUMIF(AC4623:AC4623, 5, K4623:K4623)+SUMIF(AC4623:AC4623, 6, K4623:K4623)</f>
        <v>0</v>
      </c>
      <c r="K4628" s="41"/>
    </row>
    <row r="4629" spans="1:29" ht="13.8" hidden="1" x14ac:dyDescent="0.25">
      <c r="C4629" s="39" t="s">
        <v>49</v>
      </c>
      <c r="H4629" s="41">
        <f>I4619+I4620+I4622+I4624+I4625+SUM(I4623:I4623)</f>
        <v>21543.640000000003</v>
      </c>
      <c r="I4629" s="41"/>
      <c r="J4629" s="41">
        <f>K4619+K4620+K4622+K4624+K4625+SUM(K4623:K4623)</f>
        <v>153304.42000000001</v>
      </c>
      <c r="K4629" s="41"/>
      <c r="O4629" s="42">
        <f>I4619+I4620+I4622+I4624+I4625+SUM(I4623:I4623)</f>
        <v>21543.640000000003</v>
      </c>
      <c r="P4629" s="42">
        <f>K4619+K4620+K4622+K4624+K4625+SUM(K4623:K4623)</f>
        <v>153304.42000000001</v>
      </c>
    </row>
    <row r="4630" spans="1:29" hidden="1" x14ac:dyDescent="0.25"/>
    <row r="4631" spans="1:29" ht="57.6" hidden="1" x14ac:dyDescent="0.25">
      <c r="A4631" s="27">
        <v>435</v>
      </c>
      <c r="B4631" s="27" t="str">
        <f>[1]Source!F4294</f>
        <v>3.70-202-1</v>
      </c>
      <c r="C4631" s="27" t="s">
        <v>782</v>
      </c>
      <c r="D4631" s="28" t="str">
        <f>[1]Source!H4294</f>
        <v>100 м2 покрытия</v>
      </c>
      <c r="E4631" s="29">
        <f>[1]Source!I4294</f>
        <v>7.18</v>
      </c>
      <c r="F4631" s="30"/>
      <c r="G4631" s="31"/>
      <c r="H4631" s="29"/>
      <c r="I4631" s="30"/>
      <c r="J4631" s="29"/>
      <c r="K4631" s="30"/>
      <c r="Q4631">
        <f>[1]Source!X4294</f>
        <v>6478.83</v>
      </c>
      <c r="R4631">
        <f>[1]Source!X4295</f>
        <v>365081.89</v>
      </c>
      <c r="S4631">
        <f>[1]Source!Y4294</f>
        <v>3528.07</v>
      </c>
      <c r="T4631">
        <f>[1]Source!Y4295</f>
        <v>198806.97</v>
      </c>
      <c r="U4631">
        <f>ROUND((175/100)*ROUND([1]Source!R4294, 2), 2)</f>
        <v>166.95</v>
      </c>
      <c r="V4631">
        <f>ROUND((0/100)*ROUND([1]Source!R4295, 2), 2)</f>
        <v>0</v>
      </c>
      <c r="AC4631">
        <v>0</v>
      </c>
    </row>
    <row r="4632" spans="1:29" hidden="1" x14ac:dyDescent="0.25">
      <c r="C4632" s="32" t="str">
        <f>"Объем: "&amp;[1]Source!I4294&amp;"=718/"&amp;"100"</f>
        <v>Объем: 7,18=718/100</v>
      </c>
    </row>
    <row r="4633" spans="1:29" ht="14.4" hidden="1" x14ac:dyDescent="0.25">
      <c r="A4633" s="27"/>
      <c r="B4633" s="27"/>
      <c r="C4633" s="27" t="s">
        <v>36</v>
      </c>
      <c r="D4633" s="28"/>
      <c r="E4633" s="29"/>
      <c r="F4633" s="30">
        <f>[1]Source!AO4294</f>
        <v>609.14</v>
      </c>
      <c r="G4633" s="31" t="s">
        <v>37</v>
      </c>
      <c r="H4633" s="29">
        <f>[1]Source!AV4295</f>
        <v>1.0469999999999999</v>
      </c>
      <c r="I4633" s="30">
        <f>[1]Source!S4294</f>
        <v>6319.28</v>
      </c>
      <c r="J4633" s="29">
        <f>IF([1]Source!BA4295&lt;&gt; 0, [1]Source!BA4295, 1)</f>
        <v>56.35</v>
      </c>
      <c r="K4633" s="30">
        <f>[1]Source!S4295</f>
        <v>356091.43</v>
      </c>
    </row>
    <row r="4634" spans="1:29" ht="14.4" hidden="1" x14ac:dyDescent="0.25">
      <c r="A4634" s="27"/>
      <c r="B4634" s="27"/>
      <c r="C4634" s="27" t="s">
        <v>38</v>
      </c>
      <c r="D4634" s="28"/>
      <c r="E4634" s="29"/>
      <c r="F4634" s="30">
        <f>[1]Source!AM4294</f>
        <v>55.68</v>
      </c>
      <c r="G4634" s="31" t="s">
        <v>39</v>
      </c>
      <c r="H4634" s="29">
        <f>[1]Source!AV4295</f>
        <v>1.0469999999999999</v>
      </c>
      <c r="I4634" s="30">
        <f>[1]Source!Q4294</f>
        <v>627.86</v>
      </c>
      <c r="J4634" s="29">
        <f>IF([1]Source!BB4295&lt;&gt; 0, [1]Source!BB4295, 1)</f>
        <v>17.07</v>
      </c>
      <c r="K4634" s="30">
        <f>[1]Source!Q4295</f>
        <v>10717.57</v>
      </c>
    </row>
    <row r="4635" spans="1:29" ht="14.4" hidden="1" x14ac:dyDescent="0.25">
      <c r="A4635" s="27"/>
      <c r="B4635" s="27"/>
      <c r="C4635" s="27" t="s">
        <v>40</v>
      </c>
      <c r="D4635" s="28"/>
      <c r="E4635" s="29"/>
      <c r="F4635" s="30">
        <f>[1]Source!AN4294</f>
        <v>8.4600000000000009</v>
      </c>
      <c r="G4635" s="31" t="s">
        <v>39</v>
      </c>
      <c r="H4635" s="29">
        <f>[1]Source!AV4295</f>
        <v>1.0469999999999999</v>
      </c>
      <c r="I4635" s="33">
        <f>[1]Source!R4294</f>
        <v>95.4</v>
      </c>
      <c r="J4635" s="29">
        <f>IF([1]Source!BS4295&lt;&gt; 0, [1]Source!BS4295, 1)</f>
        <v>56.35</v>
      </c>
      <c r="K4635" s="33">
        <f>[1]Source!R4295</f>
        <v>5375.79</v>
      </c>
    </row>
    <row r="4636" spans="1:29" ht="14.4" hidden="1" x14ac:dyDescent="0.25">
      <c r="A4636" s="27"/>
      <c r="B4636" s="27"/>
      <c r="C4636" s="27" t="s">
        <v>41</v>
      </c>
      <c r="D4636" s="28"/>
      <c r="E4636" s="29"/>
      <c r="F4636" s="30">
        <f>[1]Source!AL4294</f>
        <v>0.81</v>
      </c>
      <c r="G4636" s="31"/>
      <c r="H4636" s="29">
        <f>[1]Source!AW4295</f>
        <v>1</v>
      </c>
      <c r="I4636" s="30">
        <f>[1]Source!P4294</f>
        <v>5.82</v>
      </c>
      <c r="J4636" s="29">
        <f>IF([1]Source!BC4295&lt;&gt; 0, [1]Source!BC4295, 1)</f>
        <v>14.57</v>
      </c>
      <c r="K4636" s="30">
        <f>[1]Source!P4295</f>
        <v>84.8</v>
      </c>
    </row>
    <row r="4637" spans="1:29" ht="27.6" hidden="1" x14ac:dyDescent="0.25">
      <c r="A4637" s="27" t="s">
        <v>852</v>
      </c>
      <c r="B4637" s="27" t="str">
        <f>[1]Source!F4296</f>
        <v>1.1-1-389</v>
      </c>
      <c r="C4637" s="27" t="s">
        <v>784</v>
      </c>
      <c r="D4637" s="28" t="str">
        <f>[1]Source!H4296</f>
        <v>т</v>
      </c>
      <c r="E4637" s="29">
        <f>[1]Source!I4296</f>
        <v>0.35899999999999999</v>
      </c>
      <c r="F4637" s="30">
        <f>[1]Source!AK4296</f>
        <v>43314.81</v>
      </c>
      <c r="G4637" s="43" t="s">
        <v>54</v>
      </c>
      <c r="H4637" s="29">
        <f>[1]Source!AW4297</f>
        <v>1</v>
      </c>
      <c r="I4637" s="30">
        <f>[1]Source!O4296</f>
        <v>15550.02</v>
      </c>
      <c r="J4637" s="29">
        <f>IF([1]Source!BC4297&lt;&gt; 0, [1]Source!BC4297, 1)</f>
        <v>2.11</v>
      </c>
      <c r="K4637" s="30">
        <f>[1]Source!O4297</f>
        <v>32810.54</v>
      </c>
      <c r="Q4637">
        <f>[1]Source!X4296</f>
        <v>0</v>
      </c>
      <c r="R4637">
        <f>[1]Source!X4297</f>
        <v>0</v>
      </c>
      <c r="S4637">
        <f>[1]Source!Y4296</f>
        <v>0</v>
      </c>
      <c r="T4637">
        <f>[1]Source!Y4297</f>
        <v>0</v>
      </c>
      <c r="U4637">
        <f>ROUND((175/100)*ROUND([1]Source!R4296, 2), 2)</f>
        <v>0</v>
      </c>
      <c r="V4637">
        <f>ROUND((0/100)*ROUND([1]Source!R4297, 2), 2)</f>
        <v>0</v>
      </c>
      <c r="AC4637">
        <v>3</v>
      </c>
    </row>
    <row r="4638" spans="1:29" ht="40.799999999999997" x14ac:dyDescent="0.25">
      <c r="A4638" s="53" t="s">
        <v>853</v>
      </c>
      <c r="B4638" s="53" t="str">
        <f>[1]Source!F4298</f>
        <v>КА-188</v>
      </c>
      <c r="C4638" s="53" t="s">
        <v>786</v>
      </c>
      <c r="D4638" s="54" t="str">
        <f>[1]Source!H4298</f>
        <v>м2</v>
      </c>
      <c r="E4638" s="55">
        <f>[1]Source!I4298</f>
        <v>768.26</v>
      </c>
      <c r="F4638" s="30">
        <f>[1]Source!AK4298</f>
        <v>200.78</v>
      </c>
      <c r="G4638" s="43" t="s">
        <v>54</v>
      </c>
      <c r="H4638" s="29">
        <f>[1]Source!AW4299</f>
        <v>1</v>
      </c>
      <c r="I4638" s="30">
        <f>[1]Source!O4298</f>
        <v>154251.24</v>
      </c>
      <c r="J4638" s="29">
        <f>IF([1]Source!BC4299&lt;&gt; 0, [1]Source!BC4299, 1)</f>
        <v>9.84</v>
      </c>
      <c r="K4638" s="56">
        <f>[1]Source!O4299</f>
        <v>1517832.2</v>
      </c>
      <c r="L4638">
        <v>2363</v>
      </c>
      <c r="M4638" s="50">
        <f>L4638*E4638</f>
        <v>1815398.38</v>
      </c>
      <c r="N4638" s="59" t="s">
        <v>180</v>
      </c>
      <c r="Q4638">
        <f>[1]Source!X4298</f>
        <v>0</v>
      </c>
      <c r="R4638">
        <f>[1]Source!X4299</f>
        <v>0</v>
      </c>
      <c r="S4638">
        <f>[1]Source!Y4298</f>
        <v>0</v>
      </c>
      <c r="T4638">
        <f>[1]Source!Y4299</f>
        <v>0</v>
      </c>
      <c r="U4638">
        <f>ROUND((175/100)*ROUND([1]Source!R4298, 2), 2)</f>
        <v>0</v>
      </c>
      <c r="V4638">
        <f>ROUND((0/100)*ROUND([1]Source!R4299, 2), 2)</f>
        <v>0</v>
      </c>
      <c r="AC4638">
        <v>3</v>
      </c>
    </row>
    <row r="4639" spans="1:29" ht="14.4" hidden="1" x14ac:dyDescent="0.25">
      <c r="A4639" s="27"/>
      <c r="B4639" s="27"/>
      <c r="C4639" s="27" t="s">
        <v>42</v>
      </c>
      <c r="D4639" s="28" t="s">
        <v>43</v>
      </c>
      <c r="E4639" s="29">
        <f>[1]Source!BZ4295</f>
        <v>101</v>
      </c>
      <c r="F4639" s="30"/>
      <c r="G4639" s="31"/>
      <c r="H4639" s="29"/>
      <c r="I4639" s="30">
        <f>SUM(Q4631:Q4638)</f>
        <v>6478.83</v>
      </c>
      <c r="J4639" s="29">
        <f>[1]Source!AT4295</f>
        <v>101</v>
      </c>
      <c r="K4639" s="30">
        <f>SUM(R4631:R4638)</f>
        <v>365081.89</v>
      </c>
    </row>
    <row r="4640" spans="1:29" ht="14.4" hidden="1" x14ac:dyDescent="0.25">
      <c r="A4640" s="27"/>
      <c r="B4640" s="27"/>
      <c r="C4640" s="27" t="s">
        <v>44</v>
      </c>
      <c r="D4640" s="28" t="s">
        <v>43</v>
      </c>
      <c r="E4640" s="29">
        <f>[1]Source!CA4295</f>
        <v>55</v>
      </c>
      <c r="F4640" s="30"/>
      <c r="G4640" s="31"/>
      <c r="H4640" s="29"/>
      <c r="I4640" s="30">
        <f>SUM(S4631:S4639)</f>
        <v>3528.07</v>
      </c>
      <c r="J4640" s="29">
        <f>[1]Source!AU4295</f>
        <v>55</v>
      </c>
      <c r="K4640" s="30">
        <f>SUM(T4631:T4639)</f>
        <v>198806.97</v>
      </c>
    </row>
    <row r="4641" spans="1:43" ht="14.4" hidden="1" x14ac:dyDescent="0.25">
      <c r="A4641" s="34"/>
      <c r="B4641" s="34"/>
      <c r="C4641" s="34" t="s">
        <v>45</v>
      </c>
      <c r="D4641" s="35" t="s">
        <v>46</v>
      </c>
      <c r="E4641" s="36">
        <f>[1]Source!AQ4294</f>
        <v>38.200000000000003</v>
      </c>
      <c r="F4641" s="37"/>
      <c r="G4641" s="38" t="s">
        <v>37</v>
      </c>
      <c r="H4641" s="36">
        <f>[1]Source!AV4295</f>
        <v>1.0469999999999999</v>
      </c>
      <c r="I4641" s="37">
        <f>[1]Source!U4294</f>
        <v>396.29042135999998</v>
      </c>
      <c r="J4641" s="36"/>
      <c r="K4641" s="37"/>
    </row>
    <row r="4642" spans="1:43" ht="13.8" hidden="1" x14ac:dyDescent="0.25">
      <c r="C4642" s="39" t="s">
        <v>47</v>
      </c>
      <c r="H4642" s="40">
        <f>I4633+I4634+I4636+I4639+I4640+SUM(I4637:I4638)-SUMIF(AC4637:AC4638, 5, I4637:I4638)-SUMIF(AC4637:AC4638, 6, I4637:I4638)</f>
        <v>186761.12</v>
      </c>
      <c r="I4642" s="40"/>
      <c r="J4642" s="40">
        <f>K4633+K4634+K4636+K4639+K4640+SUM(K4637:K4638)-SUMIF(AC4637:AC4638, 5, K4637:K4638)-SUMIF(AC4637:AC4638, 6, K4637:K4638)</f>
        <v>2481425.4</v>
      </c>
      <c r="K4642" s="40"/>
    </row>
    <row r="4643" spans="1:43" ht="13.8" hidden="1" x14ac:dyDescent="0.25">
      <c r="C4643" s="39" t="s">
        <v>48</v>
      </c>
      <c r="H4643" s="41">
        <f>SUMIF(AC4637:AC4638, 5, I4637:I4638)+SUMIF(AC4637:AC4638, 6, I4637:I4638)</f>
        <v>0</v>
      </c>
      <c r="I4643" s="41"/>
      <c r="J4643" s="41">
        <f>SUMIF(AC4637:AC4638, 5, K4637:K4638)+SUMIF(AC4637:AC4638, 6, K4637:K4638)</f>
        <v>0</v>
      </c>
      <c r="K4643" s="41"/>
    </row>
    <row r="4644" spans="1:43" ht="13.8" hidden="1" x14ac:dyDescent="0.25">
      <c r="C4644" s="39" t="s">
        <v>49</v>
      </c>
      <c r="H4644" s="41">
        <f>I4633+I4634+I4636+I4639+I4640+SUM(I4637:I4638)</f>
        <v>186761.12</v>
      </c>
      <c r="I4644" s="41"/>
      <c r="J4644" s="41">
        <f>K4633+K4634+K4636+K4639+K4640+SUM(K4637:K4638)</f>
        <v>2481425.4</v>
      </c>
      <c r="K4644" s="41"/>
      <c r="O4644" s="42">
        <f>I4633+I4634+I4636+I4639+I4640+SUM(I4637:I4638)</f>
        <v>186761.12</v>
      </c>
      <c r="P4644" s="42">
        <f>K4633+K4634+K4636+K4639+K4640+SUM(K4637:K4638)</f>
        <v>2481425.4</v>
      </c>
    </row>
    <row r="4645" spans="1:43" hidden="1" x14ac:dyDescent="0.25"/>
    <row r="4646" spans="1:43" hidden="1" x14ac:dyDescent="0.25"/>
    <row r="4647" spans="1:43" ht="13.8" hidden="1" x14ac:dyDescent="0.25">
      <c r="A4647" s="44" t="str">
        <f>CONCATENATE("Итого по подразделу: ",IF([1]Source!G4301&lt;&gt;"Новый подраздел", [1]Source!G4301, ""))</f>
        <v>Итого по подразделу: Четвертый  этаж. Кварц-виниловая дизайн-плитка 500х500 мм</v>
      </c>
      <c r="B4647" s="44"/>
      <c r="C4647" s="44"/>
      <c r="D4647" s="44"/>
      <c r="E4647" s="44"/>
      <c r="F4647" s="44"/>
      <c r="G4647" s="44"/>
      <c r="H4647" s="41">
        <f>SUM(O4591:O4646)</f>
        <v>242004.88</v>
      </c>
      <c r="I4647" s="45"/>
      <c r="J4647" s="41">
        <f>SUM(P4591:P4646)</f>
        <v>3458856.51</v>
      </c>
      <c r="K4647" s="45"/>
      <c r="AQ4647" s="52" t="str">
        <f>CONCATENATE("Итого по подразделу: ",IF([1]Source!G4301&lt;&gt;"Новый подраздел", [1]Source!G4301, ""))</f>
        <v>Итого по подразделу: Четвертый  этаж. Кварц-виниловая дизайн-плитка 500х500 мм</v>
      </c>
    </row>
    <row r="4648" spans="1:43" hidden="1" x14ac:dyDescent="0.25">
      <c r="A4648" t="s">
        <v>55</v>
      </c>
      <c r="I4648">
        <f>SUM(W4591:W4647)</f>
        <v>0</v>
      </c>
      <c r="J4648">
        <f>SUM(X4591:X4647)</f>
        <v>0</v>
      </c>
    </row>
    <row r="4649" spans="1:43" hidden="1" x14ac:dyDescent="0.25">
      <c r="A4649" t="s">
        <v>56</v>
      </c>
      <c r="I4649">
        <f>SUM(Y4591:Y4648)</f>
        <v>0</v>
      </c>
      <c r="J4649">
        <f>SUM(Z4591:Z4648)</f>
        <v>0</v>
      </c>
    </row>
    <row r="4650" spans="1:43" hidden="1" x14ac:dyDescent="0.25"/>
    <row r="4651" spans="1:43" ht="16.8" hidden="1" x14ac:dyDescent="0.25">
      <c r="A4651" s="11" t="str">
        <f>CONCATENATE("Подраздел: ",IF([1]Source!G4331&lt;&gt;"Новый подраздел", [1]Source!G4331, ""))</f>
        <v>Подраздел: Четвертый  этаж. Керамогранит 600х600 мм</v>
      </c>
      <c r="B4651" s="11"/>
      <c r="C4651" s="11"/>
      <c r="D4651" s="11"/>
      <c r="E4651" s="11"/>
      <c r="F4651" s="11"/>
      <c r="G4651" s="11"/>
      <c r="H4651" s="11"/>
      <c r="I4651" s="11"/>
      <c r="J4651" s="11"/>
      <c r="K4651" s="11"/>
    </row>
    <row r="4652" spans="1:43" ht="57.6" hidden="1" x14ac:dyDescent="0.25">
      <c r="A4652" s="27">
        <v>436</v>
      </c>
      <c r="B4652" s="27" t="str">
        <f>[1]Source!F4335</f>
        <v>3.70-159-1</v>
      </c>
      <c r="C4652" s="27" t="s">
        <v>717</v>
      </c>
      <c r="D4652" s="28" t="str">
        <f>[1]Source!H4335</f>
        <v>100 м2 стяжки</v>
      </c>
      <c r="E4652" s="29">
        <f>[1]Source!I4335</f>
        <v>0.45</v>
      </c>
      <c r="F4652" s="30"/>
      <c r="G4652" s="31"/>
      <c r="H4652" s="29"/>
      <c r="I4652" s="30"/>
      <c r="J4652" s="29"/>
      <c r="K4652" s="30"/>
      <c r="Q4652">
        <f>[1]Source!X4335</f>
        <v>213.72</v>
      </c>
      <c r="R4652">
        <f>[1]Source!X4336</f>
        <v>12042.9</v>
      </c>
      <c r="S4652">
        <f>[1]Source!Y4335</f>
        <v>116.38</v>
      </c>
      <c r="T4652">
        <f>[1]Source!Y4336</f>
        <v>6558.01</v>
      </c>
      <c r="U4652">
        <f>ROUND((175/100)*ROUND([1]Source!R4335, 2), 2)</f>
        <v>0</v>
      </c>
      <c r="V4652">
        <f>ROUND((0/100)*ROUND([1]Source!R4336, 2), 2)</f>
        <v>0</v>
      </c>
      <c r="AC4652">
        <v>0</v>
      </c>
    </row>
    <row r="4653" spans="1:43" hidden="1" x14ac:dyDescent="0.25">
      <c r="C4653" s="32" t="str">
        <f>"Объем: "&amp;[1]Source!I4335&amp;"=45/"&amp;"100"</f>
        <v>Объем: 0,45=45/100</v>
      </c>
    </row>
    <row r="4654" spans="1:43" ht="14.4" hidden="1" x14ac:dyDescent="0.25">
      <c r="A4654" s="27"/>
      <c r="B4654" s="27"/>
      <c r="C4654" s="27" t="s">
        <v>36</v>
      </c>
      <c r="D4654" s="28"/>
      <c r="E4654" s="29"/>
      <c r="F4654" s="30">
        <f>[1]Source!AO4335</f>
        <v>325.45</v>
      </c>
      <c r="G4654" s="31" t="s">
        <v>37</v>
      </c>
      <c r="H4654" s="29">
        <f>[1]Source!AV4336</f>
        <v>1.0469999999999999</v>
      </c>
      <c r="I4654" s="30">
        <f>[1]Source!S4335</f>
        <v>211.6</v>
      </c>
      <c r="J4654" s="29">
        <f>IF([1]Source!BA4336&lt;&gt; 0, [1]Source!BA4336, 1)</f>
        <v>56.35</v>
      </c>
      <c r="K4654" s="30">
        <f>[1]Source!S4336</f>
        <v>11923.66</v>
      </c>
    </row>
    <row r="4655" spans="1:43" ht="14.4" hidden="1" x14ac:dyDescent="0.25">
      <c r="A4655" s="27"/>
      <c r="B4655" s="27"/>
      <c r="C4655" s="27" t="s">
        <v>38</v>
      </c>
      <c r="D4655" s="28"/>
      <c r="E4655" s="29"/>
      <c r="F4655" s="30">
        <f>[1]Source!AM4335</f>
        <v>1.8</v>
      </c>
      <c r="G4655" s="31" t="s">
        <v>39</v>
      </c>
      <c r="H4655" s="29">
        <f>[1]Source!AV4336</f>
        <v>1.0469999999999999</v>
      </c>
      <c r="I4655" s="30">
        <f>[1]Source!Q4335</f>
        <v>1.27</v>
      </c>
      <c r="J4655" s="29">
        <f>IF([1]Source!BB4336&lt;&gt; 0, [1]Source!BB4336, 1)</f>
        <v>11.69</v>
      </c>
      <c r="K4655" s="30">
        <f>[1]Source!Q4336</f>
        <v>14.85</v>
      </c>
    </row>
    <row r="4656" spans="1:43" ht="14.4" hidden="1" x14ac:dyDescent="0.25">
      <c r="A4656" s="27"/>
      <c r="B4656" s="27"/>
      <c r="C4656" s="27" t="s">
        <v>41</v>
      </c>
      <c r="D4656" s="28"/>
      <c r="E4656" s="29"/>
      <c r="F4656" s="30">
        <f>[1]Source!AL4335</f>
        <v>24.75</v>
      </c>
      <c r="G4656" s="31"/>
      <c r="H4656" s="29">
        <f>[1]Source!AW4336</f>
        <v>1</v>
      </c>
      <c r="I4656" s="30">
        <f>[1]Source!P4335</f>
        <v>11.14</v>
      </c>
      <c r="J4656" s="29">
        <f>IF([1]Source!BC4336&lt;&gt; 0, [1]Source!BC4336, 1)</f>
        <v>7.75</v>
      </c>
      <c r="K4656" s="30">
        <f>[1]Source!P4336</f>
        <v>86.34</v>
      </c>
    </row>
    <row r="4657" spans="1:29" ht="27.6" hidden="1" x14ac:dyDescent="0.25">
      <c r="A4657" s="27" t="s">
        <v>854</v>
      </c>
      <c r="B4657" s="27" t="str">
        <f>[1]Source!F4337</f>
        <v>1.3-2-7</v>
      </c>
      <c r="C4657" s="27" t="s">
        <v>752</v>
      </c>
      <c r="D4657" s="28" t="str">
        <f>[1]Source!H4337</f>
        <v>м3</v>
      </c>
      <c r="E4657" s="29">
        <f>[1]Source!I4337</f>
        <v>0.91800000000000004</v>
      </c>
      <c r="F4657" s="30">
        <f>[1]Source!AK4337</f>
        <v>507.97</v>
      </c>
      <c r="G4657" s="43" t="s">
        <v>54</v>
      </c>
      <c r="H4657" s="29">
        <f>[1]Source!AW4338</f>
        <v>1</v>
      </c>
      <c r="I4657" s="30">
        <f>[1]Source!O4337</f>
        <v>466.32</v>
      </c>
      <c r="J4657" s="29">
        <f>IF([1]Source!BC4338&lt;&gt; 0, [1]Source!BC4338, 1)</f>
        <v>10.98</v>
      </c>
      <c r="K4657" s="30">
        <f>[1]Source!O4338</f>
        <v>5120.1899999999996</v>
      </c>
      <c r="Q4657">
        <f>[1]Source!X4337</f>
        <v>0</v>
      </c>
      <c r="R4657">
        <f>[1]Source!X4338</f>
        <v>0</v>
      </c>
      <c r="S4657">
        <f>[1]Source!Y4337</f>
        <v>0</v>
      </c>
      <c r="T4657">
        <f>[1]Source!Y4338</f>
        <v>0</v>
      </c>
      <c r="U4657">
        <f>ROUND((175/100)*ROUND([1]Source!R4337, 2), 2)</f>
        <v>0</v>
      </c>
      <c r="V4657">
        <f>ROUND((0/100)*ROUND([1]Source!R4338, 2), 2)</f>
        <v>0</v>
      </c>
      <c r="AC4657">
        <v>3</v>
      </c>
    </row>
    <row r="4658" spans="1:29" ht="14.4" hidden="1" x14ac:dyDescent="0.25">
      <c r="A4658" s="27"/>
      <c r="B4658" s="27"/>
      <c r="C4658" s="27" t="s">
        <v>42</v>
      </c>
      <c r="D4658" s="28" t="s">
        <v>43</v>
      </c>
      <c r="E4658" s="29">
        <f>[1]Source!BZ4336</f>
        <v>101</v>
      </c>
      <c r="F4658" s="30"/>
      <c r="G4658" s="31"/>
      <c r="H4658" s="29"/>
      <c r="I4658" s="30">
        <f>SUM(Q4652:Q4657)</f>
        <v>213.72</v>
      </c>
      <c r="J4658" s="29">
        <f>[1]Source!AT4336</f>
        <v>101</v>
      </c>
      <c r="K4658" s="30">
        <f>SUM(R4652:R4657)</f>
        <v>12042.9</v>
      </c>
    </row>
    <row r="4659" spans="1:29" ht="14.4" hidden="1" x14ac:dyDescent="0.25">
      <c r="A4659" s="27"/>
      <c r="B4659" s="27"/>
      <c r="C4659" s="27" t="s">
        <v>44</v>
      </c>
      <c r="D4659" s="28" t="s">
        <v>43</v>
      </c>
      <c r="E4659" s="29">
        <f>[1]Source!CA4336</f>
        <v>55</v>
      </c>
      <c r="F4659" s="30"/>
      <c r="G4659" s="31"/>
      <c r="H4659" s="29"/>
      <c r="I4659" s="30">
        <f>SUM(S4652:S4658)</f>
        <v>116.38</v>
      </c>
      <c r="J4659" s="29">
        <f>[1]Source!AU4336</f>
        <v>55</v>
      </c>
      <c r="K4659" s="30">
        <f>SUM(T4652:T4658)</f>
        <v>6558.01</v>
      </c>
    </row>
    <row r="4660" spans="1:29" ht="14.4" hidden="1" x14ac:dyDescent="0.25">
      <c r="A4660" s="34"/>
      <c r="B4660" s="34"/>
      <c r="C4660" s="34" t="s">
        <v>45</v>
      </c>
      <c r="D4660" s="35" t="s">
        <v>46</v>
      </c>
      <c r="E4660" s="36">
        <f>[1]Source!AQ4335</f>
        <v>23.33</v>
      </c>
      <c r="F4660" s="37"/>
      <c r="G4660" s="38" t="s">
        <v>37</v>
      </c>
      <c r="H4660" s="36">
        <f>[1]Source!AV4336</f>
        <v>1.0469999999999999</v>
      </c>
      <c r="I4660" s="37">
        <f>[1]Source!U4335</f>
        <v>15.168862709999997</v>
      </c>
      <c r="J4660" s="36"/>
      <c r="K4660" s="37"/>
    </row>
    <row r="4661" spans="1:29" ht="13.8" hidden="1" x14ac:dyDescent="0.25">
      <c r="C4661" s="39" t="s">
        <v>47</v>
      </c>
      <c r="H4661" s="40">
        <f>I4654+I4655+I4656+I4658+I4659+SUM(I4657:I4657)-SUMIF(AC4657:AC4657, 5, I4657:I4657)-SUMIF(AC4657:AC4657, 6, I4657:I4657)</f>
        <v>1020.4300000000001</v>
      </c>
      <c r="I4661" s="40"/>
      <c r="J4661" s="40">
        <f>K4654+K4655+K4656+K4658+K4659+SUM(K4657:K4657)-SUMIF(AC4657:AC4657, 5, K4657:K4657)-SUMIF(AC4657:AC4657, 6, K4657:K4657)</f>
        <v>35745.950000000004</v>
      </c>
      <c r="K4661" s="40"/>
    </row>
    <row r="4662" spans="1:29" ht="13.8" hidden="1" x14ac:dyDescent="0.25">
      <c r="C4662" s="39" t="s">
        <v>48</v>
      </c>
      <c r="H4662" s="41">
        <f>SUMIF(AC4657:AC4657, 5, I4657:I4657)+SUMIF(AC4657:AC4657, 6, I4657:I4657)</f>
        <v>0</v>
      </c>
      <c r="I4662" s="41"/>
      <c r="J4662" s="41">
        <f>SUMIF(AC4657:AC4657, 5, K4657:K4657)+SUMIF(AC4657:AC4657, 6, K4657:K4657)</f>
        <v>0</v>
      </c>
      <c r="K4662" s="41"/>
    </row>
    <row r="4663" spans="1:29" ht="13.8" hidden="1" x14ac:dyDescent="0.25">
      <c r="C4663" s="39" t="s">
        <v>49</v>
      </c>
      <c r="H4663" s="41">
        <f>I4654+I4655+I4656+I4658+I4659+SUM(I4657:I4657)</f>
        <v>1020.4300000000001</v>
      </c>
      <c r="I4663" s="41"/>
      <c r="J4663" s="41">
        <f>K4654+K4655+K4656+K4658+K4659+SUM(K4657:K4657)</f>
        <v>35745.950000000004</v>
      </c>
      <c r="K4663" s="41"/>
      <c r="O4663" s="42">
        <f>I4654+I4655+I4656+I4658+I4659+SUM(I4657:I4657)</f>
        <v>1020.4300000000001</v>
      </c>
      <c r="P4663" s="42">
        <f>K4654+K4655+K4656+K4658+K4659+SUM(K4657:K4657)</f>
        <v>35745.950000000004</v>
      </c>
    </row>
    <row r="4664" spans="1:29" hidden="1" x14ac:dyDescent="0.25"/>
    <row r="4665" spans="1:29" ht="57.6" hidden="1" x14ac:dyDescent="0.25">
      <c r="A4665" s="27">
        <v>437</v>
      </c>
      <c r="B4665" s="27" t="str">
        <f>[1]Source!F4339</f>
        <v>3.70-159-2</v>
      </c>
      <c r="C4665" s="27" t="s">
        <v>719</v>
      </c>
      <c r="D4665" s="28" t="str">
        <f>[1]Source!H4339</f>
        <v>100 м2 стяжки</v>
      </c>
      <c r="E4665" s="29">
        <f>[1]Source!I4339</f>
        <v>0.45</v>
      </c>
      <c r="F4665" s="30"/>
      <c r="G4665" s="31"/>
      <c r="H4665" s="29"/>
      <c r="I4665" s="30"/>
      <c r="J4665" s="29"/>
      <c r="K4665" s="30"/>
      <c r="Q4665">
        <f>[1]Source!X4339</f>
        <v>31.68</v>
      </c>
      <c r="R4665">
        <f>[1]Source!X4340</f>
        <v>1785.38</v>
      </c>
      <c r="S4665">
        <f>[1]Source!Y4339</f>
        <v>17.25</v>
      </c>
      <c r="T4665">
        <f>[1]Source!Y4340</f>
        <v>972.24</v>
      </c>
      <c r="U4665">
        <f>ROUND((175/100)*ROUND([1]Source!R4339, 2), 2)</f>
        <v>0</v>
      </c>
      <c r="V4665">
        <f>ROUND((0/100)*ROUND([1]Source!R4340, 2), 2)</f>
        <v>0</v>
      </c>
      <c r="AC4665">
        <v>0</v>
      </c>
    </row>
    <row r="4666" spans="1:29" hidden="1" x14ac:dyDescent="0.25">
      <c r="C4666" s="32" t="str">
        <f>"Объем: "&amp;[1]Source!I4339&amp;"=45/"&amp;"100"</f>
        <v>Объем: 0,45=45/100</v>
      </c>
    </row>
    <row r="4667" spans="1:29" ht="14.4" hidden="1" x14ac:dyDescent="0.25">
      <c r="A4667" s="27"/>
      <c r="B4667" s="27"/>
      <c r="C4667" s="27" t="s">
        <v>36</v>
      </c>
      <c r="D4667" s="28"/>
      <c r="E4667" s="29"/>
      <c r="F4667" s="30">
        <f>[1]Source!AO4339</f>
        <v>6.03</v>
      </c>
      <c r="G4667" s="31" t="s">
        <v>720</v>
      </c>
      <c r="H4667" s="29">
        <f>[1]Source!AV4340</f>
        <v>1.0469999999999999</v>
      </c>
      <c r="I4667" s="30">
        <f>[1]Source!S4339</f>
        <v>31.37</v>
      </c>
      <c r="J4667" s="29">
        <f>IF([1]Source!BA4340&lt;&gt; 0, [1]Source!BA4340, 1)</f>
        <v>56.35</v>
      </c>
      <c r="K4667" s="30">
        <f>[1]Source!S4340</f>
        <v>1767.7</v>
      </c>
    </row>
    <row r="4668" spans="1:29" ht="14.4" hidden="1" x14ac:dyDescent="0.25">
      <c r="A4668" s="27"/>
      <c r="B4668" s="27"/>
      <c r="C4668" s="27" t="s">
        <v>38</v>
      </c>
      <c r="D4668" s="28"/>
      <c r="E4668" s="29"/>
      <c r="F4668" s="30">
        <f>[1]Source!AM4339</f>
        <v>0.46</v>
      </c>
      <c r="G4668" s="31" t="s">
        <v>721</v>
      </c>
      <c r="H4668" s="29">
        <f>[1]Source!AV4340</f>
        <v>1.0469999999999999</v>
      </c>
      <c r="I4668" s="30">
        <f>[1]Source!Q4339</f>
        <v>2.6</v>
      </c>
      <c r="J4668" s="29">
        <f>IF([1]Source!BB4340&lt;&gt; 0, [1]Source!BB4340, 1)</f>
        <v>11.7</v>
      </c>
      <c r="K4668" s="30">
        <f>[1]Source!Q4340</f>
        <v>30.42</v>
      </c>
    </row>
    <row r="4669" spans="1:29" ht="27.6" hidden="1" x14ac:dyDescent="0.25">
      <c r="A4669" s="27" t="s">
        <v>855</v>
      </c>
      <c r="B4669" s="27" t="str">
        <f>[1]Source!F4341</f>
        <v>1.3-2-7</v>
      </c>
      <c r="C4669" s="27" t="s">
        <v>752</v>
      </c>
      <c r="D4669" s="28" t="str">
        <f>[1]Source!H4341</f>
        <v>м3</v>
      </c>
      <c r="E4669" s="29">
        <f>[1]Source!I4341</f>
        <v>1.8360000000000001</v>
      </c>
      <c r="F4669" s="30">
        <f>[1]Source!AK4341</f>
        <v>507.97</v>
      </c>
      <c r="G4669" s="43" t="s">
        <v>54</v>
      </c>
      <c r="H4669" s="29">
        <f>[1]Source!AW4342</f>
        <v>1</v>
      </c>
      <c r="I4669" s="30">
        <f>[1]Source!O4341</f>
        <v>932.63</v>
      </c>
      <c r="J4669" s="29">
        <f>IF([1]Source!BC4342&lt;&gt; 0, [1]Source!BC4342, 1)</f>
        <v>10.98</v>
      </c>
      <c r="K4669" s="30">
        <f>[1]Source!O4342</f>
        <v>10240.280000000001</v>
      </c>
      <c r="Q4669">
        <f>[1]Source!X4341</f>
        <v>0</v>
      </c>
      <c r="R4669">
        <f>[1]Source!X4342</f>
        <v>0</v>
      </c>
      <c r="S4669">
        <f>[1]Source!Y4341</f>
        <v>0</v>
      </c>
      <c r="T4669">
        <f>[1]Source!Y4342</f>
        <v>0</v>
      </c>
      <c r="U4669">
        <f>ROUND((175/100)*ROUND([1]Source!R4341, 2), 2)</f>
        <v>0</v>
      </c>
      <c r="V4669">
        <f>ROUND((0/100)*ROUND([1]Source!R4342, 2), 2)</f>
        <v>0</v>
      </c>
      <c r="AC4669">
        <v>3</v>
      </c>
    </row>
    <row r="4670" spans="1:29" ht="14.4" hidden="1" x14ac:dyDescent="0.25">
      <c r="A4670" s="27"/>
      <c r="B4670" s="27"/>
      <c r="C4670" s="27" t="s">
        <v>42</v>
      </c>
      <c r="D4670" s="28" t="s">
        <v>43</v>
      </c>
      <c r="E4670" s="29">
        <f>[1]Source!BZ4340</f>
        <v>101</v>
      </c>
      <c r="F4670" s="30"/>
      <c r="G4670" s="31"/>
      <c r="H4670" s="29"/>
      <c r="I4670" s="30">
        <f>SUM(Q4665:Q4669)</f>
        <v>31.68</v>
      </c>
      <c r="J4670" s="29">
        <f>[1]Source!AT4340</f>
        <v>101</v>
      </c>
      <c r="K4670" s="30">
        <f>SUM(R4665:R4669)</f>
        <v>1785.38</v>
      </c>
    </row>
    <row r="4671" spans="1:29" ht="14.4" hidden="1" x14ac:dyDescent="0.25">
      <c r="A4671" s="27"/>
      <c r="B4671" s="27"/>
      <c r="C4671" s="27" t="s">
        <v>44</v>
      </c>
      <c r="D4671" s="28" t="s">
        <v>43</v>
      </c>
      <c r="E4671" s="29">
        <f>[1]Source!CA4340</f>
        <v>55</v>
      </c>
      <c r="F4671" s="30"/>
      <c r="G4671" s="31"/>
      <c r="H4671" s="29"/>
      <c r="I4671" s="30">
        <f>SUM(S4665:S4670)</f>
        <v>17.25</v>
      </c>
      <c r="J4671" s="29">
        <f>[1]Source!AU4340</f>
        <v>55</v>
      </c>
      <c r="K4671" s="30">
        <f>SUM(T4665:T4670)</f>
        <v>972.24</v>
      </c>
    </row>
    <row r="4672" spans="1:29" ht="14.4" hidden="1" x14ac:dyDescent="0.25">
      <c r="A4672" s="34"/>
      <c r="B4672" s="34"/>
      <c r="C4672" s="34" t="s">
        <v>45</v>
      </c>
      <c r="D4672" s="35" t="s">
        <v>46</v>
      </c>
      <c r="E4672" s="36">
        <f>[1]Source!AQ4339</f>
        <v>0.44</v>
      </c>
      <c r="F4672" s="37"/>
      <c r="G4672" s="38" t="s">
        <v>720</v>
      </c>
      <c r="H4672" s="36">
        <f>[1]Source!AV4340</f>
        <v>1.0469999999999999</v>
      </c>
      <c r="I4672" s="37">
        <f>[1]Source!U4339</f>
        <v>2.2886582399999997</v>
      </c>
      <c r="J4672" s="36"/>
      <c r="K4672" s="37"/>
    </row>
    <row r="4673" spans="1:29" ht="13.8" hidden="1" x14ac:dyDescent="0.25">
      <c r="C4673" s="39" t="s">
        <v>47</v>
      </c>
      <c r="H4673" s="40">
        <f>I4667+I4668+I4670+I4671+SUM(I4669:I4669)-SUMIF(AC4669:AC4669, 5, I4669:I4669)-SUMIF(AC4669:AC4669, 6, I4669:I4669)</f>
        <v>1015.53</v>
      </c>
      <c r="I4673" s="40"/>
      <c r="J4673" s="40">
        <f>K4667+K4668+K4670+K4671+SUM(K4669:K4669)-SUMIF(AC4669:AC4669, 5, K4669:K4669)-SUMIF(AC4669:AC4669, 6, K4669:K4669)</f>
        <v>14796.02</v>
      </c>
      <c r="K4673" s="40"/>
    </row>
    <row r="4674" spans="1:29" ht="13.8" hidden="1" x14ac:dyDescent="0.25">
      <c r="C4674" s="39" t="s">
        <v>48</v>
      </c>
      <c r="H4674" s="41">
        <f>SUMIF(AC4669:AC4669, 5, I4669:I4669)+SUMIF(AC4669:AC4669, 6, I4669:I4669)</f>
        <v>0</v>
      </c>
      <c r="I4674" s="41"/>
      <c r="J4674" s="41">
        <f>SUMIF(AC4669:AC4669, 5, K4669:K4669)+SUMIF(AC4669:AC4669, 6, K4669:K4669)</f>
        <v>0</v>
      </c>
      <c r="K4674" s="41"/>
    </row>
    <row r="4675" spans="1:29" ht="13.8" hidden="1" x14ac:dyDescent="0.25">
      <c r="C4675" s="39" t="s">
        <v>49</v>
      </c>
      <c r="H4675" s="41">
        <f>I4667+I4668+I4670+I4671+SUM(I4669:I4669)</f>
        <v>1015.53</v>
      </c>
      <c r="I4675" s="41"/>
      <c r="J4675" s="41">
        <f>K4667+K4668+K4670+K4671+SUM(K4669:K4669)</f>
        <v>14796.02</v>
      </c>
      <c r="K4675" s="41"/>
      <c r="O4675" s="42">
        <f>I4667+I4668+I4670+I4671+SUM(I4669:I4669)</f>
        <v>1015.53</v>
      </c>
      <c r="P4675" s="42">
        <f>K4667+K4668+K4670+K4671+SUM(K4669:K4669)</f>
        <v>14796.02</v>
      </c>
    </row>
    <row r="4676" spans="1:29" hidden="1" x14ac:dyDescent="0.25"/>
    <row r="4677" spans="1:29" ht="27.6" hidden="1" x14ac:dyDescent="0.25">
      <c r="A4677" s="27">
        <v>438</v>
      </c>
      <c r="B4677" s="27" t="str">
        <f>[1]Source!F4343</f>
        <v>3.70-43-6</v>
      </c>
      <c r="C4677" s="27" t="s">
        <v>723</v>
      </c>
      <c r="D4677" s="28" t="str">
        <f>[1]Source!H4343</f>
        <v>1 Т</v>
      </c>
      <c r="E4677" s="29">
        <f>[1]Source!I4343</f>
        <v>0.12375</v>
      </c>
      <c r="F4677" s="30"/>
      <c r="G4677" s="31"/>
      <c r="H4677" s="29"/>
      <c r="I4677" s="30"/>
      <c r="J4677" s="29"/>
      <c r="K4677" s="30"/>
      <c r="Q4677">
        <f>[1]Source!X4343</f>
        <v>30.59</v>
      </c>
      <c r="R4677">
        <f>[1]Source!X4344</f>
        <v>1723.74</v>
      </c>
      <c r="S4677">
        <f>[1]Source!Y4343</f>
        <v>16.29</v>
      </c>
      <c r="T4677">
        <f>[1]Source!Y4344</f>
        <v>918.08</v>
      </c>
      <c r="U4677">
        <f>ROUND((175/100)*ROUND([1]Source!R4343, 2), 2)</f>
        <v>1.72</v>
      </c>
      <c r="V4677">
        <f>ROUND((0/100)*ROUND([1]Source!R4344, 2), 2)</f>
        <v>0</v>
      </c>
      <c r="AC4677">
        <v>0</v>
      </c>
    </row>
    <row r="4678" spans="1:29" hidden="1" x14ac:dyDescent="0.25">
      <c r="C4678" s="32" t="str">
        <f>"Объем: "&amp;[1]Source!I4343&amp;"=(2,75*"&amp;"45)/"&amp;"1000"</f>
        <v>Объем: 0,12375=(2,75*45)/1000</v>
      </c>
    </row>
    <row r="4679" spans="1:29" ht="14.4" hidden="1" x14ac:dyDescent="0.25">
      <c r="A4679" s="27"/>
      <c r="B4679" s="27"/>
      <c r="C4679" s="27" t="s">
        <v>36</v>
      </c>
      <c r="D4679" s="28"/>
      <c r="E4679" s="29"/>
      <c r="F4679" s="30">
        <f>[1]Source!AO4343</f>
        <v>180.47</v>
      </c>
      <c r="G4679" s="31" t="s">
        <v>37</v>
      </c>
      <c r="H4679" s="29">
        <f>[1]Source!AV4344</f>
        <v>1.0469999999999999</v>
      </c>
      <c r="I4679" s="30">
        <f>[1]Source!S4343</f>
        <v>32.270000000000003</v>
      </c>
      <c r="J4679" s="29">
        <f>IF([1]Source!BA4344&lt;&gt; 0, [1]Source!BA4344, 1)</f>
        <v>56.35</v>
      </c>
      <c r="K4679" s="30">
        <f>[1]Source!S4344</f>
        <v>1818.41</v>
      </c>
    </row>
    <row r="4680" spans="1:29" ht="14.4" hidden="1" x14ac:dyDescent="0.25">
      <c r="A4680" s="27"/>
      <c r="B4680" s="27"/>
      <c r="C4680" s="27" t="s">
        <v>38</v>
      </c>
      <c r="D4680" s="28"/>
      <c r="E4680" s="29"/>
      <c r="F4680" s="30">
        <f>[1]Source!AM4343</f>
        <v>43.5</v>
      </c>
      <c r="G4680" s="31" t="s">
        <v>39</v>
      </c>
      <c r="H4680" s="29">
        <f>[1]Source!AV4344</f>
        <v>1.0469999999999999</v>
      </c>
      <c r="I4680" s="30">
        <f>[1]Source!Q4343</f>
        <v>8.4499999999999993</v>
      </c>
      <c r="J4680" s="29">
        <f>IF([1]Source!BB4344&lt;&gt; 0, [1]Source!BB4344, 1)</f>
        <v>15.44</v>
      </c>
      <c r="K4680" s="30">
        <f>[1]Source!Q4344</f>
        <v>130.47</v>
      </c>
    </row>
    <row r="4681" spans="1:29" ht="14.4" hidden="1" x14ac:dyDescent="0.25">
      <c r="A4681" s="27"/>
      <c r="B4681" s="27"/>
      <c r="C4681" s="27" t="s">
        <v>40</v>
      </c>
      <c r="D4681" s="28"/>
      <c r="E4681" s="29"/>
      <c r="F4681" s="30">
        <f>[1]Source!AN4343</f>
        <v>5.0599999999999996</v>
      </c>
      <c r="G4681" s="31" t="s">
        <v>39</v>
      </c>
      <c r="H4681" s="29">
        <f>[1]Source!AV4344</f>
        <v>1.0469999999999999</v>
      </c>
      <c r="I4681" s="33">
        <f>[1]Source!R4343</f>
        <v>0.98</v>
      </c>
      <c r="J4681" s="29">
        <f>IF([1]Source!BS4344&lt;&gt; 0, [1]Source!BS4344, 1)</f>
        <v>56.35</v>
      </c>
      <c r="K4681" s="33">
        <f>[1]Source!R4344</f>
        <v>55.22</v>
      </c>
    </row>
    <row r="4682" spans="1:29" ht="14.4" hidden="1" x14ac:dyDescent="0.25">
      <c r="A4682" s="27"/>
      <c r="B4682" s="27"/>
      <c r="C4682" s="27" t="s">
        <v>41</v>
      </c>
      <c r="D4682" s="28"/>
      <c r="E4682" s="29"/>
      <c r="F4682" s="30">
        <f>[1]Source!AL4343</f>
        <v>258.67</v>
      </c>
      <c r="G4682" s="31"/>
      <c r="H4682" s="29">
        <f>[1]Source!AW4344</f>
        <v>1.022</v>
      </c>
      <c r="I4682" s="30">
        <f>[1]Source!P4343</f>
        <v>32.71</v>
      </c>
      <c r="J4682" s="29">
        <f>IF([1]Source!BC4344&lt;&gt; 0, [1]Source!BC4344, 1)</f>
        <v>7.5</v>
      </c>
      <c r="K4682" s="30">
        <f>[1]Source!P4344</f>
        <v>245.33</v>
      </c>
    </row>
    <row r="4683" spans="1:29" ht="55.2" hidden="1" x14ac:dyDescent="0.25">
      <c r="A4683" s="27" t="s">
        <v>856</v>
      </c>
      <c r="B4683" s="27" t="str">
        <f>[1]Source!F4345</f>
        <v>1.3-4-75</v>
      </c>
      <c r="C4683" s="27" t="s">
        <v>725</v>
      </c>
      <c r="D4683" s="28" t="str">
        <f>[1]Source!H4345</f>
        <v>т</v>
      </c>
      <c r="E4683" s="29">
        <f>[1]Source!I4345</f>
        <v>0.12375</v>
      </c>
      <c r="F4683" s="30">
        <f>[1]Source!AK4345</f>
        <v>9724.69</v>
      </c>
      <c r="G4683" s="43" t="s">
        <v>54</v>
      </c>
      <c r="H4683" s="29">
        <f>[1]Source!AW4346</f>
        <v>1.022</v>
      </c>
      <c r="I4683" s="30">
        <f>[1]Source!O4345</f>
        <v>1229.9100000000001</v>
      </c>
      <c r="J4683" s="29">
        <f>IF([1]Source!BC4346&lt;&gt; 0, [1]Source!BC4346, 1)</f>
        <v>3.88</v>
      </c>
      <c r="K4683" s="30">
        <f>[1]Source!O4346</f>
        <v>4772.05</v>
      </c>
      <c r="Q4683">
        <f>[1]Source!X4345</f>
        <v>0</v>
      </c>
      <c r="R4683">
        <f>[1]Source!X4346</f>
        <v>0</v>
      </c>
      <c r="S4683">
        <f>[1]Source!Y4345</f>
        <v>0</v>
      </c>
      <c r="T4683">
        <f>[1]Source!Y4346</f>
        <v>0</v>
      </c>
      <c r="U4683">
        <f>ROUND((175/100)*ROUND([1]Source!R4345, 2), 2)</f>
        <v>0</v>
      </c>
      <c r="V4683">
        <f>ROUND((0/100)*ROUND([1]Source!R4346, 2), 2)</f>
        <v>0</v>
      </c>
      <c r="AC4683">
        <v>3</v>
      </c>
    </row>
    <row r="4684" spans="1:29" ht="14.4" hidden="1" x14ac:dyDescent="0.25">
      <c r="A4684" s="27"/>
      <c r="B4684" s="27"/>
      <c r="C4684" s="27" t="s">
        <v>42</v>
      </c>
      <c r="D4684" s="28" t="s">
        <v>43</v>
      </c>
      <c r="E4684" s="29">
        <f>[1]Source!BZ4344</f>
        <v>92</v>
      </c>
      <c r="F4684" s="30"/>
      <c r="G4684" s="31"/>
      <c r="H4684" s="29"/>
      <c r="I4684" s="30">
        <f>SUM(Q4677:Q4683)</f>
        <v>30.59</v>
      </c>
      <c r="J4684" s="29">
        <f>[1]Source!AT4344</f>
        <v>92</v>
      </c>
      <c r="K4684" s="30">
        <f>SUM(R4677:R4683)</f>
        <v>1723.74</v>
      </c>
    </row>
    <row r="4685" spans="1:29" ht="14.4" hidden="1" x14ac:dyDescent="0.25">
      <c r="A4685" s="27"/>
      <c r="B4685" s="27"/>
      <c r="C4685" s="27" t="s">
        <v>44</v>
      </c>
      <c r="D4685" s="28" t="s">
        <v>43</v>
      </c>
      <c r="E4685" s="29">
        <f>[1]Source!CA4344</f>
        <v>49</v>
      </c>
      <c r="F4685" s="30"/>
      <c r="G4685" s="31"/>
      <c r="H4685" s="29"/>
      <c r="I4685" s="30">
        <f>SUM(S4677:S4684)</f>
        <v>16.29</v>
      </c>
      <c r="J4685" s="29">
        <f>[1]Source!AU4344</f>
        <v>49</v>
      </c>
      <c r="K4685" s="30">
        <f>SUM(T4677:T4684)</f>
        <v>918.08</v>
      </c>
    </row>
    <row r="4686" spans="1:29" ht="14.4" hidden="1" x14ac:dyDescent="0.25">
      <c r="A4686" s="34"/>
      <c r="B4686" s="34"/>
      <c r="C4686" s="34" t="s">
        <v>45</v>
      </c>
      <c r="D4686" s="35" t="s">
        <v>46</v>
      </c>
      <c r="E4686" s="36">
        <f>[1]Source!AQ4343</f>
        <v>11.6</v>
      </c>
      <c r="F4686" s="37"/>
      <c r="G4686" s="38" t="s">
        <v>37</v>
      </c>
      <c r="H4686" s="36">
        <f>[1]Source!AV4344</f>
        <v>1.0469999999999999</v>
      </c>
      <c r="I4686" s="37">
        <f>[1]Source!U4343</f>
        <v>2.0740965299999994</v>
      </c>
      <c r="J4686" s="36"/>
      <c r="K4686" s="37"/>
    </row>
    <row r="4687" spans="1:29" ht="13.8" hidden="1" x14ac:dyDescent="0.25">
      <c r="C4687" s="39" t="s">
        <v>47</v>
      </c>
      <c r="H4687" s="40">
        <f>I4679+I4680+I4682+I4684+I4685+SUM(I4683:I4683)-SUMIF(AC4683:AC4683, 5, I4683:I4683)-SUMIF(AC4683:AC4683, 6, I4683:I4683)</f>
        <v>1350.22</v>
      </c>
      <c r="I4687" s="40"/>
      <c r="J4687" s="40">
        <f>K4679+K4680+K4682+K4684+K4685+SUM(K4683:K4683)-SUMIF(AC4683:AC4683, 5, K4683:K4683)-SUMIF(AC4683:AC4683, 6, K4683:K4683)</f>
        <v>9608.08</v>
      </c>
      <c r="K4687" s="40"/>
    </row>
    <row r="4688" spans="1:29" ht="13.8" hidden="1" x14ac:dyDescent="0.25">
      <c r="C4688" s="39" t="s">
        <v>48</v>
      </c>
      <c r="H4688" s="41">
        <f>SUMIF(AC4683:AC4683, 5, I4683:I4683)+SUMIF(AC4683:AC4683, 6, I4683:I4683)</f>
        <v>0</v>
      </c>
      <c r="I4688" s="41"/>
      <c r="J4688" s="41">
        <f>SUMIF(AC4683:AC4683, 5, K4683:K4683)+SUMIF(AC4683:AC4683, 6, K4683:K4683)</f>
        <v>0</v>
      </c>
      <c r="K4688" s="41"/>
    </row>
    <row r="4689" spans="1:29" ht="13.8" hidden="1" x14ac:dyDescent="0.25">
      <c r="C4689" s="39" t="s">
        <v>49</v>
      </c>
      <c r="H4689" s="41">
        <f>I4679+I4680+I4682+I4684+I4685+SUM(I4683:I4683)</f>
        <v>1350.22</v>
      </c>
      <c r="I4689" s="41"/>
      <c r="J4689" s="41">
        <f>K4679+K4680+K4682+K4684+K4685+SUM(K4683:K4683)</f>
        <v>9608.08</v>
      </c>
      <c r="K4689" s="41"/>
      <c r="O4689" s="42">
        <f>I4679+I4680+I4682+I4684+I4685+SUM(I4683:I4683)</f>
        <v>1350.22</v>
      </c>
      <c r="P4689" s="42">
        <f>K4679+K4680+K4682+K4684+K4685+SUM(K4683:K4683)</f>
        <v>9608.08</v>
      </c>
    </row>
    <row r="4690" spans="1:29" hidden="1" x14ac:dyDescent="0.25"/>
    <row r="4691" spans="1:29" ht="55.2" hidden="1" x14ac:dyDescent="0.25">
      <c r="A4691" s="27">
        <v>439</v>
      </c>
      <c r="B4691" s="27" t="str">
        <f>[1]Source!F4347</f>
        <v>3.70-2-1</v>
      </c>
      <c r="C4691" s="27" t="s">
        <v>726</v>
      </c>
      <c r="D4691" s="28" t="str">
        <f>[1]Source!H4347</f>
        <v>100 м2</v>
      </c>
      <c r="E4691" s="29">
        <f>[1]Source!I4347</f>
        <v>0.45</v>
      </c>
      <c r="F4691" s="30"/>
      <c r="G4691" s="31"/>
      <c r="H4691" s="29"/>
      <c r="I4691" s="30"/>
      <c r="J4691" s="29"/>
      <c r="K4691" s="30"/>
      <c r="Q4691">
        <f>[1]Source!X4347</f>
        <v>923.38</v>
      </c>
      <c r="R4691">
        <f>[1]Source!X4348</f>
        <v>52032.63</v>
      </c>
      <c r="S4691">
        <f>[1]Source!Y4347</f>
        <v>550.29999999999995</v>
      </c>
      <c r="T4691">
        <f>[1]Source!Y4348</f>
        <v>31009.34</v>
      </c>
      <c r="U4691">
        <f>ROUND((175/100)*ROUND([1]Source!R4347, 2), 2)</f>
        <v>9.9600000000000009</v>
      </c>
      <c r="V4691">
        <f>ROUND((0/100)*ROUND([1]Source!R4348, 2), 2)</f>
        <v>0</v>
      </c>
      <c r="AC4691">
        <v>0</v>
      </c>
    </row>
    <row r="4692" spans="1:29" hidden="1" x14ac:dyDescent="0.25">
      <c r="C4692" s="32" t="str">
        <f>"Объем: "&amp;[1]Source!I4347&amp;"=45/"&amp;"100"</f>
        <v>Объем: 0,45=45/100</v>
      </c>
    </row>
    <row r="4693" spans="1:29" ht="14.4" hidden="1" x14ac:dyDescent="0.25">
      <c r="A4693" s="27"/>
      <c r="B4693" s="27"/>
      <c r="C4693" s="27" t="s">
        <v>36</v>
      </c>
      <c r="D4693" s="28"/>
      <c r="E4693" s="29"/>
      <c r="F4693" s="30">
        <f>[1]Source!AO4347</f>
        <v>1425.77</v>
      </c>
      <c r="G4693" s="31" t="s">
        <v>37</v>
      </c>
      <c r="H4693" s="29">
        <f>[1]Source!AV4348</f>
        <v>1.0469999999999999</v>
      </c>
      <c r="I4693" s="30">
        <f>[1]Source!S4347</f>
        <v>927.02</v>
      </c>
      <c r="J4693" s="29">
        <f>IF([1]Source!BA4348&lt;&gt; 0, [1]Source!BA4348, 1)</f>
        <v>56.35</v>
      </c>
      <c r="K4693" s="30">
        <f>[1]Source!S4348</f>
        <v>52237.58</v>
      </c>
    </row>
    <row r="4694" spans="1:29" ht="14.4" hidden="1" x14ac:dyDescent="0.25">
      <c r="A4694" s="27"/>
      <c r="B4694" s="27"/>
      <c r="C4694" s="27" t="s">
        <v>38</v>
      </c>
      <c r="D4694" s="28"/>
      <c r="E4694" s="29"/>
      <c r="F4694" s="30">
        <f>[1]Source!AM4347</f>
        <v>9.41</v>
      </c>
      <c r="G4694" s="31" t="s">
        <v>39</v>
      </c>
      <c r="H4694" s="29">
        <f>[1]Source!AV4348</f>
        <v>1.0469999999999999</v>
      </c>
      <c r="I4694" s="30">
        <f>[1]Source!Q4347</f>
        <v>6.65</v>
      </c>
      <c r="J4694" s="29">
        <f>IF([1]Source!BB4348&lt;&gt; 0, [1]Source!BB4348, 1)</f>
        <v>54.4</v>
      </c>
      <c r="K4694" s="30">
        <f>[1]Source!Q4348</f>
        <v>361.76</v>
      </c>
    </row>
    <row r="4695" spans="1:29" ht="14.4" hidden="1" x14ac:dyDescent="0.25">
      <c r="A4695" s="27"/>
      <c r="B4695" s="27"/>
      <c r="C4695" s="27" t="s">
        <v>40</v>
      </c>
      <c r="D4695" s="28"/>
      <c r="E4695" s="29"/>
      <c r="F4695" s="30">
        <f>[1]Source!AN4347</f>
        <v>8.0500000000000007</v>
      </c>
      <c r="G4695" s="31" t="s">
        <v>39</v>
      </c>
      <c r="H4695" s="29">
        <f>[1]Source!AV4348</f>
        <v>1.0469999999999999</v>
      </c>
      <c r="I4695" s="33">
        <f>[1]Source!R4347</f>
        <v>5.69</v>
      </c>
      <c r="J4695" s="29">
        <f>IF([1]Source!BS4348&lt;&gt; 0, [1]Source!BS4348, 1)</f>
        <v>56.35</v>
      </c>
      <c r="K4695" s="33">
        <f>[1]Source!R4348</f>
        <v>320.63</v>
      </c>
    </row>
    <row r="4696" spans="1:29" ht="14.4" hidden="1" x14ac:dyDescent="0.25">
      <c r="A4696" s="27"/>
      <c r="B4696" s="27"/>
      <c r="C4696" s="27" t="s">
        <v>41</v>
      </c>
      <c r="D4696" s="28"/>
      <c r="E4696" s="29"/>
      <c r="F4696" s="30">
        <f>[1]Source!AL4347</f>
        <v>0.78</v>
      </c>
      <c r="G4696" s="31"/>
      <c r="H4696" s="29">
        <f>[1]Source!AW4348</f>
        <v>1</v>
      </c>
      <c r="I4696" s="30">
        <f>[1]Source!P4347</f>
        <v>0.35</v>
      </c>
      <c r="J4696" s="29">
        <f>IF([1]Source!BC4348&lt;&gt; 0, [1]Source!BC4348, 1)</f>
        <v>7.73</v>
      </c>
      <c r="K4696" s="30">
        <f>[1]Source!P4348</f>
        <v>2.71</v>
      </c>
    </row>
    <row r="4697" spans="1:29" ht="276" hidden="1" x14ac:dyDescent="0.25">
      <c r="A4697" s="27" t="s">
        <v>857</v>
      </c>
      <c r="B4697" s="27" t="str">
        <f>[1]Source!F4349</f>
        <v>1.3-2-97</v>
      </c>
      <c r="C4697" s="27" t="s">
        <v>728</v>
      </c>
      <c r="D4697" s="28" t="str">
        <f>[1]Source!H4349</f>
        <v>кг</v>
      </c>
      <c r="E4697" s="29">
        <f>[1]Source!I4349</f>
        <v>140.4</v>
      </c>
      <c r="F4697" s="30">
        <f>[1]Source!AK4349</f>
        <v>12.4</v>
      </c>
      <c r="G4697" s="43" t="s">
        <v>54</v>
      </c>
      <c r="H4697" s="29">
        <f>[1]Source!AW4350</f>
        <v>1</v>
      </c>
      <c r="I4697" s="30">
        <f>[1]Source!O4349</f>
        <v>1740.96</v>
      </c>
      <c r="J4697" s="29">
        <f>IF([1]Source!BC4350&lt;&gt; 0, [1]Source!BC4350, 1)</f>
        <v>4.7300000000000004</v>
      </c>
      <c r="K4697" s="30">
        <f>[1]Source!O4350</f>
        <v>8234.74</v>
      </c>
      <c r="Q4697">
        <f>[1]Source!X4349</f>
        <v>0</v>
      </c>
      <c r="R4697">
        <f>[1]Source!X4350</f>
        <v>0</v>
      </c>
      <c r="S4697">
        <f>[1]Source!Y4349</f>
        <v>0</v>
      </c>
      <c r="T4697">
        <f>[1]Source!Y4350</f>
        <v>0</v>
      </c>
      <c r="U4697">
        <f>ROUND((175/100)*ROUND([1]Source!R4349, 2), 2)</f>
        <v>0</v>
      </c>
      <c r="V4697">
        <f>ROUND((0/100)*ROUND([1]Source!R4350, 2), 2)</f>
        <v>0</v>
      </c>
      <c r="AC4697">
        <v>3</v>
      </c>
    </row>
    <row r="4698" spans="1:29" ht="14.4" hidden="1" x14ac:dyDescent="0.25">
      <c r="A4698" s="27"/>
      <c r="B4698" s="27"/>
      <c r="C4698" s="27" t="s">
        <v>42</v>
      </c>
      <c r="D4698" s="28" t="s">
        <v>43</v>
      </c>
      <c r="E4698" s="29">
        <f>[1]Source!BZ4348</f>
        <v>99</v>
      </c>
      <c r="F4698" s="30"/>
      <c r="G4698" s="31"/>
      <c r="H4698" s="29"/>
      <c r="I4698" s="30">
        <f>SUM(Q4691:Q4697)</f>
        <v>923.38</v>
      </c>
      <c r="J4698" s="29">
        <f>[1]Source!AT4348</f>
        <v>99</v>
      </c>
      <c r="K4698" s="30">
        <f>SUM(R4691:R4697)</f>
        <v>52032.63</v>
      </c>
    </row>
    <row r="4699" spans="1:29" ht="14.4" hidden="1" x14ac:dyDescent="0.25">
      <c r="A4699" s="27"/>
      <c r="B4699" s="27"/>
      <c r="C4699" s="27" t="s">
        <v>44</v>
      </c>
      <c r="D4699" s="28" t="s">
        <v>43</v>
      </c>
      <c r="E4699" s="29">
        <f>[1]Source!CA4348</f>
        <v>59</v>
      </c>
      <c r="F4699" s="30"/>
      <c r="G4699" s="31"/>
      <c r="H4699" s="29"/>
      <c r="I4699" s="30">
        <f>SUM(S4691:S4698)</f>
        <v>550.29999999999995</v>
      </c>
      <c r="J4699" s="29">
        <f>[1]Source!AU4348</f>
        <v>59</v>
      </c>
      <c r="K4699" s="30">
        <f>SUM(T4691:T4698)</f>
        <v>31009.34</v>
      </c>
    </row>
    <row r="4700" spans="1:29" ht="14.4" hidden="1" x14ac:dyDescent="0.25">
      <c r="A4700" s="34"/>
      <c r="B4700" s="34"/>
      <c r="C4700" s="34" t="s">
        <v>45</v>
      </c>
      <c r="D4700" s="35" t="s">
        <v>46</v>
      </c>
      <c r="E4700" s="36">
        <f>[1]Source!AQ4347</f>
        <v>85.24</v>
      </c>
      <c r="F4700" s="37"/>
      <c r="G4700" s="38" t="s">
        <v>37</v>
      </c>
      <c r="H4700" s="36">
        <f>[1]Source!AV4348</f>
        <v>1.0469999999999999</v>
      </c>
      <c r="I4700" s="37">
        <f>[1]Source!U4347</f>
        <v>55.421939879999989</v>
      </c>
      <c r="J4700" s="36"/>
      <c r="K4700" s="37"/>
    </row>
    <row r="4701" spans="1:29" ht="13.8" hidden="1" x14ac:dyDescent="0.25">
      <c r="C4701" s="39" t="s">
        <v>47</v>
      </c>
      <c r="H4701" s="40">
        <f>I4693+I4694+I4696+I4698+I4699+SUM(I4697:I4697)-SUMIF(AC4697:AC4697, 5, I4697:I4697)-SUMIF(AC4697:AC4697, 6, I4697:I4697)</f>
        <v>4148.66</v>
      </c>
      <c r="I4701" s="40"/>
      <c r="J4701" s="40">
        <f>K4693+K4694+K4696+K4698+K4699+SUM(K4697:K4697)-SUMIF(AC4697:AC4697, 5, K4697:K4697)-SUMIF(AC4697:AC4697, 6, K4697:K4697)</f>
        <v>143878.75999999998</v>
      </c>
      <c r="K4701" s="40"/>
    </row>
    <row r="4702" spans="1:29" ht="13.8" hidden="1" x14ac:dyDescent="0.25">
      <c r="C4702" s="39" t="s">
        <v>48</v>
      </c>
      <c r="H4702" s="41">
        <f>SUMIF(AC4697:AC4697, 5, I4697:I4697)+SUMIF(AC4697:AC4697, 6, I4697:I4697)</f>
        <v>0</v>
      </c>
      <c r="I4702" s="41"/>
      <c r="J4702" s="41">
        <f>SUMIF(AC4697:AC4697, 5, K4697:K4697)+SUMIF(AC4697:AC4697, 6, K4697:K4697)</f>
        <v>0</v>
      </c>
      <c r="K4702" s="41"/>
    </row>
    <row r="4703" spans="1:29" ht="13.8" hidden="1" x14ac:dyDescent="0.25">
      <c r="C4703" s="39" t="s">
        <v>49</v>
      </c>
      <c r="H4703" s="41">
        <f>I4693+I4694+I4696+I4698+I4699+SUM(I4697:I4697)</f>
        <v>4148.66</v>
      </c>
      <c r="I4703" s="41"/>
      <c r="J4703" s="41">
        <f>K4693+K4694+K4696+K4698+K4699+SUM(K4697:K4697)</f>
        <v>143878.75999999998</v>
      </c>
      <c r="K4703" s="41"/>
      <c r="O4703" s="42">
        <f>I4693+I4694+I4696+I4698+I4699+SUM(I4697:I4697)</f>
        <v>4148.66</v>
      </c>
      <c r="P4703" s="42">
        <f>K4693+K4694+K4696+K4698+K4699+SUM(K4697:K4697)</f>
        <v>143878.75999999998</v>
      </c>
    </row>
    <row r="4704" spans="1:29" hidden="1" x14ac:dyDescent="0.25"/>
    <row r="4705" spans="1:29" ht="69" hidden="1" x14ac:dyDescent="0.25">
      <c r="A4705" s="27">
        <v>440</v>
      </c>
      <c r="B4705" s="27" t="str">
        <f>[1]Source!F4351</f>
        <v>3.70-198-6</v>
      </c>
      <c r="C4705" s="27" t="s">
        <v>136</v>
      </c>
      <c r="D4705" s="28" t="str">
        <f>[1]Source!H4351</f>
        <v>100 м2</v>
      </c>
      <c r="E4705" s="29">
        <f>[1]Source!I4351</f>
        <v>0.45</v>
      </c>
      <c r="F4705" s="30"/>
      <c r="G4705" s="31"/>
      <c r="H4705" s="29"/>
      <c r="I4705" s="30"/>
      <c r="J4705" s="29"/>
      <c r="K4705" s="30"/>
      <c r="Q4705">
        <f>[1]Source!X4351</f>
        <v>674.98</v>
      </c>
      <c r="R4705">
        <f>[1]Source!X4352</f>
        <v>38035.29</v>
      </c>
      <c r="S4705">
        <f>[1]Source!Y4351</f>
        <v>367.57</v>
      </c>
      <c r="T4705">
        <f>[1]Source!Y4352</f>
        <v>20712.29</v>
      </c>
      <c r="U4705">
        <f>ROUND((175/100)*ROUND([1]Source!R4351, 2), 2)</f>
        <v>16.850000000000001</v>
      </c>
      <c r="V4705">
        <f>ROUND((0/100)*ROUND([1]Source!R4352, 2), 2)</f>
        <v>0</v>
      </c>
      <c r="AC4705">
        <v>0</v>
      </c>
    </row>
    <row r="4706" spans="1:29" hidden="1" x14ac:dyDescent="0.25">
      <c r="C4706" s="32" t="str">
        <f>"Объем: "&amp;[1]Source!I4351&amp;"=45/"&amp;"100"</f>
        <v>Объем: 0,45=45/100</v>
      </c>
    </row>
    <row r="4707" spans="1:29" ht="14.4" hidden="1" x14ac:dyDescent="0.25">
      <c r="A4707" s="27"/>
      <c r="B4707" s="27"/>
      <c r="C4707" s="27" t="s">
        <v>36</v>
      </c>
      <c r="D4707" s="28"/>
      <c r="E4707" s="29"/>
      <c r="F4707" s="30">
        <f>[1]Source!AO4351</f>
        <v>1013.05</v>
      </c>
      <c r="G4707" s="31" t="s">
        <v>37</v>
      </c>
      <c r="H4707" s="29">
        <f>[1]Source!AV4352</f>
        <v>1.0469999999999999</v>
      </c>
      <c r="I4707" s="30">
        <f>[1]Source!S4351</f>
        <v>658.67</v>
      </c>
      <c r="J4707" s="29">
        <f>IF([1]Source!BA4352&lt;&gt; 0, [1]Source!BA4352, 1)</f>
        <v>56.35</v>
      </c>
      <c r="K4707" s="30">
        <f>[1]Source!S4352</f>
        <v>37116.050000000003</v>
      </c>
    </row>
    <row r="4708" spans="1:29" ht="14.4" hidden="1" x14ac:dyDescent="0.25">
      <c r="A4708" s="27"/>
      <c r="B4708" s="27"/>
      <c r="C4708" s="27" t="s">
        <v>38</v>
      </c>
      <c r="D4708" s="28"/>
      <c r="E4708" s="29"/>
      <c r="F4708" s="30">
        <f>[1]Source!AM4351</f>
        <v>77.48</v>
      </c>
      <c r="G4708" s="31" t="s">
        <v>39</v>
      </c>
      <c r="H4708" s="29">
        <f>[1]Source!AV4352</f>
        <v>1.0469999999999999</v>
      </c>
      <c r="I4708" s="30">
        <f>[1]Source!Q4351</f>
        <v>54.76</v>
      </c>
      <c r="J4708" s="29">
        <f>IF([1]Source!BB4352&lt;&gt; 0, [1]Source!BB4352, 1)</f>
        <v>18.91</v>
      </c>
      <c r="K4708" s="30">
        <f>[1]Source!Q4352</f>
        <v>1035.51</v>
      </c>
    </row>
    <row r="4709" spans="1:29" ht="14.4" hidden="1" x14ac:dyDescent="0.25">
      <c r="A4709" s="27"/>
      <c r="B4709" s="27"/>
      <c r="C4709" s="27" t="s">
        <v>40</v>
      </c>
      <c r="D4709" s="28"/>
      <c r="E4709" s="29"/>
      <c r="F4709" s="30">
        <f>[1]Source!AN4351</f>
        <v>13.63</v>
      </c>
      <c r="G4709" s="31" t="s">
        <v>39</v>
      </c>
      <c r="H4709" s="29">
        <f>[1]Source!AV4352</f>
        <v>1.0469999999999999</v>
      </c>
      <c r="I4709" s="33">
        <f>[1]Source!R4351</f>
        <v>9.6300000000000008</v>
      </c>
      <c r="J4709" s="29">
        <f>IF([1]Source!BS4352&lt;&gt; 0, [1]Source!BS4352, 1)</f>
        <v>56.35</v>
      </c>
      <c r="K4709" s="33">
        <f>[1]Source!R4352</f>
        <v>542.65</v>
      </c>
    </row>
    <row r="4710" spans="1:29" ht="14.4" hidden="1" x14ac:dyDescent="0.25">
      <c r="A4710" s="27"/>
      <c r="B4710" s="27"/>
      <c r="C4710" s="27" t="s">
        <v>41</v>
      </c>
      <c r="D4710" s="28"/>
      <c r="E4710" s="29"/>
      <c r="F4710" s="30">
        <f>[1]Source!AL4351</f>
        <v>7.2</v>
      </c>
      <c r="G4710" s="31"/>
      <c r="H4710" s="29">
        <f>[1]Source!AW4352</f>
        <v>1</v>
      </c>
      <c r="I4710" s="30">
        <f>[1]Source!P4351</f>
        <v>3.24</v>
      </c>
      <c r="J4710" s="29">
        <f>IF([1]Source!BC4352&lt;&gt; 0, [1]Source!BC4352, 1)</f>
        <v>5.07</v>
      </c>
      <c r="K4710" s="30">
        <f>[1]Source!P4352</f>
        <v>16.43</v>
      </c>
    </row>
    <row r="4711" spans="1:29" ht="41.4" hidden="1" x14ac:dyDescent="0.25">
      <c r="A4711" s="27" t="s">
        <v>858</v>
      </c>
      <c r="B4711" s="27" t="str">
        <f>[1]Source!F4353</f>
        <v>1.1-1-8205</v>
      </c>
      <c r="C4711" s="27" t="s">
        <v>731</v>
      </c>
      <c r="D4711" s="28" t="str">
        <f>[1]Source!H4353</f>
        <v>100 шт.</v>
      </c>
      <c r="E4711" s="29">
        <f>[1]Source!I4353</f>
        <v>5.2154999999999996</v>
      </c>
      <c r="F4711" s="30">
        <f>[1]Source!AK4353</f>
        <v>4.26</v>
      </c>
      <c r="G4711" s="43" t="s">
        <v>54</v>
      </c>
      <c r="H4711" s="29">
        <f>[1]Source!AW4354</f>
        <v>1</v>
      </c>
      <c r="I4711" s="30">
        <f>[1]Source!O4353</f>
        <v>22.22</v>
      </c>
      <c r="J4711" s="29">
        <f>IF([1]Source!BC4354&lt;&gt; 0, [1]Source!BC4354, 1)</f>
        <v>9.99</v>
      </c>
      <c r="K4711" s="30">
        <f>[1]Source!O4354</f>
        <v>221.98</v>
      </c>
      <c r="Q4711">
        <f>[1]Source!X4353</f>
        <v>0</v>
      </c>
      <c r="R4711">
        <f>[1]Source!X4354</f>
        <v>0</v>
      </c>
      <c r="S4711">
        <f>[1]Source!Y4353</f>
        <v>0</v>
      </c>
      <c r="T4711">
        <f>[1]Source!Y4354</f>
        <v>0</v>
      </c>
      <c r="U4711">
        <f>ROUND((175/100)*ROUND([1]Source!R4353, 2), 2)</f>
        <v>0</v>
      </c>
      <c r="V4711">
        <f>ROUND((0/100)*ROUND([1]Source!R4354, 2), 2)</f>
        <v>0</v>
      </c>
      <c r="AC4711">
        <v>3</v>
      </c>
    </row>
    <row r="4712" spans="1:29" ht="41.4" hidden="1" x14ac:dyDescent="0.25">
      <c r="A4712" s="27" t="s">
        <v>859</v>
      </c>
      <c r="B4712" s="27" t="str">
        <f>[1]Source!F4355</f>
        <v>1.1-1-3257</v>
      </c>
      <c r="C4712" s="27" t="s">
        <v>129</v>
      </c>
      <c r="D4712" s="28" t="str">
        <f>[1]Source!H4355</f>
        <v>кг</v>
      </c>
      <c r="E4712" s="29">
        <f>[1]Source!I4355</f>
        <v>6.3</v>
      </c>
      <c r="F4712" s="30">
        <f>[1]Source!AK4355</f>
        <v>17.3</v>
      </c>
      <c r="G4712" s="43" t="s">
        <v>54</v>
      </c>
      <c r="H4712" s="29">
        <f>[1]Source!AW4356</f>
        <v>1</v>
      </c>
      <c r="I4712" s="30">
        <f>[1]Source!O4355</f>
        <v>108.99</v>
      </c>
      <c r="J4712" s="29">
        <f>IF([1]Source!BC4356&lt;&gt; 0, [1]Source!BC4356, 1)</f>
        <v>5.93</v>
      </c>
      <c r="K4712" s="30">
        <f>[1]Source!O4356</f>
        <v>646.30999999999995</v>
      </c>
      <c r="Q4712">
        <f>[1]Source!X4355</f>
        <v>0</v>
      </c>
      <c r="R4712">
        <f>[1]Source!X4356</f>
        <v>0</v>
      </c>
      <c r="S4712">
        <f>[1]Source!Y4355</f>
        <v>0</v>
      </c>
      <c r="T4712">
        <f>[1]Source!Y4356</f>
        <v>0</v>
      </c>
      <c r="U4712">
        <f>ROUND((175/100)*ROUND([1]Source!R4355, 2), 2)</f>
        <v>0</v>
      </c>
      <c r="V4712">
        <f>ROUND((0/100)*ROUND([1]Source!R4356, 2), 2)</f>
        <v>0</v>
      </c>
      <c r="AC4712">
        <v>3</v>
      </c>
    </row>
    <row r="4713" spans="1:29" ht="96.6" hidden="1" x14ac:dyDescent="0.25">
      <c r="A4713" s="27" t="s">
        <v>860</v>
      </c>
      <c r="B4713" s="27" t="str">
        <f>[1]Source!F4357</f>
        <v>1.3-2-50</v>
      </c>
      <c r="C4713" s="27" t="s">
        <v>131</v>
      </c>
      <c r="D4713" s="28" t="str">
        <f>[1]Source!H4357</f>
        <v>т</v>
      </c>
      <c r="E4713" s="29">
        <f>[1]Source!I4357</f>
        <v>1.7999999999999999E-2</v>
      </c>
      <c r="F4713" s="30">
        <f>[1]Source!AK4357</f>
        <v>5978.05</v>
      </c>
      <c r="G4713" s="43" t="s">
        <v>54</v>
      </c>
      <c r="H4713" s="29">
        <f>[1]Source!AW4358</f>
        <v>1</v>
      </c>
      <c r="I4713" s="30">
        <f>[1]Source!O4357</f>
        <v>107.6</v>
      </c>
      <c r="J4713" s="29">
        <f>IF([1]Source!BC4358&lt;&gt; 0, [1]Source!BC4358, 1)</f>
        <v>15.31</v>
      </c>
      <c r="K4713" s="30">
        <f>[1]Source!O4358</f>
        <v>1647.36</v>
      </c>
      <c r="Q4713">
        <f>[1]Source!X4357</f>
        <v>0</v>
      </c>
      <c r="R4713">
        <f>[1]Source!X4358</f>
        <v>0</v>
      </c>
      <c r="S4713">
        <f>[1]Source!Y4357</f>
        <v>0</v>
      </c>
      <c r="T4713">
        <f>[1]Source!Y4358</f>
        <v>0</v>
      </c>
      <c r="U4713">
        <f>ROUND((175/100)*ROUND([1]Source!R4357, 2), 2)</f>
        <v>0</v>
      </c>
      <c r="V4713">
        <f>ROUND((0/100)*ROUND([1]Source!R4358, 2), 2)</f>
        <v>0</v>
      </c>
      <c r="AC4713">
        <v>3</v>
      </c>
    </row>
    <row r="4714" spans="1:29" ht="69" hidden="1" x14ac:dyDescent="0.25">
      <c r="A4714" s="27" t="s">
        <v>861</v>
      </c>
      <c r="B4714" s="27" t="str">
        <f>[1]Source!F4359</f>
        <v>1.3-2-35</v>
      </c>
      <c r="C4714" s="27" t="s">
        <v>634</v>
      </c>
      <c r="D4714" s="28" t="str">
        <f>[1]Source!H4359</f>
        <v>т</v>
      </c>
      <c r="E4714" s="29">
        <f>[1]Source!I4359</f>
        <v>0.32433299999999998</v>
      </c>
      <c r="F4714" s="30">
        <f>[1]Source!AK4359</f>
        <v>1669.7</v>
      </c>
      <c r="G4714" s="43" t="s">
        <v>54</v>
      </c>
      <c r="H4714" s="29">
        <f>[1]Source!AW4360</f>
        <v>1</v>
      </c>
      <c r="I4714" s="30">
        <f>[1]Source!O4359</f>
        <v>541.54</v>
      </c>
      <c r="J4714" s="29">
        <f>IF([1]Source!BC4360&lt;&gt; 0, [1]Source!BC4360, 1)</f>
        <v>8</v>
      </c>
      <c r="K4714" s="30">
        <f>[1]Source!O4360</f>
        <v>4332.32</v>
      </c>
      <c r="Q4714">
        <f>[1]Source!X4359</f>
        <v>0</v>
      </c>
      <c r="R4714">
        <f>[1]Source!X4360</f>
        <v>0</v>
      </c>
      <c r="S4714">
        <f>[1]Source!Y4359</f>
        <v>0</v>
      </c>
      <c r="T4714">
        <f>[1]Source!Y4360</f>
        <v>0</v>
      </c>
      <c r="U4714">
        <f>ROUND((175/100)*ROUND([1]Source!R4359, 2), 2)</f>
        <v>0</v>
      </c>
      <c r="V4714">
        <f>ROUND((0/100)*ROUND([1]Source!R4360, 2), 2)</f>
        <v>0</v>
      </c>
      <c r="AC4714">
        <v>3</v>
      </c>
    </row>
    <row r="4715" spans="1:29" ht="55.2" hidden="1" x14ac:dyDescent="0.25">
      <c r="A4715" s="27" t="s">
        <v>862</v>
      </c>
      <c r="B4715" s="27" t="str">
        <f>[1]Source!F4361</f>
        <v>1.1-1-3225</v>
      </c>
      <c r="C4715" s="27" t="s">
        <v>126</v>
      </c>
      <c r="D4715" s="28" t="str">
        <f>[1]Source!H4361</f>
        <v>м2</v>
      </c>
      <c r="E4715" s="29">
        <f>[1]Source!I4361</f>
        <v>48.6</v>
      </c>
      <c r="F4715" s="30">
        <f>[1]Source!AK4361</f>
        <v>124.57</v>
      </c>
      <c r="G4715" s="43" t="s">
        <v>54</v>
      </c>
      <c r="H4715" s="29">
        <f>[1]Source!AW4362</f>
        <v>1</v>
      </c>
      <c r="I4715" s="30">
        <f>[1]Source!O4361</f>
        <v>6054.1</v>
      </c>
      <c r="J4715" s="29">
        <f>IF([1]Source!BC4362&lt;&gt; 0, [1]Source!BC4362, 1)</f>
        <v>6.63</v>
      </c>
      <c r="K4715" s="30">
        <f>[1]Source!O4362</f>
        <v>40138.68</v>
      </c>
      <c r="Q4715">
        <f>[1]Source!X4361</f>
        <v>0</v>
      </c>
      <c r="R4715">
        <f>[1]Source!X4362</f>
        <v>0</v>
      </c>
      <c r="S4715">
        <f>[1]Source!Y4361</f>
        <v>0</v>
      </c>
      <c r="T4715">
        <f>[1]Source!Y4362</f>
        <v>0</v>
      </c>
      <c r="U4715">
        <f>ROUND((175/100)*ROUND([1]Source!R4361, 2), 2)</f>
        <v>0</v>
      </c>
      <c r="V4715">
        <f>ROUND((0/100)*ROUND([1]Source!R4362, 2), 2)</f>
        <v>0</v>
      </c>
      <c r="AC4715">
        <v>3</v>
      </c>
    </row>
    <row r="4716" spans="1:29" ht="14.4" hidden="1" x14ac:dyDescent="0.25">
      <c r="A4716" s="27"/>
      <c r="B4716" s="27"/>
      <c r="C4716" s="27" t="s">
        <v>42</v>
      </c>
      <c r="D4716" s="28" t="s">
        <v>43</v>
      </c>
      <c r="E4716" s="29">
        <f>[1]Source!BZ4352</f>
        <v>101</v>
      </c>
      <c r="F4716" s="30"/>
      <c r="G4716" s="31"/>
      <c r="H4716" s="29"/>
      <c r="I4716" s="30">
        <f>SUM(Q4705:Q4715)</f>
        <v>674.98</v>
      </c>
      <c r="J4716" s="29">
        <f>[1]Source!AT4352</f>
        <v>101</v>
      </c>
      <c r="K4716" s="30">
        <f>SUM(R4705:R4715)</f>
        <v>38035.29</v>
      </c>
    </row>
    <row r="4717" spans="1:29" ht="14.4" hidden="1" x14ac:dyDescent="0.25">
      <c r="A4717" s="27"/>
      <c r="B4717" s="27"/>
      <c r="C4717" s="27" t="s">
        <v>44</v>
      </c>
      <c r="D4717" s="28" t="s">
        <v>43</v>
      </c>
      <c r="E4717" s="29">
        <f>[1]Source!CA4352</f>
        <v>55</v>
      </c>
      <c r="F4717" s="30"/>
      <c r="G4717" s="31"/>
      <c r="H4717" s="29"/>
      <c r="I4717" s="30">
        <f>SUM(S4705:S4716)</f>
        <v>367.57</v>
      </c>
      <c r="J4717" s="29">
        <f>[1]Source!AU4352</f>
        <v>55</v>
      </c>
      <c r="K4717" s="30">
        <f>SUM(T4705:T4716)</f>
        <v>20712.29</v>
      </c>
    </row>
    <row r="4718" spans="1:29" ht="14.4" hidden="1" x14ac:dyDescent="0.25">
      <c r="A4718" s="34"/>
      <c r="B4718" s="34"/>
      <c r="C4718" s="34" t="s">
        <v>45</v>
      </c>
      <c r="D4718" s="35" t="s">
        <v>46</v>
      </c>
      <c r="E4718" s="36">
        <f>[1]Source!AQ4351</f>
        <v>61.6</v>
      </c>
      <c r="F4718" s="37"/>
      <c r="G4718" s="38" t="s">
        <v>37</v>
      </c>
      <c r="H4718" s="36">
        <f>[1]Source!AV4352</f>
        <v>1.0469999999999999</v>
      </c>
      <c r="I4718" s="37">
        <f>[1]Source!U4351</f>
        <v>40.051519199999987</v>
      </c>
      <c r="J4718" s="36"/>
      <c r="K4718" s="37"/>
    </row>
    <row r="4719" spans="1:29" ht="13.8" hidden="1" x14ac:dyDescent="0.25">
      <c r="C4719" s="39" t="s">
        <v>47</v>
      </c>
      <c r="H4719" s="40">
        <f>I4707+I4708+I4710+I4716+I4717+SUM(I4711:I4715)-SUMIF(AC4711:AC4715, 5, I4711:I4715)-SUMIF(AC4711:AC4715, 6, I4711:I4715)</f>
        <v>8593.67</v>
      </c>
      <c r="I4719" s="40"/>
      <c r="J4719" s="40">
        <f>K4707+K4708+K4710+K4716+K4717+SUM(K4711:K4715)-SUMIF(AC4711:AC4715, 5, K4711:K4715)-SUMIF(AC4711:AC4715, 6, K4711:K4715)</f>
        <v>143902.22</v>
      </c>
      <c r="K4719" s="40"/>
    </row>
    <row r="4720" spans="1:29" ht="13.8" hidden="1" x14ac:dyDescent="0.25">
      <c r="C4720" s="39" t="s">
        <v>48</v>
      </c>
      <c r="H4720" s="41">
        <f>SUMIF(AC4711:AC4715, 5, I4711:I4715)+SUMIF(AC4711:AC4715, 6, I4711:I4715)</f>
        <v>0</v>
      </c>
      <c r="I4720" s="41"/>
      <c r="J4720" s="41">
        <f>SUMIF(AC4711:AC4715, 5, K4711:K4715)+SUMIF(AC4711:AC4715, 6, K4711:K4715)</f>
        <v>0</v>
      </c>
      <c r="K4720" s="41"/>
    </row>
    <row r="4721" spans="1:29" ht="13.8" hidden="1" x14ac:dyDescent="0.25">
      <c r="C4721" s="39" t="s">
        <v>49</v>
      </c>
      <c r="H4721" s="41">
        <f>I4707+I4708+I4710+I4716+I4717+SUM(I4711:I4715)</f>
        <v>8593.67</v>
      </c>
      <c r="I4721" s="41"/>
      <c r="J4721" s="41">
        <f>K4707+K4708+K4710+K4716+K4717+SUM(K4711:K4715)</f>
        <v>143902.22</v>
      </c>
      <c r="K4721" s="41"/>
      <c r="O4721" s="42">
        <f>I4707+I4708+I4710+I4716+I4717+SUM(I4711:I4715)</f>
        <v>8593.67</v>
      </c>
      <c r="P4721" s="42">
        <f>K4707+K4708+K4710+K4716+K4717+SUM(K4711:K4715)</f>
        <v>143902.22</v>
      </c>
    </row>
    <row r="4722" spans="1:29" hidden="1" x14ac:dyDescent="0.25"/>
    <row r="4723" spans="1:29" hidden="1" x14ac:dyDescent="0.25"/>
    <row r="4724" spans="1:29" ht="13.8" hidden="1" x14ac:dyDescent="0.25">
      <c r="A4724" s="44" t="str">
        <f>CONCATENATE("Итого по подразделу: ",IF([1]Source!G4364&lt;&gt;"Новый подраздел", [1]Source!G4364, ""))</f>
        <v>Итого по подразделу: Четвертый  этаж. Керамогранит 600х600 мм</v>
      </c>
      <c r="B4724" s="44"/>
      <c r="C4724" s="44"/>
      <c r="D4724" s="44"/>
      <c r="E4724" s="44"/>
      <c r="F4724" s="44"/>
      <c r="G4724" s="44"/>
      <c r="H4724" s="41">
        <f>SUM(O4651:O4723)</f>
        <v>16128.51</v>
      </c>
      <c r="I4724" s="45"/>
      <c r="J4724" s="41">
        <f>SUM(P4651:P4723)</f>
        <v>347931.03</v>
      </c>
      <c r="K4724" s="45"/>
    </row>
    <row r="4725" spans="1:29" hidden="1" x14ac:dyDescent="0.25">
      <c r="A4725" t="s">
        <v>55</v>
      </c>
      <c r="I4725">
        <f>SUM(W4651:W4724)</f>
        <v>0</v>
      </c>
      <c r="J4725">
        <f>SUM(X4651:X4724)</f>
        <v>0</v>
      </c>
    </row>
    <row r="4726" spans="1:29" hidden="1" x14ac:dyDescent="0.25">
      <c r="A4726" t="s">
        <v>56</v>
      </c>
      <c r="I4726">
        <f>SUM(Y4651:Y4725)</f>
        <v>0</v>
      </c>
      <c r="J4726">
        <f>SUM(Z4651:Z4725)</f>
        <v>0</v>
      </c>
    </row>
    <row r="4727" spans="1:29" hidden="1" x14ac:dyDescent="0.25"/>
    <row r="4728" spans="1:29" ht="16.8" hidden="1" x14ac:dyDescent="0.25">
      <c r="A4728" s="11" t="str">
        <f>CONCATENATE("Подраздел: ",IF([1]Source!G4394&lt;&gt;"Новый подраздел", [1]Source!G4394, ""))</f>
        <v>Подраздел: Верхнее покрытие</v>
      </c>
      <c r="B4728" s="11"/>
      <c r="C4728" s="11"/>
      <c r="D4728" s="11"/>
      <c r="E4728" s="11"/>
      <c r="F4728" s="11"/>
      <c r="G4728" s="11"/>
      <c r="H4728" s="11"/>
      <c r="I4728" s="11"/>
      <c r="J4728" s="11"/>
      <c r="K4728" s="11"/>
    </row>
    <row r="4729" spans="1:29" ht="69" hidden="1" x14ac:dyDescent="0.25">
      <c r="A4729" s="27">
        <v>441</v>
      </c>
      <c r="B4729" s="27" t="str">
        <f>[1]Source!F4398</f>
        <v>3.70-198-7</v>
      </c>
      <c r="C4729" s="27" t="s">
        <v>729</v>
      </c>
      <c r="D4729" s="28" t="str">
        <f>[1]Source!H4398</f>
        <v>100 м2</v>
      </c>
      <c r="E4729" s="29">
        <f>[1]Source!I4398</f>
        <v>3.47</v>
      </c>
      <c r="F4729" s="30"/>
      <c r="G4729" s="31"/>
      <c r="H4729" s="29"/>
      <c r="I4729" s="30"/>
      <c r="J4729" s="29"/>
      <c r="K4729" s="30"/>
      <c r="Q4729">
        <f>[1]Source!X4398</f>
        <v>6612.71</v>
      </c>
      <c r="R4729">
        <f>[1]Source!X4399</f>
        <v>372626.35</v>
      </c>
      <c r="S4729">
        <f>[1]Source!Y4398</f>
        <v>3600.98</v>
      </c>
      <c r="T4729">
        <f>[1]Source!Y4399</f>
        <v>202915.34</v>
      </c>
      <c r="U4729">
        <f>ROUND((175/100)*ROUND([1]Source!R4398, 2), 2)</f>
        <v>135.99</v>
      </c>
      <c r="V4729">
        <f>ROUND((0/100)*ROUND([1]Source!R4399, 2), 2)</f>
        <v>0</v>
      </c>
      <c r="AC4729">
        <v>0</v>
      </c>
    </row>
    <row r="4730" spans="1:29" hidden="1" x14ac:dyDescent="0.25">
      <c r="C4730" s="32" t="str">
        <f>"Объем: "&amp;[1]Source!I4398&amp;"=347/"&amp;"100"</f>
        <v>Объем: 3,47=347/100</v>
      </c>
    </row>
    <row r="4731" spans="1:29" ht="14.4" hidden="1" x14ac:dyDescent="0.25">
      <c r="A4731" s="27"/>
      <c r="B4731" s="27"/>
      <c r="C4731" s="27" t="s">
        <v>36</v>
      </c>
      <c r="D4731" s="28"/>
      <c r="E4731" s="29"/>
      <c r="F4731" s="30">
        <f>[1]Source!AO4398</f>
        <v>1290.3800000000001</v>
      </c>
      <c r="G4731" s="31" t="s">
        <v>37</v>
      </c>
      <c r="H4731" s="29">
        <f>[1]Source!AV4399</f>
        <v>1.0469999999999999</v>
      </c>
      <c r="I4731" s="30">
        <f>[1]Source!S4398</f>
        <v>6469.53</v>
      </c>
      <c r="J4731" s="29">
        <f>IF([1]Source!BA4399&lt;&gt; 0, [1]Source!BA4399, 1)</f>
        <v>56.35</v>
      </c>
      <c r="K4731" s="30">
        <f>[1]Source!S4399</f>
        <v>364558.02</v>
      </c>
    </row>
    <row r="4732" spans="1:29" ht="14.4" hidden="1" x14ac:dyDescent="0.25">
      <c r="A4732" s="27"/>
      <c r="B4732" s="27"/>
      <c r="C4732" s="27" t="s">
        <v>38</v>
      </c>
      <c r="D4732" s="28"/>
      <c r="E4732" s="29"/>
      <c r="F4732" s="30">
        <f>[1]Source!AM4398</f>
        <v>81.06</v>
      </c>
      <c r="G4732" s="31" t="s">
        <v>39</v>
      </c>
      <c r="H4732" s="29">
        <f>[1]Source!AV4399</f>
        <v>1.0469999999999999</v>
      </c>
      <c r="I4732" s="30">
        <f>[1]Source!Q4398</f>
        <v>441.75</v>
      </c>
      <c r="J4732" s="29">
        <f>IF([1]Source!BB4399&lt;&gt; 0, [1]Source!BB4399, 1)</f>
        <v>18.920000000000002</v>
      </c>
      <c r="K4732" s="30">
        <f>[1]Source!Q4399</f>
        <v>8357.91</v>
      </c>
    </row>
    <row r="4733" spans="1:29" ht="14.4" hidden="1" x14ac:dyDescent="0.25">
      <c r="A4733" s="27"/>
      <c r="B4733" s="27"/>
      <c r="C4733" s="27" t="s">
        <v>40</v>
      </c>
      <c r="D4733" s="28"/>
      <c r="E4733" s="29"/>
      <c r="F4733" s="30">
        <f>[1]Source!AN4398</f>
        <v>14.26</v>
      </c>
      <c r="G4733" s="31" t="s">
        <v>39</v>
      </c>
      <c r="H4733" s="29">
        <f>[1]Source!AV4399</f>
        <v>1.0469999999999999</v>
      </c>
      <c r="I4733" s="33">
        <f>[1]Source!R4398</f>
        <v>77.709999999999994</v>
      </c>
      <c r="J4733" s="29">
        <f>IF([1]Source!BS4399&lt;&gt; 0, [1]Source!BS4399, 1)</f>
        <v>56.35</v>
      </c>
      <c r="K4733" s="33">
        <f>[1]Source!R4399</f>
        <v>4378.96</v>
      </c>
    </row>
    <row r="4734" spans="1:29" ht="14.4" hidden="1" x14ac:dyDescent="0.25">
      <c r="A4734" s="27"/>
      <c r="B4734" s="27"/>
      <c r="C4734" s="27" t="s">
        <v>41</v>
      </c>
      <c r="D4734" s="28"/>
      <c r="E4734" s="29"/>
      <c r="F4734" s="30">
        <f>[1]Source!AL4398</f>
        <v>9.2200000000000006</v>
      </c>
      <c r="G4734" s="31"/>
      <c r="H4734" s="29">
        <f>[1]Source!AW4399</f>
        <v>1</v>
      </c>
      <c r="I4734" s="30">
        <f>[1]Source!P4398</f>
        <v>31.99</v>
      </c>
      <c r="J4734" s="29">
        <f>IF([1]Source!BC4399&lt;&gt; 0, [1]Source!BC4399, 1)</f>
        <v>4.5999999999999996</v>
      </c>
      <c r="K4734" s="30">
        <f>[1]Source!P4399</f>
        <v>147.15</v>
      </c>
    </row>
    <row r="4735" spans="1:29" ht="41.4" hidden="1" x14ac:dyDescent="0.25">
      <c r="A4735" s="27" t="s">
        <v>863</v>
      </c>
      <c r="B4735" s="27" t="str">
        <f>[1]Source!F4400</f>
        <v>1.1-1-8205</v>
      </c>
      <c r="C4735" s="27" t="s">
        <v>731</v>
      </c>
      <c r="D4735" s="28" t="str">
        <f>[1]Source!H4400</f>
        <v>100 шт.</v>
      </c>
      <c r="E4735" s="29">
        <f>[1]Source!I4400</f>
        <v>23.769500000000001</v>
      </c>
      <c r="F4735" s="30">
        <f>[1]Source!AK4400</f>
        <v>4.26</v>
      </c>
      <c r="G4735" s="43" t="s">
        <v>54</v>
      </c>
      <c r="H4735" s="29">
        <f>[1]Source!AW4401</f>
        <v>1</v>
      </c>
      <c r="I4735" s="30">
        <f>[1]Source!O4400</f>
        <v>101.26</v>
      </c>
      <c r="J4735" s="29">
        <f>IF([1]Source!BC4401&lt;&gt; 0, [1]Source!BC4401, 1)</f>
        <v>9.99</v>
      </c>
      <c r="K4735" s="30">
        <f>[1]Source!O4401</f>
        <v>1011.59</v>
      </c>
      <c r="Q4735">
        <f>[1]Source!X4400</f>
        <v>0</v>
      </c>
      <c r="R4735">
        <f>[1]Source!X4401</f>
        <v>0</v>
      </c>
      <c r="S4735">
        <f>[1]Source!Y4400</f>
        <v>0</v>
      </c>
      <c r="T4735">
        <f>[1]Source!Y4401</f>
        <v>0</v>
      </c>
      <c r="U4735">
        <f>ROUND((175/100)*ROUND([1]Source!R4400, 2), 2)</f>
        <v>0</v>
      </c>
      <c r="V4735">
        <f>ROUND((0/100)*ROUND([1]Source!R4401, 2), 2)</f>
        <v>0</v>
      </c>
      <c r="AC4735">
        <v>3</v>
      </c>
    </row>
    <row r="4736" spans="1:29" ht="41.4" hidden="1" x14ac:dyDescent="0.25">
      <c r="A4736" s="27" t="s">
        <v>864</v>
      </c>
      <c r="B4736" s="27" t="str">
        <f>[1]Source!F4402</f>
        <v>1.1-1-3257</v>
      </c>
      <c r="C4736" s="27" t="s">
        <v>129</v>
      </c>
      <c r="D4736" s="28" t="str">
        <f>[1]Source!H4402</f>
        <v>кг</v>
      </c>
      <c r="E4736" s="29">
        <f>[1]Source!I4402</f>
        <v>48.58</v>
      </c>
      <c r="F4736" s="30">
        <f>[1]Source!AK4402</f>
        <v>17.3</v>
      </c>
      <c r="G4736" s="43" t="s">
        <v>54</v>
      </c>
      <c r="H4736" s="29">
        <f>[1]Source!AW4403</f>
        <v>1</v>
      </c>
      <c r="I4736" s="30">
        <f>[1]Source!O4402</f>
        <v>840.43</v>
      </c>
      <c r="J4736" s="29">
        <f>IF([1]Source!BC4403&lt;&gt; 0, [1]Source!BC4403, 1)</f>
        <v>5.93</v>
      </c>
      <c r="K4736" s="30">
        <f>[1]Source!O4403</f>
        <v>4983.75</v>
      </c>
      <c r="Q4736">
        <f>[1]Source!X4402</f>
        <v>0</v>
      </c>
      <c r="R4736">
        <f>[1]Source!X4403</f>
        <v>0</v>
      </c>
      <c r="S4736">
        <f>[1]Source!Y4402</f>
        <v>0</v>
      </c>
      <c r="T4736">
        <f>[1]Source!Y4403</f>
        <v>0</v>
      </c>
      <c r="U4736">
        <f>ROUND((175/100)*ROUND([1]Source!R4402, 2), 2)</f>
        <v>0</v>
      </c>
      <c r="V4736">
        <f>ROUND((0/100)*ROUND([1]Source!R4403, 2), 2)</f>
        <v>0</v>
      </c>
      <c r="AC4736">
        <v>3</v>
      </c>
    </row>
    <row r="4737" spans="1:29" ht="96.6" hidden="1" x14ac:dyDescent="0.25">
      <c r="A4737" s="27" t="s">
        <v>865</v>
      </c>
      <c r="B4737" s="27" t="str">
        <f>[1]Source!F4404</f>
        <v>1.3-2-50</v>
      </c>
      <c r="C4737" s="27" t="s">
        <v>131</v>
      </c>
      <c r="D4737" s="28" t="str">
        <f>[1]Source!H4404</f>
        <v>т</v>
      </c>
      <c r="E4737" s="29">
        <f>[1]Source!I4404</f>
        <v>0.13880000000000001</v>
      </c>
      <c r="F4737" s="30">
        <f>[1]Source!AK4404</f>
        <v>5978.05</v>
      </c>
      <c r="G4737" s="43" t="s">
        <v>54</v>
      </c>
      <c r="H4737" s="29">
        <f>[1]Source!AW4405</f>
        <v>1</v>
      </c>
      <c r="I4737" s="30">
        <f>[1]Source!O4404</f>
        <v>829.75</v>
      </c>
      <c r="J4737" s="29">
        <f>IF([1]Source!BC4405&lt;&gt; 0, [1]Source!BC4405, 1)</f>
        <v>15.31</v>
      </c>
      <c r="K4737" s="30">
        <f>[1]Source!O4405</f>
        <v>12703.47</v>
      </c>
      <c r="Q4737">
        <f>[1]Source!X4404</f>
        <v>0</v>
      </c>
      <c r="R4737">
        <f>[1]Source!X4405</f>
        <v>0</v>
      </c>
      <c r="S4737">
        <f>[1]Source!Y4404</f>
        <v>0</v>
      </c>
      <c r="T4737">
        <f>[1]Source!Y4405</f>
        <v>0</v>
      </c>
      <c r="U4737">
        <f>ROUND((175/100)*ROUND([1]Source!R4404, 2), 2)</f>
        <v>0</v>
      </c>
      <c r="V4737">
        <f>ROUND((0/100)*ROUND([1]Source!R4405, 2), 2)</f>
        <v>0</v>
      </c>
      <c r="AC4737">
        <v>3</v>
      </c>
    </row>
    <row r="4738" spans="1:29" ht="69" hidden="1" x14ac:dyDescent="0.25">
      <c r="A4738" s="27" t="s">
        <v>866</v>
      </c>
      <c r="B4738" s="27" t="str">
        <f>[1]Source!F4406</f>
        <v>1.3-2-35</v>
      </c>
      <c r="C4738" s="27" t="s">
        <v>634</v>
      </c>
      <c r="D4738" s="28" t="str">
        <f>[1]Source!H4406</f>
        <v>т</v>
      </c>
      <c r="E4738" s="29">
        <f>[1]Source!I4406</f>
        <v>2.5009679999999999</v>
      </c>
      <c r="F4738" s="30">
        <f>[1]Source!AK4406</f>
        <v>1669.7</v>
      </c>
      <c r="G4738" s="43" t="s">
        <v>54</v>
      </c>
      <c r="H4738" s="29">
        <f>[1]Source!AW4407</f>
        <v>1</v>
      </c>
      <c r="I4738" s="30">
        <f>[1]Source!O4406</f>
        <v>4175.87</v>
      </c>
      <c r="J4738" s="29">
        <f>IF([1]Source!BC4407&lt;&gt; 0, [1]Source!BC4407, 1)</f>
        <v>8</v>
      </c>
      <c r="K4738" s="30">
        <f>[1]Source!O4407</f>
        <v>33406.959999999999</v>
      </c>
      <c r="Q4738">
        <f>[1]Source!X4406</f>
        <v>0</v>
      </c>
      <c r="R4738">
        <f>[1]Source!X4407</f>
        <v>0</v>
      </c>
      <c r="S4738">
        <f>[1]Source!Y4406</f>
        <v>0</v>
      </c>
      <c r="T4738">
        <f>[1]Source!Y4407</f>
        <v>0</v>
      </c>
      <c r="U4738">
        <f>ROUND((175/100)*ROUND([1]Source!R4406, 2), 2)</f>
        <v>0</v>
      </c>
      <c r="V4738">
        <f>ROUND((0/100)*ROUND([1]Source!R4407, 2), 2)</f>
        <v>0</v>
      </c>
      <c r="AC4738">
        <v>3</v>
      </c>
    </row>
    <row r="4739" spans="1:29" ht="41.4" hidden="1" x14ac:dyDescent="0.25">
      <c r="A4739" s="27" t="s">
        <v>867</v>
      </c>
      <c r="B4739" s="27" t="str">
        <f>[1]Source!F4408</f>
        <v>1.1-1-8134</v>
      </c>
      <c r="C4739" s="27" t="s">
        <v>650</v>
      </c>
      <c r="D4739" s="28" t="str">
        <f>[1]Source!H4408</f>
        <v>м2</v>
      </c>
      <c r="E4739" s="29">
        <f>[1]Source!I4408</f>
        <v>385.17</v>
      </c>
      <c r="F4739" s="30">
        <f>[1]Source!AK4408</f>
        <v>127.87</v>
      </c>
      <c r="G4739" s="43" t="s">
        <v>54</v>
      </c>
      <c r="H4739" s="29">
        <f>[1]Source!AW4409</f>
        <v>1</v>
      </c>
      <c r="I4739" s="30">
        <f>[1]Source!O4408</f>
        <v>49251.69</v>
      </c>
      <c r="J4739" s="29">
        <f>IF([1]Source!BC4409&lt;&gt; 0, [1]Source!BC4409, 1)</f>
        <v>8.2200000000000006</v>
      </c>
      <c r="K4739" s="30">
        <f>[1]Source!O4409</f>
        <v>404848.89</v>
      </c>
      <c r="Q4739">
        <f>[1]Source!X4408</f>
        <v>0</v>
      </c>
      <c r="R4739">
        <f>[1]Source!X4409</f>
        <v>0</v>
      </c>
      <c r="S4739">
        <f>[1]Source!Y4408</f>
        <v>0</v>
      </c>
      <c r="T4739">
        <f>[1]Source!Y4409</f>
        <v>0</v>
      </c>
      <c r="U4739">
        <f>ROUND((175/100)*ROUND([1]Source!R4408, 2), 2)</f>
        <v>0</v>
      </c>
      <c r="V4739">
        <f>ROUND((0/100)*ROUND([1]Source!R4409, 2), 2)</f>
        <v>0</v>
      </c>
      <c r="AC4739">
        <v>3</v>
      </c>
    </row>
    <row r="4740" spans="1:29" ht="14.4" hidden="1" x14ac:dyDescent="0.25">
      <c r="A4740" s="27"/>
      <c r="B4740" s="27"/>
      <c r="C4740" s="27" t="s">
        <v>42</v>
      </c>
      <c r="D4740" s="28" t="s">
        <v>43</v>
      </c>
      <c r="E4740" s="29">
        <f>[1]Source!BZ4399</f>
        <v>101</v>
      </c>
      <c r="F4740" s="30"/>
      <c r="G4740" s="31"/>
      <c r="H4740" s="29"/>
      <c r="I4740" s="30">
        <f>SUM(Q4729:Q4739)</f>
        <v>6612.71</v>
      </c>
      <c r="J4740" s="29">
        <f>[1]Source!AT4399</f>
        <v>101</v>
      </c>
      <c r="K4740" s="30">
        <f>SUM(R4729:R4739)</f>
        <v>372626.35</v>
      </c>
    </row>
    <row r="4741" spans="1:29" ht="14.4" hidden="1" x14ac:dyDescent="0.25">
      <c r="A4741" s="27"/>
      <c r="B4741" s="27"/>
      <c r="C4741" s="27" t="s">
        <v>44</v>
      </c>
      <c r="D4741" s="28" t="s">
        <v>43</v>
      </c>
      <c r="E4741" s="29">
        <f>[1]Source!CA4399</f>
        <v>55</v>
      </c>
      <c r="F4741" s="30"/>
      <c r="G4741" s="31"/>
      <c r="H4741" s="29"/>
      <c r="I4741" s="30">
        <f>SUM(S4729:S4740)</f>
        <v>3600.98</v>
      </c>
      <c r="J4741" s="29">
        <f>[1]Source!AU4399</f>
        <v>55</v>
      </c>
      <c r="K4741" s="30">
        <f>SUM(T4729:T4740)</f>
        <v>202915.34</v>
      </c>
    </row>
    <row r="4742" spans="1:29" ht="14.4" hidden="1" x14ac:dyDescent="0.25">
      <c r="A4742" s="34"/>
      <c r="B4742" s="34"/>
      <c r="C4742" s="34" t="s">
        <v>45</v>
      </c>
      <c r="D4742" s="35" t="s">
        <v>46</v>
      </c>
      <c r="E4742" s="36">
        <f>[1]Source!AQ4398</f>
        <v>78.099999999999994</v>
      </c>
      <c r="F4742" s="37"/>
      <c r="G4742" s="38" t="s">
        <v>37</v>
      </c>
      <c r="H4742" s="36">
        <f>[1]Source!AV4399</f>
        <v>1.0469999999999999</v>
      </c>
      <c r="I4742" s="37">
        <f>[1]Source!U4398</f>
        <v>391.56717401999992</v>
      </c>
      <c r="J4742" s="36"/>
      <c r="K4742" s="37"/>
    </row>
    <row r="4743" spans="1:29" ht="13.8" hidden="1" x14ac:dyDescent="0.25">
      <c r="C4743" s="39" t="s">
        <v>47</v>
      </c>
      <c r="H4743" s="40">
        <f>I4731+I4732+I4734+I4740+I4741+SUM(I4735:I4739)-SUMIF(AC4735:AC4739, 5, I4735:I4739)-SUMIF(AC4735:AC4739, 6, I4735:I4739)</f>
        <v>72355.959999999992</v>
      </c>
      <c r="I4743" s="40"/>
      <c r="J4743" s="40">
        <f>K4731+K4732+K4734+K4740+K4741+SUM(K4735:K4739)-SUMIF(AC4735:AC4739, 5, K4735:K4739)-SUMIF(AC4735:AC4739, 6, K4735:K4739)</f>
        <v>1405559.43</v>
      </c>
      <c r="K4743" s="40"/>
    </row>
    <row r="4744" spans="1:29" ht="13.8" hidden="1" x14ac:dyDescent="0.25">
      <c r="C4744" s="39" t="s">
        <v>48</v>
      </c>
      <c r="H4744" s="41">
        <f>SUMIF(AC4735:AC4739, 5, I4735:I4739)+SUMIF(AC4735:AC4739, 6, I4735:I4739)</f>
        <v>0</v>
      </c>
      <c r="I4744" s="41"/>
      <c r="J4744" s="41">
        <f>SUMIF(AC4735:AC4739, 5, K4735:K4739)+SUMIF(AC4735:AC4739, 6, K4735:K4739)</f>
        <v>0</v>
      </c>
      <c r="K4744" s="41"/>
    </row>
    <row r="4745" spans="1:29" ht="13.8" hidden="1" x14ac:dyDescent="0.25">
      <c r="C4745" s="39" t="s">
        <v>49</v>
      </c>
      <c r="H4745" s="41">
        <f>I4731+I4732+I4734+I4740+I4741+SUM(I4735:I4739)</f>
        <v>72355.959999999992</v>
      </c>
      <c r="I4745" s="41"/>
      <c r="J4745" s="41">
        <f>K4731+K4732+K4734+K4740+K4741+SUM(K4735:K4739)</f>
        <v>1405559.43</v>
      </c>
      <c r="K4745" s="41"/>
      <c r="O4745" s="42">
        <f>I4731+I4732+I4734+I4740+I4741+SUM(I4735:I4739)</f>
        <v>72355.959999999992</v>
      </c>
      <c r="P4745" s="42">
        <f>K4731+K4732+K4734+K4740+K4741+SUM(K4735:K4739)</f>
        <v>1405559.43</v>
      </c>
    </row>
    <row r="4746" spans="1:29" hidden="1" x14ac:dyDescent="0.25"/>
    <row r="4747" spans="1:29" ht="69" hidden="1" x14ac:dyDescent="0.25">
      <c r="A4747" s="27">
        <v>442</v>
      </c>
      <c r="B4747" s="27" t="str">
        <f>[1]Source!F4410</f>
        <v>3.70-198-6</v>
      </c>
      <c r="C4747" s="27" t="s">
        <v>136</v>
      </c>
      <c r="D4747" s="28" t="str">
        <f>[1]Source!H4410</f>
        <v>100 м2</v>
      </c>
      <c r="E4747" s="29">
        <f>[1]Source!I4410</f>
        <v>8.8000000000000007</v>
      </c>
      <c r="F4747" s="30"/>
      <c r="G4747" s="31"/>
      <c r="H4747" s="29"/>
      <c r="I4747" s="30"/>
      <c r="J4747" s="29"/>
      <c r="K4747" s="30"/>
      <c r="Q4747">
        <f>[1]Source!X4410</f>
        <v>13199.76</v>
      </c>
      <c r="R4747">
        <f>[1]Source!X4411</f>
        <v>743806.52</v>
      </c>
      <c r="S4747">
        <f>[1]Source!Y4410</f>
        <v>7187.99</v>
      </c>
      <c r="T4747">
        <f>[1]Source!Y4411</f>
        <v>405043.16</v>
      </c>
      <c r="U4747">
        <f>ROUND((175/100)*ROUND([1]Source!R4410, 2), 2)</f>
        <v>329.65</v>
      </c>
      <c r="V4747">
        <f>ROUND((0/100)*ROUND([1]Source!R4411, 2), 2)</f>
        <v>0</v>
      </c>
      <c r="AC4747">
        <v>0</v>
      </c>
    </row>
    <row r="4748" spans="1:29" hidden="1" x14ac:dyDescent="0.25">
      <c r="C4748" s="32" t="str">
        <f>"Объем: "&amp;[1]Source!I4410&amp;"=(265+"&amp;"90+"&amp;"525)/"&amp;"100"</f>
        <v>Объем: 8,8=(265+90+525)/100</v>
      </c>
    </row>
    <row r="4749" spans="1:29" ht="14.4" hidden="1" x14ac:dyDescent="0.25">
      <c r="A4749" s="27"/>
      <c r="B4749" s="27"/>
      <c r="C4749" s="27" t="s">
        <v>36</v>
      </c>
      <c r="D4749" s="28"/>
      <c r="E4749" s="29"/>
      <c r="F4749" s="30">
        <f>[1]Source!AO4410</f>
        <v>1013.05</v>
      </c>
      <c r="G4749" s="31" t="s">
        <v>37</v>
      </c>
      <c r="H4749" s="29">
        <f>[1]Source!AV4411</f>
        <v>1.0469999999999999</v>
      </c>
      <c r="I4749" s="30">
        <f>[1]Source!S4410</f>
        <v>12880.7</v>
      </c>
      <c r="J4749" s="29">
        <f>IF([1]Source!BA4411&lt;&gt; 0, [1]Source!BA4411, 1)</f>
        <v>56.35</v>
      </c>
      <c r="K4749" s="30">
        <f>[1]Source!S4411</f>
        <v>725827.45</v>
      </c>
    </row>
    <row r="4750" spans="1:29" ht="14.4" hidden="1" x14ac:dyDescent="0.25">
      <c r="A4750" s="27"/>
      <c r="B4750" s="27"/>
      <c r="C4750" s="27" t="s">
        <v>38</v>
      </c>
      <c r="D4750" s="28"/>
      <c r="E4750" s="29"/>
      <c r="F4750" s="30">
        <f>[1]Source!AM4410</f>
        <v>77.48</v>
      </c>
      <c r="G4750" s="31" t="s">
        <v>39</v>
      </c>
      <c r="H4750" s="29">
        <f>[1]Source!AV4411</f>
        <v>1.0469999999999999</v>
      </c>
      <c r="I4750" s="30">
        <f>[1]Source!Q4410</f>
        <v>1070.8</v>
      </c>
      <c r="J4750" s="29">
        <f>IF([1]Source!BB4411&lt;&gt; 0, [1]Source!BB4411, 1)</f>
        <v>18.91</v>
      </c>
      <c r="K4750" s="30">
        <f>[1]Source!Q4411</f>
        <v>20248.830000000002</v>
      </c>
    </row>
    <row r="4751" spans="1:29" ht="14.4" hidden="1" x14ac:dyDescent="0.25">
      <c r="A4751" s="27"/>
      <c r="B4751" s="27"/>
      <c r="C4751" s="27" t="s">
        <v>40</v>
      </c>
      <c r="D4751" s="28"/>
      <c r="E4751" s="29"/>
      <c r="F4751" s="30">
        <f>[1]Source!AN4410</f>
        <v>13.63</v>
      </c>
      <c r="G4751" s="31" t="s">
        <v>39</v>
      </c>
      <c r="H4751" s="29">
        <f>[1]Source!AV4411</f>
        <v>1.0469999999999999</v>
      </c>
      <c r="I4751" s="33">
        <f>[1]Source!R4410</f>
        <v>188.37</v>
      </c>
      <c r="J4751" s="29">
        <f>IF([1]Source!BS4411&lt;&gt; 0, [1]Source!BS4411, 1)</f>
        <v>56.35</v>
      </c>
      <c r="K4751" s="33">
        <f>[1]Source!R4411</f>
        <v>10614.65</v>
      </c>
    </row>
    <row r="4752" spans="1:29" ht="14.4" hidden="1" x14ac:dyDescent="0.25">
      <c r="A4752" s="27"/>
      <c r="B4752" s="27"/>
      <c r="C4752" s="27" t="s">
        <v>41</v>
      </c>
      <c r="D4752" s="28"/>
      <c r="E4752" s="29"/>
      <c r="F4752" s="30">
        <f>[1]Source!AL4410</f>
        <v>7.2</v>
      </c>
      <c r="G4752" s="31"/>
      <c r="H4752" s="29">
        <f>[1]Source!AW4411</f>
        <v>1</v>
      </c>
      <c r="I4752" s="30">
        <f>[1]Source!P4410</f>
        <v>63.36</v>
      </c>
      <c r="J4752" s="29">
        <f>IF([1]Source!BC4411&lt;&gt; 0, [1]Source!BC4411, 1)</f>
        <v>5.07</v>
      </c>
      <c r="K4752" s="30">
        <f>[1]Source!P4411</f>
        <v>321.24</v>
      </c>
    </row>
    <row r="4753" spans="1:29" ht="41.4" hidden="1" x14ac:dyDescent="0.25">
      <c r="A4753" s="27" t="s">
        <v>868</v>
      </c>
      <c r="B4753" s="27" t="str">
        <f>[1]Source!F4412</f>
        <v>1.1-1-8205</v>
      </c>
      <c r="C4753" s="27" t="s">
        <v>731</v>
      </c>
      <c r="D4753" s="28" t="str">
        <f>[1]Source!H4412</f>
        <v>100 шт.</v>
      </c>
      <c r="E4753" s="29">
        <f>[1]Source!I4412</f>
        <v>101.992</v>
      </c>
      <c r="F4753" s="30">
        <f>[1]Source!AK4412</f>
        <v>4.26</v>
      </c>
      <c r="G4753" s="43" t="s">
        <v>54</v>
      </c>
      <c r="H4753" s="29">
        <f>[1]Source!AW4413</f>
        <v>1</v>
      </c>
      <c r="I4753" s="30">
        <f>[1]Source!O4412</f>
        <v>434.49</v>
      </c>
      <c r="J4753" s="29">
        <f>IF([1]Source!BC4413&lt;&gt; 0, [1]Source!BC4413, 1)</f>
        <v>9.99</v>
      </c>
      <c r="K4753" s="30">
        <f>[1]Source!O4413</f>
        <v>4340.5600000000004</v>
      </c>
      <c r="Q4753">
        <f>[1]Source!X4412</f>
        <v>0</v>
      </c>
      <c r="R4753">
        <f>[1]Source!X4413</f>
        <v>0</v>
      </c>
      <c r="S4753">
        <f>[1]Source!Y4412</f>
        <v>0</v>
      </c>
      <c r="T4753">
        <f>[1]Source!Y4413</f>
        <v>0</v>
      </c>
      <c r="U4753">
        <f>ROUND((175/100)*ROUND([1]Source!R4412, 2), 2)</f>
        <v>0</v>
      </c>
      <c r="V4753">
        <f>ROUND((0/100)*ROUND([1]Source!R4413, 2), 2)</f>
        <v>0</v>
      </c>
      <c r="AC4753">
        <v>3</v>
      </c>
    </row>
    <row r="4754" spans="1:29" ht="41.4" hidden="1" x14ac:dyDescent="0.25">
      <c r="A4754" s="27" t="s">
        <v>869</v>
      </c>
      <c r="B4754" s="27" t="str">
        <f>[1]Source!F4414</f>
        <v>1.1-1-3257</v>
      </c>
      <c r="C4754" s="27" t="s">
        <v>129</v>
      </c>
      <c r="D4754" s="28" t="str">
        <f>[1]Source!H4414</f>
        <v>кг</v>
      </c>
      <c r="E4754" s="29">
        <f>[1]Source!I4414</f>
        <v>123.20000000000002</v>
      </c>
      <c r="F4754" s="30">
        <f>[1]Source!AK4414</f>
        <v>17.3</v>
      </c>
      <c r="G4754" s="43" t="s">
        <v>54</v>
      </c>
      <c r="H4754" s="29">
        <f>[1]Source!AW4415</f>
        <v>1</v>
      </c>
      <c r="I4754" s="30">
        <f>[1]Source!O4414</f>
        <v>2131.36</v>
      </c>
      <c r="J4754" s="29">
        <f>IF([1]Source!BC4415&lt;&gt; 0, [1]Source!BC4415, 1)</f>
        <v>5.93</v>
      </c>
      <c r="K4754" s="30">
        <f>[1]Source!O4415</f>
        <v>12638.96</v>
      </c>
      <c r="Q4754">
        <f>[1]Source!X4414</f>
        <v>0</v>
      </c>
      <c r="R4754">
        <f>[1]Source!X4415</f>
        <v>0</v>
      </c>
      <c r="S4754">
        <f>[1]Source!Y4414</f>
        <v>0</v>
      </c>
      <c r="T4754">
        <f>[1]Source!Y4415</f>
        <v>0</v>
      </c>
      <c r="U4754">
        <f>ROUND((175/100)*ROUND([1]Source!R4414, 2), 2)</f>
        <v>0</v>
      </c>
      <c r="V4754">
        <f>ROUND((0/100)*ROUND([1]Source!R4415, 2), 2)</f>
        <v>0</v>
      </c>
      <c r="AC4754">
        <v>3</v>
      </c>
    </row>
    <row r="4755" spans="1:29" ht="96.6" hidden="1" x14ac:dyDescent="0.25">
      <c r="A4755" s="27" t="s">
        <v>870</v>
      </c>
      <c r="B4755" s="27" t="str">
        <f>[1]Source!F4416</f>
        <v>1.3-2-50</v>
      </c>
      <c r="C4755" s="27" t="s">
        <v>131</v>
      </c>
      <c r="D4755" s="28" t="str">
        <f>[1]Source!H4416</f>
        <v>т</v>
      </c>
      <c r="E4755" s="29">
        <f>[1]Source!I4416</f>
        <v>0.35199999999999998</v>
      </c>
      <c r="F4755" s="30">
        <f>[1]Source!AK4416</f>
        <v>5978.05</v>
      </c>
      <c r="G4755" s="43" t="s">
        <v>54</v>
      </c>
      <c r="H4755" s="29">
        <f>[1]Source!AW4417</f>
        <v>1</v>
      </c>
      <c r="I4755" s="30">
        <f>[1]Source!O4416</f>
        <v>2104.27</v>
      </c>
      <c r="J4755" s="29">
        <f>IF([1]Source!BC4417&lt;&gt; 0, [1]Source!BC4417, 1)</f>
        <v>15.31</v>
      </c>
      <c r="K4755" s="30">
        <f>[1]Source!O4417</f>
        <v>32216.37</v>
      </c>
      <c r="Q4755">
        <f>[1]Source!X4416</f>
        <v>0</v>
      </c>
      <c r="R4755">
        <f>[1]Source!X4417</f>
        <v>0</v>
      </c>
      <c r="S4755">
        <f>[1]Source!Y4416</f>
        <v>0</v>
      </c>
      <c r="T4755">
        <f>[1]Source!Y4417</f>
        <v>0</v>
      </c>
      <c r="U4755">
        <f>ROUND((175/100)*ROUND([1]Source!R4416, 2), 2)</f>
        <v>0</v>
      </c>
      <c r="V4755">
        <f>ROUND((0/100)*ROUND([1]Source!R4417, 2), 2)</f>
        <v>0</v>
      </c>
      <c r="AC4755">
        <v>3</v>
      </c>
    </row>
    <row r="4756" spans="1:29" ht="69" hidden="1" x14ac:dyDescent="0.25">
      <c r="A4756" s="27" t="s">
        <v>871</v>
      </c>
      <c r="B4756" s="27" t="str">
        <f>[1]Source!F4418</f>
        <v>1.3-2-35</v>
      </c>
      <c r="C4756" s="27" t="s">
        <v>634</v>
      </c>
      <c r="D4756" s="28" t="str">
        <f>[1]Source!H4418</f>
        <v>т</v>
      </c>
      <c r="E4756" s="29">
        <f>[1]Source!I4418</f>
        <v>6.3425120000000001</v>
      </c>
      <c r="F4756" s="30">
        <f>[1]Source!AK4418</f>
        <v>1669.7</v>
      </c>
      <c r="G4756" s="43" t="s">
        <v>54</v>
      </c>
      <c r="H4756" s="29">
        <f>[1]Source!AW4419</f>
        <v>1</v>
      </c>
      <c r="I4756" s="30">
        <f>[1]Source!O4418</f>
        <v>10590.09</v>
      </c>
      <c r="J4756" s="29">
        <f>IF([1]Source!BC4419&lt;&gt; 0, [1]Source!BC4419, 1)</f>
        <v>8</v>
      </c>
      <c r="K4756" s="30">
        <f>[1]Source!O4419</f>
        <v>84720.72</v>
      </c>
      <c r="Q4756">
        <f>[1]Source!X4418</f>
        <v>0</v>
      </c>
      <c r="R4756">
        <f>[1]Source!X4419</f>
        <v>0</v>
      </c>
      <c r="S4756">
        <f>[1]Source!Y4418</f>
        <v>0</v>
      </c>
      <c r="T4756">
        <f>[1]Source!Y4419</f>
        <v>0</v>
      </c>
      <c r="U4756">
        <f>ROUND((175/100)*ROUND([1]Source!R4418, 2), 2)</f>
        <v>0</v>
      </c>
      <c r="V4756">
        <f>ROUND((0/100)*ROUND([1]Source!R4419, 2), 2)</f>
        <v>0</v>
      </c>
      <c r="AC4756">
        <v>3</v>
      </c>
    </row>
    <row r="4757" spans="1:29" ht="55.2" hidden="1" x14ac:dyDescent="0.25">
      <c r="A4757" s="27" t="s">
        <v>872</v>
      </c>
      <c r="B4757" s="27" t="str">
        <f>[1]Source!F4420</f>
        <v>1.1-1-3225</v>
      </c>
      <c r="C4757" s="27" t="s">
        <v>126</v>
      </c>
      <c r="D4757" s="28" t="str">
        <f>[1]Source!H4420</f>
        <v>м2</v>
      </c>
      <c r="E4757" s="29">
        <f>[1]Source!I4420</f>
        <v>950.4</v>
      </c>
      <c r="F4757" s="30">
        <f>[1]Source!AK4420</f>
        <v>124.57</v>
      </c>
      <c r="G4757" s="43" t="s">
        <v>54</v>
      </c>
      <c r="H4757" s="29">
        <f>[1]Source!AW4421</f>
        <v>1</v>
      </c>
      <c r="I4757" s="30">
        <f>[1]Source!O4420</f>
        <v>118391.33</v>
      </c>
      <c r="J4757" s="29">
        <f>IF([1]Source!BC4421&lt;&gt; 0, [1]Source!BC4421, 1)</f>
        <v>6.63</v>
      </c>
      <c r="K4757" s="30">
        <f>[1]Source!O4421</f>
        <v>784934.52</v>
      </c>
      <c r="Q4757">
        <f>[1]Source!X4420</f>
        <v>0</v>
      </c>
      <c r="R4757">
        <f>[1]Source!X4421</f>
        <v>0</v>
      </c>
      <c r="S4757">
        <f>[1]Source!Y4420</f>
        <v>0</v>
      </c>
      <c r="T4757">
        <f>[1]Source!Y4421</f>
        <v>0</v>
      </c>
      <c r="U4757">
        <f>ROUND((175/100)*ROUND([1]Source!R4420, 2), 2)</f>
        <v>0</v>
      </c>
      <c r="V4757">
        <f>ROUND((0/100)*ROUND([1]Source!R4421, 2), 2)</f>
        <v>0</v>
      </c>
      <c r="AC4757">
        <v>3</v>
      </c>
    </row>
    <row r="4758" spans="1:29" ht="14.4" hidden="1" x14ac:dyDescent="0.25">
      <c r="A4758" s="27"/>
      <c r="B4758" s="27"/>
      <c r="C4758" s="27" t="s">
        <v>42</v>
      </c>
      <c r="D4758" s="28" t="s">
        <v>43</v>
      </c>
      <c r="E4758" s="29">
        <f>[1]Source!BZ4411</f>
        <v>101</v>
      </c>
      <c r="F4758" s="30"/>
      <c r="G4758" s="31"/>
      <c r="H4758" s="29"/>
      <c r="I4758" s="30">
        <f>SUM(Q4747:Q4757)</f>
        <v>13199.76</v>
      </c>
      <c r="J4758" s="29">
        <f>[1]Source!AT4411</f>
        <v>101</v>
      </c>
      <c r="K4758" s="30">
        <f>SUM(R4747:R4757)</f>
        <v>743806.52</v>
      </c>
    </row>
    <row r="4759" spans="1:29" ht="14.4" hidden="1" x14ac:dyDescent="0.25">
      <c r="A4759" s="27"/>
      <c r="B4759" s="27"/>
      <c r="C4759" s="27" t="s">
        <v>44</v>
      </c>
      <c r="D4759" s="28" t="s">
        <v>43</v>
      </c>
      <c r="E4759" s="29">
        <f>[1]Source!CA4411</f>
        <v>55</v>
      </c>
      <c r="F4759" s="30"/>
      <c r="G4759" s="31"/>
      <c r="H4759" s="29"/>
      <c r="I4759" s="30">
        <f>SUM(S4747:S4758)</f>
        <v>7187.99</v>
      </c>
      <c r="J4759" s="29">
        <f>[1]Source!AU4411</f>
        <v>55</v>
      </c>
      <c r="K4759" s="30">
        <f>SUM(T4747:T4758)</f>
        <v>405043.16</v>
      </c>
    </row>
    <row r="4760" spans="1:29" ht="14.4" hidden="1" x14ac:dyDescent="0.25">
      <c r="A4760" s="34"/>
      <c r="B4760" s="34"/>
      <c r="C4760" s="34" t="s">
        <v>45</v>
      </c>
      <c r="D4760" s="35" t="s">
        <v>46</v>
      </c>
      <c r="E4760" s="36">
        <f>[1]Source!AQ4410</f>
        <v>61.6</v>
      </c>
      <c r="F4760" s="37"/>
      <c r="G4760" s="38" t="s">
        <v>37</v>
      </c>
      <c r="H4760" s="36">
        <f>[1]Source!AV4411</f>
        <v>1.0469999999999999</v>
      </c>
      <c r="I4760" s="37">
        <f>[1]Source!U4410</f>
        <v>783.2297087999998</v>
      </c>
      <c r="J4760" s="36"/>
      <c r="K4760" s="37"/>
    </row>
    <row r="4761" spans="1:29" ht="13.8" hidden="1" x14ac:dyDescent="0.25">
      <c r="C4761" s="39" t="s">
        <v>47</v>
      </c>
      <c r="H4761" s="40">
        <f>I4749+I4750+I4752+I4758+I4759+SUM(I4753:I4757)-SUMIF(AC4753:AC4757, 5, I4753:I4757)-SUMIF(AC4753:AC4757, 6, I4753:I4757)</f>
        <v>168054.15000000002</v>
      </c>
      <c r="I4761" s="40"/>
      <c r="J4761" s="40">
        <f>K4749+K4750+K4752+K4758+K4759+SUM(K4753:K4757)-SUMIF(AC4753:AC4757, 5, K4753:K4757)-SUMIF(AC4753:AC4757, 6, K4753:K4757)</f>
        <v>2814098.33</v>
      </c>
      <c r="K4761" s="40"/>
    </row>
    <row r="4762" spans="1:29" ht="13.8" hidden="1" x14ac:dyDescent="0.25">
      <c r="C4762" s="39" t="s">
        <v>48</v>
      </c>
      <c r="H4762" s="41">
        <f>SUMIF(AC4753:AC4757, 5, I4753:I4757)+SUMIF(AC4753:AC4757, 6, I4753:I4757)</f>
        <v>0</v>
      </c>
      <c r="I4762" s="41"/>
      <c r="J4762" s="41">
        <f>SUMIF(AC4753:AC4757, 5, K4753:K4757)+SUMIF(AC4753:AC4757, 6, K4753:K4757)</f>
        <v>0</v>
      </c>
      <c r="K4762" s="41"/>
    </row>
    <row r="4763" spans="1:29" ht="13.8" hidden="1" x14ac:dyDescent="0.25">
      <c r="C4763" s="39" t="s">
        <v>49</v>
      </c>
      <c r="H4763" s="41">
        <f>I4749+I4750+I4752+I4758+I4759+SUM(I4753:I4757)</f>
        <v>168054.15000000002</v>
      </c>
      <c r="I4763" s="41"/>
      <c r="J4763" s="41">
        <f>K4749+K4750+K4752+K4758+K4759+SUM(K4753:K4757)</f>
        <v>2814098.33</v>
      </c>
      <c r="K4763" s="41"/>
      <c r="O4763" s="42">
        <f>I4749+I4750+I4752+I4758+I4759+SUM(I4753:I4757)</f>
        <v>168054.15000000002</v>
      </c>
      <c r="P4763" s="42">
        <f>K4749+K4750+K4752+K4758+K4759+SUM(K4753:K4757)</f>
        <v>2814098.33</v>
      </c>
    </row>
    <row r="4764" spans="1:29" hidden="1" x14ac:dyDescent="0.25"/>
    <row r="4765" spans="1:29" hidden="1" x14ac:dyDescent="0.25"/>
    <row r="4766" spans="1:29" ht="13.8" hidden="1" x14ac:dyDescent="0.25">
      <c r="A4766" s="44" t="str">
        <f>CONCATENATE("Итого по подразделу: ",IF([1]Source!G4423&lt;&gt;"Новый подраздел", [1]Source!G4423, ""))</f>
        <v>Итого по подразделу: Верхнее покрытие</v>
      </c>
      <c r="B4766" s="44"/>
      <c r="C4766" s="44"/>
      <c r="D4766" s="44"/>
      <c r="E4766" s="44"/>
      <c r="F4766" s="44"/>
      <c r="G4766" s="44"/>
      <c r="H4766" s="41">
        <f>SUM(O4728:O4765)</f>
        <v>240410.11000000002</v>
      </c>
      <c r="I4766" s="45"/>
      <c r="J4766" s="41">
        <f>SUM(P4728:P4765)</f>
        <v>4219657.76</v>
      </c>
      <c r="K4766" s="45"/>
    </row>
    <row r="4767" spans="1:29" hidden="1" x14ac:dyDescent="0.25">
      <c r="A4767" t="s">
        <v>55</v>
      </c>
      <c r="I4767">
        <f>SUM(W4728:W4766)</f>
        <v>0</v>
      </c>
      <c r="J4767">
        <f>SUM(X4728:X4766)</f>
        <v>0</v>
      </c>
    </row>
    <row r="4768" spans="1:29" hidden="1" x14ac:dyDescent="0.25">
      <c r="A4768" t="s">
        <v>56</v>
      </c>
      <c r="I4768">
        <f>SUM(Y4728:Y4767)</f>
        <v>0</v>
      </c>
      <c r="J4768">
        <f>SUM(Z4728:Z4767)</f>
        <v>0</v>
      </c>
    </row>
    <row r="4769" spans="1:29" hidden="1" x14ac:dyDescent="0.25"/>
    <row r="4770" spans="1:29" ht="16.8" hidden="1" x14ac:dyDescent="0.25">
      <c r="A4770" s="11" t="str">
        <f>CONCATENATE("Подраздел: ",IF([1]Source!G4453&lt;&gt;"Новый подраздел", [1]Source!G4453, ""))</f>
        <v>Подраздел: Полы под номер 2</v>
      </c>
      <c r="B4770" s="11"/>
      <c r="C4770" s="11"/>
      <c r="D4770" s="11"/>
      <c r="E4770" s="11"/>
      <c r="F4770" s="11"/>
      <c r="G4770" s="11"/>
      <c r="H4770" s="11"/>
      <c r="I4770" s="11"/>
      <c r="J4770" s="11"/>
      <c r="K4770" s="11"/>
    </row>
    <row r="4771" spans="1:29" ht="69" hidden="1" x14ac:dyDescent="0.25">
      <c r="A4771" s="27">
        <v>443</v>
      </c>
      <c r="B4771" s="27" t="str">
        <f>[1]Source!F4457</f>
        <v>3.70-198-7</v>
      </c>
      <c r="C4771" s="27" t="s">
        <v>729</v>
      </c>
      <c r="D4771" s="28" t="str">
        <f>[1]Source!H4457</f>
        <v>100 м2</v>
      </c>
      <c r="E4771" s="29">
        <f>[1]Source!I4457</f>
        <v>1.69</v>
      </c>
      <c r="F4771" s="30"/>
      <c r="G4771" s="31"/>
      <c r="H4771" s="29"/>
      <c r="I4771" s="30"/>
      <c r="J4771" s="29"/>
      <c r="K4771" s="30"/>
      <c r="Q4771">
        <f>[1]Source!X4457</f>
        <v>3220.61</v>
      </c>
      <c r="R4771">
        <f>[1]Source!X4458</f>
        <v>181481.21</v>
      </c>
      <c r="S4771">
        <f>[1]Source!Y4457</f>
        <v>1753.8</v>
      </c>
      <c r="T4771">
        <f>[1]Source!Y4458</f>
        <v>98826.4</v>
      </c>
      <c r="U4771">
        <f>ROUND((175/100)*ROUND([1]Source!R4457, 2), 2)</f>
        <v>66.239999999999995</v>
      </c>
      <c r="V4771">
        <f>ROUND((0/100)*ROUND([1]Source!R4458, 2), 2)</f>
        <v>0</v>
      </c>
      <c r="AC4771">
        <v>0</v>
      </c>
    </row>
    <row r="4772" spans="1:29" hidden="1" x14ac:dyDescent="0.25">
      <c r="C4772" s="32" t="str">
        <f>"Объем: "&amp;[1]Source!I4457&amp;"=169/"&amp;"100"</f>
        <v>Объем: 1,69=169/100</v>
      </c>
    </row>
    <row r="4773" spans="1:29" ht="14.4" hidden="1" x14ac:dyDescent="0.25">
      <c r="A4773" s="27"/>
      <c r="B4773" s="27"/>
      <c r="C4773" s="27" t="s">
        <v>36</v>
      </c>
      <c r="D4773" s="28"/>
      <c r="E4773" s="29"/>
      <c r="F4773" s="30">
        <f>[1]Source!AO4457</f>
        <v>1290.3800000000001</v>
      </c>
      <c r="G4773" s="31" t="s">
        <v>37</v>
      </c>
      <c r="H4773" s="29">
        <f>[1]Source!AV4458</f>
        <v>1.0469999999999999</v>
      </c>
      <c r="I4773" s="30">
        <f>[1]Source!S4457</f>
        <v>3150.87</v>
      </c>
      <c r="J4773" s="29">
        <f>IF([1]Source!BA4458&lt;&gt; 0, [1]Source!BA4458, 1)</f>
        <v>56.35</v>
      </c>
      <c r="K4773" s="30">
        <f>[1]Source!S4458</f>
        <v>177551.52</v>
      </c>
    </row>
    <row r="4774" spans="1:29" ht="14.4" hidden="1" x14ac:dyDescent="0.25">
      <c r="A4774" s="27"/>
      <c r="B4774" s="27"/>
      <c r="C4774" s="27" t="s">
        <v>38</v>
      </c>
      <c r="D4774" s="28"/>
      <c r="E4774" s="29"/>
      <c r="F4774" s="30">
        <f>[1]Source!AM4457</f>
        <v>81.06</v>
      </c>
      <c r="G4774" s="31" t="s">
        <v>39</v>
      </c>
      <c r="H4774" s="29">
        <f>[1]Source!AV4458</f>
        <v>1.0469999999999999</v>
      </c>
      <c r="I4774" s="30">
        <f>[1]Source!Q4457</f>
        <v>215.14</v>
      </c>
      <c r="J4774" s="29">
        <f>IF([1]Source!BB4458&lt;&gt; 0, [1]Source!BB4458, 1)</f>
        <v>18.920000000000002</v>
      </c>
      <c r="K4774" s="30">
        <f>[1]Source!Q4458</f>
        <v>4070.45</v>
      </c>
    </row>
    <row r="4775" spans="1:29" ht="14.4" hidden="1" x14ac:dyDescent="0.25">
      <c r="A4775" s="27"/>
      <c r="B4775" s="27"/>
      <c r="C4775" s="27" t="s">
        <v>40</v>
      </c>
      <c r="D4775" s="28"/>
      <c r="E4775" s="29"/>
      <c r="F4775" s="30">
        <f>[1]Source!AN4457</f>
        <v>14.26</v>
      </c>
      <c r="G4775" s="31" t="s">
        <v>39</v>
      </c>
      <c r="H4775" s="29">
        <f>[1]Source!AV4458</f>
        <v>1.0469999999999999</v>
      </c>
      <c r="I4775" s="33">
        <f>[1]Source!R4457</f>
        <v>37.85</v>
      </c>
      <c r="J4775" s="29">
        <f>IF([1]Source!BS4458&lt;&gt; 0, [1]Source!BS4458, 1)</f>
        <v>56.35</v>
      </c>
      <c r="K4775" s="33">
        <f>[1]Source!R4458</f>
        <v>2132.85</v>
      </c>
    </row>
    <row r="4776" spans="1:29" ht="14.4" hidden="1" x14ac:dyDescent="0.25">
      <c r="A4776" s="27"/>
      <c r="B4776" s="27"/>
      <c r="C4776" s="27" t="s">
        <v>41</v>
      </c>
      <c r="D4776" s="28"/>
      <c r="E4776" s="29"/>
      <c r="F4776" s="30">
        <f>[1]Source!AL4457</f>
        <v>9.2200000000000006</v>
      </c>
      <c r="G4776" s="31"/>
      <c r="H4776" s="29">
        <f>[1]Source!AW4458</f>
        <v>1</v>
      </c>
      <c r="I4776" s="30">
        <f>[1]Source!P4457</f>
        <v>15.58</v>
      </c>
      <c r="J4776" s="29">
        <f>IF([1]Source!BC4458&lt;&gt; 0, [1]Source!BC4458, 1)</f>
        <v>4.5999999999999996</v>
      </c>
      <c r="K4776" s="30">
        <f>[1]Source!P4458</f>
        <v>71.67</v>
      </c>
    </row>
    <row r="4777" spans="1:29" ht="41.4" hidden="1" x14ac:dyDescent="0.25">
      <c r="A4777" s="27" t="s">
        <v>873</v>
      </c>
      <c r="B4777" s="27" t="str">
        <f>[1]Source!F4459</f>
        <v>1.1-1-8205</v>
      </c>
      <c r="C4777" s="27" t="s">
        <v>731</v>
      </c>
      <c r="D4777" s="28" t="str">
        <f>[1]Source!H4459</f>
        <v>100 шт.</v>
      </c>
      <c r="E4777" s="29">
        <f>[1]Source!I4459</f>
        <v>11.576499999999999</v>
      </c>
      <c r="F4777" s="30">
        <f>[1]Source!AK4459</f>
        <v>4.26</v>
      </c>
      <c r="G4777" s="43" t="s">
        <v>54</v>
      </c>
      <c r="H4777" s="29">
        <f>[1]Source!AW4460</f>
        <v>1</v>
      </c>
      <c r="I4777" s="30">
        <f>[1]Source!O4459</f>
        <v>49.32</v>
      </c>
      <c r="J4777" s="29">
        <f>IF([1]Source!BC4460&lt;&gt; 0, [1]Source!BC4460, 1)</f>
        <v>9.99</v>
      </c>
      <c r="K4777" s="30">
        <f>[1]Source!O4460</f>
        <v>492.71</v>
      </c>
      <c r="Q4777">
        <f>[1]Source!X4459</f>
        <v>0</v>
      </c>
      <c r="R4777">
        <f>[1]Source!X4460</f>
        <v>0</v>
      </c>
      <c r="S4777">
        <f>[1]Source!Y4459</f>
        <v>0</v>
      </c>
      <c r="T4777">
        <f>[1]Source!Y4460</f>
        <v>0</v>
      </c>
      <c r="U4777">
        <f>ROUND((175/100)*ROUND([1]Source!R4459, 2), 2)</f>
        <v>0</v>
      </c>
      <c r="V4777">
        <f>ROUND((0/100)*ROUND([1]Source!R4460, 2), 2)</f>
        <v>0</v>
      </c>
      <c r="AC4777">
        <v>3</v>
      </c>
    </row>
    <row r="4778" spans="1:29" ht="41.4" hidden="1" x14ac:dyDescent="0.25">
      <c r="A4778" s="27" t="s">
        <v>874</v>
      </c>
      <c r="B4778" s="27" t="str">
        <f>[1]Source!F4461</f>
        <v>1.1-1-3257</v>
      </c>
      <c r="C4778" s="27" t="s">
        <v>129</v>
      </c>
      <c r="D4778" s="28" t="str">
        <f>[1]Source!H4461</f>
        <v>кг</v>
      </c>
      <c r="E4778" s="29">
        <f>[1]Source!I4461</f>
        <v>23.66</v>
      </c>
      <c r="F4778" s="30">
        <f>[1]Source!AK4461</f>
        <v>17.3</v>
      </c>
      <c r="G4778" s="43" t="s">
        <v>54</v>
      </c>
      <c r="H4778" s="29">
        <f>[1]Source!AW4462</f>
        <v>1</v>
      </c>
      <c r="I4778" s="30">
        <f>[1]Source!O4461</f>
        <v>409.32</v>
      </c>
      <c r="J4778" s="29">
        <f>IF([1]Source!BC4462&lt;&gt; 0, [1]Source!BC4462, 1)</f>
        <v>5.93</v>
      </c>
      <c r="K4778" s="30">
        <f>[1]Source!O4462</f>
        <v>2427.27</v>
      </c>
      <c r="Q4778">
        <f>[1]Source!X4461</f>
        <v>0</v>
      </c>
      <c r="R4778">
        <f>[1]Source!X4462</f>
        <v>0</v>
      </c>
      <c r="S4778">
        <f>[1]Source!Y4461</f>
        <v>0</v>
      </c>
      <c r="T4778">
        <f>[1]Source!Y4462</f>
        <v>0</v>
      </c>
      <c r="U4778">
        <f>ROUND((175/100)*ROUND([1]Source!R4461, 2), 2)</f>
        <v>0</v>
      </c>
      <c r="V4778">
        <f>ROUND((0/100)*ROUND([1]Source!R4462, 2), 2)</f>
        <v>0</v>
      </c>
      <c r="AC4778">
        <v>3</v>
      </c>
    </row>
    <row r="4779" spans="1:29" ht="96.6" hidden="1" x14ac:dyDescent="0.25">
      <c r="A4779" s="27" t="s">
        <v>875</v>
      </c>
      <c r="B4779" s="27" t="str">
        <f>[1]Source!F4463</f>
        <v>1.3-2-50</v>
      </c>
      <c r="C4779" s="27" t="s">
        <v>131</v>
      </c>
      <c r="D4779" s="28" t="str">
        <f>[1]Source!H4463</f>
        <v>т</v>
      </c>
      <c r="E4779" s="29">
        <f>[1]Source!I4463</f>
        <v>6.7599999999999993E-2</v>
      </c>
      <c r="F4779" s="30">
        <f>[1]Source!AK4463</f>
        <v>5978.05</v>
      </c>
      <c r="G4779" s="43" t="s">
        <v>54</v>
      </c>
      <c r="H4779" s="29">
        <f>[1]Source!AW4464</f>
        <v>1</v>
      </c>
      <c r="I4779" s="30">
        <f>[1]Source!O4463</f>
        <v>404.12</v>
      </c>
      <c r="J4779" s="29">
        <f>IF([1]Source!BC4464&lt;&gt; 0, [1]Source!BC4464, 1)</f>
        <v>15.31</v>
      </c>
      <c r="K4779" s="30">
        <f>[1]Source!O4464</f>
        <v>6187.08</v>
      </c>
      <c r="Q4779">
        <f>[1]Source!X4463</f>
        <v>0</v>
      </c>
      <c r="R4779">
        <f>[1]Source!X4464</f>
        <v>0</v>
      </c>
      <c r="S4779">
        <f>[1]Source!Y4463</f>
        <v>0</v>
      </c>
      <c r="T4779">
        <f>[1]Source!Y4464</f>
        <v>0</v>
      </c>
      <c r="U4779">
        <f>ROUND((175/100)*ROUND([1]Source!R4463, 2), 2)</f>
        <v>0</v>
      </c>
      <c r="V4779">
        <f>ROUND((0/100)*ROUND([1]Source!R4464, 2), 2)</f>
        <v>0</v>
      </c>
      <c r="AC4779">
        <v>3</v>
      </c>
    </row>
    <row r="4780" spans="1:29" ht="69" hidden="1" x14ac:dyDescent="0.25">
      <c r="A4780" s="27" t="s">
        <v>876</v>
      </c>
      <c r="B4780" s="27" t="str">
        <f>[1]Source!F4465</f>
        <v>1.3-2-35</v>
      </c>
      <c r="C4780" s="27" t="s">
        <v>634</v>
      </c>
      <c r="D4780" s="28" t="str">
        <f>[1]Source!H4465</f>
        <v>т</v>
      </c>
      <c r="E4780" s="29">
        <f>[1]Source!I4465</f>
        <v>1.218051</v>
      </c>
      <c r="F4780" s="30">
        <f>[1]Source!AK4465</f>
        <v>1669.7</v>
      </c>
      <c r="G4780" s="43" t="s">
        <v>54</v>
      </c>
      <c r="H4780" s="29">
        <f>[1]Source!AW4466</f>
        <v>1</v>
      </c>
      <c r="I4780" s="30">
        <f>[1]Source!O4465</f>
        <v>2033.78</v>
      </c>
      <c r="J4780" s="29">
        <f>IF([1]Source!BC4466&lt;&gt; 0, [1]Source!BC4466, 1)</f>
        <v>8</v>
      </c>
      <c r="K4780" s="30">
        <f>[1]Source!O4466</f>
        <v>16270.24</v>
      </c>
      <c r="Q4780">
        <f>[1]Source!X4465</f>
        <v>0</v>
      </c>
      <c r="R4780">
        <f>[1]Source!X4466</f>
        <v>0</v>
      </c>
      <c r="S4780">
        <f>[1]Source!Y4465</f>
        <v>0</v>
      </c>
      <c r="T4780">
        <f>[1]Source!Y4466</f>
        <v>0</v>
      </c>
      <c r="U4780">
        <f>ROUND((175/100)*ROUND([1]Source!R4465, 2), 2)</f>
        <v>0</v>
      </c>
      <c r="V4780">
        <f>ROUND((0/100)*ROUND([1]Source!R4466, 2), 2)</f>
        <v>0</v>
      </c>
      <c r="AC4780">
        <v>3</v>
      </c>
    </row>
    <row r="4781" spans="1:29" ht="41.4" hidden="1" x14ac:dyDescent="0.25">
      <c r="A4781" s="27" t="s">
        <v>877</v>
      </c>
      <c r="B4781" s="27" t="str">
        <f>[1]Source!F4467</f>
        <v>1.1-1-8134</v>
      </c>
      <c r="C4781" s="27" t="s">
        <v>650</v>
      </c>
      <c r="D4781" s="28" t="str">
        <f>[1]Source!H4467</f>
        <v>м2</v>
      </c>
      <c r="E4781" s="29">
        <f>[1]Source!I4467</f>
        <v>187.59</v>
      </c>
      <c r="F4781" s="30">
        <f>[1]Source!AK4467</f>
        <v>127.87</v>
      </c>
      <c r="G4781" s="43" t="s">
        <v>54</v>
      </c>
      <c r="H4781" s="29">
        <f>[1]Source!AW4468</f>
        <v>1</v>
      </c>
      <c r="I4781" s="30">
        <f>[1]Source!O4467</f>
        <v>23987.13</v>
      </c>
      <c r="J4781" s="29">
        <f>IF([1]Source!BC4468&lt;&gt; 0, [1]Source!BC4468, 1)</f>
        <v>8.2200000000000006</v>
      </c>
      <c r="K4781" s="30">
        <f>[1]Source!O4468</f>
        <v>197174.21</v>
      </c>
      <c r="Q4781">
        <f>[1]Source!X4467</f>
        <v>0</v>
      </c>
      <c r="R4781">
        <f>[1]Source!X4468</f>
        <v>0</v>
      </c>
      <c r="S4781">
        <f>[1]Source!Y4467</f>
        <v>0</v>
      </c>
      <c r="T4781">
        <f>[1]Source!Y4468</f>
        <v>0</v>
      </c>
      <c r="U4781">
        <f>ROUND((175/100)*ROUND([1]Source!R4467, 2), 2)</f>
        <v>0</v>
      </c>
      <c r="V4781">
        <f>ROUND((0/100)*ROUND([1]Source!R4468, 2), 2)</f>
        <v>0</v>
      </c>
      <c r="AC4781">
        <v>3</v>
      </c>
    </row>
    <row r="4782" spans="1:29" ht="14.4" hidden="1" x14ac:dyDescent="0.25">
      <c r="A4782" s="27"/>
      <c r="B4782" s="27"/>
      <c r="C4782" s="27" t="s">
        <v>42</v>
      </c>
      <c r="D4782" s="28" t="s">
        <v>43</v>
      </c>
      <c r="E4782" s="29">
        <f>[1]Source!BZ4458</f>
        <v>101</v>
      </c>
      <c r="F4782" s="30"/>
      <c r="G4782" s="31"/>
      <c r="H4782" s="29"/>
      <c r="I4782" s="30">
        <f>SUM(Q4771:Q4781)</f>
        <v>3220.61</v>
      </c>
      <c r="J4782" s="29">
        <f>[1]Source!AT4458</f>
        <v>101</v>
      </c>
      <c r="K4782" s="30">
        <f>SUM(R4771:R4781)</f>
        <v>181481.21</v>
      </c>
    </row>
    <row r="4783" spans="1:29" ht="14.4" hidden="1" x14ac:dyDescent="0.25">
      <c r="A4783" s="27"/>
      <c r="B4783" s="27"/>
      <c r="C4783" s="27" t="s">
        <v>44</v>
      </c>
      <c r="D4783" s="28" t="s">
        <v>43</v>
      </c>
      <c r="E4783" s="29">
        <f>[1]Source!CA4458</f>
        <v>55</v>
      </c>
      <c r="F4783" s="30"/>
      <c r="G4783" s="31"/>
      <c r="H4783" s="29"/>
      <c r="I4783" s="30">
        <f>SUM(S4771:S4782)</f>
        <v>1753.8</v>
      </c>
      <c r="J4783" s="29">
        <f>[1]Source!AU4458</f>
        <v>55</v>
      </c>
      <c r="K4783" s="30">
        <f>SUM(T4771:T4782)</f>
        <v>98826.4</v>
      </c>
    </row>
    <row r="4784" spans="1:29" ht="14.4" hidden="1" x14ac:dyDescent="0.25">
      <c r="A4784" s="34"/>
      <c r="B4784" s="34"/>
      <c r="C4784" s="34" t="s">
        <v>45</v>
      </c>
      <c r="D4784" s="35" t="s">
        <v>46</v>
      </c>
      <c r="E4784" s="36">
        <f>[1]Source!AQ4457</f>
        <v>78.099999999999994</v>
      </c>
      <c r="F4784" s="37"/>
      <c r="G4784" s="38" t="s">
        <v>37</v>
      </c>
      <c r="H4784" s="36">
        <f>[1]Source!AV4458</f>
        <v>1.0469999999999999</v>
      </c>
      <c r="I4784" s="37">
        <f>[1]Source!U4457</f>
        <v>190.70562653999994</v>
      </c>
      <c r="J4784" s="36"/>
      <c r="K4784" s="37"/>
    </row>
    <row r="4785" spans="1:29" ht="13.8" hidden="1" x14ac:dyDescent="0.25">
      <c r="C4785" s="39" t="s">
        <v>47</v>
      </c>
      <c r="H4785" s="40">
        <f>I4773+I4774+I4776+I4782+I4783+SUM(I4777:I4781)-SUMIF(AC4777:AC4781, 5, I4777:I4781)-SUMIF(AC4777:AC4781, 6, I4777:I4781)</f>
        <v>35239.67</v>
      </c>
      <c r="I4785" s="40"/>
      <c r="J4785" s="40">
        <f>K4773+K4774+K4776+K4782+K4783+SUM(K4777:K4781)-SUMIF(AC4777:AC4781, 5, K4777:K4781)-SUMIF(AC4777:AC4781, 6, K4777:K4781)</f>
        <v>684552.76</v>
      </c>
      <c r="K4785" s="40"/>
    </row>
    <row r="4786" spans="1:29" ht="13.8" hidden="1" x14ac:dyDescent="0.25">
      <c r="C4786" s="39" t="s">
        <v>48</v>
      </c>
      <c r="H4786" s="41">
        <f>SUMIF(AC4777:AC4781, 5, I4777:I4781)+SUMIF(AC4777:AC4781, 6, I4777:I4781)</f>
        <v>0</v>
      </c>
      <c r="I4786" s="41"/>
      <c r="J4786" s="41">
        <f>SUMIF(AC4777:AC4781, 5, K4777:K4781)+SUMIF(AC4777:AC4781, 6, K4777:K4781)</f>
        <v>0</v>
      </c>
      <c r="K4786" s="41"/>
    </row>
    <row r="4787" spans="1:29" ht="13.8" hidden="1" x14ac:dyDescent="0.25">
      <c r="C4787" s="39" t="s">
        <v>49</v>
      </c>
      <c r="H4787" s="41">
        <f>I4773+I4774+I4776+I4782+I4783+SUM(I4777:I4781)</f>
        <v>35239.67</v>
      </c>
      <c r="I4787" s="41"/>
      <c r="J4787" s="41">
        <f>K4773+K4774+K4776+K4782+K4783+SUM(K4777:K4781)</f>
        <v>684552.76</v>
      </c>
      <c r="K4787" s="41"/>
      <c r="O4787" s="42">
        <f>I4773+I4774+I4776+I4782+I4783+SUM(I4777:I4781)</f>
        <v>35239.67</v>
      </c>
      <c r="P4787" s="42">
        <f>K4773+K4774+K4776+K4782+K4783+SUM(K4777:K4781)</f>
        <v>684552.76</v>
      </c>
    </row>
    <row r="4788" spans="1:29" hidden="1" x14ac:dyDescent="0.25"/>
    <row r="4789" spans="1:29" ht="69" hidden="1" x14ac:dyDescent="0.25">
      <c r="A4789" s="27">
        <v>444</v>
      </c>
      <c r="B4789" s="27" t="str">
        <f>[1]Source!F4469</f>
        <v>3.70-198-6</v>
      </c>
      <c r="C4789" s="27" t="s">
        <v>136</v>
      </c>
      <c r="D4789" s="28" t="str">
        <f>[1]Source!H4469</f>
        <v>100 м2</v>
      </c>
      <c r="E4789" s="29">
        <f>[1]Source!I4469</f>
        <v>5.16</v>
      </c>
      <c r="F4789" s="30"/>
      <c r="G4789" s="31"/>
      <c r="H4789" s="29"/>
      <c r="I4789" s="30"/>
      <c r="J4789" s="29"/>
      <c r="K4789" s="30"/>
      <c r="Q4789">
        <f>[1]Source!X4469</f>
        <v>7739.85</v>
      </c>
      <c r="R4789">
        <f>[1]Source!X4470</f>
        <v>436140.67</v>
      </c>
      <c r="S4789">
        <f>[1]Source!Y4469</f>
        <v>4214.7700000000004</v>
      </c>
      <c r="T4789">
        <f>[1]Source!Y4470</f>
        <v>237502.35</v>
      </c>
      <c r="U4789">
        <f>ROUND((175/100)*ROUND([1]Source!R4469, 2), 2)</f>
        <v>193.29</v>
      </c>
      <c r="V4789">
        <f>ROUND((0/100)*ROUND([1]Source!R4470, 2), 2)</f>
        <v>0</v>
      </c>
      <c r="AC4789">
        <v>0</v>
      </c>
    </row>
    <row r="4790" spans="1:29" hidden="1" x14ac:dyDescent="0.25">
      <c r="C4790" s="32" t="str">
        <f>"Объем: "&amp;[1]Source!I4469&amp;"=516/"&amp;"100"</f>
        <v>Объем: 5,16=516/100</v>
      </c>
    </row>
    <row r="4791" spans="1:29" ht="14.4" hidden="1" x14ac:dyDescent="0.25">
      <c r="A4791" s="27"/>
      <c r="B4791" s="27"/>
      <c r="C4791" s="27" t="s">
        <v>36</v>
      </c>
      <c r="D4791" s="28"/>
      <c r="E4791" s="29"/>
      <c r="F4791" s="30">
        <f>[1]Source!AO4469</f>
        <v>1013.05</v>
      </c>
      <c r="G4791" s="31" t="s">
        <v>37</v>
      </c>
      <c r="H4791" s="29">
        <f>[1]Source!AV4470</f>
        <v>1.0469999999999999</v>
      </c>
      <c r="I4791" s="30">
        <f>[1]Source!S4469</f>
        <v>7552.77</v>
      </c>
      <c r="J4791" s="29">
        <f>IF([1]Source!BA4470&lt;&gt; 0, [1]Source!BA4470, 1)</f>
        <v>56.35</v>
      </c>
      <c r="K4791" s="30">
        <f>[1]Source!S4470</f>
        <v>425598.59</v>
      </c>
    </row>
    <row r="4792" spans="1:29" ht="14.4" hidden="1" x14ac:dyDescent="0.25">
      <c r="A4792" s="27"/>
      <c r="B4792" s="27"/>
      <c r="C4792" s="27" t="s">
        <v>38</v>
      </c>
      <c r="D4792" s="28"/>
      <c r="E4792" s="29"/>
      <c r="F4792" s="30">
        <f>[1]Source!AM4469</f>
        <v>77.48</v>
      </c>
      <c r="G4792" s="31" t="s">
        <v>39</v>
      </c>
      <c r="H4792" s="29">
        <f>[1]Source!AV4470</f>
        <v>1.0469999999999999</v>
      </c>
      <c r="I4792" s="30">
        <f>[1]Source!Q4469</f>
        <v>627.88</v>
      </c>
      <c r="J4792" s="29">
        <f>IF([1]Source!BB4470&lt;&gt; 0, [1]Source!BB4470, 1)</f>
        <v>18.91</v>
      </c>
      <c r="K4792" s="30">
        <f>[1]Source!Q4470</f>
        <v>11873.21</v>
      </c>
    </row>
    <row r="4793" spans="1:29" ht="14.4" hidden="1" x14ac:dyDescent="0.25">
      <c r="A4793" s="27"/>
      <c r="B4793" s="27"/>
      <c r="C4793" s="27" t="s">
        <v>40</v>
      </c>
      <c r="D4793" s="28"/>
      <c r="E4793" s="29"/>
      <c r="F4793" s="30">
        <f>[1]Source!AN4469</f>
        <v>13.63</v>
      </c>
      <c r="G4793" s="31" t="s">
        <v>39</v>
      </c>
      <c r="H4793" s="29">
        <f>[1]Source!AV4470</f>
        <v>1.0469999999999999</v>
      </c>
      <c r="I4793" s="33">
        <f>[1]Source!R4469</f>
        <v>110.45</v>
      </c>
      <c r="J4793" s="29">
        <f>IF([1]Source!BS4470&lt;&gt; 0, [1]Source!BS4470, 1)</f>
        <v>56.35</v>
      </c>
      <c r="K4793" s="33">
        <f>[1]Source!R4470</f>
        <v>6223.86</v>
      </c>
    </row>
    <row r="4794" spans="1:29" ht="14.4" hidden="1" x14ac:dyDescent="0.25">
      <c r="A4794" s="27"/>
      <c r="B4794" s="27"/>
      <c r="C4794" s="27" t="s">
        <v>41</v>
      </c>
      <c r="D4794" s="28"/>
      <c r="E4794" s="29"/>
      <c r="F4794" s="30">
        <f>[1]Source!AL4469</f>
        <v>7.2</v>
      </c>
      <c r="G4794" s="31"/>
      <c r="H4794" s="29">
        <f>[1]Source!AW4470</f>
        <v>1</v>
      </c>
      <c r="I4794" s="30">
        <f>[1]Source!P4469</f>
        <v>37.15</v>
      </c>
      <c r="J4794" s="29">
        <f>IF([1]Source!BC4470&lt;&gt; 0, [1]Source!BC4470, 1)</f>
        <v>5.07</v>
      </c>
      <c r="K4794" s="30">
        <f>[1]Source!P4470</f>
        <v>188.35</v>
      </c>
    </row>
    <row r="4795" spans="1:29" ht="41.4" hidden="1" x14ac:dyDescent="0.25">
      <c r="A4795" s="27" t="s">
        <v>878</v>
      </c>
      <c r="B4795" s="27" t="str">
        <f>[1]Source!F4471</f>
        <v>1.1-1-8205</v>
      </c>
      <c r="C4795" s="27" t="s">
        <v>731</v>
      </c>
      <c r="D4795" s="28" t="str">
        <f>[1]Source!H4471</f>
        <v>100 шт.</v>
      </c>
      <c r="E4795" s="29">
        <f>[1]Source!I4471</f>
        <v>59.804400000000001</v>
      </c>
      <c r="F4795" s="30">
        <f>[1]Source!AK4471</f>
        <v>4.26</v>
      </c>
      <c r="G4795" s="43" t="s">
        <v>54</v>
      </c>
      <c r="H4795" s="29">
        <f>[1]Source!AW4472</f>
        <v>1</v>
      </c>
      <c r="I4795" s="30">
        <f>[1]Source!O4471</f>
        <v>254.77</v>
      </c>
      <c r="J4795" s="29">
        <f>IF([1]Source!BC4472&lt;&gt; 0, [1]Source!BC4472, 1)</f>
        <v>9.99</v>
      </c>
      <c r="K4795" s="30">
        <f>[1]Source!O4472</f>
        <v>2545.15</v>
      </c>
      <c r="Q4795">
        <f>[1]Source!X4471</f>
        <v>0</v>
      </c>
      <c r="R4795">
        <f>[1]Source!X4472</f>
        <v>0</v>
      </c>
      <c r="S4795">
        <f>[1]Source!Y4471</f>
        <v>0</v>
      </c>
      <c r="T4795">
        <f>[1]Source!Y4472</f>
        <v>0</v>
      </c>
      <c r="U4795">
        <f>ROUND((175/100)*ROUND([1]Source!R4471, 2), 2)</f>
        <v>0</v>
      </c>
      <c r="V4795">
        <f>ROUND((0/100)*ROUND([1]Source!R4472, 2), 2)</f>
        <v>0</v>
      </c>
      <c r="AC4795">
        <v>3</v>
      </c>
    </row>
    <row r="4796" spans="1:29" ht="41.4" hidden="1" x14ac:dyDescent="0.25">
      <c r="A4796" s="27" t="s">
        <v>879</v>
      </c>
      <c r="B4796" s="27" t="str">
        <f>[1]Source!F4473</f>
        <v>1.1-1-3257</v>
      </c>
      <c r="C4796" s="27" t="s">
        <v>129</v>
      </c>
      <c r="D4796" s="28" t="str">
        <f>[1]Source!H4473</f>
        <v>кг</v>
      </c>
      <c r="E4796" s="29">
        <f>[1]Source!I4473</f>
        <v>72.239999999999995</v>
      </c>
      <c r="F4796" s="30">
        <f>[1]Source!AK4473</f>
        <v>17.3</v>
      </c>
      <c r="G4796" s="43" t="s">
        <v>54</v>
      </c>
      <c r="H4796" s="29">
        <f>[1]Source!AW4474</f>
        <v>1</v>
      </c>
      <c r="I4796" s="30">
        <f>[1]Source!O4473</f>
        <v>1249.75</v>
      </c>
      <c r="J4796" s="29">
        <f>IF([1]Source!BC4474&lt;&gt; 0, [1]Source!BC4474, 1)</f>
        <v>5.93</v>
      </c>
      <c r="K4796" s="30">
        <f>[1]Source!O4474</f>
        <v>7411.02</v>
      </c>
      <c r="Q4796">
        <f>[1]Source!X4473</f>
        <v>0</v>
      </c>
      <c r="R4796">
        <f>[1]Source!X4474</f>
        <v>0</v>
      </c>
      <c r="S4796">
        <f>[1]Source!Y4473</f>
        <v>0</v>
      </c>
      <c r="T4796">
        <f>[1]Source!Y4474</f>
        <v>0</v>
      </c>
      <c r="U4796">
        <f>ROUND((175/100)*ROUND([1]Source!R4473, 2), 2)</f>
        <v>0</v>
      </c>
      <c r="V4796">
        <f>ROUND((0/100)*ROUND([1]Source!R4474, 2), 2)</f>
        <v>0</v>
      </c>
      <c r="AC4796">
        <v>3</v>
      </c>
    </row>
    <row r="4797" spans="1:29" ht="96.6" hidden="1" x14ac:dyDescent="0.25">
      <c r="A4797" s="27" t="s">
        <v>880</v>
      </c>
      <c r="B4797" s="27" t="str">
        <f>[1]Source!F4475</f>
        <v>1.3-2-50</v>
      </c>
      <c r="C4797" s="27" t="s">
        <v>131</v>
      </c>
      <c r="D4797" s="28" t="str">
        <f>[1]Source!H4475</f>
        <v>т</v>
      </c>
      <c r="E4797" s="29">
        <f>[1]Source!I4475</f>
        <v>0.2064</v>
      </c>
      <c r="F4797" s="30">
        <f>[1]Source!AK4475</f>
        <v>5978.05</v>
      </c>
      <c r="G4797" s="43" t="s">
        <v>54</v>
      </c>
      <c r="H4797" s="29">
        <f>[1]Source!AW4476</f>
        <v>1</v>
      </c>
      <c r="I4797" s="30">
        <f>[1]Source!O4475</f>
        <v>1233.8699999999999</v>
      </c>
      <c r="J4797" s="29">
        <f>IF([1]Source!BC4476&lt;&gt; 0, [1]Source!BC4476, 1)</f>
        <v>15.31</v>
      </c>
      <c r="K4797" s="30">
        <f>[1]Source!O4476</f>
        <v>18890.55</v>
      </c>
      <c r="Q4797">
        <f>[1]Source!X4475</f>
        <v>0</v>
      </c>
      <c r="R4797">
        <f>[1]Source!X4476</f>
        <v>0</v>
      </c>
      <c r="S4797">
        <f>[1]Source!Y4475</f>
        <v>0</v>
      </c>
      <c r="T4797">
        <f>[1]Source!Y4476</f>
        <v>0</v>
      </c>
      <c r="U4797">
        <f>ROUND((175/100)*ROUND([1]Source!R4475, 2), 2)</f>
        <v>0</v>
      </c>
      <c r="V4797">
        <f>ROUND((0/100)*ROUND([1]Source!R4476, 2), 2)</f>
        <v>0</v>
      </c>
      <c r="AC4797">
        <v>3</v>
      </c>
    </row>
    <row r="4798" spans="1:29" ht="69" hidden="1" x14ac:dyDescent="0.25">
      <c r="A4798" s="27" t="s">
        <v>881</v>
      </c>
      <c r="B4798" s="27" t="str">
        <f>[1]Source!F4477</f>
        <v>1.3-2-35</v>
      </c>
      <c r="C4798" s="27" t="s">
        <v>634</v>
      </c>
      <c r="D4798" s="28" t="str">
        <f>[1]Source!H4477</f>
        <v>т</v>
      </c>
      <c r="E4798" s="29">
        <f>[1]Source!I4477</f>
        <v>3.7190180000000002</v>
      </c>
      <c r="F4798" s="30">
        <f>[1]Source!AK4477</f>
        <v>1669.7</v>
      </c>
      <c r="G4798" s="43" t="s">
        <v>54</v>
      </c>
      <c r="H4798" s="29">
        <f>[1]Source!AW4478</f>
        <v>1</v>
      </c>
      <c r="I4798" s="30">
        <f>[1]Source!O4477</f>
        <v>6209.64</v>
      </c>
      <c r="J4798" s="29">
        <f>IF([1]Source!BC4478&lt;&gt; 0, [1]Source!BC4478, 1)</f>
        <v>8</v>
      </c>
      <c r="K4798" s="30">
        <f>[1]Source!O4478</f>
        <v>49677.120000000003</v>
      </c>
      <c r="Q4798">
        <f>[1]Source!X4477</f>
        <v>0</v>
      </c>
      <c r="R4798">
        <f>[1]Source!X4478</f>
        <v>0</v>
      </c>
      <c r="S4798">
        <f>[1]Source!Y4477</f>
        <v>0</v>
      </c>
      <c r="T4798">
        <f>[1]Source!Y4478</f>
        <v>0</v>
      </c>
      <c r="U4798">
        <f>ROUND((175/100)*ROUND([1]Source!R4477, 2), 2)</f>
        <v>0</v>
      </c>
      <c r="V4798">
        <f>ROUND((0/100)*ROUND([1]Source!R4478, 2), 2)</f>
        <v>0</v>
      </c>
      <c r="AC4798">
        <v>3</v>
      </c>
    </row>
    <row r="4799" spans="1:29" ht="55.2" hidden="1" x14ac:dyDescent="0.25">
      <c r="A4799" s="27" t="s">
        <v>882</v>
      </c>
      <c r="B4799" s="27" t="str">
        <f>[1]Source!F4479</f>
        <v>1.1-1-3225</v>
      </c>
      <c r="C4799" s="27" t="s">
        <v>126</v>
      </c>
      <c r="D4799" s="28" t="str">
        <f>[1]Source!H4479</f>
        <v>м2</v>
      </c>
      <c r="E4799" s="29">
        <f>[1]Source!I4479</f>
        <v>557.28</v>
      </c>
      <c r="F4799" s="30">
        <f>[1]Source!AK4479</f>
        <v>124.57</v>
      </c>
      <c r="G4799" s="43" t="s">
        <v>54</v>
      </c>
      <c r="H4799" s="29">
        <f>[1]Source!AW4480</f>
        <v>1</v>
      </c>
      <c r="I4799" s="30">
        <f>[1]Source!O4479</f>
        <v>69420.37</v>
      </c>
      <c r="J4799" s="29">
        <f>IF([1]Source!BC4480&lt;&gt; 0, [1]Source!BC4480, 1)</f>
        <v>6.63</v>
      </c>
      <c r="K4799" s="30">
        <f>[1]Source!O4480</f>
        <v>460257.05</v>
      </c>
      <c r="Q4799">
        <f>[1]Source!X4479</f>
        <v>0</v>
      </c>
      <c r="R4799">
        <f>[1]Source!X4480</f>
        <v>0</v>
      </c>
      <c r="S4799">
        <f>[1]Source!Y4479</f>
        <v>0</v>
      </c>
      <c r="T4799">
        <f>[1]Source!Y4480</f>
        <v>0</v>
      </c>
      <c r="U4799">
        <f>ROUND((175/100)*ROUND([1]Source!R4479, 2), 2)</f>
        <v>0</v>
      </c>
      <c r="V4799">
        <f>ROUND((0/100)*ROUND([1]Source!R4480, 2), 2)</f>
        <v>0</v>
      </c>
      <c r="AC4799">
        <v>3</v>
      </c>
    </row>
    <row r="4800" spans="1:29" ht="14.4" hidden="1" x14ac:dyDescent="0.25">
      <c r="A4800" s="27"/>
      <c r="B4800" s="27"/>
      <c r="C4800" s="27" t="s">
        <v>42</v>
      </c>
      <c r="D4800" s="28" t="s">
        <v>43</v>
      </c>
      <c r="E4800" s="29">
        <f>[1]Source!BZ4470</f>
        <v>101</v>
      </c>
      <c r="F4800" s="30"/>
      <c r="G4800" s="31"/>
      <c r="H4800" s="29"/>
      <c r="I4800" s="30">
        <f>SUM(Q4789:Q4799)</f>
        <v>7739.85</v>
      </c>
      <c r="J4800" s="29">
        <f>[1]Source!AT4470</f>
        <v>101</v>
      </c>
      <c r="K4800" s="30">
        <f>SUM(R4789:R4799)</f>
        <v>436140.67</v>
      </c>
    </row>
    <row r="4801" spans="1:29" ht="14.4" hidden="1" x14ac:dyDescent="0.25">
      <c r="A4801" s="27"/>
      <c r="B4801" s="27"/>
      <c r="C4801" s="27" t="s">
        <v>44</v>
      </c>
      <c r="D4801" s="28" t="s">
        <v>43</v>
      </c>
      <c r="E4801" s="29">
        <f>[1]Source!CA4470</f>
        <v>55</v>
      </c>
      <c r="F4801" s="30"/>
      <c r="G4801" s="31"/>
      <c r="H4801" s="29"/>
      <c r="I4801" s="30">
        <f>SUM(S4789:S4800)</f>
        <v>4214.7700000000004</v>
      </c>
      <c r="J4801" s="29">
        <f>[1]Source!AU4470</f>
        <v>55</v>
      </c>
      <c r="K4801" s="30">
        <f>SUM(T4789:T4800)</f>
        <v>237502.35</v>
      </c>
    </row>
    <row r="4802" spans="1:29" ht="14.4" hidden="1" x14ac:dyDescent="0.25">
      <c r="A4802" s="34"/>
      <c r="B4802" s="34"/>
      <c r="C4802" s="34" t="s">
        <v>45</v>
      </c>
      <c r="D4802" s="35" t="s">
        <v>46</v>
      </c>
      <c r="E4802" s="36">
        <f>[1]Source!AQ4469</f>
        <v>61.6</v>
      </c>
      <c r="F4802" s="37"/>
      <c r="G4802" s="38" t="s">
        <v>37</v>
      </c>
      <c r="H4802" s="36">
        <f>[1]Source!AV4470</f>
        <v>1.0469999999999999</v>
      </c>
      <c r="I4802" s="37">
        <f>[1]Source!U4469</f>
        <v>459.25742015999987</v>
      </c>
      <c r="J4802" s="36"/>
      <c r="K4802" s="37"/>
    </row>
    <row r="4803" spans="1:29" ht="13.8" hidden="1" x14ac:dyDescent="0.25">
      <c r="C4803" s="39" t="s">
        <v>47</v>
      </c>
      <c r="H4803" s="40">
        <f>I4791+I4792+I4794+I4800+I4801+SUM(I4795:I4799)-SUMIF(AC4795:AC4799, 5, I4795:I4799)-SUMIF(AC4795:AC4799, 6, I4795:I4799)</f>
        <v>98540.819999999992</v>
      </c>
      <c r="I4803" s="40"/>
      <c r="J4803" s="40">
        <f>K4791+K4792+K4794+K4800+K4801+SUM(K4795:K4799)-SUMIF(AC4795:AC4799, 5, K4795:K4799)-SUMIF(AC4795:AC4799, 6, K4795:K4799)</f>
        <v>1650084.06</v>
      </c>
      <c r="K4803" s="40"/>
    </row>
    <row r="4804" spans="1:29" ht="13.8" hidden="1" x14ac:dyDescent="0.25">
      <c r="C4804" s="39" t="s">
        <v>48</v>
      </c>
      <c r="H4804" s="41">
        <f>SUMIF(AC4795:AC4799, 5, I4795:I4799)+SUMIF(AC4795:AC4799, 6, I4795:I4799)</f>
        <v>0</v>
      </c>
      <c r="I4804" s="41"/>
      <c r="J4804" s="41">
        <f>SUMIF(AC4795:AC4799, 5, K4795:K4799)+SUMIF(AC4795:AC4799, 6, K4795:K4799)</f>
        <v>0</v>
      </c>
      <c r="K4804" s="41"/>
    </row>
    <row r="4805" spans="1:29" ht="13.8" hidden="1" x14ac:dyDescent="0.25">
      <c r="C4805" s="39" t="s">
        <v>49</v>
      </c>
      <c r="H4805" s="41">
        <f>I4791+I4792+I4794+I4800+I4801+SUM(I4795:I4799)</f>
        <v>98540.819999999992</v>
      </c>
      <c r="I4805" s="41"/>
      <c r="J4805" s="41">
        <f>K4791+K4792+K4794+K4800+K4801+SUM(K4795:K4799)</f>
        <v>1650084.06</v>
      </c>
      <c r="K4805" s="41"/>
      <c r="O4805" s="42">
        <f>I4791+I4792+I4794+I4800+I4801+SUM(I4795:I4799)</f>
        <v>98540.819999999992</v>
      </c>
      <c r="P4805" s="42">
        <f>K4791+K4792+K4794+K4800+K4801+SUM(K4795:K4799)</f>
        <v>1650084.06</v>
      </c>
    </row>
    <row r="4806" spans="1:29" hidden="1" x14ac:dyDescent="0.25"/>
    <row r="4807" spans="1:29" ht="57.6" hidden="1" x14ac:dyDescent="0.25">
      <c r="A4807" s="27">
        <v>445</v>
      </c>
      <c r="B4807" s="27" t="str">
        <f>[1]Source!F4481</f>
        <v>3.70-202-1</v>
      </c>
      <c r="C4807" s="27" t="s">
        <v>782</v>
      </c>
      <c r="D4807" s="28" t="str">
        <f>[1]Source!H4481</f>
        <v>100 м2 покрытия</v>
      </c>
      <c r="E4807" s="29">
        <f>[1]Source!I4481</f>
        <v>0.46</v>
      </c>
      <c r="F4807" s="30"/>
      <c r="G4807" s="31"/>
      <c r="H4807" s="29"/>
      <c r="I4807" s="30"/>
      <c r="J4807" s="29"/>
      <c r="K4807" s="30"/>
      <c r="Q4807">
        <f>[1]Source!X4481</f>
        <v>415.08</v>
      </c>
      <c r="R4807">
        <f>[1]Source!X4482</f>
        <v>23389.74</v>
      </c>
      <c r="S4807">
        <f>[1]Source!Y4481</f>
        <v>226.03</v>
      </c>
      <c r="T4807">
        <f>[1]Source!Y4482</f>
        <v>12736.99</v>
      </c>
      <c r="U4807">
        <f>ROUND((175/100)*ROUND([1]Source!R4481, 2), 2)</f>
        <v>10.69</v>
      </c>
      <c r="V4807">
        <f>ROUND((0/100)*ROUND([1]Source!R4482, 2), 2)</f>
        <v>0</v>
      </c>
      <c r="AC4807">
        <v>0</v>
      </c>
    </row>
    <row r="4808" spans="1:29" hidden="1" x14ac:dyDescent="0.25">
      <c r="C4808" s="32" t="str">
        <f>"Объем: "&amp;[1]Source!I4481&amp;"=46/"&amp;"100"</f>
        <v>Объем: 0,46=46/100</v>
      </c>
    </row>
    <row r="4809" spans="1:29" ht="14.4" hidden="1" x14ac:dyDescent="0.25">
      <c r="A4809" s="27"/>
      <c r="B4809" s="27"/>
      <c r="C4809" s="27" t="s">
        <v>36</v>
      </c>
      <c r="D4809" s="28"/>
      <c r="E4809" s="29"/>
      <c r="F4809" s="30">
        <f>[1]Source!AO4481</f>
        <v>609.14</v>
      </c>
      <c r="G4809" s="31" t="s">
        <v>37</v>
      </c>
      <c r="H4809" s="29">
        <f>[1]Source!AV4482</f>
        <v>1.0469999999999999</v>
      </c>
      <c r="I4809" s="30">
        <f>[1]Source!S4481</f>
        <v>404.86</v>
      </c>
      <c r="J4809" s="29">
        <f>IF([1]Source!BA4482&lt;&gt; 0, [1]Source!BA4482, 1)</f>
        <v>56.35</v>
      </c>
      <c r="K4809" s="30">
        <f>[1]Source!S4482</f>
        <v>22813.86</v>
      </c>
    </row>
    <row r="4810" spans="1:29" ht="14.4" hidden="1" x14ac:dyDescent="0.25">
      <c r="A4810" s="27"/>
      <c r="B4810" s="27"/>
      <c r="C4810" s="27" t="s">
        <v>38</v>
      </c>
      <c r="D4810" s="28"/>
      <c r="E4810" s="29"/>
      <c r="F4810" s="30">
        <f>[1]Source!AM4481</f>
        <v>55.68</v>
      </c>
      <c r="G4810" s="31" t="s">
        <v>39</v>
      </c>
      <c r="H4810" s="29">
        <f>[1]Source!AV4482</f>
        <v>1.0469999999999999</v>
      </c>
      <c r="I4810" s="30">
        <f>[1]Source!Q4481</f>
        <v>40.22</v>
      </c>
      <c r="J4810" s="29">
        <f>IF([1]Source!BB4482&lt;&gt; 0, [1]Source!BB4482, 1)</f>
        <v>17.07</v>
      </c>
      <c r="K4810" s="30">
        <f>[1]Source!Q4482</f>
        <v>686.56</v>
      </c>
    </row>
    <row r="4811" spans="1:29" ht="14.4" hidden="1" x14ac:dyDescent="0.25">
      <c r="A4811" s="27"/>
      <c r="B4811" s="27"/>
      <c r="C4811" s="27" t="s">
        <v>40</v>
      </c>
      <c r="D4811" s="28"/>
      <c r="E4811" s="29"/>
      <c r="F4811" s="30">
        <f>[1]Source!AN4481</f>
        <v>8.4600000000000009</v>
      </c>
      <c r="G4811" s="31" t="s">
        <v>39</v>
      </c>
      <c r="H4811" s="29">
        <f>[1]Source!AV4482</f>
        <v>1.0469999999999999</v>
      </c>
      <c r="I4811" s="33">
        <f>[1]Source!R4481</f>
        <v>6.11</v>
      </c>
      <c r="J4811" s="29">
        <f>IF([1]Source!BS4482&lt;&gt; 0, [1]Source!BS4482, 1)</f>
        <v>56.35</v>
      </c>
      <c r="K4811" s="33">
        <f>[1]Source!R4482</f>
        <v>344.3</v>
      </c>
    </row>
    <row r="4812" spans="1:29" ht="14.4" hidden="1" x14ac:dyDescent="0.25">
      <c r="A4812" s="27"/>
      <c r="B4812" s="27"/>
      <c r="C4812" s="27" t="s">
        <v>41</v>
      </c>
      <c r="D4812" s="28"/>
      <c r="E4812" s="29"/>
      <c r="F4812" s="30">
        <f>[1]Source!AL4481</f>
        <v>0.81</v>
      </c>
      <c r="G4812" s="31"/>
      <c r="H4812" s="29">
        <f>[1]Source!AW4482</f>
        <v>1</v>
      </c>
      <c r="I4812" s="30">
        <f>[1]Source!P4481</f>
        <v>0.37</v>
      </c>
      <c r="J4812" s="29">
        <f>IF([1]Source!BC4482&lt;&gt; 0, [1]Source!BC4482, 1)</f>
        <v>14.57</v>
      </c>
      <c r="K4812" s="30">
        <f>[1]Source!P4482</f>
        <v>5.39</v>
      </c>
    </row>
    <row r="4813" spans="1:29" ht="27.6" hidden="1" x14ac:dyDescent="0.25">
      <c r="A4813" s="27" t="s">
        <v>883</v>
      </c>
      <c r="B4813" s="27" t="str">
        <f>[1]Source!F4483</f>
        <v>1.1-1-389</v>
      </c>
      <c r="C4813" s="27" t="s">
        <v>784</v>
      </c>
      <c r="D4813" s="28" t="str">
        <f>[1]Source!H4483</f>
        <v>т</v>
      </c>
      <c r="E4813" s="29">
        <f>[1]Source!I4483</f>
        <v>2.3E-2</v>
      </c>
      <c r="F4813" s="30">
        <f>[1]Source!AK4483</f>
        <v>43314.81</v>
      </c>
      <c r="G4813" s="43" t="s">
        <v>54</v>
      </c>
      <c r="H4813" s="29">
        <f>[1]Source!AW4484</f>
        <v>1</v>
      </c>
      <c r="I4813" s="30">
        <f>[1]Source!O4483</f>
        <v>996.24</v>
      </c>
      <c r="J4813" s="29">
        <f>IF([1]Source!BC4484&lt;&gt; 0, [1]Source!BC4484, 1)</f>
        <v>2.11</v>
      </c>
      <c r="K4813" s="30">
        <f>[1]Source!O4484</f>
        <v>2102.0700000000002</v>
      </c>
      <c r="Q4813">
        <f>[1]Source!X4483</f>
        <v>0</v>
      </c>
      <c r="R4813">
        <f>[1]Source!X4484</f>
        <v>0</v>
      </c>
      <c r="S4813">
        <f>[1]Source!Y4483</f>
        <v>0</v>
      </c>
      <c r="T4813">
        <f>[1]Source!Y4484</f>
        <v>0</v>
      </c>
      <c r="U4813">
        <f>ROUND((175/100)*ROUND([1]Source!R4483, 2), 2)</f>
        <v>0</v>
      </c>
      <c r="V4813">
        <f>ROUND((0/100)*ROUND([1]Source!R4484, 2), 2)</f>
        <v>0</v>
      </c>
      <c r="AC4813">
        <v>3</v>
      </c>
    </row>
    <row r="4814" spans="1:29" ht="55.2" hidden="1" x14ac:dyDescent="0.25">
      <c r="A4814" s="27" t="s">
        <v>884</v>
      </c>
      <c r="B4814" s="27" t="str">
        <f>[1]Source!F4485</f>
        <v>1.1-1-3320</v>
      </c>
      <c r="C4814" s="27" t="s">
        <v>793</v>
      </c>
      <c r="D4814" s="28" t="str">
        <f>[1]Source!H4485</f>
        <v>м2</v>
      </c>
      <c r="E4814" s="29">
        <f>[1]Source!I4485</f>
        <v>49.22</v>
      </c>
      <c r="F4814" s="30">
        <f>[1]Source!AK4485</f>
        <v>324.72000000000003</v>
      </c>
      <c r="G4814" s="43" t="s">
        <v>54</v>
      </c>
      <c r="H4814" s="29">
        <f>[1]Source!AW4486</f>
        <v>1</v>
      </c>
      <c r="I4814" s="30">
        <f>[1]Source!O4485</f>
        <v>15982.72</v>
      </c>
      <c r="J4814" s="29">
        <f>IF([1]Source!BC4486&lt;&gt; 0, [1]Source!BC4486, 1)</f>
        <v>2.19</v>
      </c>
      <c r="K4814" s="30">
        <f>[1]Source!O4486</f>
        <v>35002.160000000003</v>
      </c>
      <c r="Q4814">
        <f>[1]Source!X4485</f>
        <v>0</v>
      </c>
      <c r="R4814">
        <f>[1]Source!X4486</f>
        <v>0</v>
      </c>
      <c r="S4814">
        <f>[1]Source!Y4485</f>
        <v>0</v>
      </c>
      <c r="T4814">
        <f>[1]Source!Y4486</f>
        <v>0</v>
      </c>
      <c r="U4814">
        <f>ROUND((175/100)*ROUND([1]Source!R4485, 2), 2)</f>
        <v>0</v>
      </c>
      <c r="V4814">
        <f>ROUND((0/100)*ROUND([1]Source!R4486, 2), 2)</f>
        <v>0</v>
      </c>
      <c r="AC4814">
        <v>3</v>
      </c>
    </row>
    <row r="4815" spans="1:29" ht="14.4" hidden="1" x14ac:dyDescent="0.25">
      <c r="A4815" s="27"/>
      <c r="B4815" s="27"/>
      <c r="C4815" s="27" t="s">
        <v>42</v>
      </c>
      <c r="D4815" s="28" t="s">
        <v>43</v>
      </c>
      <c r="E4815" s="29">
        <f>[1]Source!BZ4482</f>
        <v>101</v>
      </c>
      <c r="F4815" s="30"/>
      <c r="G4815" s="31"/>
      <c r="H4815" s="29"/>
      <c r="I4815" s="30">
        <f>SUM(Q4807:Q4814)</f>
        <v>415.08</v>
      </c>
      <c r="J4815" s="29">
        <f>[1]Source!AT4482</f>
        <v>101</v>
      </c>
      <c r="K4815" s="30">
        <f>SUM(R4807:R4814)</f>
        <v>23389.74</v>
      </c>
    </row>
    <row r="4816" spans="1:29" ht="14.4" hidden="1" x14ac:dyDescent="0.25">
      <c r="A4816" s="27"/>
      <c r="B4816" s="27"/>
      <c r="C4816" s="27" t="s">
        <v>44</v>
      </c>
      <c r="D4816" s="28" t="s">
        <v>43</v>
      </c>
      <c r="E4816" s="29">
        <f>[1]Source!CA4482</f>
        <v>55</v>
      </c>
      <c r="F4816" s="30"/>
      <c r="G4816" s="31"/>
      <c r="H4816" s="29"/>
      <c r="I4816" s="30">
        <f>SUM(S4807:S4815)</f>
        <v>226.03</v>
      </c>
      <c r="J4816" s="29">
        <f>[1]Source!AU4482</f>
        <v>55</v>
      </c>
      <c r="K4816" s="30">
        <f>SUM(T4807:T4815)</f>
        <v>12736.99</v>
      </c>
    </row>
    <row r="4817" spans="1:29" ht="14.4" hidden="1" x14ac:dyDescent="0.25">
      <c r="A4817" s="34"/>
      <c r="B4817" s="34"/>
      <c r="C4817" s="34" t="s">
        <v>45</v>
      </c>
      <c r="D4817" s="35" t="s">
        <v>46</v>
      </c>
      <c r="E4817" s="36">
        <f>[1]Source!AQ4481</f>
        <v>38.200000000000003</v>
      </c>
      <c r="F4817" s="37"/>
      <c r="G4817" s="38" t="s">
        <v>37</v>
      </c>
      <c r="H4817" s="36">
        <f>[1]Source!AV4482</f>
        <v>1.0469999999999999</v>
      </c>
      <c r="I4817" s="37">
        <f>[1]Source!U4481</f>
        <v>25.38907992</v>
      </c>
      <c r="J4817" s="36"/>
      <c r="K4817" s="37"/>
    </row>
    <row r="4818" spans="1:29" ht="13.8" hidden="1" x14ac:dyDescent="0.25">
      <c r="C4818" s="39" t="s">
        <v>47</v>
      </c>
      <c r="H4818" s="40">
        <f>I4809+I4810+I4812+I4815+I4816+SUM(I4813:I4814)-SUMIF(AC4813:AC4814, 5, I4813:I4814)-SUMIF(AC4813:AC4814, 6, I4813:I4814)</f>
        <v>18065.52</v>
      </c>
      <c r="I4818" s="40"/>
      <c r="J4818" s="40">
        <f>K4809+K4810+K4812+K4815+K4816+SUM(K4813:K4814)-SUMIF(AC4813:AC4814, 5, K4813:K4814)-SUMIF(AC4813:AC4814, 6, K4813:K4814)</f>
        <v>96736.77</v>
      </c>
      <c r="K4818" s="40"/>
    </row>
    <row r="4819" spans="1:29" ht="13.8" hidden="1" x14ac:dyDescent="0.25">
      <c r="C4819" s="39" t="s">
        <v>48</v>
      </c>
      <c r="H4819" s="41">
        <f>SUMIF(AC4813:AC4814, 5, I4813:I4814)+SUMIF(AC4813:AC4814, 6, I4813:I4814)</f>
        <v>0</v>
      </c>
      <c r="I4819" s="41"/>
      <c r="J4819" s="41">
        <f>SUMIF(AC4813:AC4814, 5, K4813:K4814)+SUMIF(AC4813:AC4814, 6, K4813:K4814)</f>
        <v>0</v>
      </c>
      <c r="K4819" s="41"/>
    </row>
    <row r="4820" spans="1:29" ht="13.8" hidden="1" x14ac:dyDescent="0.25">
      <c r="C4820" s="39" t="s">
        <v>49</v>
      </c>
      <c r="H4820" s="41">
        <f>I4809+I4810+I4812+I4815+I4816+SUM(I4813:I4814)</f>
        <v>18065.52</v>
      </c>
      <c r="I4820" s="41"/>
      <c r="J4820" s="41">
        <f>K4809+K4810+K4812+K4815+K4816+SUM(K4813:K4814)</f>
        <v>96736.77</v>
      </c>
      <c r="K4820" s="41"/>
      <c r="O4820" s="42">
        <f>I4809+I4810+I4812+I4815+I4816+SUM(I4813:I4814)</f>
        <v>18065.52</v>
      </c>
      <c r="P4820" s="42">
        <f>K4809+K4810+K4812+K4815+K4816+SUM(K4813:K4814)</f>
        <v>96736.77</v>
      </c>
    </row>
    <row r="4821" spans="1:29" hidden="1" x14ac:dyDescent="0.25"/>
    <row r="4822" spans="1:29" ht="57.6" hidden="1" x14ac:dyDescent="0.25">
      <c r="A4822" s="27">
        <v>446</v>
      </c>
      <c r="B4822" s="27" t="str">
        <f>[1]Source!F4487</f>
        <v>3.70-202-1</v>
      </c>
      <c r="C4822" s="27" t="s">
        <v>782</v>
      </c>
      <c r="D4822" s="28" t="str">
        <f>[1]Source!H4487</f>
        <v>100 м2 покрытия</v>
      </c>
      <c r="E4822" s="29">
        <f>[1]Source!I4487</f>
        <v>32.35</v>
      </c>
      <c r="F4822" s="30"/>
      <c r="G4822" s="31"/>
      <c r="H4822" s="29"/>
      <c r="I4822" s="30"/>
      <c r="J4822" s="29"/>
      <c r="K4822" s="30"/>
      <c r="Q4822">
        <f>[1]Source!X4487</f>
        <v>29190.79</v>
      </c>
      <c r="R4822">
        <f>[1]Source!X4488</f>
        <v>1644900.89</v>
      </c>
      <c r="S4822">
        <f>[1]Source!Y4487</f>
        <v>15895.97</v>
      </c>
      <c r="T4822">
        <f>[1]Source!Y4488</f>
        <v>895738.11</v>
      </c>
      <c r="U4822">
        <f>ROUND((175/100)*ROUND([1]Source!R4487, 2), 2)</f>
        <v>752.19</v>
      </c>
      <c r="V4822">
        <f>ROUND((0/100)*ROUND([1]Source!R4488, 2), 2)</f>
        <v>0</v>
      </c>
      <c r="AC4822">
        <v>0</v>
      </c>
    </row>
    <row r="4823" spans="1:29" hidden="1" x14ac:dyDescent="0.25">
      <c r="C4823" s="32" t="str">
        <f>"Объем: "&amp;[1]Source!I4487&amp;"=(817+"&amp;"65+"&amp;"2353)/"&amp;"100"</f>
        <v>Объем: 32,35=(817+65+2353)/100</v>
      </c>
    </row>
    <row r="4824" spans="1:29" ht="14.4" hidden="1" x14ac:dyDescent="0.25">
      <c r="A4824" s="27"/>
      <c r="B4824" s="27"/>
      <c r="C4824" s="27" t="s">
        <v>36</v>
      </c>
      <c r="D4824" s="28"/>
      <c r="E4824" s="29"/>
      <c r="F4824" s="30">
        <f>[1]Source!AO4487</f>
        <v>609.14</v>
      </c>
      <c r="G4824" s="31" t="s">
        <v>37</v>
      </c>
      <c r="H4824" s="29">
        <f>[1]Source!AV4488</f>
        <v>1.0469999999999999</v>
      </c>
      <c r="I4824" s="30">
        <f>[1]Source!S4487</f>
        <v>28471.95</v>
      </c>
      <c r="J4824" s="29">
        <f>IF([1]Source!BA4488&lt;&gt; 0, [1]Source!BA4488, 1)</f>
        <v>56.35</v>
      </c>
      <c r="K4824" s="30">
        <f>[1]Source!S4488</f>
        <v>1604394.38</v>
      </c>
    </row>
    <row r="4825" spans="1:29" ht="14.4" hidden="1" x14ac:dyDescent="0.25">
      <c r="A4825" s="27"/>
      <c r="B4825" s="27"/>
      <c r="C4825" s="27" t="s">
        <v>38</v>
      </c>
      <c r="D4825" s="28"/>
      <c r="E4825" s="29"/>
      <c r="F4825" s="30">
        <f>[1]Source!AM4487</f>
        <v>55.68</v>
      </c>
      <c r="G4825" s="31" t="s">
        <v>39</v>
      </c>
      <c r="H4825" s="29">
        <f>[1]Source!AV4488</f>
        <v>1.0469999999999999</v>
      </c>
      <c r="I4825" s="30">
        <f>[1]Source!Q4487</f>
        <v>2828.86</v>
      </c>
      <c r="J4825" s="29">
        <f>IF([1]Source!BB4488&lt;&gt; 0, [1]Source!BB4488, 1)</f>
        <v>17.07</v>
      </c>
      <c r="K4825" s="30">
        <f>[1]Source!Q4488</f>
        <v>48288.639999999999</v>
      </c>
    </row>
    <row r="4826" spans="1:29" ht="14.4" hidden="1" x14ac:dyDescent="0.25">
      <c r="A4826" s="27"/>
      <c r="B4826" s="27"/>
      <c r="C4826" s="27" t="s">
        <v>40</v>
      </c>
      <c r="D4826" s="28"/>
      <c r="E4826" s="29"/>
      <c r="F4826" s="30">
        <f>[1]Source!AN4487</f>
        <v>8.4600000000000009</v>
      </c>
      <c r="G4826" s="31" t="s">
        <v>39</v>
      </c>
      <c r="H4826" s="29">
        <f>[1]Source!AV4488</f>
        <v>1.0469999999999999</v>
      </c>
      <c r="I4826" s="33">
        <f>[1]Source!R4487</f>
        <v>429.82</v>
      </c>
      <c r="J4826" s="29">
        <f>IF([1]Source!BS4488&lt;&gt; 0, [1]Source!BS4488, 1)</f>
        <v>56.35</v>
      </c>
      <c r="K4826" s="33">
        <f>[1]Source!R4488</f>
        <v>24220.36</v>
      </c>
    </row>
    <row r="4827" spans="1:29" ht="14.4" hidden="1" x14ac:dyDescent="0.25">
      <c r="A4827" s="27"/>
      <c r="B4827" s="27"/>
      <c r="C4827" s="27" t="s">
        <v>41</v>
      </c>
      <c r="D4827" s="28"/>
      <c r="E4827" s="29"/>
      <c r="F4827" s="30">
        <f>[1]Source!AL4487</f>
        <v>0.81</v>
      </c>
      <c r="G4827" s="31"/>
      <c r="H4827" s="29">
        <f>[1]Source!AW4488</f>
        <v>1</v>
      </c>
      <c r="I4827" s="30">
        <f>[1]Source!P4487</f>
        <v>26.2</v>
      </c>
      <c r="J4827" s="29">
        <f>IF([1]Source!BC4488&lt;&gt; 0, [1]Source!BC4488, 1)</f>
        <v>14.57</v>
      </c>
      <c r="K4827" s="30">
        <f>[1]Source!P4488</f>
        <v>381.73</v>
      </c>
    </row>
    <row r="4828" spans="1:29" ht="27.6" hidden="1" x14ac:dyDescent="0.25">
      <c r="A4828" s="27" t="s">
        <v>885</v>
      </c>
      <c r="B4828" s="27" t="str">
        <f>[1]Source!F4489</f>
        <v>1.1-1-389</v>
      </c>
      <c r="C4828" s="27" t="s">
        <v>784</v>
      </c>
      <c r="D4828" s="28" t="str">
        <f>[1]Source!H4489</f>
        <v>т</v>
      </c>
      <c r="E4828" s="29">
        <f>[1]Source!I4489</f>
        <v>1.6174999999999999</v>
      </c>
      <c r="F4828" s="30">
        <f>[1]Source!AK4489</f>
        <v>43314.81</v>
      </c>
      <c r="G4828" s="43" t="s">
        <v>54</v>
      </c>
      <c r="H4828" s="29">
        <f>[1]Source!AW4490</f>
        <v>1</v>
      </c>
      <c r="I4828" s="30">
        <f>[1]Source!O4489</f>
        <v>70061.710000000006</v>
      </c>
      <c r="J4828" s="29">
        <f>IF([1]Source!BC4490&lt;&gt; 0, [1]Source!BC4490, 1)</f>
        <v>2.11</v>
      </c>
      <c r="K4828" s="30">
        <f>[1]Source!O4490</f>
        <v>147830.21</v>
      </c>
      <c r="Q4828">
        <f>[1]Source!X4489</f>
        <v>0</v>
      </c>
      <c r="R4828">
        <f>[1]Source!X4490</f>
        <v>0</v>
      </c>
      <c r="S4828">
        <f>[1]Source!Y4489</f>
        <v>0</v>
      </c>
      <c r="T4828">
        <f>[1]Source!Y4490</f>
        <v>0</v>
      </c>
      <c r="U4828">
        <f>ROUND((175/100)*ROUND([1]Source!R4489, 2), 2)</f>
        <v>0</v>
      </c>
      <c r="V4828">
        <f>ROUND((0/100)*ROUND([1]Source!R4490, 2), 2)</f>
        <v>0</v>
      </c>
      <c r="AC4828">
        <v>3</v>
      </c>
    </row>
    <row r="4829" spans="1:29" ht="40.799999999999997" x14ac:dyDescent="0.25">
      <c r="A4829" s="53" t="s">
        <v>886</v>
      </c>
      <c r="B4829" s="53" t="str">
        <f>[1]Source!F4491</f>
        <v>КА-188</v>
      </c>
      <c r="C4829" s="53" t="s">
        <v>814</v>
      </c>
      <c r="D4829" s="54" t="str">
        <f>[1]Source!H4491</f>
        <v>м2</v>
      </c>
      <c r="E4829" s="55">
        <f>[1]Source!I4491</f>
        <v>3461.45</v>
      </c>
      <c r="F4829" s="30">
        <f>[1]Source!AK4491</f>
        <v>200.78</v>
      </c>
      <c r="G4829" s="43" t="s">
        <v>54</v>
      </c>
      <c r="H4829" s="29">
        <f>[1]Source!AW4492</f>
        <v>1</v>
      </c>
      <c r="I4829" s="30">
        <f>[1]Source!O4491</f>
        <v>694989.93</v>
      </c>
      <c r="J4829" s="29">
        <f>IF([1]Source!BC4492&lt;&gt; 0, [1]Source!BC4492, 1)</f>
        <v>9.84</v>
      </c>
      <c r="K4829" s="56">
        <f>[1]Source!O4492</f>
        <v>6838700.9100000001</v>
      </c>
      <c r="L4829">
        <v>2363</v>
      </c>
      <c r="M4829" s="50">
        <f>L4829*E4829</f>
        <v>8179406.3499999996</v>
      </c>
      <c r="N4829" s="59" t="s">
        <v>180</v>
      </c>
      <c r="Q4829">
        <f>[1]Source!X4491</f>
        <v>0</v>
      </c>
      <c r="R4829">
        <f>[1]Source!X4492</f>
        <v>0</v>
      </c>
      <c r="S4829">
        <f>[1]Source!Y4491</f>
        <v>0</v>
      </c>
      <c r="T4829">
        <f>[1]Source!Y4492</f>
        <v>0</v>
      </c>
      <c r="U4829">
        <f>ROUND((175/100)*ROUND([1]Source!R4491, 2), 2)</f>
        <v>0</v>
      </c>
      <c r="V4829">
        <f>ROUND((0/100)*ROUND([1]Source!R4492, 2), 2)</f>
        <v>0</v>
      </c>
      <c r="AC4829">
        <v>3</v>
      </c>
    </row>
    <row r="4830" spans="1:29" ht="14.4" hidden="1" x14ac:dyDescent="0.25">
      <c r="A4830" s="27"/>
      <c r="B4830" s="27"/>
      <c r="C4830" s="27" t="s">
        <v>42</v>
      </c>
      <c r="D4830" s="28" t="s">
        <v>43</v>
      </c>
      <c r="E4830" s="29">
        <f>[1]Source!BZ4488</f>
        <v>101</v>
      </c>
      <c r="F4830" s="30"/>
      <c r="G4830" s="31"/>
      <c r="H4830" s="29"/>
      <c r="I4830" s="30">
        <f>SUM(Q4822:Q4829)</f>
        <v>29190.79</v>
      </c>
      <c r="J4830" s="29">
        <f>[1]Source!AT4488</f>
        <v>101</v>
      </c>
      <c r="K4830" s="30">
        <f>SUM(R4822:R4829)</f>
        <v>1644900.89</v>
      </c>
    </row>
    <row r="4831" spans="1:29" ht="14.4" hidden="1" x14ac:dyDescent="0.25">
      <c r="A4831" s="27"/>
      <c r="B4831" s="27"/>
      <c r="C4831" s="27" t="s">
        <v>44</v>
      </c>
      <c r="D4831" s="28" t="s">
        <v>43</v>
      </c>
      <c r="E4831" s="29">
        <f>[1]Source!CA4488</f>
        <v>55</v>
      </c>
      <c r="F4831" s="30"/>
      <c r="G4831" s="31"/>
      <c r="H4831" s="29"/>
      <c r="I4831" s="30">
        <f>SUM(S4822:S4830)</f>
        <v>15895.97</v>
      </c>
      <c r="J4831" s="29">
        <f>[1]Source!AU4488</f>
        <v>55</v>
      </c>
      <c r="K4831" s="30">
        <f>SUM(T4822:T4830)</f>
        <v>895738.11</v>
      </c>
    </row>
    <row r="4832" spans="1:29" ht="14.4" hidden="1" x14ac:dyDescent="0.25">
      <c r="A4832" s="34"/>
      <c r="B4832" s="34"/>
      <c r="C4832" s="34" t="s">
        <v>45</v>
      </c>
      <c r="D4832" s="35" t="s">
        <v>46</v>
      </c>
      <c r="E4832" s="36">
        <f>[1]Source!AQ4487</f>
        <v>38.200000000000003</v>
      </c>
      <c r="F4832" s="37"/>
      <c r="G4832" s="38" t="s">
        <v>37</v>
      </c>
      <c r="H4832" s="36">
        <f>[1]Source!AV4488</f>
        <v>1.0469999999999999</v>
      </c>
      <c r="I4832" s="37">
        <f>[1]Source!U4487</f>
        <v>1785.5146422</v>
      </c>
      <c r="J4832" s="36"/>
      <c r="K4832" s="37"/>
    </row>
    <row r="4833" spans="1:29" ht="13.8" hidden="1" x14ac:dyDescent="0.25">
      <c r="C4833" s="39" t="s">
        <v>47</v>
      </c>
      <c r="H4833" s="40">
        <f>I4824+I4825+I4827+I4830+I4831+SUM(I4828:I4829)-SUMIF(AC4828:AC4829, 5, I4828:I4829)-SUMIF(AC4828:AC4829, 6, I4828:I4829)</f>
        <v>841465.41</v>
      </c>
      <c r="I4833" s="40"/>
      <c r="J4833" s="40">
        <f>K4824+K4825+K4827+K4830+K4831+SUM(K4828:K4829)-SUMIF(AC4828:AC4829, 5, K4828:K4829)-SUMIF(AC4828:AC4829, 6, K4828:K4829)</f>
        <v>11180234.869999999</v>
      </c>
      <c r="K4833" s="40"/>
    </row>
    <row r="4834" spans="1:29" ht="13.8" hidden="1" x14ac:dyDescent="0.25">
      <c r="C4834" s="39" t="s">
        <v>48</v>
      </c>
      <c r="H4834" s="41">
        <f>SUMIF(AC4828:AC4829, 5, I4828:I4829)+SUMIF(AC4828:AC4829, 6, I4828:I4829)</f>
        <v>0</v>
      </c>
      <c r="I4834" s="41"/>
      <c r="J4834" s="41">
        <f>SUMIF(AC4828:AC4829, 5, K4828:K4829)+SUMIF(AC4828:AC4829, 6, K4828:K4829)</f>
        <v>0</v>
      </c>
      <c r="K4834" s="41"/>
    </row>
    <row r="4835" spans="1:29" ht="13.8" hidden="1" x14ac:dyDescent="0.25">
      <c r="C4835" s="39" t="s">
        <v>49</v>
      </c>
      <c r="H4835" s="41">
        <f>I4824+I4825+I4827+I4830+I4831+SUM(I4828:I4829)</f>
        <v>841465.41</v>
      </c>
      <c r="I4835" s="41"/>
      <c r="J4835" s="41">
        <f>K4824+K4825+K4827+K4830+K4831+SUM(K4828:K4829)</f>
        <v>11180234.869999999</v>
      </c>
      <c r="K4835" s="41"/>
      <c r="O4835" s="42">
        <f>I4824+I4825+I4827+I4830+I4831+SUM(I4828:I4829)</f>
        <v>841465.41</v>
      </c>
      <c r="P4835" s="42">
        <f>K4824+K4825+K4827+K4830+K4831+SUM(K4828:K4829)</f>
        <v>11180234.869999999</v>
      </c>
    </row>
    <row r="4836" spans="1:29" hidden="1" x14ac:dyDescent="0.25"/>
    <row r="4837" spans="1:29" hidden="1" x14ac:dyDescent="0.25"/>
    <row r="4838" spans="1:29" ht="13.8" hidden="1" x14ac:dyDescent="0.25">
      <c r="A4838" s="44" t="str">
        <f>CONCATENATE("Итого по подразделу: ",IF([1]Source!G4494&lt;&gt;"Новый подраздел", [1]Source!G4494, ""))</f>
        <v>Итого по подразделу: Полы под номер 2</v>
      </c>
      <c r="B4838" s="44"/>
      <c r="C4838" s="44"/>
      <c r="D4838" s="44"/>
      <c r="E4838" s="44"/>
      <c r="F4838" s="44"/>
      <c r="G4838" s="44"/>
      <c r="H4838" s="41">
        <f>SUM(O4770:O4837)</f>
        <v>993311.42</v>
      </c>
      <c r="I4838" s="45"/>
      <c r="J4838" s="41">
        <f>SUM(P4770:P4837)</f>
        <v>13611608.459999999</v>
      </c>
      <c r="K4838" s="45"/>
    </row>
    <row r="4839" spans="1:29" hidden="1" x14ac:dyDescent="0.25">
      <c r="A4839" t="s">
        <v>55</v>
      </c>
      <c r="I4839">
        <f>SUM(W4770:W4838)</f>
        <v>0</v>
      </c>
      <c r="J4839">
        <f>SUM(X4770:X4838)</f>
        <v>0</v>
      </c>
    </row>
    <row r="4840" spans="1:29" hidden="1" x14ac:dyDescent="0.25">
      <c r="A4840" t="s">
        <v>56</v>
      </c>
      <c r="I4840">
        <f>SUM(Y4770:Y4839)</f>
        <v>0</v>
      </c>
      <c r="J4840">
        <f>SUM(Z4770:Z4839)</f>
        <v>0</v>
      </c>
    </row>
    <row r="4841" spans="1:29" hidden="1" x14ac:dyDescent="0.25"/>
    <row r="4842" spans="1:29" ht="16.8" hidden="1" x14ac:dyDescent="0.25">
      <c r="A4842" s="11" t="str">
        <f>CONCATENATE("Подраздел: ",IF([1]Source!G4524&lt;&gt;"Новый подраздел", [1]Source!G4524, ""))</f>
        <v>Подраздел: Полы под номер 5</v>
      </c>
      <c r="B4842" s="11"/>
      <c r="C4842" s="11"/>
      <c r="D4842" s="11"/>
      <c r="E4842" s="11"/>
      <c r="F4842" s="11"/>
      <c r="G4842" s="11"/>
      <c r="H4842" s="11"/>
      <c r="I4842" s="11"/>
      <c r="J4842" s="11"/>
      <c r="K4842" s="11"/>
    </row>
    <row r="4843" spans="1:29" ht="57.6" hidden="1" x14ac:dyDescent="0.25">
      <c r="A4843" s="27">
        <v>447</v>
      </c>
      <c r="B4843" s="27" t="str">
        <f>[1]Source!F4528</f>
        <v>3.11-24-1</v>
      </c>
      <c r="C4843" s="27" t="s">
        <v>763</v>
      </c>
      <c r="D4843" s="28" t="str">
        <f>[1]Source!H4528</f>
        <v>100 м2 покрытия</v>
      </c>
      <c r="E4843" s="29">
        <f>[1]Source!I4528</f>
        <v>3.9</v>
      </c>
      <c r="F4843" s="30"/>
      <c r="G4843" s="31"/>
      <c r="H4843" s="29"/>
      <c r="I4843" s="30"/>
      <c r="J4843" s="29"/>
      <c r="K4843" s="30"/>
      <c r="Q4843">
        <f>[1]Source!X4528</f>
        <v>2272.14</v>
      </c>
      <c r="R4843">
        <f>[1]Source!X4529</f>
        <v>128034.89</v>
      </c>
      <c r="S4843">
        <f>[1]Source!Y4528</f>
        <v>1237.3</v>
      </c>
      <c r="T4843">
        <f>[1]Source!Y4529</f>
        <v>69721.97</v>
      </c>
      <c r="U4843">
        <f>ROUND((175/100)*ROUND([1]Source!R4528, 2), 2)</f>
        <v>82.53</v>
      </c>
      <c r="V4843">
        <f>ROUND((0/100)*ROUND([1]Source!R4529, 2), 2)</f>
        <v>0</v>
      </c>
      <c r="AC4843">
        <v>0</v>
      </c>
    </row>
    <row r="4844" spans="1:29" hidden="1" x14ac:dyDescent="0.25">
      <c r="C4844" s="32" t="str">
        <f>"Объем: "&amp;[1]Source!I4528&amp;"=390/"&amp;"100"</f>
        <v>Объем: 3,9=390/100</v>
      </c>
    </row>
    <row r="4845" spans="1:29" ht="14.4" hidden="1" x14ac:dyDescent="0.25">
      <c r="A4845" s="27"/>
      <c r="B4845" s="27"/>
      <c r="C4845" s="27" t="s">
        <v>36</v>
      </c>
      <c r="D4845" s="28"/>
      <c r="E4845" s="29"/>
      <c r="F4845" s="30">
        <f>[1]Source!AO4528</f>
        <v>390.86</v>
      </c>
      <c r="G4845" s="31" t="s">
        <v>37</v>
      </c>
      <c r="H4845" s="29">
        <f>[1]Source!AV4529</f>
        <v>1.0469999999999999</v>
      </c>
      <c r="I4845" s="30">
        <f>[1]Source!S4528</f>
        <v>2202.48</v>
      </c>
      <c r="J4845" s="29">
        <f>IF([1]Source!BA4529&lt;&gt; 0, [1]Source!BA4529, 1)</f>
        <v>56.35</v>
      </c>
      <c r="K4845" s="30">
        <f>[1]Source!S4529</f>
        <v>124109.75</v>
      </c>
    </row>
    <row r="4846" spans="1:29" ht="14.4" hidden="1" x14ac:dyDescent="0.25">
      <c r="A4846" s="27"/>
      <c r="B4846" s="27"/>
      <c r="C4846" s="27" t="s">
        <v>38</v>
      </c>
      <c r="D4846" s="28"/>
      <c r="E4846" s="29"/>
      <c r="F4846" s="30">
        <f>[1]Source!AM4528</f>
        <v>66.430000000000007</v>
      </c>
      <c r="G4846" s="31" t="s">
        <v>39</v>
      </c>
      <c r="H4846" s="29">
        <f>[1]Source!AV4529</f>
        <v>1.0469999999999999</v>
      </c>
      <c r="I4846" s="30">
        <f>[1]Source!Q4528</f>
        <v>406.88</v>
      </c>
      <c r="J4846" s="29">
        <f>IF([1]Source!BB4529&lt;&gt; 0, [1]Source!BB4529, 1)</f>
        <v>15.28</v>
      </c>
      <c r="K4846" s="30">
        <f>[1]Source!Q4529</f>
        <v>6217.13</v>
      </c>
    </row>
    <row r="4847" spans="1:29" ht="14.4" hidden="1" x14ac:dyDescent="0.25">
      <c r="A4847" s="27"/>
      <c r="B4847" s="27"/>
      <c r="C4847" s="27" t="s">
        <v>40</v>
      </c>
      <c r="D4847" s="28"/>
      <c r="E4847" s="29"/>
      <c r="F4847" s="30">
        <f>[1]Source!AN4528</f>
        <v>7.7</v>
      </c>
      <c r="G4847" s="31" t="s">
        <v>39</v>
      </c>
      <c r="H4847" s="29">
        <f>[1]Source!AV4529</f>
        <v>1.0469999999999999</v>
      </c>
      <c r="I4847" s="33">
        <f>[1]Source!R4528</f>
        <v>47.16</v>
      </c>
      <c r="J4847" s="29">
        <f>IF([1]Source!BS4529&lt;&gt; 0, [1]Source!BS4529, 1)</f>
        <v>56.35</v>
      </c>
      <c r="K4847" s="33">
        <f>[1]Source!R4529</f>
        <v>2657.47</v>
      </c>
    </row>
    <row r="4848" spans="1:29" ht="14.4" hidden="1" x14ac:dyDescent="0.25">
      <c r="A4848" s="27"/>
      <c r="B4848" s="27"/>
      <c r="C4848" s="27" t="s">
        <v>41</v>
      </c>
      <c r="D4848" s="28"/>
      <c r="E4848" s="29"/>
      <c r="F4848" s="30">
        <f>[1]Source!AL4528</f>
        <v>247.64</v>
      </c>
      <c r="G4848" s="31"/>
      <c r="H4848" s="29">
        <f>[1]Source!AW4529</f>
        <v>1</v>
      </c>
      <c r="I4848" s="30">
        <f>[1]Source!P4528</f>
        <v>965.8</v>
      </c>
      <c r="J4848" s="29">
        <f>IF([1]Source!BC4529&lt;&gt; 0, [1]Source!BC4529, 1)</f>
        <v>12.63</v>
      </c>
      <c r="K4848" s="30">
        <f>[1]Source!P4529</f>
        <v>12198.05</v>
      </c>
    </row>
    <row r="4849" spans="1:29" ht="54.6" x14ac:dyDescent="0.25">
      <c r="A4849" s="53" t="s">
        <v>887</v>
      </c>
      <c r="B4849" s="53" t="str">
        <f>[1]Source!F4530</f>
        <v>КА-187</v>
      </c>
      <c r="C4849" s="53" t="s">
        <v>765</v>
      </c>
      <c r="D4849" s="54" t="str">
        <f>[1]Source!H4530</f>
        <v>ШТ</v>
      </c>
      <c r="E4849" s="55">
        <f>[1]Source!I4530</f>
        <v>6630</v>
      </c>
      <c r="F4849" s="30">
        <f>[1]Source!AK4530</f>
        <v>5.0999999999999996</v>
      </c>
      <c r="G4849" s="43" t="s">
        <v>54</v>
      </c>
      <c r="H4849" s="29">
        <f>[1]Source!AW4531</f>
        <v>1</v>
      </c>
      <c r="I4849" s="30">
        <f>[1]Source!O4530</f>
        <v>33813</v>
      </c>
      <c r="J4849" s="29">
        <f>IF([1]Source!BC4531&lt;&gt; 0, [1]Source!BC4531, 1)</f>
        <v>9.84</v>
      </c>
      <c r="K4849" s="56">
        <f>[1]Source!O4531</f>
        <v>332719.92</v>
      </c>
      <c r="L4849">
        <v>60</v>
      </c>
      <c r="M4849" s="50">
        <f>L4849*E4849</f>
        <v>397800</v>
      </c>
      <c r="N4849" s="59" t="s">
        <v>180</v>
      </c>
      <c r="Q4849">
        <f>[1]Source!X4530</f>
        <v>0</v>
      </c>
      <c r="R4849">
        <f>[1]Source!X4531</f>
        <v>0</v>
      </c>
      <c r="S4849">
        <f>[1]Source!Y4530</f>
        <v>0</v>
      </c>
      <c r="T4849">
        <f>[1]Source!Y4531</f>
        <v>0</v>
      </c>
      <c r="U4849">
        <f>ROUND((175/100)*ROUND([1]Source!R4530, 2), 2)</f>
        <v>0</v>
      </c>
      <c r="V4849">
        <f>ROUND((0/100)*ROUND([1]Source!R4531, 2), 2)</f>
        <v>0</v>
      </c>
      <c r="AC4849">
        <v>3</v>
      </c>
    </row>
    <row r="4850" spans="1:29" ht="14.4" hidden="1" x14ac:dyDescent="0.25">
      <c r="A4850" s="27"/>
      <c r="B4850" s="27"/>
      <c r="C4850" s="27" t="s">
        <v>42</v>
      </c>
      <c r="D4850" s="28" t="s">
        <v>43</v>
      </c>
      <c r="E4850" s="29">
        <f>[1]Source!BZ4529</f>
        <v>101</v>
      </c>
      <c r="F4850" s="30"/>
      <c r="G4850" s="31"/>
      <c r="H4850" s="29"/>
      <c r="I4850" s="30">
        <f>SUM(Q4843:Q4849)</f>
        <v>2272.14</v>
      </c>
      <c r="J4850" s="29">
        <f>[1]Source!AT4529</f>
        <v>101</v>
      </c>
      <c r="K4850" s="30">
        <f>SUM(R4843:R4849)</f>
        <v>128034.89</v>
      </c>
    </row>
    <row r="4851" spans="1:29" ht="14.4" hidden="1" x14ac:dyDescent="0.25">
      <c r="A4851" s="27"/>
      <c r="B4851" s="27"/>
      <c r="C4851" s="27" t="s">
        <v>44</v>
      </c>
      <c r="D4851" s="28" t="s">
        <v>43</v>
      </c>
      <c r="E4851" s="29">
        <f>[1]Source!CA4529</f>
        <v>55</v>
      </c>
      <c r="F4851" s="30"/>
      <c r="G4851" s="31"/>
      <c r="H4851" s="29"/>
      <c r="I4851" s="30">
        <f>SUM(S4843:S4850)</f>
        <v>1237.3</v>
      </c>
      <c r="J4851" s="29">
        <f>[1]Source!AU4529</f>
        <v>55</v>
      </c>
      <c r="K4851" s="30">
        <f>SUM(T4843:T4850)</f>
        <v>69721.97</v>
      </c>
    </row>
    <row r="4852" spans="1:29" ht="14.4" hidden="1" x14ac:dyDescent="0.25">
      <c r="A4852" s="34"/>
      <c r="B4852" s="34"/>
      <c r="C4852" s="34" t="s">
        <v>45</v>
      </c>
      <c r="D4852" s="35" t="s">
        <v>46</v>
      </c>
      <c r="E4852" s="36">
        <f>[1]Source!AQ4528</f>
        <v>31.7</v>
      </c>
      <c r="F4852" s="37"/>
      <c r="G4852" s="38" t="s">
        <v>37</v>
      </c>
      <c r="H4852" s="36">
        <f>[1]Source!AV4529</f>
        <v>1.0469999999999999</v>
      </c>
      <c r="I4852" s="37">
        <f>[1]Source!U4528</f>
        <v>178.62804179999998</v>
      </c>
      <c r="J4852" s="36"/>
      <c r="K4852" s="37"/>
    </row>
    <row r="4853" spans="1:29" ht="13.8" hidden="1" x14ac:dyDescent="0.25">
      <c r="C4853" s="39" t="s">
        <v>47</v>
      </c>
      <c r="H4853" s="40">
        <f>I4845+I4846+I4848+I4850+I4851+SUM(I4849:I4849)-SUMIF(AC4849:AC4849, 5, I4849:I4849)-SUMIF(AC4849:AC4849, 6, I4849:I4849)</f>
        <v>40897.599999999999</v>
      </c>
      <c r="I4853" s="40"/>
      <c r="J4853" s="40">
        <f>K4845+K4846+K4848+K4850+K4851+SUM(K4849:K4849)-SUMIF(AC4849:AC4849, 5, K4849:K4849)-SUMIF(AC4849:AC4849, 6, K4849:K4849)</f>
        <v>673001.71</v>
      </c>
      <c r="K4853" s="40"/>
    </row>
    <row r="4854" spans="1:29" ht="13.8" hidden="1" x14ac:dyDescent="0.25">
      <c r="C4854" s="39" t="s">
        <v>48</v>
      </c>
      <c r="H4854" s="41">
        <f>SUMIF(AC4849:AC4849, 5, I4849:I4849)+SUMIF(AC4849:AC4849, 6, I4849:I4849)</f>
        <v>0</v>
      </c>
      <c r="I4854" s="41"/>
      <c r="J4854" s="41">
        <f>SUMIF(AC4849:AC4849, 5, K4849:K4849)+SUMIF(AC4849:AC4849, 6, K4849:K4849)</f>
        <v>0</v>
      </c>
      <c r="K4854" s="41"/>
    </row>
    <row r="4855" spans="1:29" ht="13.8" hidden="1" x14ac:dyDescent="0.25">
      <c r="C4855" s="39" t="s">
        <v>49</v>
      </c>
      <c r="H4855" s="41">
        <f>I4845+I4846+I4848+I4850+I4851+SUM(I4849:I4849)</f>
        <v>40897.599999999999</v>
      </c>
      <c r="I4855" s="41"/>
      <c r="J4855" s="41">
        <f>K4845+K4846+K4848+K4850+K4851+SUM(K4849:K4849)</f>
        <v>673001.71</v>
      </c>
      <c r="K4855" s="41"/>
      <c r="O4855" s="42">
        <f>I4845+I4846+I4848+I4850+I4851+SUM(I4849:I4849)</f>
        <v>40897.599999999999</v>
      </c>
      <c r="P4855" s="42">
        <f>K4845+K4846+K4848+K4850+K4851+SUM(K4849:K4849)</f>
        <v>673001.71</v>
      </c>
    </row>
    <row r="4856" spans="1:29" hidden="1" x14ac:dyDescent="0.25"/>
    <row r="4857" spans="1:29" hidden="1" x14ac:dyDescent="0.25"/>
    <row r="4858" spans="1:29" ht="13.8" hidden="1" x14ac:dyDescent="0.25">
      <c r="A4858" s="44" t="str">
        <f>CONCATENATE("Итого по подразделу: ",IF([1]Source!G4533&lt;&gt;"Новый подраздел", [1]Source!G4533, ""))</f>
        <v>Итого по подразделу: Полы под номер 5</v>
      </c>
      <c r="B4858" s="44"/>
      <c r="C4858" s="44"/>
      <c r="D4858" s="44"/>
      <c r="E4858" s="44"/>
      <c r="F4858" s="44"/>
      <c r="G4858" s="44"/>
      <c r="H4858" s="41">
        <f>SUM(O4842:O4857)</f>
        <v>40897.599999999999</v>
      </c>
      <c r="I4858" s="45"/>
      <c r="J4858" s="41">
        <f>SUM(P4842:P4857)</f>
        <v>673001.71</v>
      </c>
      <c r="K4858" s="45"/>
    </row>
    <row r="4859" spans="1:29" hidden="1" x14ac:dyDescent="0.25">
      <c r="A4859" t="s">
        <v>55</v>
      </c>
      <c r="I4859">
        <f>SUM(W4842:W4858)</f>
        <v>0</v>
      </c>
      <c r="J4859">
        <f>SUM(X4842:X4858)</f>
        <v>0</v>
      </c>
    </row>
    <row r="4860" spans="1:29" hidden="1" x14ac:dyDescent="0.25">
      <c r="A4860" t="s">
        <v>56</v>
      </c>
      <c r="I4860">
        <f>SUM(Y4842:Y4859)</f>
        <v>0</v>
      </c>
      <c r="J4860">
        <f>SUM(Z4842:Z4859)</f>
        <v>0</v>
      </c>
    </row>
    <row r="4861" spans="1:29" hidden="1" x14ac:dyDescent="0.25"/>
    <row r="4862" spans="1:29" ht="13.8" hidden="1" x14ac:dyDescent="0.25">
      <c r="A4862" s="44" t="str">
        <f>CONCATENATE("Итого по разделу: ",IF([1]Source!G4563&lt;&gt;"Новый раздел", [1]Source!G4563, ""))</f>
        <v>Итого по разделу: Отделка полов</v>
      </c>
      <c r="B4862" s="44"/>
      <c r="C4862" s="44"/>
      <c r="D4862" s="44"/>
      <c r="E4862" s="44"/>
      <c r="F4862" s="44"/>
      <c r="G4862" s="44"/>
      <c r="H4862" s="41">
        <f>SUM(O3584:O4861)</f>
        <v>3440932.26</v>
      </c>
      <c r="I4862" s="45"/>
      <c r="J4862" s="41">
        <f>SUM(P3584:P4861)</f>
        <v>62833223.239999987</v>
      </c>
      <c r="K4862" s="45"/>
    </row>
    <row r="4863" spans="1:29" hidden="1" x14ac:dyDescent="0.25">
      <c r="A4863" t="s">
        <v>55</v>
      </c>
      <c r="I4863">
        <f>SUM(W3584:W4862)</f>
        <v>0</v>
      </c>
      <c r="J4863">
        <f>SUM(X3584:X4862)</f>
        <v>0</v>
      </c>
    </row>
    <row r="4864" spans="1:29" hidden="1" x14ac:dyDescent="0.25">
      <c r="A4864" t="s">
        <v>56</v>
      </c>
      <c r="I4864">
        <f>SUM(Y3584:Y4863)</f>
        <v>0</v>
      </c>
      <c r="J4864">
        <f>SUM(Z3584:Z4863)</f>
        <v>0</v>
      </c>
    </row>
    <row r="4865" spans="1:29" hidden="1" x14ac:dyDescent="0.25"/>
    <row r="4866" spans="1:29" ht="16.8" hidden="1" x14ac:dyDescent="0.25">
      <c r="A4866" s="11" t="str">
        <f>CONCATENATE("Раздел: ",IF([1]Source!G4593&lt;&gt;"Новый раздел", [1]Source!G4593, ""))</f>
        <v>Раздел: Плинтуса</v>
      </c>
      <c r="B4866" s="11"/>
      <c r="C4866" s="11"/>
      <c r="D4866" s="11"/>
      <c r="E4866" s="11"/>
      <c r="F4866" s="11"/>
      <c r="G4866" s="11"/>
      <c r="H4866" s="11"/>
      <c r="I4866" s="11"/>
      <c r="J4866" s="11"/>
      <c r="K4866" s="11"/>
    </row>
    <row r="4867" spans="1:29" hidden="1" x14ac:dyDescent="0.25"/>
    <row r="4868" spans="1:29" ht="16.8" hidden="1" x14ac:dyDescent="0.25">
      <c r="A4868" s="11" t="str">
        <f>CONCATENATE("Подраздел: ",IF([1]Source!G4597&lt;&gt;"Новый подраздел", [1]Source!G4597, ""))</f>
        <v>Подраздел: Демонтажные работы</v>
      </c>
      <c r="B4868" s="11"/>
      <c r="C4868" s="11"/>
      <c r="D4868" s="11"/>
      <c r="E4868" s="11"/>
      <c r="F4868" s="11"/>
      <c r="G4868" s="11"/>
      <c r="H4868" s="11"/>
      <c r="I4868" s="11"/>
      <c r="J4868" s="11"/>
      <c r="K4868" s="11"/>
    </row>
    <row r="4869" spans="1:29" ht="43.2" hidden="1" x14ac:dyDescent="0.25">
      <c r="A4869" s="27">
        <v>448</v>
      </c>
      <c r="B4869" s="27" t="str">
        <f>[1]Source!F4601</f>
        <v>6.70-64-1</v>
      </c>
      <c r="C4869" s="27" t="s">
        <v>888</v>
      </c>
      <c r="D4869" s="28" t="str">
        <f>[1]Source!H4601</f>
        <v>100 м плинтусов</v>
      </c>
      <c r="E4869" s="29">
        <f>[1]Source!I4601</f>
        <v>0.55000000000000004</v>
      </c>
      <c r="F4869" s="30"/>
      <c r="G4869" s="31"/>
      <c r="H4869" s="29"/>
      <c r="I4869" s="30"/>
      <c r="J4869" s="29"/>
      <c r="K4869" s="30"/>
      <c r="Q4869">
        <f>[1]Source!X4601</f>
        <v>31.76</v>
      </c>
      <c r="R4869">
        <f>[1]Source!X4602</f>
        <v>1789.41</v>
      </c>
      <c r="S4869">
        <f>[1]Source!Y4601</f>
        <v>17.48</v>
      </c>
      <c r="T4869">
        <f>[1]Source!Y4602</f>
        <v>985.18</v>
      </c>
      <c r="U4869">
        <f>ROUND((175/100)*ROUND([1]Source!R4601, 2), 2)</f>
        <v>0</v>
      </c>
      <c r="V4869">
        <f>ROUND((0/100)*ROUND([1]Source!R4602, 2), 2)</f>
        <v>0</v>
      </c>
      <c r="AC4869">
        <v>0</v>
      </c>
    </row>
    <row r="4870" spans="1:29" hidden="1" x14ac:dyDescent="0.25">
      <c r="C4870" s="32" t="str">
        <f>"Объем: "&amp;[1]Source!I4601&amp;"=55/"&amp;"100"</f>
        <v>Объем: 0,55=55/100</v>
      </c>
    </row>
    <row r="4871" spans="1:29" ht="14.4" hidden="1" x14ac:dyDescent="0.25">
      <c r="A4871" s="27"/>
      <c r="B4871" s="27"/>
      <c r="C4871" s="27" t="s">
        <v>36</v>
      </c>
      <c r="D4871" s="28"/>
      <c r="E4871" s="29"/>
      <c r="F4871" s="30">
        <f>[1]Source!AO4601</f>
        <v>51.63</v>
      </c>
      <c r="G4871" s="31" t="s">
        <v>58</v>
      </c>
      <c r="H4871" s="29">
        <f>[1]Source!AV4602</f>
        <v>1.0469999999999999</v>
      </c>
      <c r="I4871" s="30">
        <f>[1]Source!S4601</f>
        <v>35.68</v>
      </c>
      <c r="J4871" s="29">
        <f>IF([1]Source!BA4602&lt;&gt; 0, [1]Source!BA4602, 1)</f>
        <v>56.35</v>
      </c>
      <c r="K4871" s="30">
        <f>[1]Source!S4602</f>
        <v>2010.57</v>
      </c>
    </row>
    <row r="4872" spans="1:29" ht="14.4" hidden="1" x14ac:dyDescent="0.25">
      <c r="A4872" s="27"/>
      <c r="B4872" s="27"/>
      <c r="C4872" s="27" t="s">
        <v>42</v>
      </c>
      <c r="D4872" s="28" t="s">
        <v>43</v>
      </c>
      <c r="E4872" s="29">
        <f>[1]Source!BZ4602</f>
        <v>89</v>
      </c>
      <c r="F4872" s="30"/>
      <c r="G4872" s="31"/>
      <c r="H4872" s="29"/>
      <c r="I4872" s="30">
        <f>SUM(Q4869:Q4871)</f>
        <v>31.76</v>
      </c>
      <c r="J4872" s="29">
        <f>[1]Source!AT4602</f>
        <v>89</v>
      </c>
      <c r="K4872" s="30">
        <f>SUM(R4869:R4871)</f>
        <v>1789.41</v>
      </c>
    </row>
    <row r="4873" spans="1:29" ht="14.4" hidden="1" x14ac:dyDescent="0.25">
      <c r="A4873" s="27"/>
      <c r="B4873" s="27"/>
      <c r="C4873" s="27" t="s">
        <v>44</v>
      </c>
      <c r="D4873" s="28" t="s">
        <v>43</v>
      </c>
      <c r="E4873" s="29">
        <f>[1]Source!CA4602</f>
        <v>49</v>
      </c>
      <c r="F4873" s="30"/>
      <c r="G4873" s="31"/>
      <c r="H4873" s="29"/>
      <c r="I4873" s="30">
        <f>SUM(S4869:S4872)</f>
        <v>17.48</v>
      </c>
      <c r="J4873" s="29">
        <f>[1]Source!AU4602</f>
        <v>49</v>
      </c>
      <c r="K4873" s="30">
        <f>SUM(T4869:T4872)</f>
        <v>985.18</v>
      </c>
    </row>
    <row r="4874" spans="1:29" ht="14.4" hidden="1" x14ac:dyDescent="0.25">
      <c r="A4874" s="34"/>
      <c r="B4874" s="34"/>
      <c r="C4874" s="34" t="s">
        <v>45</v>
      </c>
      <c r="D4874" s="35" t="s">
        <v>46</v>
      </c>
      <c r="E4874" s="36">
        <f>[1]Source!AQ4601</f>
        <v>3.77</v>
      </c>
      <c r="F4874" s="37"/>
      <c r="G4874" s="38" t="s">
        <v>58</v>
      </c>
      <c r="H4874" s="36">
        <f>[1]Source!AV4602</f>
        <v>1.0469999999999999</v>
      </c>
      <c r="I4874" s="37">
        <f>[1]Source!U4601</f>
        <v>2.6051454000000001</v>
      </c>
      <c r="J4874" s="36"/>
      <c r="K4874" s="37"/>
    </row>
    <row r="4875" spans="1:29" ht="13.8" hidden="1" x14ac:dyDescent="0.25">
      <c r="C4875" s="39" t="s">
        <v>47</v>
      </c>
      <c r="H4875" s="40">
        <f>I4871+I4872+I4873+0-0-0</f>
        <v>84.92</v>
      </c>
      <c r="I4875" s="40"/>
      <c r="J4875" s="40">
        <f>K4871+K4872+K4873+0-0-0</f>
        <v>4785.16</v>
      </c>
      <c r="K4875" s="40"/>
    </row>
    <row r="4876" spans="1:29" ht="13.8" hidden="1" x14ac:dyDescent="0.25">
      <c r="C4876" s="39" t="s">
        <v>48</v>
      </c>
      <c r="H4876" s="41">
        <f>0+0</f>
        <v>0</v>
      </c>
      <c r="I4876" s="41"/>
      <c r="J4876" s="41">
        <f>0+0</f>
        <v>0</v>
      </c>
      <c r="K4876" s="41"/>
    </row>
    <row r="4877" spans="1:29" ht="13.8" hidden="1" x14ac:dyDescent="0.25">
      <c r="C4877" s="39" t="s">
        <v>49</v>
      </c>
      <c r="H4877" s="41">
        <f>I4871+I4872+I4873+0</f>
        <v>84.92</v>
      </c>
      <c r="I4877" s="41"/>
      <c r="J4877" s="41">
        <f>K4871+K4872+K4873+0</f>
        <v>4785.16</v>
      </c>
      <c r="K4877" s="41"/>
      <c r="O4877" s="42">
        <f>I4871+I4872+I4873+0</f>
        <v>84.92</v>
      </c>
      <c r="P4877" s="42">
        <f>K4871+K4872+K4873+0</f>
        <v>4785.16</v>
      </c>
    </row>
    <row r="4878" spans="1:29" hidden="1" x14ac:dyDescent="0.25"/>
    <row r="4879" spans="1:29" ht="43.2" hidden="1" x14ac:dyDescent="0.25">
      <c r="A4879" s="27">
        <v>449</v>
      </c>
      <c r="B4879" s="27" t="str">
        <f>[1]Source!F4603</f>
        <v>6.70-64-1</v>
      </c>
      <c r="C4879" s="27" t="s">
        <v>889</v>
      </c>
      <c r="D4879" s="28" t="str">
        <f>[1]Source!H4603</f>
        <v>100 м плинтусов</v>
      </c>
      <c r="E4879" s="29">
        <f>[1]Source!I4603</f>
        <v>21.79</v>
      </c>
      <c r="F4879" s="30"/>
      <c r="G4879" s="31"/>
      <c r="H4879" s="29"/>
      <c r="I4879" s="30"/>
      <c r="J4879" s="29"/>
      <c r="K4879" s="30"/>
      <c r="Q4879">
        <f>[1]Source!X4603</f>
        <v>1257.99</v>
      </c>
      <c r="R4879">
        <f>[1]Source!X4604</f>
        <v>70887.64</v>
      </c>
      <c r="S4879">
        <f>[1]Source!Y4603</f>
        <v>692.6</v>
      </c>
      <c r="T4879">
        <f>[1]Source!Y4604</f>
        <v>39028.019999999997</v>
      </c>
      <c r="U4879">
        <f>ROUND((175/100)*ROUND([1]Source!R4603, 2), 2)</f>
        <v>0</v>
      </c>
      <c r="V4879">
        <f>ROUND((0/100)*ROUND([1]Source!R4604, 2), 2)</f>
        <v>0</v>
      </c>
      <c r="AC4879">
        <v>0</v>
      </c>
    </row>
    <row r="4880" spans="1:29" hidden="1" x14ac:dyDescent="0.25">
      <c r="C4880" s="32" t="str">
        <f>"Объем: "&amp;[1]Source!I4603&amp;"=2179/"&amp;"100"</f>
        <v>Объем: 21,79=2179/100</v>
      </c>
    </row>
    <row r="4881" spans="1:29" ht="14.4" hidden="1" x14ac:dyDescent="0.25">
      <c r="A4881" s="27"/>
      <c r="B4881" s="27"/>
      <c r="C4881" s="27" t="s">
        <v>36</v>
      </c>
      <c r="D4881" s="28"/>
      <c r="E4881" s="29"/>
      <c r="F4881" s="30">
        <f>[1]Source!AO4603</f>
        <v>51.63</v>
      </c>
      <c r="G4881" s="31" t="s">
        <v>58</v>
      </c>
      <c r="H4881" s="29">
        <f>[1]Source!AV4604</f>
        <v>1.0469999999999999</v>
      </c>
      <c r="I4881" s="30">
        <f>[1]Source!S4603</f>
        <v>1413.47</v>
      </c>
      <c r="J4881" s="29">
        <f>IF([1]Source!BA4604&lt;&gt; 0, [1]Source!BA4604, 1)</f>
        <v>56.35</v>
      </c>
      <c r="K4881" s="30">
        <f>[1]Source!S4604</f>
        <v>79649.03</v>
      </c>
    </row>
    <row r="4882" spans="1:29" ht="14.4" hidden="1" x14ac:dyDescent="0.25">
      <c r="A4882" s="27"/>
      <c r="B4882" s="27"/>
      <c r="C4882" s="27" t="s">
        <v>42</v>
      </c>
      <c r="D4882" s="28" t="s">
        <v>43</v>
      </c>
      <c r="E4882" s="29">
        <f>[1]Source!BZ4604</f>
        <v>89</v>
      </c>
      <c r="F4882" s="30"/>
      <c r="G4882" s="31"/>
      <c r="H4882" s="29"/>
      <c r="I4882" s="30">
        <f>SUM(Q4879:Q4881)</f>
        <v>1257.99</v>
      </c>
      <c r="J4882" s="29">
        <f>[1]Source!AT4604</f>
        <v>89</v>
      </c>
      <c r="K4882" s="30">
        <f>SUM(R4879:R4881)</f>
        <v>70887.64</v>
      </c>
    </row>
    <row r="4883" spans="1:29" ht="14.4" hidden="1" x14ac:dyDescent="0.25">
      <c r="A4883" s="27"/>
      <c r="B4883" s="27"/>
      <c r="C4883" s="27" t="s">
        <v>44</v>
      </c>
      <c r="D4883" s="28" t="s">
        <v>43</v>
      </c>
      <c r="E4883" s="29">
        <f>[1]Source!CA4604</f>
        <v>49</v>
      </c>
      <c r="F4883" s="30"/>
      <c r="G4883" s="31"/>
      <c r="H4883" s="29"/>
      <c r="I4883" s="30">
        <f>SUM(S4879:S4882)</f>
        <v>692.6</v>
      </c>
      <c r="J4883" s="29">
        <f>[1]Source!AU4604</f>
        <v>49</v>
      </c>
      <c r="K4883" s="30">
        <f>SUM(T4879:T4882)</f>
        <v>39028.019999999997</v>
      </c>
    </row>
    <row r="4884" spans="1:29" ht="14.4" hidden="1" x14ac:dyDescent="0.25">
      <c r="A4884" s="34"/>
      <c r="B4884" s="34"/>
      <c r="C4884" s="34" t="s">
        <v>45</v>
      </c>
      <c r="D4884" s="35" t="s">
        <v>46</v>
      </c>
      <c r="E4884" s="36">
        <f>[1]Source!AQ4603</f>
        <v>3.77</v>
      </c>
      <c r="F4884" s="37"/>
      <c r="G4884" s="38" t="s">
        <v>58</v>
      </c>
      <c r="H4884" s="36">
        <f>[1]Source!AV4604</f>
        <v>1.0469999999999999</v>
      </c>
      <c r="I4884" s="37">
        <f>[1]Source!U4603</f>
        <v>103.21112411999999</v>
      </c>
      <c r="J4884" s="36"/>
      <c r="K4884" s="37"/>
    </row>
    <row r="4885" spans="1:29" ht="13.8" hidden="1" x14ac:dyDescent="0.25">
      <c r="C4885" s="39" t="s">
        <v>47</v>
      </c>
      <c r="H4885" s="40">
        <f>I4881+I4882+I4883+0-0-0</f>
        <v>3364.06</v>
      </c>
      <c r="I4885" s="40"/>
      <c r="J4885" s="40">
        <f>K4881+K4882+K4883+0-0-0</f>
        <v>189564.68999999997</v>
      </c>
      <c r="K4885" s="40"/>
    </row>
    <row r="4886" spans="1:29" ht="13.8" hidden="1" x14ac:dyDescent="0.25">
      <c r="C4886" s="39" t="s">
        <v>48</v>
      </c>
      <c r="H4886" s="41">
        <f>0+0</f>
        <v>0</v>
      </c>
      <c r="I4886" s="41"/>
      <c r="J4886" s="41">
        <f>0+0</f>
        <v>0</v>
      </c>
      <c r="K4886" s="41"/>
    </row>
    <row r="4887" spans="1:29" ht="13.8" hidden="1" x14ac:dyDescent="0.25">
      <c r="C4887" s="39" t="s">
        <v>49</v>
      </c>
      <c r="H4887" s="41">
        <f>I4881+I4882+I4883+0</f>
        <v>3364.06</v>
      </c>
      <c r="I4887" s="41"/>
      <c r="J4887" s="41">
        <f>K4881+K4882+K4883+0</f>
        <v>189564.68999999997</v>
      </c>
      <c r="K4887" s="41"/>
      <c r="O4887" s="42">
        <f>I4881+I4882+I4883+0</f>
        <v>3364.06</v>
      </c>
      <c r="P4887" s="42">
        <f>K4881+K4882+K4883+0</f>
        <v>189564.68999999997</v>
      </c>
    </row>
    <row r="4888" spans="1:29" hidden="1" x14ac:dyDescent="0.25"/>
    <row r="4889" spans="1:29" ht="41.4" hidden="1" x14ac:dyDescent="0.25">
      <c r="A4889" s="27">
        <v>450</v>
      </c>
      <c r="B4889" s="27" t="str">
        <f>[1]Source!F4605</f>
        <v>3.70-206-7</v>
      </c>
      <c r="C4889" s="27" t="s">
        <v>890</v>
      </c>
      <c r="D4889" s="28" t="str">
        <f>[1]Source!H4605</f>
        <v>100 м</v>
      </c>
      <c r="E4889" s="29">
        <f>[1]Source!I4605</f>
        <v>15.33</v>
      </c>
      <c r="F4889" s="30"/>
      <c r="G4889" s="31"/>
      <c r="H4889" s="29"/>
      <c r="I4889" s="30"/>
      <c r="J4889" s="29"/>
      <c r="K4889" s="30"/>
      <c r="Q4889">
        <f>[1]Source!X4605</f>
        <v>2804.99</v>
      </c>
      <c r="R4889">
        <f>[1]Source!X4606</f>
        <v>158061.29999999999</v>
      </c>
      <c r="S4889">
        <f>[1]Source!Y4605</f>
        <v>1527.47</v>
      </c>
      <c r="T4889">
        <f>[1]Source!Y4606</f>
        <v>86072.99</v>
      </c>
      <c r="U4889">
        <f>ROUND((175/100)*ROUND([1]Source!R4605, 2), 2)</f>
        <v>33.97</v>
      </c>
      <c r="V4889">
        <f>ROUND((0/100)*ROUND([1]Source!R4606, 2), 2)</f>
        <v>0</v>
      </c>
      <c r="AC4889">
        <v>0</v>
      </c>
    </row>
    <row r="4890" spans="1:29" hidden="1" x14ac:dyDescent="0.25">
      <c r="C4890" s="32" t="str">
        <f>"Объем: "&amp;[1]Source!I4605&amp;"=1533/"&amp;"100"</f>
        <v>Объем: 15,33=1533/100</v>
      </c>
    </row>
    <row r="4891" spans="1:29" ht="14.4" hidden="1" x14ac:dyDescent="0.25">
      <c r="A4891" s="27"/>
      <c r="B4891" s="27"/>
      <c r="C4891" s="27" t="s">
        <v>36</v>
      </c>
      <c r="D4891" s="28"/>
      <c r="E4891" s="29"/>
      <c r="F4891" s="30">
        <f>[1]Source!AO4605</f>
        <v>178.98</v>
      </c>
      <c r="G4891" s="31" t="s">
        <v>60</v>
      </c>
      <c r="H4891" s="29">
        <f>[1]Source!AV4606</f>
        <v>1.0469999999999999</v>
      </c>
      <c r="I4891" s="30">
        <f>[1]Source!S4605</f>
        <v>2757.81</v>
      </c>
      <c r="J4891" s="29">
        <f>IF([1]Source!BA4606&lt;&gt; 0, [1]Source!BA4606, 1)</f>
        <v>56.35</v>
      </c>
      <c r="K4891" s="30">
        <f>[1]Source!S4606</f>
        <v>155402.59</v>
      </c>
    </row>
    <row r="4892" spans="1:29" ht="14.4" hidden="1" x14ac:dyDescent="0.25">
      <c r="A4892" s="27"/>
      <c r="B4892" s="27"/>
      <c r="C4892" s="27" t="s">
        <v>38</v>
      </c>
      <c r="D4892" s="28"/>
      <c r="E4892" s="29"/>
      <c r="F4892" s="30">
        <f>[1]Source!AM4605</f>
        <v>7.28</v>
      </c>
      <c r="G4892" s="31" t="s">
        <v>60</v>
      </c>
      <c r="H4892" s="29">
        <f>[1]Source!AV4606</f>
        <v>1.0469999999999999</v>
      </c>
      <c r="I4892" s="30">
        <f>[1]Source!Q4605</f>
        <v>112.17</v>
      </c>
      <c r="J4892" s="29">
        <f>IF([1]Source!BB4606&lt;&gt; 0, [1]Source!BB4606, 1)</f>
        <v>18.72</v>
      </c>
      <c r="K4892" s="30">
        <f>[1]Source!Q4606</f>
        <v>2099.8200000000002</v>
      </c>
    </row>
    <row r="4893" spans="1:29" ht="14.4" hidden="1" x14ac:dyDescent="0.25">
      <c r="A4893" s="27"/>
      <c r="B4893" s="27"/>
      <c r="C4893" s="27" t="s">
        <v>40</v>
      </c>
      <c r="D4893" s="28"/>
      <c r="E4893" s="29"/>
      <c r="F4893" s="30">
        <f>[1]Source!AN4605</f>
        <v>1.26</v>
      </c>
      <c r="G4893" s="31" t="s">
        <v>60</v>
      </c>
      <c r="H4893" s="29">
        <f>[1]Source!AV4606</f>
        <v>1.0469999999999999</v>
      </c>
      <c r="I4893" s="33">
        <f>[1]Source!R4605</f>
        <v>19.41</v>
      </c>
      <c r="J4893" s="29">
        <f>IF([1]Source!BS4606&lt;&gt; 0, [1]Source!BS4606, 1)</f>
        <v>56.35</v>
      </c>
      <c r="K4893" s="33">
        <f>[1]Source!R4606</f>
        <v>1093.75</v>
      </c>
    </row>
    <row r="4894" spans="1:29" ht="14.4" hidden="1" x14ac:dyDescent="0.25">
      <c r="A4894" s="27"/>
      <c r="B4894" s="27"/>
      <c r="C4894" s="27" t="s">
        <v>42</v>
      </c>
      <c r="D4894" s="28" t="s">
        <v>43</v>
      </c>
      <c r="E4894" s="29">
        <f>[1]Source!BZ4606</f>
        <v>101</v>
      </c>
      <c r="F4894" s="30"/>
      <c r="G4894" s="31"/>
      <c r="H4894" s="29"/>
      <c r="I4894" s="30">
        <f>SUM(Q4889:Q4893)</f>
        <v>2804.99</v>
      </c>
      <c r="J4894" s="29">
        <f>[1]Source!AT4606</f>
        <v>101</v>
      </c>
      <c r="K4894" s="30">
        <f>SUM(R4889:R4893)</f>
        <v>158061.29999999999</v>
      </c>
    </row>
    <row r="4895" spans="1:29" ht="14.4" hidden="1" x14ac:dyDescent="0.25">
      <c r="A4895" s="27"/>
      <c r="B4895" s="27"/>
      <c r="C4895" s="27" t="s">
        <v>44</v>
      </c>
      <c r="D4895" s="28" t="s">
        <v>43</v>
      </c>
      <c r="E4895" s="29">
        <f>[1]Source!CA4606</f>
        <v>55</v>
      </c>
      <c r="F4895" s="30"/>
      <c r="G4895" s="31"/>
      <c r="H4895" s="29"/>
      <c r="I4895" s="30">
        <f>SUM(S4889:S4894)</f>
        <v>1527.47</v>
      </c>
      <c r="J4895" s="29">
        <f>[1]Source!AU4606</f>
        <v>55</v>
      </c>
      <c r="K4895" s="30">
        <f>SUM(T4889:T4894)</f>
        <v>86072.99</v>
      </c>
    </row>
    <row r="4896" spans="1:29" ht="14.4" hidden="1" x14ac:dyDescent="0.25">
      <c r="A4896" s="34"/>
      <c r="B4896" s="34"/>
      <c r="C4896" s="34" t="s">
        <v>45</v>
      </c>
      <c r="D4896" s="35" t="s">
        <v>46</v>
      </c>
      <c r="E4896" s="36">
        <f>[1]Source!AQ4605</f>
        <v>10.73</v>
      </c>
      <c r="F4896" s="37"/>
      <c r="G4896" s="38" t="s">
        <v>60</v>
      </c>
      <c r="H4896" s="36">
        <f>[1]Source!AV4606</f>
        <v>1.0469999999999999</v>
      </c>
      <c r="I4896" s="37">
        <f>[1]Source!U4605</f>
        <v>165.333093408</v>
      </c>
      <c r="J4896" s="36"/>
      <c r="K4896" s="37"/>
    </row>
    <row r="4897" spans="1:29" ht="13.8" hidden="1" x14ac:dyDescent="0.25">
      <c r="C4897" s="39" t="s">
        <v>47</v>
      </c>
      <c r="H4897" s="40">
        <f>I4891+I4892+I4894+I4895+0-0-0</f>
        <v>7202.44</v>
      </c>
      <c r="I4897" s="40"/>
      <c r="J4897" s="40">
        <f>K4891+K4892+K4894+K4895+0-0-0</f>
        <v>401636.69999999995</v>
      </c>
      <c r="K4897" s="40"/>
    </row>
    <row r="4898" spans="1:29" ht="13.8" hidden="1" x14ac:dyDescent="0.25">
      <c r="C4898" s="39" t="s">
        <v>48</v>
      </c>
      <c r="H4898" s="41">
        <f>0+0</f>
        <v>0</v>
      </c>
      <c r="I4898" s="41"/>
      <c r="J4898" s="41">
        <f>0+0</f>
        <v>0</v>
      </c>
      <c r="K4898" s="41"/>
    </row>
    <row r="4899" spans="1:29" ht="13.8" hidden="1" x14ac:dyDescent="0.25">
      <c r="C4899" s="39" t="s">
        <v>49</v>
      </c>
      <c r="H4899" s="41">
        <f>I4891+I4892+I4894+I4895+0</f>
        <v>7202.44</v>
      </c>
      <c r="I4899" s="41"/>
      <c r="J4899" s="41">
        <f>K4891+K4892+K4894+K4895+0</f>
        <v>401636.69999999995</v>
      </c>
      <c r="K4899" s="41"/>
      <c r="O4899" s="42">
        <f>I4891+I4892+I4894+I4895+0</f>
        <v>7202.44</v>
      </c>
      <c r="P4899" s="42">
        <f>K4891+K4892+K4894+K4895+0</f>
        <v>401636.69999999995</v>
      </c>
    </row>
    <row r="4900" spans="1:29" hidden="1" x14ac:dyDescent="0.25"/>
    <row r="4901" spans="1:29" hidden="1" x14ac:dyDescent="0.25"/>
    <row r="4902" spans="1:29" ht="13.8" hidden="1" x14ac:dyDescent="0.25">
      <c r="A4902" s="44" t="str">
        <f>CONCATENATE("Итого по подразделу: ",IF([1]Source!G4608&lt;&gt;"Новый подраздел", [1]Source!G4608, ""))</f>
        <v>Итого по подразделу: Демонтажные работы</v>
      </c>
      <c r="B4902" s="44"/>
      <c r="C4902" s="44"/>
      <c r="D4902" s="44"/>
      <c r="E4902" s="44"/>
      <c r="F4902" s="44"/>
      <c r="G4902" s="44"/>
      <c r="H4902" s="41">
        <f>SUM(O4868:O4901)</f>
        <v>10651.42</v>
      </c>
      <c r="I4902" s="45"/>
      <c r="J4902" s="41">
        <f>SUM(P4868:P4901)</f>
        <v>595986.54999999993</v>
      </c>
      <c r="K4902" s="45"/>
    </row>
    <row r="4903" spans="1:29" hidden="1" x14ac:dyDescent="0.25">
      <c r="A4903" t="s">
        <v>55</v>
      </c>
      <c r="I4903">
        <f>SUM(W4868:W4902)</f>
        <v>0</v>
      </c>
      <c r="J4903">
        <f>SUM(X4868:X4902)</f>
        <v>0</v>
      </c>
    </row>
    <row r="4904" spans="1:29" hidden="1" x14ac:dyDescent="0.25">
      <c r="A4904" t="s">
        <v>56</v>
      </c>
      <c r="I4904">
        <f>SUM(Y4868:Y4903)</f>
        <v>0</v>
      </c>
      <c r="J4904">
        <f>SUM(Z4868:Z4903)</f>
        <v>0</v>
      </c>
    </row>
    <row r="4905" spans="1:29" hidden="1" x14ac:dyDescent="0.25"/>
    <row r="4906" spans="1:29" ht="16.8" hidden="1" x14ac:dyDescent="0.25">
      <c r="A4906" s="11" t="str">
        <f>CONCATENATE("Подраздел: ",IF([1]Source!G4638&lt;&gt;"Новый подраздел", [1]Source!G4638, ""))</f>
        <v>Подраздел: Керамогранитный плинтус 95х600 мм</v>
      </c>
      <c r="B4906" s="11"/>
      <c r="C4906" s="11"/>
      <c r="D4906" s="11"/>
      <c r="E4906" s="11"/>
      <c r="F4906" s="11"/>
      <c r="G4906" s="11"/>
      <c r="H4906" s="11"/>
      <c r="I4906" s="11"/>
      <c r="J4906" s="11"/>
      <c r="K4906" s="11"/>
    </row>
    <row r="4907" spans="1:29" ht="41.4" hidden="1" x14ac:dyDescent="0.25">
      <c r="A4907" s="27">
        <v>451</v>
      </c>
      <c r="B4907" s="27" t="str">
        <f>[1]Source!F4642</f>
        <v>3.70-206-7</v>
      </c>
      <c r="C4907" s="27" t="s">
        <v>890</v>
      </c>
      <c r="D4907" s="28" t="str">
        <f>[1]Source!H4642</f>
        <v>100 м</v>
      </c>
      <c r="E4907" s="29">
        <f>[1]Source!I4642</f>
        <v>15.33</v>
      </c>
      <c r="F4907" s="30"/>
      <c r="G4907" s="31"/>
      <c r="H4907" s="29"/>
      <c r="I4907" s="30"/>
      <c r="J4907" s="29"/>
      <c r="K4907" s="30"/>
      <c r="Q4907">
        <f>[1]Source!X4642</f>
        <v>4034.64</v>
      </c>
      <c r="R4907">
        <f>[1]Source!X4643</f>
        <v>227351.79</v>
      </c>
      <c r="S4907">
        <f>[1]Source!Y4642</f>
        <v>2197.08</v>
      </c>
      <c r="T4907">
        <f>[1]Source!Y4643</f>
        <v>123805.43</v>
      </c>
      <c r="U4907">
        <f>ROUND((175/100)*ROUND([1]Source!R4642, 2), 2)</f>
        <v>53.1</v>
      </c>
      <c r="V4907">
        <f>ROUND((0/100)*ROUND([1]Source!R4643, 2), 2)</f>
        <v>0</v>
      </c>
      <c r="AC4907">
        <v>0</v>
      </c>
    </row>
    <row r="4908" spans="1:29" hidden="1" x14ac:dyDescent="0.25">
      <c r="C4908" s="32" t="str">
        <f>"Объем: "&amp;[1]Source!I4642&amp;"=(73+"&amp;"1079+"&amp;"381)/"&amp;"100"</f>
        <v>Объем: 15,33=(73+1079+381)/100</v>
      </c>
    </row>
    <row r="4909" spans="1:29" ht="14.4" hidden="1" x14ac:dyDescent="0.25">
      <c r="A4909" s="27"/>
      <c r="B4909" s="27"/>
      <c r="C4909" s="27" t="s">
        <v>36</v>
      </c>
      <c r="D4909" s="28"/>
      <c r="E4909" s="29"/>
      <c r="F4909" s="30">
        <f>[1]Source!AO4642</f>
        <v>178.98</v>
      </c>
      <c r="G4909" s="31" t="s">
        <v>37</v>
      </c>
      <c r="H4909" s="29">
        <f>[1]Source!AV4643</f>
        <v>1.0469999999999999</v>
      </c>
      <c r="I4909" s="30">
        <f>[1]Source!S4642</f>
        <v>3964.35</v>
      </c>
      <c r="J4909" s="29">
        <f>IF([1]Source!BA4643&lt;&gt; 0, [1]Source!BA4643, 1)</f>
        <v>56.35</v>
      </c>
      <c r="K4909" s="30">
        <f>[1]Source!S4643</f>
        <v>223391.12</v>
      </c>
    </row>
    <row r="4910" spans="1:29" ht="14.4" hidden="1" x14ac:dyDescent="0.25">
      <c r="A4910" s="27"/>
      <c r="B4910" s="27"/>
      <c r="C4910" s="27" t="s">
        <v>38</v>
      </c>
      <c r="D4910" s="28"/>
      <c r="E4910" s="29"/>
      <c r="F4910" s="30">
        <f>[1]Source!AM4642</f>
        <v>7.28</v>
      </c>
      <c r="G4910" s="31" t="s">
        <v>39</v>
      </c>
      <c r="H4910" s="29">
        <f>[1]Source!AV4643</f>
        <v>1.0469999999999999</v>
      </c>
      <c r="I4910" s="30">
        <f>[1]Source!Q4642</f>
        <v>175.27</v>
      </c>
      <c r="J4910" s="29">
        <f>IF([1]Source!BB4643&lt;&gt; 0, [1]Source!BB4643, 1)</f>
        <v>18.72</v>
      </c>
      <c r="K4910" s="30">
        <f>[1]Source!Q4643</f>
        <v>3281.05</v>
      </c>
    </row>
    <row r="4911" spans="1:29" ht="14.4" hidden="1" x14ac:dyDescent="0.25">
      <c r="A4911" s="27"/>
      <c r="B4911" s="27"/>
      <c r="C4911" s="27" t="s">
        <v>40</v>
      </c>
      <c r="D4911" s="28"/>
      <c r="E4911" s="29"/>
      <c r="F4911" s="30">
        <f>[1]Source!AN4642</f>
        <v>1.26</v>
      </c>
      <c r="G4911" s="31" t="s">
        <v>39</v>
      </c>
      <c r="H4911" s="29">
        <f>[1]Source!AV4643</f>
        <v>1.0469999999999999</v>
      </c>
      <c r="I4911" s="33">
        <f>[1]Source!R4642</f>
        <v>30.34</v>
      </c>
      <c r="J4911" s="29">
        <f>IF([1]Source!BS4643&lt;&gt; 0, [1]Source!BS4643, 1)</f>
        <v>56.35</v>
      </c>
      <c r="K4911" s="33">
        <f>[1]Source!R4643</f>
        <v>1709.66</v>
      </c>
    </row>
    <row r="4912" spans="1:29" ht="14.4" hidden="1" x14ac:dyDescent="0.25">
      <c r="A4912" s="27"/>
      <c r="B4912" s="27"/>
      <c r="C4912" s="27" t="s">
        <v>41</v>
      </c>
      <c r="D4912" s="28"/>
      <c r="E4912" s="29"/>
      <c r="F4912" s="30">
        <f>[1]Source!AL4642</f>
        <v>0.21</v>
      </c>
      <c r="G4912" s="31"/>
      <c r="H4912" s="29">
        <f>[1]Source!AW4643</f>
        <v>1</v>
      </c>
      <c r="I4912" s="30">
        <f>[1]Source!P4642</f>
        <v>3.22</v>
      </c>
      <c r="J4912" s="29">
        <f>IF([1]Source!BC4643&lt;&gt; 0, [1]Source!BC4643, 1)</f>
        <v>10.43</v>
      </c>
      <c r="K4912" s="30">
        <f>[1]Source!P4643</f>
        <v>33.58</v>
      </c>
    </row>
    <row r="4913" spans="1:29" ht="41.4" hidden="1" x14ac:dyDescent="0.25">
      <c r="A4913" s="27" t="s">
        <v>891</v>
      </c>
      <c r="B4913" s="27" t="str">
        <f>[1]Source!F4644</f>
        <v>1.1-1-8206</v>
      </c>
      <c r="C4913" s="27" t="s">
        <v>639</v>
      </c>
      <c r="D4913" s="28" t="str">
        <f>[1]Source!H4644</f>
        <v>100 шт.</v>
      </c>
      <c r="E4913" s="29">
        <f>[1]Source!I4644</f>
        <v>52.581899999999997</v>
      </c>
      <c r="F4913" s="30">
        <f>[1]Source!AK4644</f>
        <v>4.34</v>
      </c>
      <c r="G4913" s="43" t="s">
        <v>54</v>
      </c>
      <c r="H4913" s="29">
        <f>[1]Source!AW4645</f>
        <v>1</v>
      </c>
      <c r="I4913" s="30">
        <f>[1]Source!O4644</f>
        <v>228.21</v>
      </c>
      <c r="J4913" s="29">
        <f>IF([1]Source!BC4645&lt;&gt; 0, [1]Source!BC4645, 1)</f>
        <v>10.029999999999999</v>
      </c>
      <c r="K4913" s="30">
        <f>[1]Source!O4645</f>
        <v>2288.9499999999998</v>
      </c>
      <c r="Q4913">
        <f>[1]Source!X4644</f>
        <v>0</v>
      </c>
      <c r="R4913">
        <f>[1]Source!X4645</f>
        <v>0</v>
      </c>
      <c r="S4913">
        <f>[1]Source!Y4644</f>
        <v>0</v>
      </c>
      <c r="T4913">
        <f>[1]Source!Y4645</f>
        <v>0</v>
      </c>
      <c r="U4913">
        <f>ROUND((175/100)*ROUND([1]Source!R4644, 2), 2)</f>
        <v>0</v>
      </c>
      <c r="V4913">
        <f>ROUND((0/100)*ROUND([1]Source!R4645, 2), 2)</f>
        <v>0</v>
      </c>
      <c r="AC4913">
        <v>3</v>
      </c>
    </row>
    <row r="4914" spans="1:29" ht="41.4" hidden="1" x14ac:dyDescent="0.25">
      <c r="A4914" s="27" t="s">
        <v>892</v>
      </c>
      <c r="B4914" s="27" t="str">
        <f>[1]Source!F4646</f>
        <v>1.1-1-3257</v>
      </c>
      <c r="C4914" s="27" t="s">
        <v>129</v>
      </c>
      <c r="D4914" s="28" t="str">
        <f>[1]Source!H4646</f>
        <v>кг</v>
      </c>
      <c r="E4914" s="29">
        <f>[1]Source!I4646</f>
        <v>21.462</v>
      </c>
      <c r="F4914" s="30">
        <f>[1]Source!AK4646</f>
        <v>17.3</v>
      </c>
      <c r="G4914" s="43" t="s">
        <v>54</v>
      </c>
      <c r="H4914" s="29">
        <f>[1]Source!AW4647</f>
        <v>1</v>
      </c>
      <c r="I4914" s="30">
        <f>[1]Source!O4646</f>
        <v>371.29</v>
      </c>
      <c r="J4914" s="29">
        <f>IF([1]Source!BC4647&lt;&gt; 0, [1]Source!BC4647, 1)</f>
        <v>5.93</v>
      </c>
      <c r="K4914" s="30">
        <f>[1]Source!O4647</f>
        <v>2201.75</v>
      </c>
      <c r="Q4914">
        <f>[1]Source!X4646</f>
        <v>0</v>
      </c>
      <c r="R4914">
        <f>[1]Source!X4647</f>
        <v>0</v>
      </c>
      <c r="S4914">
        <f>[1]Source!Y4646</f>
        <v>0</v>
      </c>
      <c r="T4914">
        <f>[1]Source!Y4647</f>
        <v>0</v>
      </c>
      <c r="U4914">
        <f>ROUND((175/100)*ROUND([1]Source!R4646, 2), 2)</f>
        <v>0</v>
      </c>
      <c r="V4914">
        <f>ROUND((0/100)*ROUND([1]Source!R4647, 2), 2)</f>
        <v>0</v>
      </c>
      <c r="AC4914">
        <v>3</v>
      </c>
    </row>
    <row r="4915" spans="1:29" ht="96.6" hidden="1" x14ac:dyDescent="0.25">
      <c r="A4915" s="27" t="s">
        <v>893</v>
      </c>
      <c r="B4915" s="27" t="str">
        <f>[1]Source!F4648</f>
        <v>1.3-2-50</v>
      </c>
      <c r="C4915" s="27" t="s">
        <v>131</v>
      </c>
      <c r="D4915" s="28" t="str">
        <f>[1]Source!H4648</f>
        <v>т</v>
      </c>
      <c r="E4915" s="29">
        <f>[1]Source!I4648</f>
        <v>0.12264</v>
      </c>
      <c r="F4915" s="30">
        <f>[1]Source!AK4648</f>
        <v>5978.05</v>
      </c>
      <c r="G4915" s="43" t="s">
        <v>54</v>
      </c>
      <c r="H4915" s="29">
        <f>[1]Source!AW4649</f>
        <v>1</v>
      </c>
      <c r="I4915" s="30">
        <f>[1]Source!O4648</f>
        <v>733.15</v>
      </c>
      <c r="J4915" s="29">
        <f>IF([1]Source!BC4649&lt;&gt; 0, [1]Source!BC4649, 1)</f>
        <v>15.31</v>
      </c>
      <c r="K4915" s="30">
        <f>[1]Source!O4649</f>
        <v>11224.53</v>
      </c>
      <c r="Q4915">
        <f>[1]Source!X4648</f>
        <v>0</v>
      </c>
      <c r="R4915">
        <f>[1]Source!X4649</f>
        <v>0</v>
      </c>
      <c r="S4915">
        <f>[1]Source!Y4648</f>
        <v>0</v>
      </c>
      <c r="T4915">
        <f>[1]Source!Y4649</f>
        <v>0</v>
      </c>
      <c r="U4915">
        <f>ROUND((175/100)*ROUND([1]Source!R4648, 2), 2)</f>
        <v>0</v>
      </c>
      <c r="V4915">
        <f>ROUND((0/100)*ROUND([1]Source!R4649, 2), 2)</f>
        <v>0</v>
      </c>
      <c r="AC4915">
        <v>3</v>
      </c>
    </row>
    <row r="4916" spans="1:29" ht="69" hidden="1" x14ac:dyDescent="0.25">
      <c r="A4916" s="27" t="s">
        <v>894</v>
      </c>
      <c r="B4916" s="27" t="str">
        <f>[1]Source!F4650</f>
        <v>1.3-2-35</v>
      </c>
      <c r="C4916" s="27" t="s">
        <v>634</v>
      </c>
      <c r="D4916" s="28" t="str">
        <f>[1]Source!H4650</f>
        <v>т</v>
      </c>
      <c r="E4916" s="29">
        <f>[1]Source!I4650</f>
        <v>1.104833</v>
      </c>
      <c r="F4916" s="30">
        <f>[1]Source!AK4650</f>
        <v>1669.7</v>
      </c>
      <c r="G4916" s="43" t="s">
        <v>54</v>
      </c>
      <c r="H4916" s="29">
        <f>[1]Source!AW4651</f>
        <v>1</v>
      </c>
      <c r="I4916" s="30">
        <f>[1]Source!O4650</f>
        <v>1844.74</v>
      </c>
      <c r="J4916" s="29">
        <f>IF([1]Source!BC4651&lt;&gt; 0, [1]Source!BC4651, 1)</f>
        <v>8</v>
      </c>
      <c r="K4916" s="30">
        <f>[1]Source!O4651</f>
        <v>14757.92</v>
      </c>
      <c r="Q4916">
        <f>[1]Source!X4650</f>
        <v>0</v>
      </c>
      <c r="R4916">
        <f>[1]Source!X4651</f>
        <v>0</v>
      </c>
      <c r="S4916">
        <f>[1]Source!Y4650</f>
        <v>0</v>
      </c>
      <c r="T4916">
        <f>[1]Source!Y4651</f>
        <v>0</v>
      </c>
      <c r="U4916">
        <f>ROUND((175/100)*ROUND([1]Source!R4650, 2), 2)</f>
        <v>0</v>
      </c>
      <c r="V4916">
        <f>ROUND((0/100)*ROUND([1]Source!R4651, 2), 2)</f>
        <v>0</v>
      </c>
      <c r="AC4916">
        <v>3</v>
      </c>
    </row>
    <row r="4917" spans="1:29" ht="55.2" hidden="1" x14ac:dyDescent="0.25">
      <c r="A4917" s="27" t="s">
        <v>895</v>
      </c>
      <c r="B4917" s="27" t="str">
        <f>[1]Source!F4652</f>
        <v>1.1-1-3225</v>
      </c>
      <c r="C4917" s="27" t="s">
        <v>126</v>
      </c>
      <c r="D4917" s="28" t="str">
        <f>[1]Source!H4652</f>
        <v>м2</v>
      </c>
      <c r="E4917" s="29">
        <f>[1]Source!I4652</f>
        <v>156.36600000000001</v>
      </c>
      <c r="F4917" s="30">
        <f>[1]Source!AK4652</f>
        <v>124.57</v>
      </c>
      <c r="G4917" s="43" t="s">
        <v>54</v>
      </c>
      <c r="H4917" s="29">
        <f>[1]Source!AW4653</f>
        <v>1</v>
      </c>
      <c r="I4917" s="30">
        <f>[1]Source!O4652</f>
        <v>19478.509999999998</v>
      </c>
      <c r="J4917" s="29">
        <f>IF([1]Source!BC4653&lt;&gt; 0, [1]Source!BC4653, 1)</f>
        <v>6.63</v>
      </c>
      <c r="K4917" s="30">
        <f>[1]Source!O4653</f>
        <v>129142.52</v>
      </c>
      <c r="Q4917">
        <f>[1]Source!X4652</f>
        <v>0</v>
      </c>
      <c r="R4917">
        <f>[1]Source!X4653</f>
        <v>0</v>
      </c>
      <c r="S4917">
        <f>[1]Source!Y4652</f>
        <v>0</v>
      </c>
      <c r="T4917">
        <f>[1]Source!Y4653</f>
        <v>0</v>
      </c>
      <c r="U4917">
        <f>ROUND((175/100)*ROUND([1]Source!R4652, 2), 2)</f>
        <v>0</v>
      </c>
      <c r="V4917">
        <f>ROUND((0/100)*ROUND([1]Source!R4653, 2), 2)</f>
        <v>0</v>
      </c>
      <c r="AC4917">
        <v>3</v>
      </c>
    </row>
    <row r="4918" spans="1:29" ht="14.4" hidden="1" x14ac:dyDescent="0.25">
      <c r="A4918" s="27"/>
      <c r="B4918" s="27"/>
      <c r="C4918" s="27" t="s">
        <v>42</v>
      </c>
      <c r="D4918" s="28" t="s">
        <v>43</v>
      </c>
      <c r="E4918" s="29">
        <f>[1]Source!BZ4643</f>
        <v>101</v>
      </c>
      <c r="F4918" s="30"/>
      <c r="G4918" s="31"/>
      <c r="H4918" s="29"/>
      <c r="I4918" s="30">
        <f>SUM(Q4907:Q4917)</f>
        <v>4034.64</v>
      </c>
      <c r="J4918" s="29">
        <f>[1]Source!AT4643</f>
        <v>101</v>
      </c>
      <c r="K4918" s="30">
        <f>SUM(R4907:R4917)</f>
        <v>227351.79</v>
      </c>
    </row>
    <row r="4919" spans="1:29" ht="14.4" hidden="1" x14ac:dyDescent="0.25">
      <c r="A4919" s="27"/>
      <c r="B4919" s="27"/>
      <c r="C4919" s="27" t="s">
        <v>44</v>
      </c>
      <c r="D4919" s="28" t="s">
        <v>43</v>
      </c>
      <c r="E4919" s="29">
        <f>[1]Source!CA4643</f>
        <v>55</v>
      </c>
      <c r="F4919" s="30"/>
      <c r="G4919" s="31"/>
      <c r="H4919" s="29"/>
      <c r="I4919" s="30">
        <f>SUM(S4907:S4918)</f>
        <v>2197.08</v>
      </c>
      <c r="J4919" s="29">
        <f>[1]Source!AU4643</f>
        <v>55</v>
      </c>
      <c r="K4919" s="30">
        <f>SUM(T4907:T4918)</f>
        <v>123805.43</v>
      </c>
    </row>
    <row r="4920" spans="1:29" ht="14.4" hidden="1" x14ac:dyDescent="0.25">
      <c r="A4920" s="34"/>
      <c r="B4920" s="34"/>
      <c r="C4920" s="34" t="s">
        <v>45</v>
      </c>
      <c r="D4920" s="35" t="s">
        <v>46</v>
      </c>
      <c r="E4920" s="36">
        <f>[1]Source!AQ4642</f>
        <v>10.73</v>
      </c>
      <c r="F4920" s="37"/>
      <c r="G4920" s="38" t="s">
        <v>37</v>
      </c>
      <c r="H4920" s="36">
        <f>[1]Source!AV4643</f>
        <v>1.0469999999999999</v>
      </c>
      <c r="I4920" s="37">
        <f>[1]Source!U4642</f>
        <v>237.66632177399995</v>
      </c>
      <c r="J4920" s="36"/>
      <c r="K4920" s="37"/>
    </row>
    <row r="4921" spans="1:29" ht="13.8" hidden="1" x14ac:dyDescent="0.25">
      <c r="C4921" s="39" t="s">
        <v>47</v>
      </c>
      <c r="H4921" s="40">
        <f>I4909+I4910+I4912+I4918+I4919+SUM(I4913:I4917)-SUMIF(AC4913:AC4917, 5, I4913:I4917)-SUMIF(AC4913:AC4917, 6, I4913:I4917)</f>
        <v>33030.46</v>
      </c>
      <c r="I4921" s="40"/>
      <c r="J4921" s="40">
        <f>K4909+K4910+K4912+K4918+K4919+SUM(K4913:K4917)-SUMIF(AC4913:AC4917, 5, K4913:K4917)-SUMIF(AC4913:AC4917, 6, K4913:K4917)</f>
        <v>737478.64</v>
      </c>
      <c r="K4921" s="40"/>
    </row>
    <row r="4922" spans="1:29" ht="13.8" hidden="1" x14ac:dyDescent="0.25">
      <c r="C4922" s="39" t="s">
        <v>48</v>
      </c>
      <c r="H4922" s="41">
        <f>SUMIF(AC4913:AC4917, 5, I4913:I4917)+SUMIF(AC4913:AC4917, 6, I4913:I4917)</f>
        <v>0</v>
      </c>
      <c r="I4922" s="41"/>
      <c r="J4922" s="41">
        <f>SUMIF(AC4913:AC4917, 5, K4913:K4917)+SUMIF(AC4913:AC4917, 6, K4913:K4917)</f>
        <v>0</v>
      </c>
      <c r="K4922" s="41"/>
    </row>
    <row r="4923" spans="1:29" ht="13.8" hidden="1" x14ac:dyDescent="0.25">
      <c r="C4923" s="39" t="s">
        <v>49</v>
      </c>
      <c r="H4923" s="41">
        <f>I4909+I4910+I4912+I4918+I4919+SUM(I4913:I4917)</f>
        <v>33030.46</v>
      </c>
      <c r="I4923" s="41"/>
      <c r="J4923" s="41">
        <f>K4909+K4910+K4912+K4918+K4919+SUM(K4913:K4917)</f>
        <v>737478.64</v>
      </c>
      <c r="K4923" s="41"/>
      <c r="O4923" s="42">
        <f>I4909+I4910+I4912+I4918+I4919+SUM(I4913:I4917)</f>
        <v>33030.46</v>
      </c>
      <c r="P4923" s="42">
        <f>K4909+K4910+K4912+K4918+K4919+SUM(K4913:K4917)</f>
        <v>737478.64</v>
      </c>
    </row>
    <row r="4924" spans="1:29" hidden="1" x14ac:dyDescent="0.25"/>
    <row r="4925" spans="1:29" hidden="1" x14ac:dyDescent="0.25"/>
    <row r="4926" spans="1:29" ht="13.8" hidden="1" x14ac:dyDescent="0.25">
      <c r="A4926" s="44" t="str">
        <f>CONCATENATE("Итого по подразделу: ",IF([1]Source!G4655&lt;&gt;"Новый подраздел", [1]Source!G4655, ""))</f>
        <v>Итого по подразделу: Керамогранитный плинтус 95х600 мм</v>
      </c>
      <c r="B4926" s="44"/>
      <c r="C4926" s="44"/>
      <c r="D4926" s="44"/>
      <c r="E4926" s="44"/>
      <c r="F4926" s="44"/>
      <c r="G4926" s="44"/>
      <c r="H4926" s="41">
        <f>SUM(O4906:O4925)</f>
        <v>33030.46</v>
      </c>
      <c r="I4926" s="45"/>
      <c r="J4926" s="41">
        <f>SUM(P4906:P4925)</f>
        <v>737478.64</v>
      </c>
      <c r="K4926" s="45"/>
    </row>
    <row r="4927" spans="1:29" hidden="1" x14ac:dyDescent="0.25">
      <c r="A4927" t="s">
        <v>55</v>
      </c>
      <c r="I4927">
        <f>SUM(W4906:W4926)</f>
        <v>0</v>
      </c>
      <c r="J4927">
        <f>SUM(X4906:X4926)</f>
        <v>0</v>
      </c>
    </row>
    <row r="4928" spans="1:29" hidden="1" x14ac:dyDescent="0.25">
      <c r="A4928" t="s">
        <v>56</v>
      </c>
      <c r="I4928">
        <f>SUM(Y4906:Y4927)</f>
        <v>0</v>
      </c>
      <c r="J4928">
        <f>SUM(Z4906:Z4927)</f>
        <v>0</v>
      </c>
    </row>
    <row r="4929" spans="1:29" hidden="1" x14ac:dyDescent="0.25"/>
    <row r="4930" spans="1:29" ht="16.8" hidden="1" x14ac:dyDescent="0.25">
      <c r="A4930" s="11" t="str">
        <f>CONCATENATE("Подраздел: ",IF([1]Source!G4685&lt;&gt;"Новый подраздел", [1]Source!G4685, ""))</f>
        <v>Подраздел: Коннелюрный плинтус (для завода покрытий на стену) 25х100 мм</v>
      </c>
      <c r="B4930" s="11"/>
      <c r="C4930" s="11"/>
      <c r="D4930" s="11"/>
      <c r="E4930" s="11"/>
      <c r="F4930" s="11"/>
      <c r="G4930" s="11"/>
      <c r="H4930" s="11"/>
      <c r="I4930" s="11"/>
      <c r="J4930" s="11"/>
      <c r="K4930" s="11"/>
    </row>
    <row r="4931" spans="1:29" ht="43.2" hidden="1" x14ac:dyDescent="0.25">
      <c r="A4931" s="27">
        <v>452</v>
      </c>
      <c r="B4931" s="27" t="str">
        <f>[1]Source!F4689</f>
        <v>3.70-207-1</v>
      </c>
      <c r="C4931" s="27" t="s">
        <v>896</v>
      </c>
      <c r="D4931" s="28" t="str">
        <f>[1]Source!H4689</f>
        <v>100 м плинтусов</v>
      </c>
      <c r="E4931" s="29">
        <f>[1]Source!I4689</f>
        <v>0.55000000000000004</v>
      </c>
      <c r="F4931" s="30"/>
      <c r="G4931" s="31"/>
      <c r="H4931" s="29"/>
      <c r="I4931" s="30"/>
      <c r="J4931" s="29"/>
      <c r="K4931" s="30"/>
      <c r="Q4931">
        <f>[1]Source!X4689</f>
        <v>124.09</v>
      </c>
      <c r="R4931">
        <f>[1]Source!X4690</f>
        <v>6992.4</v>
      </c>
      <c r="S4931">
        <f>[1]Source!Y4689</f>
        <v>67.569999999999993</v>
      </c>
      <c r="T4931">
        <f>[1]Source!Y4690</f>
        <v>3807.74</v>
      </c>
      <c r="U4931">
        <f>ROUND((175/100)*ROUND([1]Source!R4689, 2), 2)</f>
        <v>0.57999999999999996</v>
      </c>
      <c r="V4931">
        <f>ROUND((0/100)*ROUND([1]Source!R4690, 2), 2)</f>
        <v>0</v>
      </c>
      <c r="AC4931">
        <v>0</v>
      </c>
    </row>
    <row r="4932" spans="1:29" hidden="1" x14ac:dyDescent="0.25">
      <c r="C4932" s="32" t="str">
        <f>"Объем: "&amp;[1]Source!I4689&amp;"=55/"&amp;"100"</f>
        <v>Объем: 0,55=55/100</v>
      </c>
    </row>
    <row r="4933" spans="1:29" ht="14.4" hidden="1" x14ac:dyDescent="0.25">
      <c r="A4933" s="27"/>
      <c r="B4933" s="27"/>
      <c r="C4933" s="27" t="s">
        <v>36</v>
      </c>
      <c r="D4933" s="28"/>
      <c r="E4933" s="29"/>
      <c r="F4933" s="30">
        <f>[1]Source!AO4689</f>
        <v>154.19</v>
      </c>
      <c r="G4933" s="31" t="s">
        <v>568</v>
      </c>
      <c r="H4933" s="29">
        <f>[1]Source!AV4690</f>
        <v>1.0469999999999999</v>
      </c>
      <c r="I4933" s="30">
        <f>[1]Source!S4689</f>
        <v>122.53</v>
      </c>
      <c r="J4933" s="29">
        <f>IF([1]Source!BA4690&lt;&gt; 0, [1]Source!BA4690, 1)</f>
        <v>56.35</v>
      </c>
      <c r="K4933" s="30">
        <f>[1]Source!S4690</f>
        <v>6904.57</v>
      </c>
    </row>
    <row r="4934" spans="1:29" ht="14.4" hidden="1" x14ac:dyDescent="0.25">
      <c r="A4934" s="27"/>
      <c r="B4934" s="27"/>
      <c r="C4934" s="27" t="s">
        <v>38</v>
      </c>
      <c r="D4934" s="28"/>
      <c r="E4934" s="29"/>
      <c r="F4934" s="30">
        <f>[1]Source!AM4689</f>
        <v>2.4900000000000002</v>
      </c>
      <c r="G4934" s="31" t="s">
        <v>569</v>
      </c>
      <c r="H4934" s="29">
        <f>[1]Source!AV4690</f>
        <v>1.0469999999999999</v>
      </c>
      <c r="I4934" s="30">
        <f>[1]Source!Q4689</f>
        <v>2.15</v>
      </c>
      <c r="J4934" s="29">
        <f>IF([1]Source!BB4690&lt;&gt; 0, [1]Source!BB4690, 1)</f>
        <v>17.09</v>
      </c>
      <c r="K4934" s="30">
        <f>[1]Source!Q4690</f>
        <v>36.74</v>
      </c>
    </row>
    <row r="4935" spans="1:29" ht="14.4" hidden="1" x14ac:dyDescent="0.25">
      <c r="A4935" s="27"/>
      <c r="B4935" s="27"/>
      <c r="C4935" s="27" t="s">
        <v>40</v>
      </c>
      <c r="D4935" s="28"/>
      <c r="E4935" s="29"/>
      <c r="F4935" s="30">
        <f>[1]Source!AN4689</f>
        <v>0.38</v>
      </c>
      <c r="G4935" s="31" t="s">
        <v>569</v>
      </c>
      <c r="H4935" s="29">
        <f>[1]Source!AV4690</f>
        <v>1.0469999999999999</v>
      </c>
      <c r="I4935" s="33">
        <f>[1]Source!R4689</f>
        <v>0.33</v>
      </c>
      <c r="J4935" s="29">
        <f>IF([1]Source!BS4690&lt;&gt; 0, [1]Source!BS4690, 1)</f>
        <v>56.35</v>
      </c>
      <c r="K4935" s="33">
        <f>[1]Source!R4690</f>
        <v>18.600000000000001</v>
      </c>
    </row>
    <row r="4936" spans="1:29" ht="27.6" hidden="1" x14ac:dyDescent="0.25">
      <c r="A4936" s="27" t="s">
        <v>897</v>
      </c>
      <c r="B4936" s="27" t="str">
        <f>[1]Source!F4691</f>
        <v>1.1-1-394</v>
      </c>
      <c r="C4936" s="27" t="s">
        <v>757</v>
      </c>
      <c r="D4936" s="28" t="str">
        <f>[1]Source!H4691</f>
        <v>кг</v>
      </c>
      <c r="E4936" s="29">
        <f>[1]Source!I4691</f>
        <v>2.8325</v>
      </c>
      <c r="F4936" s="30">
        <f>[1]Source!AK4691</f>
        <v>9.98</v>
      </c>
      <c r="G4936" s="43" t="s">
        <v>54</v>
      </c>
      <c r="H4936" s="29">
        <f>[1]Source!AW4692</f>
        <v>1</v>
      </c>
      <c r="I4936" s="30">
        <f>[1]Source!O4691</f>
        <v>28.27</v>
      </c>
      <c r="J4936" s="29">
        <f>IF([1]Source!BC4692&lt;&gt; 0, [1]Source!BC4692, 1)</f>
        <v>8.49</v>
      </c>
      <c r="K4936" s="30">
        <f>[1]Source!O4692</f>
        <v>240.01</v>
      </c>
      <c r="Q4936">
        <f>[1]Source!X4691</f>
        <v>0</v>
      </c>
      <c r="R4936">
        <f>[1]Source!X4692</f>
        <v>0</v>
      </c>
      <c r="S4936">
        <f>[1]Source!Y4691</f>
        <v>0</v>
      </c>
      <c r="T4936">
        <f>[1]Source!Y4692</f>
        <v>0</v>
      </c>
      <c r="U4936">
        <f>ROUND((175/100)*ROUND([1]Source!R4691, 2), 2)</f>
        <v>0</v>
      </c>
      <c r="V4936">
        <f>ROUND((0/100)*ROUND([1]Source!R4692, 2), 2)</f>
        <v>0</v>
      </c>
      <c r="AC4936">
        <v>3</v>
      </c>
    </row>
    <row r="4937" spans="1:29" ht="54.6" x14ac:dyDescent="0.25">
      <c r="A4937" s="53" t="s">
        <v>898</v>
      </c>
      <c r="B4937" s="53" t="str">
        <f>[1]Source!F4693</f>
        <v>КА-189</v>
      </c>
      <c r="C4937" s="53" t="s">
        <v>899</v>
      </c>
      <c r="D4937" s="54" t="str">
        <f>[1]Source!H4693</f>
        <v>ПМ</v>
      </c>
      <c r="E4937" s="55">
        <f>[1]Source!I4693</f>
        <v>55.55</v>
      </c>
      <c r="F4937" s="30">
        <f>[1]Source!AK4693</f>
        <v>9.34</v>
      </c>
      <c r="G4937" s="43" t="s">
        <v>54</v>
      </c>
      <c r="H4937" s="29">
        <f>[1]Source!AW4694</f>
        <v>1</v>
      </c>
      <c r="I4937" s="30">
        <f>[1]Source!O4693</f>
        <v>518.84</v>
      </c>
      <c r="J4937" s="29">
        <f>IF([1]Source!BC4694&lt;&gt; 0, [1]Source!BC4694, 1)</f>
        <v>9.84</v>
      </c>
      <c r="K4937" s="56">
        <f>[1]Source!O4694</f>
        <v>5105.3900000000003</v>
      </c>
      <c r="L4937">
        <v>110</v>
      </c>
      <c r="M4937" s="50">
        <f t="shared" ref="M4937:M4938" si="45">L4937*E4937</f>
        <v>6110.5</v>
      </c>
      <c r="N4937" s="59" t="s">
        <v>180</v>
      </c>
      <c r="Q4937">
        <f>[1]Source!X4693</f>
        <v>0</v>
      </c>
      <c r="R4937">
        <f>[1]Source!X4694</f>
        <v>0</v>
      </c>
      <c r="S4937">
        <f>[1]Source!Y4693</f>
        <v>0</v>
      </c>
      <c r="T4937">
        <f>[1]Source!Y4694</f>
        <v>0</v>
      </c>
      <c r="U4937">
        <f>ROUND((175/100)*ROUND([1]Source!R4693, 2), 2)</f>
        <v>0</v>
      </c>
      <c r="V4937">
        <f>ROUND((0/100)*ROUND([1]Source!R4694, 2), 2)</f>
        <v>0</v>
      </c>
      <c r="AC4937">
        <v>3</v>
      </c>
    </row>
    <row r="4938" spans="1:29" ht="54.6" x14ac:dyDescent="0.25">
      <c r="A4938" s="53" t="s">
        <v>900</v>
      </c>
      <c r="B4938" s="53" t="str">
        <f>[1]Source!F4695</f>
        <v>КА-190</v>
      </c>
      <c r="C4938" s="53" t="s">
        <v>901</v>
      </c>
      <c r="D4938" s="54" t="str">
        <f>[1]Source!H4695</f>
        <v>ПМ</v>
      </c>
      <c r="E4938" s="55">
        <f>[1]Source!I4695</f>
        <v>55.55</v>
      </c>
      <c r="F4938" s="30">
        <f>[1]Source!AK4695</f>
        <v>19.54</v>
      </c>
      <c r="G4938" s="43" t="s">
        <v>54</v>
      </c>
      <c r="H4938" s="29">
        <f>[1]Source!AW4696</f>
        <v>1</v>
      </c>
      <c r="I4938" s="30">
        <f>[1]Source!O4695</f>
        <v>1085.45</v>
      </c>
      <c r="J4938" s="29">
        <f>IF([1]Source!BC4696&lt;&gt; 0, [1]Source!BC4696, 1)</f>
        <v>9.84</v>
      </c>
      <c r="K4938" s="56">
        <f>[1]Source!O4696</f>
        <v>10680.83</v>
      </c>
      <c r="L4938">
        <v>230</v>
      </c>
      <c r="M4938" s="50">
        <f t="shared" si="45"/>
        <v>12776.5</v>
      </c>
      <c r="N4938" s="59" t="s">
        <v>180</v>
      </c>
      <c r="Q4938">
        <f>[1]Source!X4695</f>
        <v>0</v>
      </c>
      <c r="R4938">
        <f>[1]Source!X4696</f>
        <v>0</v>
      </c>
      <c r="S4938">
        <f>[1]Source!Y4695</f>
        <v>0</v>
      </c>
      <c r="T4938">
        <f>[1]Source!Y4696</f>
        <v>0</v>
      </c>
      <c r="U4938">
        <f>ROUND((175/100)*ROUND([1]Source!R4695, 2), 2)</f>
        <v>0</v>
      </c>
      <c r="V4938">
        <f>ROUND((0/100)*ROUND([1]Source!R4696, 2), 2)</f>
        <v>0</v>
      </c>
      <c r="AC4938">
        <v>3</v>
      </c>
    </row>
    <row r="4939" spans="1:29" ht="14.4" hidden="1" x14ac:dyDescent="0.25">
      <c r="A4939" s="27"/>
      <c r="B4939" s="27"/>
      <c r="C4939" s="27" t="s">
        <v>42</v>
      </c>
      <c r="D4939" s="28" t="s">
        <v>43</v>
      </c>
      <c r="E4939" s="29">
        <f>[1]Source!BZ4690</f>
        <v>101</v>
      </c>
      <c r="F4939" s="30"/>
      <c r="G4939" s="31"/>
      <c r="H4939" s="29"/>
      <c r="I4939" s="30">
        <f>SUM(Q4931:Q4938)</f>
        <v>124.09</v>
      </c>
      <c r="J4939" s="29">
        <f>[1]Source!AT4690</f>
        <v>101</v>
      </c>
      <c r="K4939" s="30">
        <f>SUM(R4931:R4938)</f>
        <v>6992.4</v>
      </c>
    </row>
    <row r="4940" spans="1:29" ht="14.4" hidden="1" x14ac:dyDescent="0.25">
      <c r="A4940" s="27"/>
      <c r="B4940" s="27"/>
      <c r="C4940" s="27" t="s">
        <v>44</v>
      </c>
      <c r="D4940" s="28" t="s">
        <v>43</v>
      </c>
      <c r="E4940" s="29">
        <f>[1]Source!CA4690</f>
        <v>55</v>
      </c>
      <c r="F4940" s="30"/>
      <c r="G4940" s="31"/>
      <c r="H4940" s="29"/>
      <c r="I4940" s="30">
        <f>SUM(S4931:S4939)</f>
        <v>67.569999999999993</v>
      </c>
      <c r="J4940" s="29">
        <f>[1]Source!AU4690</f>
        <v>55</v>
      </c>
      <c r="K4940" s="30">
        <f>SUM(T4931:T4939)</f>
        <v>3807.74</v>
      </c>
    </row>
    <row r="4941" spans="1:29" ht="14.4" hidden="1" x14ac:dyDescent="0.25">
      <c r="A4941" s="34"/>
      <c r="B4941" s="34"/>
      <c r="C4941" s="34" t="s">
        <v>45</v>
      </c>
      <c r="D4941" s="35" t="s">
        <v>46</v>
      </c>
      <c r="E4941" s="36">
        <f>[1]Source!AQ4689</f>
        <v>8.99</v>
      </c>
      <c r="F4941" s="37"/>
      <c r="G4941" s="38" t="s">
        <v>568</v>
      </c>
      <c r="H4941" s="36">
        <f>[1]Source!AV4690</f>
        <v>1.0469999999999999</v>
      </c>
      <c r="I4941" s="37">
        <f>[1]Source!U4689</f>
        <v>7.1441102699999997</v>
      </c>
      <c r="J4941" s="36"/>
      <c r="K4941" s="37"/>
    </row>
    <row r="4942" spans="1:29" ht="13.8" hidden="1" x14ac:dyDescent="0.25">
      <c r="C4942" s="39" t="s">
        <v>47</v>
      </c>
      <c r="H4942" s="40">
        <f>I4933+I4934+I4939+I4940+SUM(I4936:I4938)-SUMIF(AC4936:AC4938, 5, I4936:I4938)-SUMIF(AC4936:AC4938, 6, I4936:I4938)</f>
        <v>1948.9</v>
      </c>
      <c r="I4942" s="40"/>
      <c r="J4942" s="40">
        <f>K4933+K4934+K4939+K4940+SUM(K4936:K4938)-SUMIF(AC4936:AC4938, 5, K4936:K4938)-SUMIF(AC4936:AC4938, 6, K4936:K4938)</f>
        <v>33767.679999999993</v>
      </c>
      <c r="K4942" s="40"/>
    </row>
    <row r="4943" spans="1:29" ht="13.8" hidden="1" x14ac:dyDescent="0.25">
      <c r="C4943" s="39" t="s">
        <v>48</v>
      </c>
      <c r="H4943" s="41">
        <f>SUMIF(AC4936:AC4938, 5, I4936:I4938)+SUMIF(AC4936:AC4938, 6, I4936:I4938)</f>
        <v>0</v>
      </c>
      <c r="I4943" s="41"/>
      <c r="J4943" s="41">
        <f>SUMIF(AC4936:AC4938, 5, K4936:K4938)+SUMIF(AC4936:AC4938, 6, K4936:K4938)</f>
        <v>0</v>
      </c>
      <c r="K4943" s="41"/>
    </row>
    <row r="4944" spans="1:29" ht="13.8" hidden="1" x14ac:dyDescent="0.25">
      <c r="C4944" s="39" t="s">
        <v>49</v>
      </c>
      <c r="H4944" s="41">
        <f>I4933+I4934+I4939+I4940+SUM(I4936:I4938)</f>
        <v>1948.9</v>
      </c>
      <c r="I4944" s="41"/>
      <c r="J4944" s="41">
        <f>K4933+K4934+K4939+K4940+SUM(K4936:K4938)</f>
        <v>33767.679999999993</v>
      </c>
      <c r="K4944" s="41"/>
      <c r="O4944" s="42">
        <f>I4933+I4934+I4939+I4940+SUM(I4936:I4938)</f>
        <v>1948.9</v>
      </c>
      <c r="P4944" s="42">
        <f>K4933+K4934+K4939+K4940+SUM(K4936:K4938)</f>
        <v>33767.679999999993</v>
      </c>
    </row>
    <row r="4945" spans="1:43" hidden="1" x14ac:dyDescent="0.25"/>
    <row r="4946" spans="1:43" hidden="1" x14ac:dyDescent="0.25"/>
    <row r="4947" spans="1:43" ht="13.8" hidden="1" x14ac:dyDescent="0.25">
      <c r="A4947" s="44" t="str">
        <f>CONCATENATE("Итого по подразделу: ",IF([1]Source!G4698&lt;&gt;"Новый подраздел", [1]Source!G4698, ""))</f>
        <v>Итого по подразделу: Коннелюрный плинтус (для завода покрытий на стену) 25х100 мм</v>
      </c>
      <c r="B4947" s="44"/>
      <c r="C4947" s="44"/>
      <c r="D4947" s="44"/>
      <c r="E4947" s="44"/>
      <c r="F4947" s="44"/>
      <c r="G4947" s="44"/>
      <c r="H4947" s="41">
        <f>SUM(O4930:O4946)</f>
        <v>1948.9</v>
      </c>
      <c r="I4947" s="45"/>
      <c r="J4947" s="41">
        <f>SUM(P4930:P4946)</f>
        <v>33767.679999999993</v>
      </c>
      <c r="K4947" s="45"/>
      <c r="AQ4947" s="52" t="str">
        <f>CONCATENATE("Итого по подразделу: ",IF([1]Source!G4698&lt;&gt;"Новый подраздел", [1]Source!G4698, ""))</f>
        <v>Итого по подразделу: Коннелюрный плинтус (для завода покрытий на стену) 25х100 мм</v>
      </c>
    </row>
    <row r="4948" spans="1:43" hidden="1" x14ac:dyDescent="0.25">
      <c r="A4948" t="s">
        <v>55</v>
      </c>
      <c r="I4948">
        <f>SUM(W4930:W4947)</f>
        <v>0</v>
      </c>
      <c r="J4948">
        <f>SUM(X4930:X4947)</f>
        <v>0</v>
      </c>
    </row>
    <row r="4949" spans="1:43" hidden="1" x14ac:dyDescent="0.25">
      <c r="A4949" t="s">
        <v>56</v>
      </c>
      <c r="I4949">
        <f>SUM(Y4930:Y4948)</f>
        <v>0</v>
      </c>
      <c r="J4949">
        <f>SUM(Z4930:Z4948)</f>
        <v>0</v>
      </c>
    </row>
    <row r="4950" spans="1:43" hidden="1" x14ac:dyDescent="0.25"/>
    <row r="4951" spans="1:43" ht="16.8" hidden="1" x14ac:dyDescent="0.25">
      <c r="A4951" s="11" t="str">
        <f>CONCATENATE("Подраздел: ",IF([1]Source!G4728&lt;&gt;"Новый подраздел", [1]Source!G4728, ""))</f>
        <v>Подраздел: Плинтус вентилируемый из массива сосны срощенный</v>
      </c>
      <c r="B4951" s="11"/>
      <c r="C4951" s="11"/>
      <c r="D4951" s="11"/>
      <c r="E4951" s="11"/>
      <c r="F4951" s="11"/>
      <c r="G4951" s="11"/>
      <c r="H4951" s="11"/>
      <c r="I4951" s="11"/>
      <c r="J4951" s="11"/>
      <c r="K4951" s="11"/>
    </row>
    <row r="4952" spans="1:43" ht="43.2" hidden="1" x14ac:dyDescent="0.25">
      <c r="A4952" s="27">
        <v>453</v>
      </c>
      <c r="B4952" s="27" t="str">
        <f>[1]Source!F4732</f>
        <v>3.70-206-1</v>
      </c>
      <c r="C4952" s="27" t="s">
        <v>902</v>
      </c>
      <c r="D4952" s="28" t="str">
        <f>[1]Source!H4732</f>
        <v>100 м плинтусов</v>
      </c>
      <c r="E4952" s="29">
        <f>[1]Source!I4732</f>
        <v>2.31</v>
      </c>
      <c r="F4952" s="30"/>
      <c r="G4952" s="31"/>
      <c r="H4952" s="29"/>
      <c r="I4952" s="30"/>
      <c r="J4952" s="29"/>
      <c r="K4952" s="30"/>
      <c r="Q4952">
        <f>[1]Source!X4732</f>
        <v>390.05</v>
      </c>
      <c r="R4952">
        <f>[1]Source!X4733</f>
        <v>21979.43</v>
      </c>
      <c r="S4952">
        <f>[1]Source!Y4732</f>
        <v>212.4</v>
      </c>
      <c r="T4952">
        <f>[1]Source!Y4733</f>
        <v>11969</v>
      </c>
      <c r="U4952">
        <f>ROUND((175/100)*ROUND([1]Source!R4732, 2), 2)</f>
        <v>6.41</v>
      </c>
      <c r="V4952">
        <f>ROUND((0/100)*ROUND([1]Source!R4733, 2), 2)</f>
        <v>0</v>
      </c>
      <c r="AC4952">
        <v>0</v>
      </c>
    </row>
    <row r="4953" spans="1:43" hidden="1" x14ac:dyDescent="0.25">
      <c r="C4953" s="32" t="str">
        <f>"Объем: "&amp;[1]Source!I4732&amp;"=(121+"&amp;"110)/"&amp;"100"</f>
        <v>Объем: 2,31=(121+110)/100</v>
      </c>
    </row>
    <row r="4954" spans="1:43" ht="14.4" hidden="1" x14ac:dyDescent="0.25">
      <c r="A4954" s="27"/>
      <c r="B4954" s="27"/>
      <c r="C4954" s="27" t="s">
        <v>36</v>
      </c>
      <c r="D4954" s="28"/>
      <c r="E4954" s="29"/>
      <c r="F4954" s="30">
        <f>[1]Source!AO4732</f>
        <v>114.61</v>
      </c>
      <c r="G4954" s="31" t="s">
        <v>37</v>
      </c>
      <c r="H4954" s="29">
        <f>[1]Source!AV4733</f>
        <v>1.0469999999999999</v>
      </c>
      <c r="I4954" s="30">
        <f>[1]Source!S4732</f>
        <v>382.53</v>
      </c>
      <c r="J4954" s="29">
        <f>IF([1]Source!BA4733&lt;&gt; 0, [1]Source!BA4733, 1)</f>
        <v>56.35</v>
      </c>
      <c r="K4954" s="30">
        <f>[1]Source!S4733</f>
        <v>21555.57</v>
      </c>
    </row>
    <row r="4955" spans="1:43" ht="14.4" hidden="1" x14ac:dyDescent="0.25">
      <c r="A4955" s="27"/>
      <c r="B4955" s="27"/>
      <c r="C4955" s="27" t="s">
        <v>38</v>
      </c>
      <c r="D4955" s="28"/>
      <c r="E4955" s="29"/>
      <c r="F4955" s="30">
        <f>[1]Source!AM4732</f>
        <v>6.65</v>
      </c>
      <c r="G4955" s="31" t="s">
        <v>39</v>
      </c>
      <c r="H4955" s="29">
        <f>[1]Source!AV4733</f>
        <v>1.0469999999999999</v>
      </c>
      <c r="I4955" s="30">
        <f>[1]Source!Q4732</f>
        <v>24.13</v>
      </c>
      <c r="J4955" s="29">
        <f>IF([1]Source!BB4733&lt;&gt; 0, [1]Source!BB4733, 1)</f>
        <v>17.059999999999999</v>
      </c>
      <c r="K4955" s="30">
        <f>[1]Source!Q4733</f>
        <v>411.66</v>
      </c>
    </row>
    <row r="4956" spans="1:43" ht="14.4" hidden="1" x14ac:dyDescent="0.25">
      <c r="A4956" s="27"/>
      <c r="B4956" s="27"/>
      <c r="C4956" s="27" t="s">
        <v>40</v>
      </c>
      <c r="D4956" s="28"/>
      <c r="E4956" s="29"/>
      <c r="F4956" s="30">
        <f>[1]Source!AN4732</f>
        <v>1.01</v>
      </c>
      <c r="G4956" s="31" t="s">
        <v>39</v>
      </c>
      <c r="H4956" s="29">
        <f>[1]Source!AV4733</f>
        <v>1.0469999999999999</v>
      </c>
      <c r="I4956" s="33">
        <f>[1]Source!R4732</f>
        <v>3.66</v>
      </c>
      <c r="J4956" s="29">
        <f>IF([1]Source!BS4733&lt;&gt; 0, [1]Source!BS4733, 1)</f>
        <v>56.35</v>
      </c>
      <c r="K4956" s="33">
        <f>[1]Source!R4733</f>
        <v>206.24</v>
      </c>
    </row>
    <row r="4957" spans="1:43" ht="14.4" hidden="1" x14ac:dyDescent="0.25">
      <c r="A4957" s="27"/>
      <c r="B4957" s="27"/>
      <c r="C4957" s="27" t="s">
        <v>41</v>
      </c>
      <c r="D4957" s="28"/>
      <c r="E4957" s="29"/>
      <c r="F4957" s="30">
        <f>[1]Source!AL4732</f>
        <v>6.38</v>
      </c>
      <c r="G4957" s="31"/>
      <c r="H4957" s="29">
        <f>[1]Source!AW4733</f>
        <v>1</v>
      </c>
      <c r="I4957" s="30">
        <f>[1]Source!P4732</f>
        <v>14.74</v>
      </c>
      <c r="J4957" s="29">
        <f>IF([1]Source!BC4733&lt;&gt; 0, [1]Source!BC4733, 1)</f>
        <v>9.98</v>
      </c>
      <c r="K4957" s="30">
        <f>[1]Source!P4733</f>
        <v>147.11000000000001</v>
      </c>
    </row>
    <row r="4958" spans="1:43" ht="40.799999999999997" x14ac:dyDescent="0.25">
      <c r="A4958" s="53" t="s">
        <v>903</v>
      </c>
      <c r="B4958" s="53" t="str">
        <f>[1]Source!F4734</f>
        <v>КА-191</v>
      </c>
      <c r="C4958" s="53" t="s">
        <v>904</v>
      </c>
      <c r="D4958" s="54" t="str">
        <f>[1]Source!H4734</f>
        <v>ПМ</v>
      </c>
      <c r="E4958" s="55">
        <f>[1]Source!I4734</f>
        <v>127.05</v>
      </c>
      <c r="F4958" s="30">
        <f>[1]Source!AK4734</f>
        <v>22.51</v>
      </c>
      <c r="G4958" s="43" t="s">
        <v>54</v>
      </c>
      <c r="H4958" s="29">
        <f>[1]Source!AW4735</f>
        <v>1</v>
      </c>
      <c r="I4958" s="30">
        <f>[1]Source!O4734</f>
        <v>2859.9</v>
      </c>
      <c r="J4958" s="29">
        <f>IF([1]Source!BC4735&lt;&gt; 0, [1]Source!BC4735, 1)</f>
        <v>9.84</v>
      </c>
      <c r="K4958" s="56">
        <f>[1]Source!O4735</f>
        <v>28141.42</v>
      </c>
      <c r="L4958">
        <v>265</v>
      </c>
      <c r="M4958" s="50">
        <f>L4958*E4958</f>
        <v>33668.25</v>
      </c>
      <c r="N4958" s="59" t="s">
        <v>180</v>
      </c>
      <c r="Q4958">
        <f>[1]Source!X4734</f>
        <v>0</v>
      </c>
      <c r="R4958">
        <f>[1]Source!X4735</f>
        <v>0</v>
      </c>
      <c r="S4958">
        <f>[1]Source!Y4734</f>
        <v>0</v>
      </c>
      <c r="T4958">
        <f>[1]Source!Y4735</f>
        <v>0</v>
      </c>
      <c r="U4958">
        <f>ROUND((175/100)*ROUND([1]Source!R4734, 2), 2)</f>
        <v>0</v>
      </c>
      <c r="V4958">
        <f>ROUND((0/100)*ROUND([1]Source!R4735, 2), 2)</f>
        <v>0</v>
      </c>
      <c r="AC4958">
        <v>3</v>
      </c>
    </row>
    <row r="4959" spans="1:43" ht="14.4" hidden="1" x14ac:dyDescent="0.25">
      <c r="A4959" s="27"/>
      <c r="B4959" s="27"/>
      <c r="C4959" s="27" t="s">
        <v>42</v>
      </c>
      <c r="D4959" s="28" t="s">
        <v>43</v>
      </c>
      <c r="E4959" s="29">
        <f>[1]Source!BZ4733</f>
        <v>101</v>
      </c>
      <c r="F4959" s="30"/>
      <c r="G4959" s="31"/>
      <c r="H4959" s="29"/>
      <c r="I4959" s="30">
        <f>SUM(Q4952:Q4958)</f>
        <v>390.05</v>
      </c>
      <c r="J4959" s="29">
        <f>[1]Source!AT4733</f>
        <v>101</v>
      </c>
      <c r="K4959" s="30">
        <f>SUM(R4952:R4958)</f>
        <v>21979.43</v>
      </c>
    </row>
    <row r="4960" spans="1:43" ht="14.4" hidden="1" x14ac:dyDescent="0.25">
      <c r="A4960" s="27"/>
      <c r="B4960" s="27"/>
      <c r="C4960" s="27" t="s">
        <v>44</v>
      </c>
      <c r="D4960" s="28" t="s">
        <v>43</v>
      </c>
      <c r="E4960" s="29">
        <f>[1]Source!CA4733</f>
        <v>55</v>
      </c>
      <c r="F4960" s="30"/>
      <c r="G4960" s="31"/>
      <c r="H4960" s="29"/>
      <c r="I4960" s="30">
        <f>SUM(S4952:S4959)</f>
        <v>212.4</v>
      </c>
      <c r="J4960" s="29">
        <f>[1]Source!AU4733</f>
        <v>55</v>
      </c>
      <c r="K4960" s="30">
        <f>SUM(T4952:T4959)</f>
        <v>11969</v>
      </c>
    </row>
    <row r="4961" spans="1:43" ht="14.4" hidden="1" x14ac:dyDescent="0.25">
      <c r="A4961" s="34"/>
      <c r="B4961" s="34"/>
      <c r="C4961" s="34" t="s">
        <v>45</v>
      </c>
      <c r="D4961" s="35" t="s">
        <v>46</v>
      </c>
      <c r="E4961" s="36">
        <f>[1]Source!AQ4732</f>
        <v>7.65</v>
      </c>
      <c r="F4961" s="37"/>
      <c r="G4961" s="38" t="s">
        <v>37</v>
      </c>
      <c r="H4961" s="36">
        <f>[1]Source!AV4733</f>
        <v>1.0469999999999999</v>
      </c>
      <c r="I4961" s="37">
        <f>[1]Source!U4732</f>
        <v>25.532843489999998</v>
      </c>
      <c r="J4961" s="36"/>
      <c r="K4961" s="37"/>
    </row>
    <row r="4962" spans="1:43" ht="13.8" hidden="1" x14ac:dyDescent="0.25">
      <c r="C4962" s="39" t="s">
        <v>47</v>
      </c>
      <c r="H4962" s="40">
        <f>I4954+I4955+I4957+I4959+I4960+SUM(I4958:I4958)-SUMIF(AC4958:AC4958, 5, I4958:I4958)-SUMIF(AC4958:AC4958, 6, I4958:I4958)</f>
        <v>3883.75</v>
      </c>
      <c r="I4962" s="40"/>
      <c r="J4962" s="40">
        <f>K4954+K4955+K4957+K4959+K4960+SUM(K4958:K4958)-SUMIF(AC4958:AC4958, 5, K4958:K4958)-SUMIF(AC4958:AC4958, 6, K4958:K4958)</f>
        <v>84204.19</v>
      </c>
      <c r="K4962" s="40"/>
    </row>
    <row r="4963" spans="1:43" ht="13.8" hidden="1" x14ac:dyDescent="0.25">
      <c r="C4963" s="39" t="s">
        <v>48</v>
      </c>
      <c r="H4963" s="41">
        <f>SUMIF(AC4958:AC4958, 5, I4958:I4958)+SUMIF(AC4958:AC4958, 6, I4958:I4958)</f>
        <v>0</v>
      </c>
      <c r="I4963" s="41"/>
      <c r="J4963" s="41">
        <f>SUMIF(AC4958:AC4958, 5, K4958:K4958)+SUMIF(AC4958:AC4958, 6, K4958:K4958)</f>
        <v>0</v>
      </c>
      <c r="K4963" s="41"/>
    </row>
    <row r="4964" spans="1:43" ht="13.8" hidden="1" x14ac:dyDescent="0.25">
      <c r="C4964" s="39" t="s">
        <v>49</v>
      </c>
      <c r="H4964" s="41">
        <f>I4954+I4955+I4957+I4959+I4960+SUM(I4958:I4958)</f>
        <v>3883.75</v>
      </c>
      <c r="I4964" s="41"/>
      <c r="J4964" s="41">
        <f>K4954+K4955+K4957+K4959+K4960+SUM(K4958:K4958)</f>
        <v>84204.19</v>
      </c>
      <c r="K4964" s="41"/>
      <c r="O4964" s="42">
        <f>I4954+I4955+I4957+I4959+I4960+SUM(I4958:I4958)</f>
        <v>3883.75</v>
      </c>
      <c r="P4964" s="42">
        <f>K4954+K4955+K4957+K4959+K4960+SUM(K4958:K4958)</f>
        <v>84204.19</v>
      </c>
    </row>
    <row r="4965" spans="1:43" hidden="1" x14ac:dyDescent="0.25"/>
    <row r="4966" spans="1:43" ht="40.799999999999997" x14ac:dyDescent="0.25">
      <c r="A4966" s="46">
        <v>454</v>
      </c>
      <c r="B4966" s="46" t="str">
        <f>[1]Source!F4736</f>
        <v>КА-192</v>
      </c>
      <c r="C4966" s="46" t="s">
        <v>905</v>
      </c>
      <c r="D4966" s="47" t="str">
        <f>[1]Source!H4736</f>
        <v>ПМ</v>
      </c>
      <c r="E4966" s="48">
        <f>[1]Source!I4736</f>
        <v>115.5</v>
      </c>
      <c r="F4966" s="37">
        <f>[1]Source!AL4736</f>
        <v>21.25</v>
      </c>
      <c r="G4966" s="38"/>
      <c r="H4966" s="36">
        <f>[1]Source!AW4737</f>
        <v>1</v>
      </c>
      <c r="I4966" s="37">
        <f>[1]Source!P4736</f>
        <v>2454.38</v>
      </c>
      <c r="J4966" s="36">
        <f>IF([1]Source!BC4737&lt;&gt; 0, [1]Source!BC4737, 1)</f>
        <v>9.84</v>
      </c>
      <c r="K4966" s="49">
        <f>[1]Source!P4737</f>
        <v>24151.1</v>
      </c>
      <c r="L4966">
        <v>250</v>
      </c>
      <c r="M4966" s="50">
        <f>L4966*E4966</f>
        <v>28875</v>
      </c>
      <c r="N4966" s="59" t="s">
        <v>180</v>
      </c>
      <c r="Q4966">
        <f>[1]Source!X4736</f>
        <v>0</v>
      </c>
      <c r="R4966">
        <f>[1]Source!X4737</f>
        <v>0</v>
      </c>
      <c r="S4966">
        <f>[1]Source!Y4736</f>
        <v>0</v>
      </c>
      <c r="T4966">
        <f>[1]Source!Y4737</f>
        <v>0</v>
      </c>
      <c r="U4966">
        <f>ROUND((175/100)*ROUND([1]Source!R4736, 2), 2)</f>
        <v>0</v>
      </c>
      <c r="V4966">
        <f>ROUND((0/100)*ROUND([1]Source!R4737, 2), 2)</f>
        <v>0</v>
      </c>
      <c r="AC4966">
        <v>3</v>
      </c>
    </row>
    <row r="4967" spans="1:43" ht="13.8" hidden="1" x14ac:dyDescent="0.25">
      <c r="C4967" s="39" t="s">
        <v>49</v>
      </c>
      <c r="H4967" s="40">
        <f>I4966+0</f>
        <v>2454.38</v>
      </c>
      <c r="I4967" s="40"/>
      <c r="J4967" s="40">
        <f>K4966+0</f>
        <v>24151.1</v>
      </c>
      <c r="K4967" s="40"/>
      <c r="O4967" s="42">
        <f>I4966+0</f>
        <v>2454.38</v>
      </c>
      <c r="P4967" s="42">
        <f>K4966+0</f>
        <v>24151.1</v>
      </c>
    </row>
    <row r="4968" spans="1:43" hidden="1" x14ac:dyDescent="0.25"/>
    <row r="4969" spans="1:43" hidden="1" x14ac:dyDescent="0.25"/>
    <row r="4970" spans="1:43" ht="13.8" hidden="1" x14ac:dyDescent="0.25">
      <c r="A4970" s="44" t="str">
        <f>CONCATENATE("Итого по подразделу: ",IF([1]Source!G4739&lt;&gt;"Новый подраздел", [1]Source!G4739, ""))</f>
        <v>Итого по подразделу: Плинтус вентилируемый из массива сосны срощенный</v>
      </c>
      <c r="B4970" s="44"/>
      <c r="C4970" s="44"/>
      <c r="D4970" s="44"/>
      <c r="E4970" s="44"/>
      <c r="F4970" s="44"/>
      <c r="G4970" s="44"/>
      <c r="H4970" s="41">
        <f>SUM(O4951:O4969)</f>
        <v>6338.13</v>
      </c>
      <c r="I4970" s="45"/>
      <c r="J4970" s="41">
        <f>SUM(P4951:P4969)</f>
        <v>108355.29000000001</v>
      </c>
      <c r="K4970" s="45"/>
      <c r="AQ4970" s="52" t="str">
        <f>CONCATENATE("Итого по подразделу: ",IF([1]Source!G4739&lt;&gt;"Новый подраздел", [1]Source!G4739, ""))</f>
        <v>Итого по подразделу: Плинтус вентилируемый из массива сосны срощенный</v>
      </c>
    </row>
    <row r="4971" spans="1:43" hidden="1" x14ac:dyDescent="0.25">
      <c r="A4971" t="s">
        <v>55</v>
      </c>
      <c r="I4971">
        <f>SUM(W4951:W4970)</f>
        <v>0</v>
      </c>
      <c r="J4971">
        <f>SUM(X4951:X4970)</f>
        <v>0</v>
      </c>
    </row>
    <row r="4972" spans="1:43" hidden="1" x14ac:dyDescent="0.25">
      <c r="A4972" t="s">
        <v>56</v>
      </c>
      <c r="I4972">
        <f>SUM(Y4951:Y4971)</f>
        <v>0</v>
      </c>
      <c r="J4972">
        <f>SUM(Z4951:Z4971)</f>
        <v>0</v>
      </c>
    </row>
    <row r="4973" spans="1:43" hidden="1" x14ac:dyDescent="0.25"/>
    <row r="4974" spans="1:43" ht="13.8" hidden="1" x14ac:dyDescent="0.25">
      <c r="A4974" s="44" t="str">
        <f>CONCATENATE("Итого по разделу: ",IF([1]Source!G4769&lt;&gt;"Новый раздел", [1]Source!G4769, ""))</f>
        <v>Итого по разделу: Плинтуса</v>
      </c>
      <c r="B4974" s="44"/>
      <c r="C4974" s="44"/>
      <c r="D4974" s="44"/>
      <c r="E4974" s="44"/>
      <c r="F4974" s="44"/>
      <c r="G4974" s="44"/>
      <c r="H4974" s="41">
        <f>SUM(O4866:O4973)</f>
        <v>51968.909999999996</v>
      </c>
      <c r="I4974" s="45"/>
      <c r="J4974" s="41">
        <f>SUM(P4866:P4973)</f>
        <v>1475588.16</v>
      </c>
      <c r="K4974" s="45"/>
    </row>
    <row r="4975" spans="1:43" hidden="1" x14ac:dyDescent="0.25">
      <c r="A4975" t="s">
        <v>55</v>
      </c>
      <c r="I4975">
        <f>SUM(W4866:W4974)</f>
        <v>0</v>
      </c>
      <c r="J4975">
        <f>SUM(X4866:X4974)</f>
        <v>0</v>
      </c>
    </row>
    <row r="4976" spans="1:43" hidden="1" x14ac:dyDescent="0.25">
      <c r="A4976" t="s">
        <v>56</v>
      </c>
      <c r="I4976">
        <f>SUM(Y4866:Y4975)</f>
        <v>0</v>
      </c>
      <c r="J4976">
        <f>SUM(Z4866:Z4975)</f>
        <v>0</v>
      </c>
    </row>
    <row r="4977" spans="1:29" hidden="1" x14ac:dyDescent="0.25"/>
    <row r="4978" spans="1:29" ht="16.8" hidden="1" x14ac:dyDescent="0.25">
      <c r="A4978" s="11" t="str">
        <f>CONCATENATE("Раздел: ",IF([1]Source!G4799&lt;&gt;"Новый раздел", [1]Source!G4799, ""))</f>
        <v>Раздел: Прочее</v>
      </c>
      <c r="B4978" s="11"/>
      <c r="C4978" s="11"/>
      <c r="D4978" s="11"/>
      <c r="E4978" s="11"/>
      <c r="F4978" s="11"/>
      <c r="G4978" s="11"/>
      <c r="H4978" s="11"/>
      <c r="I4978" s="11"/>
      <c r="J4978" s="11"/>
      <c r="K4978" s="11"/>
    </row>
    <row r="4979" spans="1:29" ht="43.2" hidden="1" x14ac:dyDescent="0.25">
      <c r="A4979" s="27">
        <v>455</v>
      </c>
      <c r="B4979" s="27" t="str">
        <f>[1]Source!F4803</f>
        <v>6.59-4-1</v>
      </c>
      <c r="C4979" s="27" t="s">
        <v>906</v>
      </c>
      <c r="D4979" s="28" t="str">
        <f>[1]Source!H4803</f>
        <v>100 м решетки</v>
      </c>
      <c r="E4979" s="29">
        <f>[1]Source!I4803</f>
        <v>2.1150000000000002</v>
      </c>
      <c r="F4979" s="30"/>
      <c r="G4979" s="31"/>
      <c r="H4979" s="29"/>
      <c r="I4979" s="30"/>
      <c r="J4979" s="29"/>
      <c r="K4979" s="30"/>
      <c r="Q4979">
        <f>[1]Source!X4803</f>
        <v>1164.49</v>
      </c>
      <c r="R4979">
        <f>[1]Source!X4804</f>
        <v>65619.23</v>
      </c>
      <c r="S4979">
        <f>[1]Source!Y4803</f>
        <v>588.79</v>
      </c>
      <c r="T4979">
        <f>[1]Source!Y4804</f>
        <v>33178.26</v>
      </c>
      <c r="U4979">
        <f>ROUND((175/100)*ROUND([1]Source!R4803, 2), 2)</f>
        <v>0</v>
      </c>
      <c r="V4979">
        <f>ROUND((0/100)*ROUND([1]Source!R4804, 2), 2)</f>
        <v>0</v>
      </c>
      <c r="AC4979">
        <v>0</v>
      </c>
    </row>
    <row r="4980" spans="1:29" hidden="1" x14ac:dyDescent="0.25">
      <c r="C4980" s="32" t="str">
        <f>"Объем: "&amp;[1]Source!I4803&amp;"=211,5/"&amp;"100"</f>
        <v>Объем: 2,115=211,5/100</v>
      </c>
    </row>
    <row r="4981" spans="1:29" ht="14.4" hidden="1" x14ac:dyDescent="0.25">
      <c r="A4981" s="27"/>
      <c r="B4981" s="27"/>
      <c r="C4981" s="27" t="s">
        <v>36</v>
      </c>
      <c r="D4981" s="28"/>
      <c r="E4981" s="29"/>
      <c r="F4981" s="30">
        <f>[1]Source!AO4803</f>
        <v>492.39</v>
      </c>
      <c r="G4981" s="31" t="s">
        <v>58</v>
      </c>
      <c r="H4981" s="29">
        <f>[1]Source!AV4804</f>
        <v>1.0469999999999999</v>
      </c>
      <c r="I4981" s="30">
        <f>[1]Source!S4803</f>
        <v>1308.42</v>
      </c>
      <c r="J4981" s="29">
        <f>IF([1]Source!BA4804&lt;&gt; 0, [1]Source!BA4804, 1)</f>
        <v>56.35</v>
      </c>
      <c r="K4981" s="30">
        <f>[1]Source!S4804</f>
        <v>73729.47</v>
      </c>
    </row>
    <row r="4982" spans="1:29" ht="14.4" hidden="1" x14ac:dyDescent="0.25">
      <c r="A4982" s="27"/>
      <c r="B4982" s="27"/>
      <c r="C4982" s="27" t="s">
        <v>38</v>
      </c>
      <c r="D4982" s="28"/>
      <c r="E4982" s="29"/>
      <c r="F4982" s="30">
        <f>[1]Source!AM4803</f>
        <v>1.32</v>
      </c>
      <c r="G4982" s="31" t="s">
        <v>58</v>
      </c>
      <c r="H4982" s="29">
        <f>[1]Source!AV4804</f>
        <v>1.0469999999999999</v>
      </c>
      <c r="I4982" s="30">
        <f>[1]Source!Q4803</f>
        <v>3.51</v>
      </c>
      <c r="J4982" s="29">
        <f>IF([1]Source!BB4804&lt;&gt; 0, [1]Source!BB4804, 1)</f>
        <v>9.26</v>
      </c>
      <c r="K4982" s="30">
        <f>[1]Source!Q4804</f>
        <v>32.5</v>
      </c>
    </row>
    <row r="4983" spans="1:29" ht="14.4" hidden="1" x14ac:dyDescent="0.25">
      <c r="A4983" s="27"/>
      <c r="B4983" s="27"/>
      <c r="C4983" s="27" t="s">
        <v>41</v>
      </c>
      <c r="D4983" s="28"/>
      <c r="E4983" s="29"/>
      <c r="F4983" s="30">
        <f>[1]Source!AL4803</f>
        <v>54.75</v>
      </c>
      <c r="G4983" s="31"/>
      <c r="H4983" s="29">
        <f>[1]Source!AW4804</f>
        <v>1</v>
      </c>
      <c r="I4983" s="30">
        <f>[1]Source!P4803</f>
        <v>115.8</v>
      </c>
      <c r="J4983" s="29">
        <f>IF([1]Source!BC4804&lt;&gt; 0, [1]Source!BC4804, 1)</f>
        <v>15.55</v>
      </c>
      <c r="K4983" s="30">
        <f>[1]Source!P4804</f>
        <v>1800.69</v>
      </c>
    </row>
    <row r="4984" spans="1:29" ht="14.4" hidden="1" x14ac:dyDescent="0.25">
      <c r="A4984" s="27"/>
      <c r="B4984" s="27"/>
      <c r="C4984" s="27" t="s">
        <v>42</v>
      </c>
      <c r="D4984" s="28" t="s">
        <v>43</v>
      </c>
      <c r="E4984" s="29">
        <f>[1]Source!BZ4804</f>
        <v>89</v>
      </c>
      <c r="F4984" s="30"/>
      <c r="G4984" s="31"/>
      <c r="H4984" s="29"/>
      <c r="I4984" s="30">
        <f>SUM(Q4979:Q4983)</f>
        <v>1164.49</v>
      </c>
      <c r="J4984" s="29">
        <f>[1]Source!AT4804</f>
        <v>89</v>
      </c>
      <c r="K4984" s="30">
        <f>SUM(R4979:R4983)</f>
        <v>65619.23</v>
      </c>
    </row>
    <row r="4985" spans="1:29" ht="14.4" hidden="1" x14ac:dyDescent="0.25">
      <c r="A4985" s="27"/>
      <c r="B4985" s="27"/>
      <c r="C4985" s="27" t="s">
        <v>44</v>
      </c>
      <c r="D4985" s="28" t="s">
        <v>43</v>
      </c>
      <c r="E4985" s="29">
        <f>[1]Source!CA4804</f>
        <v>45</v>
      </c>
      <c r="F4985" s="30"/>
      <c r="G4985" s="31"/>
      <c r="H4985" s="29"/>
      <c r="I4985" s="30">
        <f>SUM(S4979:S4984)</f>
        <v>588.79</v>
      </c>
      <c r="J4985" s="29">
        <f>[1]Source!AU4804</f>
        <v>45</v>
      </c>
      <c r="K4985" s="30">
        <f>SUM(T4979:T4984)</f>
        <v>33178.26</v>
      </c>
    </row>
    <row r="4986" spans="1:29" ht="14.4" hidden="1" x14ac:dyDescent="0.25">
      <c r="A4986" s="34"/>
      <c r="B4986" s="34"/>
      <c r="C4986" s="34" t="s">
        <v>45</v>
      </c>
      <c r="D4986" s="35" t="s">
        <v>46</v>
      </c>
      <c r="E4986" s="36">
        <f>[1]Source!AQ4803</f>
        <v>47.3</v>
      </c>
      <c r="F4986" s="37"/>
      <c r="G4986" s="38" t="s">
        <v>58</v>
      </c>
      <c r="H4986" s="36">
        <f>[1]Source!AV4804</f>
        <v>1.0469999999999999</v>
      </c>
      <c r="I4986" s="37">
        <f>[1]Source!U4803</f>
        <v>125.6896278</v>
      </c>
      <c r="J4986" s="36"/>
      <c r="K4986" s="37"/>
    </row>
    <row r="4987" spans="1:29" ht="13.8" hidden="1" x14ac:dyDescent="0.25">
      <c r="C4987" s="39" t="s">
        <v>47</v>
      </c>
      <c r="H4987" s="40">
        <f>I4981+I4982+I4983+I4984+I4985+0-0-0</f>
        <v>3181.01</v>
      </c>
      <c r="I4987" s="40"/>
      <c r="J4987" s="40">
        <f>K4981+K4982+K4983+K4984+K4985+0-0-0</f>
        <v>174360.15000000002</v>
      </c>
      <c r="K4987" s="40"/>
    </row>
    <row r="4988" spans="1:29" ht="13.8" hidden="1" x14ac:dyDescent="0.25">
      <c r="C4988" s="39" t="s">
        <v>48</v>
      </c>
      <c r="H4988" s="41">
        <f>0+0</f>
        <v>0</v>
      </c>
      <c r="I4988" s="41"/>
      <c r="J4988" s="41">
        <f>0+0</f>
        <v>0</v>
      </c>
      <c r="K4988" s="41"/>
    </row>
    <row r="4989" spans="1:29" ht="13.8" hidden="1" x14ac:dyDescent="0.25">
      <c r="C4989" s="39" t="s">
        <v>49</v>
      </c>
      <c r="H4989" s="41">
        <f>I4981+I4982+I4983+I4984+I4985+0</f>
        <v>3181.01</v>
      </c>
      <c r="I4989" s="41"/>
      <c r="J4989" s="41">
        <f>K4981+K4982+K4983+K4984+K4985+0</f>
        <v>174360.15000000002</v>
      </c>
      <c r="K4989" s="41"/>
      <c r="O4989" s="42">
        <f>I4981+I4982+I4983+I4984+I4985+0</f>
        <v>3181.01</v>
      </c>
      <c r="P4989" s="42">
        <f>K4981+K4982+K4983+K4984+K4985+0</f>
        <v>174360.15000000002</v>
      </c>
    </row>
    <row r="4990" spans="1:29" hidden="1" x14ac:dyDescent="0.25"/>
    <row r="4991" spans="1:29" hidden="1" x14ac:dyDescent="0.25"/>
    <row r="4992" spans="1:29" ht="13.8" hidden="1" x14ac:dyDescent="0.25">
      <c r="A4992" s="44" t="str">
        <f>CONCATENATE("Итого по разделу: ",IF([1]Source!G4806&lt;&gt;"Новый раздел", [1]Source!G4806, ""))</f>
        <v>Итого по разделу: Прочее</v>
      </c>
      <c r="B4992" s="44"/>
      <c r="C4992" s="44"/>
      <c r="D4992" s="44"/>
      <c r="E4992" s="44"/>
      <c r="F4992" s="44"/>
      <c r="G4992" s="44"/>
      <c r="H4992" s="41">
        <f>SUM(O4978:O4991)</f>
        <v>3181.01</v>
      </c>
      <c r="I4992" s="45"/>
      <c r="J4992" s="41">
        <f>SUM(P4978:P4991)</f>
        <v>174360.15000000002</v>
      </c>
      <c r="K4992" s="45"/>
    </row>
    <row r="4993" spans="1:29" hidden="1" x14ac:dyDescent="0.25">
      <c r="A4993" t="s">
        <v>55</v>
      </c>
      <c r="I4993">
        <f>SUM(W4978:W4992)</f>
        <v>0</v>
      </c>
      <c r="J4993">
        <f>SUM(X4978:X4992)</f>
        <v>0</v>
      </c>
    </row>
    <row r="4994" spans="1:29" hidden="1" x14ac:dyDescent="0.25">
      <c r="A4994" t="s">
        <v>56</v>
      </c>
      <c r="I4994">
        <f>SUM(Y4978:Y4993)</f>
        <v>0</v>
      </c>
      <c r="J4994">
        <f>SUM(Z4978:Z4993)</f>
        <v>0</v>
      </c>
    </row>
    <row r="4995" spans="1:29" hidden="1" x14ac:dyDescent="0.25"/>
    <row r="4996" spans="1:29" ht="16.8" hidden="1" x14ac:dyDescent="0.25">
      <c r="A4996" s="11" t="str">
        <f>CONCATENATE("Раздел: ",IF([1]Source!G4836&lt;&gt;"Новый раздел", [1]Source!G4836, ""))</f>
        <v>Раздел: Трансформируемые перегородки</v>
      </c>
      <c r="B4996" s="11"/>
      <c r="C4996" s="11"/>
      <c r="D4996" s="11"/>
      <c r="E4996" s="11"/>
      <c r="F4996" s="11"/>
      <c r="G4996" s="11"/>
      <c r="H4996" s="11"/>
      <c r="I4996" s="11"/>
      <c r="J4996" s="11"/>
      <c r="K4996" s="11"/>
    </row>
    <row r="4997" spans="1:29" ht="55.2" hidden="1" x14ac:dyDescent="0.25">
      <c r="A4997" s="27">
        <v>456</v>
      </c>
      <c r="B4997" s="27" t="str">
        <f>[1]Source!F4840</f>
        <v>3.70-51-1</v>
      </c>
      <c r="C4997" s="27" t="s">
        <v>907</v>
      </c>
      <c r="D4997" s="28" t="str">
        <f>[1]Source!H4840</f>
        <v>100 м2</v>
      </c>
      <c r="E4997" s="29">
        <f>[1]Source!I4840</f>
        <v>0.59799999999999998</v>
      </c>
      <c r="F4997" s="30"/>
      <c r="G4997" s="31"/>
      <c r="H4997" s="29"/>
      <c r="I4997" s="30"/>
      <c r="J4997" s="29"/>
      <c r="K4997" s="30"/>
      <c r="Q4997">
        <f>[1]Source!X4840</f>
        <v>5136.84</v>
      </c>
      <c r="R4997">
        <f>[1]Source!X4841</f>
        <v>289460.67</v>
      </c>
      <c r="S4997">
        <f>[1]Source!Y4840</f>
        <v>3241.1</v>
      </c>
      <c r="T4997">
        <f>[1]Source!Y4841</f>
        <v>182635.9</v>
      </c>
      <c r="U4997">
        <f>ROUND((175/100)*ROUND([1]Source!R4840, 2), 2)</f>
        <v>64.09</v>
      </c>
      <c r="V4997">
        <f>ROUND((0/100)*ROUND([1]Source!R4841, 2), 2)</f>
        <v>0</v>
      </c>
      <c r="AC4997">
        <v>0</v>
      </c>
    </row>
    <row r="4998" spans="1:29" hidden="1" x14ac:dyDescent="0.25">
      <c r="C4998" s="32" t="str">
        <f>"Объем: "&amp;[1]Source!I4840&amp;"=(34,5+"&amp;"25,3)/"&amp;"100"</f>
        <v>Объем: 0,598=(34,5+25,3)/100</v>
      </c>
    </row>
    <row r="4999" spans="1:29" ht="14.4" hidden="1" x14ac:dyDescent="0.25">
      <c r="A4999" s="27"/>
      <c r="B4999" s="27"/>
      <c r="C4999" s="27" t="s">
        <v>36</v>
      </c>
      <c r="D4999" s="28"/>
      <c r="E4999" s="29"/>
      <c r="F4999" s="30">
        <f>[1]Source!AO4840</f>
        <v>6776.38</v>
      </c>
      <c r="G4999" s="31" t="s">
        <v>37</v>
      </c>
      <c r="H4999" s="29">
        <f>[1]Source!AV4841</f>
        <v>1.087</v>
      </c>
      <c r="I4999" s="30">
        <f>[1]Source!S4840</f>
        <v>6078.66</v>
      </c>
      <c r="J4999" s="29">
        <f>IF([1]Source!BA4841&lt;&gt; 0, [1]Source!BA4841, 1)</f>
        <v>56.35</v>
      </c>
      <c r="K4999" s="30">
        <f>[1]Source!S4841</f>
        <v>342532.49</v>
      </c>
    </row>
    <row r="5000" spans="1:29" ht="14.4" hidden="1" x14ac:dyDescent="0.25">
      <c r="A5000" s="27"/>
      <c r="B5000" s="27"/>
      <c r="C5000" s="27" t="s">
        <v>38</v>
      </c>
      <c r="D5000" s="28"/>
      <c r="E5000" s="29"/>
      <c r="F5000" s="30">
        <f>[1]Source!AM4840</f>
        <v>592.20000000000005</v>
      </c>
      <c r="G5000" s="31" t="s">
        <v>39</v>
      </c>
      <c r="H5000" s="29">
        <f>[1]Source!AV4841</f>
        <v>1.087</v>
      </c>
      <c r="I5000" s="30">
        <f>[1]Source!Q4840</f>
        <v>577.41999999999996</v>
      </c>
      <c r="J5000" s="29">
        <f>IF([1]Source!BB4841&lt;&gt; 0, [1]Source!BB4841, 1)</f>
        <v>13.07</v>
      </c>
      <c r="K5000" s="30">
        <f>[1]Source!Q4841</f>
        <v>7546.88</v>
      </c>
    </row>
    <row r="5001" spans="1:29" ht="14.4" hidden="1" x14ac:dyDescent="0.25">
      <c r="A5001" s="27"/>
      <c r="B5001" s="27"/>
      <c r="C5001" s="27" t="s">
        <v>40</v>
      </c>
      <c r="D5001" s="28"/>
      <c r="E5001" s="29"/>
      <c r="F5001" s="30">
        <f>[1]Source!AN4840</f>
        <v>37.56</v>
      </c>
      <c r="G5001" s="31" t="s">
        <v>39</v>
      </c>
      <c r="H5001" s="29">
        <f>[1]Source!AV4841</f>
        <v>1.087</v>
      </c>
      <c r="I5001" s="33">
        <f>[1]Source!R4840</f>
        <v>36.619999999999997</v>
      </c>
      <c r="J5001" s="29">
        <f>IF([1]Source!BS4841&lt;&gt; 0, [1]Source!BS4841, 1)</f>
        <v>56.35</v>
      </c>
      <c r="K5001" s="33">
        <f>[1]Source!R4841</f>
        <v>2063.54</v>
      </c>
    </row>
    <row r="5002" spans="1:29" ht="14.4" hidden="1" x14ac:dyDescent="0.25">
      <c r="A5002" s="27"/>
      <c r="B5002" s="27"/>
      <c r="C5002" s="27" t="s">
        <v>41</v>
      </c>
      <c r="D5002" s="28"/>
      <c r="E5002" s="29"/>
      <c r="F5002" s="30">
        <f>[1]Source!AL4840</f>
        <v>394.67</v>
      </c>
      <c r="G5002" s="31"/>
      <c r="H5002" s="29">
        <f>[1]Source!AW4841</f>
        <v>1</v>
      </c>
      <c r="I5002" s="30">
        <f>[1]Source!P4840</f>
        <v>236.01</v>
      </c>
      <c r="J5002" s="29">
        <f>IF([1]Source!BC4841&lt;&gt; 0, [1]Source!BC4841, 1)</f>
        <v>10.15</v>
      </c>
      <c r="K5002" s="30">
        <f>[1]Source!P4841</f>
        <v>2395.5</v>
      </c>
    </row>
    <row r="5003" spans="1:29" ht="95.4" x14ac:dyDescent="0.25">
      <c r="A5003" s="53" t="s">
        <v>908</v>
      </c>
      <c r="B5003" s="53" t="str">
        <f>[1]Source!F4842</f>
        <v>КА-193</v>
      </c>
      <c r="C5003" s="53" t="s">
        <v>909</v>
      </c>
      <c r="D5003" s="54" t="str">
        <f>[1]Source!H4842</f>
        <v>м2</v>
      </c>
      <c r="E5003" s="55">
        <f>[1]Source!I4842</f>
        <v>34.5</v>
      </c>
      <c r="F5003" s="30">
        <f>[1]Source!AK4842</f>
        <v>2039.18</v>
      </c>
      <c r="G5003" s="43" t="s">
        <v>54</v>
      </c>
      <c r="H5003" s="29">
        <f>[1]Source!AW4843</f>
        <v>1</v>
      </c>
      <c r="I5003" s="30">
        <f>[1]Source!O4842</f>
        <v>70351.710000000006</v>
      </c>
      <c r="J5003" s="29">
        <f>IF([1]Source!BC4843&lt;&gt; 0, [1]Source!BC4843, 1)</f>
        <v>9.84</v>
      </c>
      <c r="K5003" s="56">
        <f>[1]Source!O4843</f>
        <v>692260.83</v>
      </c>
      <c r="L5003">
        <v>24000</v>
      </c>
      <c r="M5003" s="50">
        <f>L5003*E5003</f>
        <v>828000</v>
      </c>
      <c r="N5003" s="59" t="s">
        <v>180</v>
      </c>
      <c r="Q5003">
        <f>[1]Source!X4842</f>
        <v>0</v>
      </c>
      <c r="R5003">
        <f>[1]Source!X4843</f>
        <v>0</v>
      </c>
      <c r="S5003">
        <f>[1]Source!Y4842</f>
        <v>0</v>
      </c>
      <c r="T5003">
        <f>[1]Source!Y4843</f>
        <v>0</v>
      </c>
      <c r="U5003">
        <f>ROUND((175/100)*ROUND([1]Source!R4842, 2), 2)</f>
        <v>0</v>
      </c>
      <c r="V5003">
        <f>ROUND((0/100)*ROUND([1]Source!R4843, 2), 2)</f>
        <v>0</v>
      </c>
      <c r="AC5003">
        <v>3</v>
      </c>
    </row>
    <row r="5004" spans="1:29" ht="14.4" hidden="1" x14ac:dyDescent="0.25">
      <c r="A5004" s="27"/>
      <c r="B5004" s="27"/>
      <c r="C5004" s="27" t="s">
        <v>42</v>
      </c>
      <c r="D5004" s="28" t="s">
        <v>43</v>
      </c>
      <c r="E5004" s="29">
        <f>[1]Source!BZ4841</f>
        <v>84</v>
      </c>
      <c r="F5004" s="30"/>
      <c r="G5004" s="31"/>
      <c r="H5004" s="29"/>
      <c r="I5004" s="30">
        <f>SUM(Q4997:Q5003)</f>
        <v>5136.84</v>
      </c>
      <c r="J5004" s="29">
        <f>[1]Source!AT4841</f>
        <v>84</v>
      </c>
      <c r="K5004" s="30">
        <f>SUM(R4997:R5003)</f>
        <v>289460.67</v>
      </c>
    </row>
    <row r="5005" spans="1:29" ht="14.4" hidden="1" x14ac:dyDescent="0.25">
      <c r="A5005" s="27"/>
      <c r="B5005" s="27"/>
      <c r="C5005" s="27" t="s">
        <v>44</v>
      </c>
      <c r="D5005" s="28" t="s">
        <v>43</v>
      </c>
      <c r="E5005" s="29">
        <f>[1]Source!CA4841</f>
        <v>53</v>
      </c>
      <c r="F5005" s="30"/>
      <c r="G5005" s="31"/>
      <c r="H5005" s="29"/>
      <c r="I5005" s="30">
        <f>SUM(S4997:S5004)</f>
        <v>3241.1</v>
      </c>
      <c r="J5005" s="29">
        <f>[1]Source!AU4841</f>
        <v>53</v>
      </c>
      <c r="K5005" s="30">
        <f>SUM(T4997:T5004)</f>
        <v>182635.9</v>
      </c>
    </row>
    <row r="5006" spans="1:29" ht="14.4" hidden="1" x14ac:dyDescent="0.25">
      <c r="A5006" s="34"/>
      <c r="B5006" s="34"/>
      <c r="C5006" s="34" t="s">
        <v>45</v>
      </c>
      <c r="D5006" s="35" t="s">
        <v>46</v>
      </c>
      <c r="E5006" s="36">
        <f>[1]Source!AQ4840</f>
        <v>389</v>
      </c>
      <c r="F5006" s="37"/>
      <c r="G5006" s="38" t="s">
        <v>37</v>
      </c>
      <c r="H5006" s="36">
        <f>[1]Source!AV4841</f>
        <v>1.087</v>
      </c>
      <c r="I5006" s="37">
        <f>[1]Source!U4840</f>
        <v>348.94695731999997</v>
      </c>
      <c r="J5006" s="36"/>
      <c r="K5006" s="37"/>
    </row>
    <row r="5007" spans="1:29" ht="13.8" hidden="1" x14ac:dyDescent="0.25">
      <c r="C5007" s="39" t="s">
        <v>47</v>
      </c>
      <c r="H5007" s="40">
        <f>I4999+I5000+I5002+I5004+I5005+SUM(I5003:I5003)-SUMIF(AC5003:AC5003, 5, I5003:I5003)-SUMIF(AC5003:AC5003, 6, I5003:I5003)</f>
        <v>85621.74</v>
      </c>
      <c r="I5007" s="40"/>
      <c r="J5007" s="40">
        <f>K4999+K5000+K5002+K5004+K5005+SUM(K5003:K5003)-SUMIF(AC5003:AC5003, 5, K5003:K5003)-SUMIF(AC5003:AC5003, 6, K5003:K5003)</f>
        <v>1516832.27</v>
      </c>
      <c r="K5007" s="40"/>
    </row>
    <row r="5008" spans="1:29" ht="13.8" hidden="1" x14ac:dyDescent="0.25">
      <c r="C5008" s="39" t="s">
        <v>48</v>
      </c>
      <c r="H5008" s="41">
        <f>SUMIF(AC5003:AC5003, 5, I5003:I5003)+SUMIF(AC5003:AC5003, 6, I5003:I5003)</f>
        <v>0</v>
      </c>
      <c r="I5008" s="41"/>
      <c r="J5008" s="41">
        <f>SUMIF(AC5003:AC5003, 5, K5003:K5003)+SUMIF(AC5003:AC5003, 6, K5003:K5003)</f>
        <v>0</v>
      </c>
      <c r="K5008" s="41"/>
    </row>
    <row r="5009" spans="1:29" ht="13.8" hidden="1" x14ac:dyDescent="0.25">
      <c r="C5009" s="39" t="s">
        <v>49</v>
      </c>
      <c r="H5009" s="41">
        <f>I4999+I5000+I5002+I5004+I5005+SUM(I5003:I5003)</f>
        <v>85621.74</v>
      </c>
      <c r="I5009" s="41"/>
      <c r="J5009" s="41">
        <f>K4999+K5000+K5002+K5004+K5005+SUM(K5003:K5003)</f>
        <v>1516832.27</v>
      </c>
      <c r="K5009" s="41"/>
      <c r="O5009" s="42">
        <f>I4999+I5000+I5002+I5004+I5005+SUM(I5003:I5003)</f>
        <v>85621.74</v>
      </c>
      <c r="P5009" s="42">
        <f>K4999+K5000+K5002+K5004+K5005+SUM(K5003:K5003)</f>
        <v>1516832.27</v>
      </c>
    </row>
    <row r="5010" spans="1:29" hidden="1" x14ac:dyDescent="0.25"/>
    <row r="5011" spans="1:29" ht="95.4" x14ac:dyDescent="0.25">
      <c r="A5011" s="46">
        <v>457</v>
      </c>
      <c r="B5011" s="46" t="str">
        <f>[1]Source!F4844</f>
        <v>КА-194</v>
      </c>
      <c r="C5011" s="46" t="s">
        <v>910</v>
      </c>
      <c r="D5011" s="47" t="str">
        <f>[1]Source!H4844</f>
        <v>м2</v>
      </c>
      <c r="E5011" s="48">
        <f>[1]Source!I4844</f>
        <v>25.3</v>
      </c>
      <c r="F5011" s="37">
        <f>[1]Source!AL4844</f>
        <v>2039.18</v>
      </c>
      <c r="G5011" s="38"/>
      <c r="H5011" s="36">
        <f>[1]Source!AW4845</f>
        <v>1</v>
      </c>
      <c r="I5011" s="37">
        <f>[1]Source!P4844</f>
        <v>51591.25</v>
      </c>
      <c r="J5011" s="36">
        <f>IF([1]Source!BC4845&lt;&gt; 0, [1]Source!BC4845, 1)</f>
        <v>9.84</v>
      </c>
      <c r="K5011" s="49">
        <f>[1]Source!P4845</f>
        <v>507657.9</v>
      </c>
      <c r="L5011">
        <v>24000</v>
      </c>
      <c r="M5011" s="50">
        <f>L5011*E5011</f>
        <v>607200</v>
      </c>
      <c r="N5011" s="59" t="s">
        <v>180</v>
      </c>
      <c r="Q5011">
        <f>[1]Source!X4844</f>
        <v>0</v>
      </c>
      <c r="R5011">
        <f>[1]Source!X4845</f>
        <v>0</v>
      </c>
      <c r="S5011">
        <f>[1]Source!Y4844</f>
        <v>0</v>
      </c>
      <c r="T5011">
        <f>[1]Source!Y4845</f>
        <v>0</v>
      </c>
      <c r="U5011">
        <f>ROUND((175/100)*ROUND([1]Source!R4844, 2), 2)</f>
        <v>0</v>
      </c>
      <c r="V5011">
        <f>ROUND((0/100)*ROUND([1]Source!R4845, 2), 2)</f>
        <v>0</v>
      </c>
      <c r="AC5011">
        <v>3</v>
      </c>
    </row>
    <row r="5012" spans="1:29" ht="13.8" hidden="1" x14ac:dyDescent="0.25">
      <c r="C5012" s="39" t="s">
        <v>49</v>
      </c>
      <c r="H5012" s="40">
        <f>I5011+0</f>
        <v>51591.25</v>
      </c>
      <c r="I5012" s="40"/>
      <c r="J5012" s="40">
        <f>K5011+0</f>
        <v>507657.9</v>
      </c>
      <c r="K5012" s="40"/>
      <c r="O5012" s="42">
        <f>I5011+0</f>
        <v>51591.25</v>
      </c>
      <c r="P5012" s="42">
        <f>K5011+0</f>
        <v>507657.9</v>
      </c>
    </row>
    <row r="5013" spans="1:29" hidden="1" x14ac:dyDescent="0.25"/>
    <row r="5014" spans="1:29" hidden="1" x14ac:dyDescent="0.25"/>
    <row r="5015" spans="1:29" ht="13.8" hidden="1" x14ac:dyDescent="0.25">
      <c r="A5015" s="44" t="str">
        <f>CONCATENATE("Итого по разделу: ",IF([1]Source!G4847&lt;&gt;"Новый раздел", [1]Source!G4847, ""))</f>
        <v>Итого по разделу: Трансформируемые перегородки</v>
      </c>
      <c r="B5015" s="44"/>
      <c r="C5015" s="44"/>
      <c r="D5015" s="44"/>
      <c r="E5015" s="44"/>
      <c r="F5015" s="44"/>
      <c r="G5015" s="44"/>
      <c r="H5015" s="41">
        <f>SUM(O4996:O5014)</f>
        <v>137212.99</v>
      </c>
      <c r="I5015" s="45"/>
      <c r="J5015" s="41">
        <f>SUM(P4996:P5014)</f>
        <v>2024490.17</v>
      </c>
      <c r="K5015" s="45"/>
    </row>
    <row r="5016" spans="1:29" hidden="1" x14ac:dyDescent="0.25">
      <c r="A5016" t="s">
        <v>55</v>
      </c>
      <c r="I5016">
        <f>SUM(W4996:W5015)</f>
        <v>0</v>
      </c>
      <c r="J5016">
        <f>SUM(X4996:X5015)</f>
        <v>0</v>
      </c>
    </row>
    <row r="5017" spans="1:29" hidden="1" x14ac:dyDescent="0.25">
      <c r="A5017" t="s">
        <v>56</v>
      </c>
      <c r="I5017">
        <f>SUM(Y4996:Y5016)</f>
        <v>0</v>
      </c>
      <c r="J5017">
        <f>SUM(Z4996:Z5016)</f>
        <v>0</v>
      </c>
    </row>
    <row r="5018" spans="1:29" hidden="1" x14ac:dyDescent="0.25"/>
    <row r="5019" spans="1:29" ht="16.8" hidden="1" x14ac:dyDescent="0.25">
      <c r="A5019" s="11" t="str">
        <f>CONCATENATE("Раздел: ",IF([1]Source!G4877&lt;&gt;"Новый раздел", [1]Source!G4877, ""))</f>
        <v>Раздел: Сантехнические перегородки из HPL-панелей</v>
      </c>
      <c r="B5019" s="11"/>
      <c r="C5019" s="11"/>
      <c r="D5019" s="11"/>
      <c r="E5019" s="11"/>
      <c r="F5019" s="11"/>
      <c r="G5019" s="11"/>
      <c r="H5019" s="11"/>
      <c r="I5019" s="11"/>
      <c r="J5019" s="11"/>
      <c r="K5019" s="11"/>
    </row>
    <row r="5020" spans="1:29" ht="55.2" hidden="1" x14ac:dyDescent="0.25">
      <c r="A5020" s="27">
        <v>458</v>
      </c>
      <c r="B5020" s="27" t="str">
        <f>[1]Source!F4881</f>
        <v>3.70-51-1</v>
      </c>
      <c r="C5020" s="27" t="s">
        <v>907</v>
      </c>
      <c r="D5020" s="28" t="str">
        <f>[1]Source!H4881</f>
        <v>100 м2</v>
      </c>
      <c r="E5020" s="29">
        <f>[1]Source!I4881</f>
        <v>1.516</v>
      </c>
      <c r="F5020" s="30"/>
      <c r="G5020" s="31"/>
      <c r="H5020" s="29"/>
      <c r="I5020" s="30"/>
      <c r="J5020" s="29"/>
      <c r="K5020" s="30"/>
      <c r="Q5020">
        <f>[1]Source!X4881</f>
        <v>13022.47</v>
      </c>
      <c r="R5020">
        <f>[1]Source!X4882</f>
        <v>733816.16</v>
      </c>
      <c r="S5020">
        <f>[1]Source!Y4881</f>
        <v>8216.56</v>
      </c>
      <c r="T5020">
        <f>[1]Source!Y4882</f>
        <v>463003.06</v>
      </c>
      <c r="U5020">
        <f>ROUND((175/100)*ROUND([1]Source!R4881, 2), 2)</f>
        <v>162.47</v>
      </c>
      <c r="V5020">
        <f>ROUND((0/100)*ROUND([1]Source!R4882, 2), 2)</f>
        <v>0</v>
      </c>
      <c r="AC5020">
        <v>0</v>
      </c>
    </row>
    <row r="5021" spans="1:29" hidden="1" x14ac:dyDescent="0.25">
      <c r="C5021" s="32" t="str">
        <f>"Объем: "&amp;[1]Source!I4881&amp;"=151,6/"&amp;"100"</f>
        <v>Объем: 1,516=151,6/100</v>
      </c>
    </row>
    <row r="5022" spans="1:29" ht="14.4" hidden="1" x14ac:dyDescent="0.25">
      <c r="A5022" s="27"/>
      <c r="B5022" s="27"/>
      <c r="C5022" s="27" t="s">
        <v>36</v>
      </c>
      <c r="D5022" s="28"/>
      <c r="E5022" s="29"/>
      <c r="F5022" s="30">
        <f>[1]Source!AO4881</f>
        <v>6776.38</v>
      </c>
      <c r="G5022" s="31" t="s">
        <v>37</v>
      </c>
      <c r="H5022" s="29">
        <f>[1]Source!AV4882</f>
        <v>1.087</v>
      </c>
      <c r="I5022" s="30">
        <f>[1]Source!S4881</f>
        <v>15410.1</v>
      </c>
      <c r="J5022" s="29">
        <f>IF([1]Source!BA4882&lt;&gt; 0, [1]Source!BA4882, 1)</f>
        <v>56.35</v>
      </c>
      <c r="K5022" s="30">
        <f>[1]Source!S4882</f>
        <v>868359.14</v>
      </c>
    </row>
    <row r="5023" spans="1:29" ht="14.4" hidden="1" x14ac:dyDescent="0.25">
      <c r="A5023" s="27"/>
      <c r="B5023" s="27"/>
      <c r="C5023" s="27" t="s">
        <v>38</v>
      </c>
      <c r="D5023" s="28"/>
      <c r="E5023" s="29"/>
      <c r="F5023" s="30">
        <f>[1]Source!AM4881</f>
        <v>592.20000000000005</v>
      </c>
      <c r="G5023" s="31" t="s">
        <v>39</v>
      </c>
      <c r="H5023" s="29">
        <f>[1]Source!AV4882</f>
        <v>1.087</v>
      </c>
      <c r="I5023" s="30">
        <f>[1]Source!Q4881</f>
        <v>1463.82</v>
      </c>
      <c r="J5023" s="29">
        <f>IF([1]Source!BB4882&lt;&gt; 0, [1]Source!BB4882, 1)</f>
        <v>13.07</v>
      </c>
      <c r="K5023" s="30">
        <f>[1]Source!Q4882</f>
        <v>19132.13</v>
      </c>
    </row>
    <row r="5024" spans="1:29" ht="14.4" hidden="1" x14ac:dyDescent="0.25">
      <c r="A5024" s="27"/>
      <c r="B5024" s="27"/>
      <c r="C5024" s="27" t="s">
        <v>40</v>
      </c>
      <c r="D5024" s="28"/>
      <c r="E5024" s="29"/>
      <c r="F5024" s="30">
        <f>[1]Source!AN4881</f>
        <v>37.56</v>
      </c>
      <c r="G5024" s="31" t="s">
        <v>39</v>
      </c>
      <c r="H5024" s="29">
        <f>[1]Source!AV4882</f>
        <v>1.087</v>
      </c>
      <c r="I5024" s="33">
        <f>[1]Source!R4881</f>
        <v>92.84</v>
      </c>
      <c r="J5024" s="29">
        <f>IF([1]Source!BS4882&lt;&gt; 0, [1]Source!BS4882, 1)</f>
        <v>56.35</v>
      </c>
      <c r="K5024" s="33">
        <f>[1]Source!R4882</f>
        <v>5231.53</v>
      </c>
    </row>
    <row r="5025" spans="1:29" ht="14.4" hidden="1" x14ac:dyDescent="0.25">
      <c r="A5025" s="27"/>
      <c r="B5025" s="27"/>
      <c r="C5025" s="27" t="s">
        <v>41</v>
      </c>
      <c r="D5025" s="28"/>
      <c r="E5025" s="29"/>
      <c r="F5025" s="30">
        <f>[1]Source!AL4881</f>
        <v>394.67</v>
      </c>
      <c r="G5025" s="31"/>
      <c r="H5025" s="29">
        <f>[1]Source!AW4882</f>
        <v>1</v>
      </c>
      <c r="I5025" s="30">
        <f>[1]Source!P4881</f>
        <v>598.32000000000005</v>
      </c>
      <c r="J5025" s="29">
        <f>IF([1]Source!BC4882&lt;&gt; 0, [1]Source!BC4882, 1)</f>
        <v>10.15</v>
      </c>
      <c r="K5025" s="30">
        <f>[1]Source!P4882</f>
        <v>6072.95</v>
      </c>
    </row>
    <row r="5026" spans="1:29" ht="40.200000000000003" x14ac:dyDescent="0.25">
      <c r="A5026" s="53" t="s">
        <v>911</v>
      </c>
      <c r="B5026" s="53" t="str">
        <f>[1]Source!F4883</f>
        <v>КА-195</v>
      </c>
      <c r="C5026" s="53" t="s">
        <v>912</v>
      </c>
      <c r="D5026" s="54" t="str">
        <f>[1]Source!H4883</f>
        <v>м2</v>
      </c>
      <c r="E5026" s="55">
        <f>[1]Source!I4883</f>
        <v>151.6</v>
      </c>
      <c r="F5026" s="30">
        <f>[1]Source!AK4883</f>
        <v>1019.59</v>
      </c>
      <c r="G5026" s="43" t="s">
        <v>54</v>
      </c>
      <c r="H5026" s="29">
        <f>[1]Source!AW4884</f>
        <v>1</v>
      </c>
      <c r="I5026" s="30">
        <f>[1]Source!O4883</f>
        <v>154569.84</v>
      </c>
      <c r="J5026" s="29">
        <f>IF([1]Source!BC4884&lt;&gt; 0, [1]Source!BC4884, 1)</f>
        <v>9.84</v>
      </c>
      <c r="K5026" s="56">
        <f>[1]Source!O4884</f>
        <v>1520967.23</v>
      </c>
      <c r="L5026">
        <v>12000</v>
      </c>
      <c r="M5026" s="50">
        <f>L5026*E5026</f>
        <v>1819200</v>
      </c>
      <c r="N5026" s="59" t="s">
        <v>180</v>
      </c>
      <c r="Q5026">
        <f>[1]Source!X4883</f>
        <v>0</v>
      </c>
      <c r="R5026">
        <f>[1]Source!X4884</f>
        <v>0</v>
      </c>
      <c r="S5026">
        <f>[1]Source!Y4883</f>
        <v>0</v>
      </c>
      <c r="T5026">
        <f>[1]Source!Y4884</f>
        <v>0</v>
      </c>
      <c r="U5026">
        <f>ROUND((175/100)*ROUND([1]Source!R4883, 2), 2)</f>
        <v>0</v>
      </c>
      <c r="V5026">
        <f>ROUND((0/100)*ROUND([1]Source!R4884, 2), 2)</f>
        <v>0</v>
      </c>
      <c r="AC5026">
        <v>3</v>
      </c>
    </row>
    <row r="5027" spans="1:29" ht="14.4" hidden="1" x14ac:dyDescent="0.25">
      <c r="A5027" s="27"/>
      <c r="B5027" s="27"/>
      <c r="C5027" s="27" t="s">
        <v>42</v>
      </c>
      <c r="D5027" s="28" t="s">
        <v>43</v>
      </c>
      <c r="E5027" s="29">
        <f>[1]Source!BZ4882</f>
        <v>84</v>
      </c>
      <c r="F5027" s="30"/>
      <c r="G5027" s="31"/>
      <c r="H5027" s="29"/>
      <c r="I5027" s="30">
        <f>SUM(Q5020:Q5026)</f>
        <v>13022.47</v>
      </c>
      <c r="J5027" s="29">
        <f>[1]Source!AT4882</f>
        <v>84</v>
      </c>
      <c r="K5027" s="30">
        <f>SUM(R5020:R5026)</f>
        <v>733816.16</v>
      </c>
    </row>
    <row r="5028" spans="1:29" ht="14.4" hidden="1" x14ac:dyDescent="0.25">
      <c r="A5028" s="27"/>
      <c r="B5028" s="27"/>
      <c r="C5028" s="27" t="s">
        <v>44</v>
      </c>
      <c r="D5028" s="28" t="s">
        <v>43</v>
      </c>
      <c r="E5028" s="29">
        <f>[1]Source!CA4882</f>
        <v>53</v>
      </c>
      <c r="F5028" s="30"/>
      <c r="G5028" s="31"/>
      <c r="H5028" s="29"/>
      <c r="I5028" s="30">
        <f>SUM(S5020:S5027)</f>
        <v>8216.56</v>
      </c>
      <c r="J5028" s="29">
        <f>[1]Source!AU4882</f>
        <v>53</v>
      </c>
      <c r="K5028" s="30">
        <f>SUM(T5020:T5027)</f>
        <v>463003.06</v>
      </c>
    </row>
    <row r="5029" spans="1:29" ht="14.4" hidden="1" x14ac:dyDescent="0.25">
      <c r="A5029" s="34"/>
      <c r="B5029" s="34"/>
      <c r="C5029" s="34" t="s">
        <v>45</v>
      </c>
      <c r="D5029" s="35" t="s">
        <v>46</v>
      </c>
      <c r="E5029" s="36">
        <f>[1]Source!AQ4881</f>
        <v>389</v>
      </c>
      <c r="F5029" s="37"/>
      <c r="G5029" s="38" t="s">
        <v>37</v>
      </c>
      <c r="H5029" s="36">
        <f>[1]Source!AV4882</f>
        <v>1.087</v>
      </c>
      <c r="I5029" s="37">
        <f>[1]Source!U4881</f>
        <v>884.62138343999993</v>
      </c>
      <c r="J5029" s="36"/>
      <c r="K5029" s="37"/>
    </row>
    <row r="5030" spans="1:29" ht="13.8" hidden="1" x14ac:dyDescent="0.25">
      <c r="C5030" s="39" t="s">
        <v>47</v>
      </c>
      <c r="H5030" s="40">
        <f>I5022+I5023+I5025+I5027+I5028+SUM(I5026:I5026)-SUMIF(AC5026:AC5026, 5, I5026:I5026)-SUMIF(AC5026:AC5026, 6, I5026:I5026)</f>
        <v>193281.11</v>
      </c>
      <c r="I5030" s="40"/>
      <c r="J5030" s="40">
        <f>K5022+K5023+K5025+K5027+K5028+SUM(K5026:K5026)-SUMIF(AC5026:AC5026, 5, K5026:K5026)-SUMIF(AC5026:AC5026, 6, K5026:K5026)</f>
        <v>3611350.67</v>
      </c>
      <c r="K5030" s="40"/>
    </row>
    <row r="5031" spans="1:29" ht="13.8" hidden="1" x14ac:dyDescent="0.25">
      <c r="C5031" s="39" t="s">
        <v>48</v>
      </c>
      <c r="H5031" s="41">
        <f>SUMIF(AC5026:AC5026, 5, I5026:I5026)+SUMIF(AC5026:AC5026, 6, I5026:I5026)</f>
        <v>0</v>
      </c>
      <c r="I5031" s="41"/>
      <c r="J5031" s="41">
        <f>SUMIF(AC5026:AC5026, 5, K5026:K5026)+SUMIF(AC5026:AC5026, 6, K5026:K5026)</f>
        <v>0</v>
      </c>
      <c r="K5031" s="41"/>
    </row>
    <row r="5032" spans="1:29" ht="13.8" hidden="1" x14ac:dyDescent="0.25">
      <c r="C5032" s="39" t="s">
        <v>49</v>
      </c>
      <c r="H5032" s="41">
        <f>I5022+I5023+I5025+I5027+I5028+SUM(I5026:I5026)</f>
        <v>193281.11</v>
      </c>
      <c r="I5032" s="41"/>
      <c r="J5032" s="41">
        <f>K5022+K5023+K5025+K5027+K5028+SUM(K5026:K5026)</f>
        <v>3611350.67</v>
      </c>
      <c r="K5032" s="41"/>
      <c r="O5032" s="42">
        <f>I5022+I5023+I5025+I5027+I5028+SUM(I5026:I5026)</f>
        <v>193281.11</v>
      </c>
      <c r="P5032" s="42">
        <f>K5022+K5023+K5025+K5027+K5028+SUM(K5026:K5026)</f>
        <v>3611350.67</v>
      </c>
    </row>
    <row r="5033" spans="1:29" hidden="1" x14ac:dyDescent="0.25"/>
    <row r="5034" spans="1:29" hidden="1" x14ac:dyDescent="0.25"/>
    <row r="5035" spans="1:29" ht="13.8" hidden="1" x14ac:dyDescent="0.25">
      <c r="A5035" s="44" t="str">
        <f>CONCATENATE("Итого по разделу: ",IF([1]Source!G4886&lt;&gt;"Новый раздел", [1]Source!G4886, ""))</f>
        <v>Итого по разделу: Сантехнические перегородки из HPL-панелей</v>
      </c>
      <c r="B5035" s="44"/>
      <c r="C5035" s="44"/>
      <c r="D5035" s="44"/>
      <c r="E5035" s="44"/>
      <c r="F5035" s="44"/>
      <c r="G5035" s="44"/>
      <c r="H5035" s="41">
        <f>SUM(O5019:O5034)</f>
        <v>193281.11</v>
      </c>
      <c r="I5035" s="45"/>
      <c r="J5035" s="41">
        <f>SUM(P5019:P5034)</f>
        <v>3611350.67</v>
      </c>
      <c r="K5035" s="45"/>
    </row>
    <row r="5036" spans="1:29" hidden="1" x14ac:dyDescent="0.25">
      <c r="A5036" t="s">
        <v>55</v>
      </c>
      <c r="I5036">
        <f>SUM(W5019:W5035)</f>
        <v>0</v>
      </c>
      <c r="J5036">
        <f>SUM(X5019:X5035)</f>
        <v>0</v>
      </c>
    </row>
    <row r="5037" spans="1:29" hidden="1" x14ac:dyDescent="0.25">
      <c r="A5037" t="s">
        <v>56</v>
      </c>
      <c r="I5037">
        <f>SUM(Y5019:Y5036)</f>
        <v>0</v>
      </c>
      <c r="J5037">
        <f>SUM(Z5019:Z5036)</f>
        <v>0</v>
      </c>
    </row>
    <row r="5038" spans="1:29" hidden="1" x14ac:dyDescent="0.25"/>
    <row r="5039" spans="1:29" ht="16.8" hidden="1" x14ac:dyDescent="0.25">
      <c r="A5039" s="11" t="str">
        <f>CONCATENATE("Раздел: ",IF([1]Source!G4916&lt;&gt;"Новый раздел", [1]Source!G4916, ""))</f>
        <v>Раздел: Ограждения</v>
      </c>
      <c r="B5039" s="11"/>
      <c r="C5039" s="11"/>
      <c r="D5039" s="11"/>
      <c r="E5039" s="11"/>
      <c r="F5039" s="11"/>
      <c r="G5039" s="11"/>
      <c r="H5039" s="11"/>
      <c r="I5039" s="11"/>
      <c r="J5039" s="11"/>
      <c r="K5039" s="11"/>
    </row>
    <row r="5040" spans="1:29" hidden="1" x14ac:dyDescent="0.25"/>
    <row r="5041" spans="1:29" ht="16.8" hidden="1" x14ac:dyDescent="0.25">
      <c r="A5041" s="11" t="str">
        <f>CONCATENATE("Подраздел: ",IF([1]Source!G4920&lt;&gt;"Новый подраздел", [1]Source!G4920, ""))</f>
        <v>Подраздел: Демонтажные работы</v>
      </c>
      <c r="B5041" s="11"/>
      <c r="C5041" s="11"/>
      <c r="D5041" s="11"/>
      <c r="E5041" s="11"/>
      <c r="F5041" s="11"/>
      <c r="G5041" s="11"/>
      <c r="H5041" s="11"/>
      <c r="I5041" s="11"/>
      <c r="J5041" s="11"/>
      <c r="K5041" s="11"/>
    </row>
    <row r="5042" spans="1:29" ht="43.2" hidden="1" x14ac:dyDescent="0.25">
      <c r="A5042" s="27">
        <v>459</v>
      </c>
      <c r="B5042" s="27" t="str">
        <f>[1]Source!F4924</f>
        <v>3.70-27-4</v>
      </c>
      <c r="C5042" s="27" t="s">
        <v>913</v>
      </c>
      <c r="D5042" s="28" t="str">
        <f>[1]Source!H4924</f>
        <v>100 м ограждений</v>
      </c>
      <c r="E5042" s="29">
        <f>[1]Source!I4924</f>
        <v>1.905</v>
      </c>
      <c r="F5042" s="30"/>
      <c r="G5042" s="31"/>
      <c r="H5042" s="29"/>
      <c r="I5042" s="30"/>
      <c r="J5042" s="29"/>
      <c r="K5042" s="30"/>
      <c r="Q5042">
        <f>[1]Source!X4924</f>
        <v>984.46</v>
      </c>
      <c r="R5042">
        <f>[1]Source!X4925</f>
        <v>55474.1</v>
      </c>
      <c r="S5042">
        <f>[1]Source!Y4924</f>
        <v>616.53</v>
      </c>
      <c r="T5042">
        <f>[1]Source!Y4925</f>
        <v>34741.35</v>
      </c>
      <c r="U5042">
        <f>ROUND((175/100)*ROUND([1]Source!R4924, 2), 2)</f>
        <v>17.059999999999999</v>
      </c>
      <c r="V5042">
        <f>ROUND((0/100)*ROUND([1]Source!R4925, 2), 2)</f>
        <v>0</v>
      </c>
      <c r="AC5042">
        <v>0</v>
      </c>
    </row>
    <row r="5043" spans="1:29" hidden="1" x14ac:dyDescent="0.25">
      <c r="C5043" s="32" t="str">
        <f>"Объем: "&amp;[1]Source!I4924&amp;"=190,5/"&amp;"100"</f>
        <v>Объем: 1,905=190,5/100</v>
      </c>
    </row>
    <row r="5044" spans="1:29" ht="14.4" hidden="1" x14ac:dyDescent="0.25">
      <c r="A5044" s="27"/>
      <c r="B5044" s="27"/>
      <c r="C5044" s="27" t="s">
        <v>36</v>
      </c>
      <c r="D5044" s="28"/>
      <c r="E5044" s="29"/>
      <c r="F5044" s="30">
        <f>[1]Source!AO4924</f>
        <v>685.66</v>
      </c>
      <c r="G5044" s="31" t="s">
        <v>102</v>
      </c>
      <c r="H5044" s="29">
        <f>[1]Source!AV4925</f>
        <v>1.0469999999999999</v>
      </c>
      <c r="I5044" s="30">
        <f>[1]Source!S4924</f>
        <v>984.65</v>
      </c>
      <c r="J5044" s="29">
        <f>IF([1]Source!BA4925&lt;&gt; 0, [1]Source!BA4925, 1)</f>
        <v>56.35</v>
      </c>
      <c r="K5044" s="30">
        <f>[1]Source!S4925</f>
        <v>55485.03</v>
      </c>
    </row>
    <row r="5045" spans="1:29" ht="14.4" hidden="1" x14ac:dyDescent="0.25">
      <c r="A5045" s="27"/>
      <c r="B5045" s="27"/>
      <c r="C5045" s="27" t="s">
        <v>38</v>
      </c>
      <c r="D5045" s="28"/>
      <c r="E5045" s="29"/>
      <c r="F5045" s="30">
        <f>[1]Source!AM4924</f>
        <v>58.27</v>
      </c>
      <c r="G5045" s="31" t="s">
        <v>102</v>
      </c>
      <c r="H5045" s="29">
        <f>[1]Source!AV4925</f>
        <v>1.0469999999999999</v>
      </c>
      <c r="I5045" s="30">
        <f>[1]Source!Q4924</f>
        <v>83.68</v>
      </c>
      <c r="J5045" s="29">
        <f>IF([1]Source!BB4925&lt;&gt; 0, [1]Source!BB4925, 1)</f>
        <v>15.45</v>
      </c>
      <c r="K5045" s="30">
        <f>[1]Source!Q4925</f>
        <v>1292.8599999999999</v>
      </c>
    </row>
    <row r="5046" spans="1:29" ht="14.4" hidden="1" x14ac:dyDescent="0.25">
      <c r="A5046" s="27"/>
      <c r="B5046" s="27"/>
      <c r="C5046" s="27" t="s">
        <v>40</v>
      </c>
      <c r="D5046" s="28"/>
      <c r="E5046" s="29"/>
      <c r="F5046" s="30">
        <f>[1]Source!AN4924</f>
        <v>6.79</v>
      </c>
      <c r="G5046" s="31" t="s">
        <v>102</v>
      </c>
      <c r="H5046" s="29">
        <f>[1]Source!AV4925</f>
        <v>1.0469999999999999</v>
      </c>
      <c r="I5046" s="33">
        <f>[1]Source!R4924</f>
        <v>9.75</v>
      </c>
      <c r="J5046" s="29">
        <f>IF([1]Source!BS4925&lt;&gt; 0, [1]Source!BS4925, 1)</f>
        <v>56.35</v>
      </c>
      <c r="K5046" s="33">
        <f>[1]Source!R4925</f>
        <v>549.41</v>
      </c>
    </row>
    <row r="5047" spans="1:29" ht="14.4" hidden="1" x14ac:dyDescent="0.25">
      <c r="A5047" s="27"/>
      <c r="B5047" s="27"/>
      <c r="C5047" s="27" t="s">
        <v>42</v>
      </c>
      <c r="D5047" s="28" t="s">
        <v>43</v>
      </c>
      <c r="E5047" s="29">
        <f>[1]Source!BZ4925</f>
        <v>99</v>
      </c>
      <c r="F5047" s="30"/>
      <c r="G5047" s="31"/>
      <c r="H5047" s="29"/>
      <c r="I5047" s="30">
        <f>SUM(Q5042:Q5046)</f>
        <v>984.46</v>
      </c>
      <c r="J5047" s="29">
        <f>[1]Source!AT4925</f>
        <v>99</v>
      </c>
      <c r="K5047" s="30">
        <f>SUM(R5042:R5046)</f>
        <v>55474.1</v>
      </c>
    </row>
    <row r="5048" spans="1:29" ht="14.4" hidden="1" x14ac:dyDescent="0.25">
      <c r="A5048" s="27"/>
      <c r="B5048" s="27"/>
      <c r="C5048" s="27" t="s">
        <v>44</v>
      </c>
      <c r="D5048" s="28" t="s">
        <v>43</v>
      </c>
      <c r="E5048" s="29">
        <f>[1]Source!CA4925</f>
        <v>62</v>
      </c>
      <c r="F5048" s="30"/>
      <c r="G5048" s="31"/>
      <c r="H5048" s="29"/>
      <c r="I5048" s="30">
        <f>SUM(S5042:S5047)</f>
        <v>616.53</v>
      </c>
      <c r="J5048" s="29">
        <f>[1]Source!AU4925</f>
        <v>62</v>
      </c>
      <c r="K5048" s="30">
        <f>SUM(T5042:T5047)</f>
        <v>34741.35</v>
      </c>
    </row>
    <row r="5049" spans="1:29" ht="14.4" hidden="1" x14ac:dyDescent="0.25">
      <c r="A5049" s="34"/>
      <c r="B5049" s="34"/>
      <c r="C5049" s="34" t="s">
        <v>45</v>
      </c>
      <c r="D5049" s="35" t="s">
        <v>46</v>
      </c>
      <c r="E5049" s="36">
        <f>[1]Source!AQ4924</f>
        <v>41.5</v>
      </c>
      <c r="F5049" s="37"/>
      <c r="G5049" s="38" t="s">
        <v>102</v>
      </c>
      <c r="H5049" s="36">
        <f>[1]Source!AV4925</f>
        <v>1.0469999999999999</v>
      </c>
      <c r="I5049" s="37">
        <f>[1]Source!U4924</f>
        <v>59.596705799999988</v>
      </c>
      <c r="J5049" s="36"/>
      <c r="K5049" s="37"/>
    </row>
    <row r="5050" spans="1:29" ht="13.8" hidden="1" x14ac:dyDescent="0.25">
      <c r="C5050" s="39" t="s">
        <v>47</v>
      </c>
      <c r="H5050" s="40">
        <f>I5044+I5045+I5047+I5048+0-0-0</f>
        <v>2669.3199999999997</v>
      </c>
      <c r="I5050" s="40"/>
      <c r="J5050" s="40">
        <f>K5044+K5045+K5047+K5048+0-0-0</f>
        <v>146993.34</v>
      </c>
      <c r="K5050" s="40"/>
    </row>
    <row r="5051" spans="1:29" ht="13.8" hidden="1" x14ac:dyDescent="0.25">
      <c r="C5051" s="39" t="s">
        <v>48</v>
      </c>
      <c r="H5051" s="41">
        <f>0+0</f>
        <v>0</v>
      </c>
      <c r="I5051" s="41"/>
      <c r="J5051" s="41">
        <f>0+0</f>
        <v>0</v>
      </c>
      <c r="K5051" s="41"/>
    </row>
    <row r="5052" spans="1:29" ht="13.8" hidden="1" x14ac:dyDescent="0.25">
      <c r="C5052" s="39" t="s">
        <v>49</v>
      </c>
      <c r="H5052" s="41">
        <f>I5044+I5045+I5047+I5048+0</f>
        <v>2669.3199999999997</v>
      </c>
      <c r="I5052" s="41"/>
      <c r="J5052" s="41">
        <f>K5044+K5045+K5047+K5048+0</f>
        <v>146993.34</v>
      </c>
      <c r="K5052" s="41"/>
      <c r="O5052" s="42">
        <f>I5044+I5045+I5047+I5048+0</f>
        <v>2669.3199999999997</v>
      </c>
      <c r="P5052" s="42">
        <f>K5044+K5045+K5047+K5048+0</f>
        <v>146993.34</v>
      </c>
    </row>
    <row r="5053" spans="1:29" hidden="1" x14ac:dyDescent="0.25"/>
    <row r="5054" spans="1:29" hidden="1" x14ac:dyDescent="0.25"/>
    <row r="5055" spans="1:29" ht="13.8" hidden="1" x14ac:dyDescent="0.25">
      <c r="A5055" s="44" t="str">
        <f>CONCATENATE("Итого по подразделу: ",IF([1]Source!G4927&lt;&gt;"Новый подраздел", [1]Source!G4927, ""))</f>
        <v>Итого по подразделу: Демонтажные работы</v>
      </c>
      <c r="B5055" s="44"/>
      <c r="C5055" s="44"/>
      <c r="D5055" s="44"/>
      <c r="E5055" s="44"/>
      <c r="F5055" s="44"/>
      <c r="G5055" s="44"/>
      <c r="H5055" s="41">
        <f>SUM(O5041:O5054)</f>
        <v>2669.3199999999997</v>
      </c>
      <c r="I5055" s="45"/>
      <c r="J5055" s="41">
        <f>SUM(P5041:P5054)</f>
        <v>146993.34</v>
      </c>
      <c r="K5055" s="45"/>
    </row>
    <row r="5056" spans="1:29" hidden="1" x14ac:dyDescent="0.25">
      <c r="A5056" t="s">
        <v>55</v>
      </c>
      <c r="I5056">
        <f>SUM(W5041:W5055)</f>
        <v>0</v>
      </c>
      <c r="J5056">
        <f>SUM(X5041:X5055)</f>
        <v>0</v>
      </c>
    </row>
    <row r="5057" spans="1:29" hidden="1" x14ac:dyDescent="0.25">
      <c r="A5057" t="s">
        <v>56</v>
      </c>
      <c r="I5057">
        <f>SUM(Y5041:Y5056)</f>
        <v>0</v>
      </c>
      <c r="J5057">
        <f>SUM(Z5041:Z5056)</f>
        <v>0</v>
      </c>
    </row>
    <row r="5058" spans="1:29" hidden="1" x14ac:dyDescent="0.25"/>
    <row r="5059" spans="1:29" ht="16.8" hidden="1" x14ac:dyDescent="0.25">
      <c r="A5059" s="11" t="str">
        <f>CONCATENATE("Подраздел: ",IF([1]Source!G4957&lt;&gt;"Новый подраздел", [1]Source!G4957, ""))</f>
        <v>Подраздел: Ограждение внутренних лестниц</v>
      </c>
      <c r="B5059" s="11"/>
      <c r="C5059" s="11"/>
      <c r="D5059" s="11"/>
      <c r="E5059" s="11"/>
      <c r="F5059" s="11"/>
      <c r="G5059" s="11"/>
      <c r="H5059" s="11"/>
      <c r="I5059" s="11"/>
      <c r="J5059" s="11"/>
      <c r="K5059" s="11"/>
    </row>
    <row r="5060" spans="1:29" ht="43.2" hidden="1" x14ac:dyDescent="0.25">
      <c r="A5060" s="27">
        <v>460</v>
      </c>
      <c r="B5060" s="27" t="str">
        <f>[1]Source!F4961</f>
        <v>3.70-27-4</v>
      </c>
      <c r="C5060" s="27" t="s">
        <v>176</v>
      </c>
      <c r="D5060" s="28" t="str">
        <f>[1]Source!H4961</f>
        <v>100 м ограждений</v>
      </c>
      <c r="E5060" s="29">
        <f>[1]Source!I4961</f>
        <v>2.16</v>
      </c>
      <c r="F5060" s="30"/>
      <c r="G5060" s="31"/>
      <c r="H5060" s="29"/>
      <c r="I5060" s="30"/>
      <c r="J5060" s="29"/>
      <c r="K5060" s="30"/>
      <c r="Q5060">
        <f>[1]Source!X4961</f>
        <v>2141.27</v>
      </c>
      <c r="R5060">
        <f>[1]Source!X4962</f>
        <v>120660.62</v>
      </c>
      <c r="S5060">
        <f>[1]Source!Y4961</f>
        <v>1341</v>
      </c>
      <c r="T5060">
        <f>[1]Source!Y4962</f>
        <v>75565.23</v>
      </c>
      <c r="U5060">
        <f>ROUND((175/100)*ROUND([1]Source!R4961, 2), 2)</f>
        <v>40.299999999999997</v>
      </c>
      <c r="V5060">
        <f>ROUND((0/100)*ROUND([1]Source!R4962, 2), 2)</f>
        <v>0</v>
      </c>
      <c r="AC5060">
        <v>0</v>
      </c>
    </row>
    <row r="5061" spans="1:29" hidden="1" x14ac:dyDescent="0.25">
      <c r="C5061" s="32" t="str">
        <f>"Объем: "&amp;[1]Source!I4961&amp;"=(66+"&amp;"15+"&amp;"90+"&amp;"25,5+"&amp;"15+"&amp;"4,5)/"&amp;"100"</f>
        <v>Объем: 2,16=(66+15+90+25,5+15+4,5)/100</v>
      </c>
    </row>
    <row r="5062" spans="1:29" ht="14.4" hidden="1" x14ac:dyDescent="0.25">
      <c r="A5062" s="27"/>
      <c r="B5062" s="27"/>
      <c r="C5062" s="27" t="s">
        <v>36</v>
      </c>
      <c r="D5062" s="28"/>
      <c r="E5062" s="29"/>
      <c r="F5062" s="30">
        <f>[1]Source!AO4961</f>
        <v>685.66</v>
      </c>
      <c r="G5062" s="31" t="s">
        <v>37</v>
      </c>
      <c r="H5062" s="29">
        <f>[1]Source!AV4962</f>
        <v>1.0469999999999999</v>
      </c>
      <c r="I5062" s="30">
        <f>[1]Source!S4961</f>
        <v>2139.87</v>
      </c>
      <c r="J5062" s="29">
        <f>IF([1]Source!BA4962&lt;&gt; 0, [1]Source!BA4962, 1)</f>
        <v>56.35</v>
      </c>
      <c r="K5062" s="30">
        <f>[1]Source!S4962</f>
        <v>120581.67</v>
      </c>
    </row>
    <row r="5063" spans="1:29" ht="14.4" hidden="1" x14ac:dyDescent="0.25">
      <c r="A5063" s="27"/>
      <c r="B5063" s="27"/>
      <c r="C5063" s="27" t="s">
        <v>38</v>
      </c>
      <c r="D5063" s="28"/>
      <c r="E5063" s="29"/>
      <c r="F5063" s="30">
        <f>[1]Source!AM4961</f>
        <v>58.27</v>
      </c>
      <c r="G5063" s="31" t="s">
        <v>39</v>
      </c>
      <c r="H5063" s="29">
        <f>[1]Source!AV4962</f>
        <v>1.0469999999999999</v>
      </c>
      <c r="I5063" s="30">
        <f>[1]Source!Q4961</f>
        <v>197.67</v>
      </c>
      <c r="J5063" s="29">
        <f>IF([1]Source!BB4962&lt;&gt; 0, [1]Source!BB4962, 1)</f>
        <v>15.45</v>
      </c>
      <c r="K5063" s="30">
        <f>[1]Source!Q4962</f>
        <v>3054</v>
      </c>
    </row>
    <row r="5064" spans="1:29" ht="14.4" hidden="1" x14ac:dyDescent="0.25">
      <c r="A5064" s="27"/>
      <c r="B5064" s="27"/>
      <c r="C5064" s="27" t="s">
        <v>40</v>
      </c>
      <c r="D5064" s="28"/>
      <c r="E5064" s="29"/>
      <c r="F5064" s="30">
        <f>[1]Source!AN4961</f>
        <v>6.79</v>
      </c>
      <c r="G5064" s="31" t="s">
        <v>39</v>
      </c>
      <c r="H5064" s="29">
        <f>[1]Source!AV4962</f>
        <v>1.0469999999999999</v>
      </c>
      <c r="I5064" s="33">
        <f>[1]Source!R4961</f>
        <v>23.03</v>
      </c>
      <c r="J5064" s="29">
        <f>IF([1]Source!BS4962&lt;&gt; 0, [1]Source!BS4962, 1)</f>
        <v>56.35</v>
      </c>
      <c r="K5064" s="33">
        <f>[1]Source!R4962</f>
        <v>1297.74</v>
      </c>
    </row>
    <row r="5065" spans="1:29" ht="69" hidden="1" x14ac:dyDescent="0.25">
      <c r="A5065" s="27" t="s">
        <v>914</v>
      </c>
      <c r="B5065" s="27" t="str">
        <f>[1]Source!F4963</f>
        <v>1.1-1-1328</v>
      </c>
      <c r="C5065" s="27" t="s">
        <v>178</v>
      </c>
      <c r="D5065" s="28" t="str">
        <f>[1]Source!H4963</f>
        <v>т</v>
      </c>
      <c r="E5065" s="29">
        <f>[1]Source!I4963</f>
        <v>0.32400000000000001</v>
      </c>
      <c r="F5065" s="30">
        <f>[1]Source!AK4963</f>
        <v>313.5</v>
      </c>
      <c r="G5065" s="43" t="s">
        <v>54</v>
      </c>
      <c r="H5065" s="29">
        <f>[1]Source!AW4964</f>
        <v>1</v>
      </c>
      <c r="I5065" s="30">
        <f>[1]Source!O4963</f>
        <v>101.57</v>
      </c>
      <c r="J5065" s="29">
        <f>IF([1]Source!BC4964&lt;&gt; 0, [1]Source!BC4964, 1)</f>
        <v>23.28</v>
      </c>
      <c r="K5065" s="30">
        <f>[1]Source!O4964</f>
        <v>2364.5500000000002</v>
      </c>
      <c r="Q5065">
        <f>[1]Source!X4963</f>
        <v>0</v>
      </c>
      <c r="R5065">
        <f>[1]Source!X4964</f>
        <v>0</v>
      </c>
      <c r="S5065">
        <f>[1]Source!Y4963</f>
        <v>0</v>
      </c>
      <c r="T5065">
        <f>[1]Source!Y4964</f>
        <v>0</v>
      </c>
      <c r="U5065">
        <f>ROUND((175/100)*ROUND([1]Source!R4963, 2), 2)</f>
        <v>0</v>
      </c>
      <c r="V5065">
        <f>ROUND((0/100)*ROUND([1]Source!R4964, 2), 2)</f>
        <v>0</v>
      </c>
      <c r="AC5065">
        <v>3</v>
      </c>
    </row>
    <row r="5066" spans="1:29" ht="14.4" hidden="1" x14ac:dyDescent="0.25">
      <c r="A5066" s="27"/>
      <c r="B5066" s="27"/>
      <c r="C5066" s="27" t="s">
        <v>42</v>
      </c>
      <c r="D5066" s="28" t="s">
        <v>43</v>
      </c>
      <c r="E5066" s="29">
        <f>[1]Source!BZ4962</f>
        <v>99</v>
      </c>
      <c r="F5066" s="30"/>
      <c r="G5066" s="31"/>
      <c r="H5066" s="29"/>
      <c r="I5066" s="30">
        <f>SUM(Q5060:Q5065)</f>
        <v>2141.27</v>
      </c>
      <c r="J5066" s="29">
        <f>[1]Source!AT4962</f>
        <v>99</v>
      </c>
      <c r="K5066" s="30">
        <f>SUM(R5060:R5065)</f>
        <v>120660.62</v>
      </c>
    </row>
    <row r="5067" spans="1:29" ht="14.4" hidden="1" x14ac:dyDescent="0.25">
      <c r="A5067" s="27"/>
      <c r="B5067" s="27"/>
      <c r="C5067" s="27" t="s">
        <v>44</v>
      </c>
      <c r="D5067" s="28" t="s">
        <v>43</v>
      </c>
      <c r="E5067" s="29">
        <f>[1]Source!CA4962</f>
        <v>62</v>
      </c>
      <c r="F5067" s="30"/>
      <c r="G5067" s="31"/>
      <c r="H5067" s="29"/>
      <c r="I5067" s="30">
        <f>SUM(S5060:S5066)</f>
        <v>1341</v>
      </c>
      <c r="J5067" s="29">
        <f>[1]Source!AU4962</f>
        <v>62</v>
      </c>
      <c r="K5067" s="30">
        <f>SUM(T5060:T5066)</f>
        <v>75565.23</v>
      </c>
    </row>
    <row r="5068" spans="1:29" ht="14.4" hidden="1" x14ac:dyDescent="0.25">
      <c r="A5068" s="34"/>
      <c r="B5068" s="34"/>
      <c r="C5068" s="34" t="s">
        <v>45</v>
      </c>
      <c r="D5068" s="35" t="s">
        <v>46</v>
      </c>
      <c r="E5068" s="36">
        <f>[1]Source!AQ4961</f>
        <v>41.5</v>
      </c>
      <c r="F5068" s="37"/>
      <c r="G5068" s="38" t="s">
        <v>37</v>
      </c>
      <c r="H5068" s="36">
        <f>[1]Source!AV4962</f>
        <v>1.0469999999999999</v>
      </c>
      <c r="I5068" s="37">
        <f>[1]Source!U4961</f>
        <v>129.51725039999997</v>
      </c>
      <c r="J5068" s="36"/>
      <c r="K5068" s="37"/>
    </row>
    <row r="5069" spans="1:29" ht="13.8" hidden="1" x14ac:dyDescent="0.25">
      <c r="C5069" s="39" t="s">
        <v>47</v>
      </c>
      <c r="H5069" s="40">
        <f>I5062+I5063+I5066+I5067+SUM(I5065:I5065)-SUMIF(AC5065:AC5065, 5, I5065:I5065)-SUMIF(AC5065:AC5065, 6, I5065:I5065)</f>
        <v>5921.3799999999992</v>
      </c>
      <c r="I5069" s="40"/>
      <c r="J5069" s="40">
        <f>K5062+K5063+K5066+K5067+SUM(K5065:K5065)-SUMIF(AC5065:AC5065, 5, K5065:K5065)-SUMIF(AC5065:AC5065, 6, K5065:K5065)</f>
        <v>322226.06999999995</v>
      </c>
      <c r="K5069" s="40"/>
    </row>
    <row r="5070" spans="1:29" ht="13.8" hidden="1" x14ac:dyDescent="0.25">
      <c r="C5070" s="39" t="s">
        <v>48</v>
      </c>
      <c r="H5070" s="41">
        <f>SUMIF(AC5065:AC5065, 5, I5065:I5065)+SUMIF(AC5065:AC5065, 6, I5065:I5065)</f>
        <v>0</v>
      </c>
      <c r="I5070" s="41"/>
      <c r="J5070" s="41">
        <f>SUMIF(AC5065:AC5065, 5, K5065:K5065)+SUMIF(AC5065:AC5065, 6, K5065:K5065)</f>
        <v>0</v>
      </c>
      <c r="K5070" s="41"/>
    </row>
    <row r="5071" spans="1:29" ht="13.8" hidden="1" x14ac:dyDescent="0.25">
      <c r="C5071" s="39" t="s">
        <v>49</v>
      </c>
      <c r="H5071" s="41">
        <f>I5062+I5063+I5066+I5067+SUM(I5065:I5065)</f>
        <v>5921.3799999999992</v>
      </c>
      <c r="I5071" s="41"/>
      <c r="J5071" s="41">
        <f>K5062+K5063+K5066+K5067+SUM(K5065:K5065)</f>
        <v>322226.06999999995</v>
      </c>
      <c r="K5071" s="41"/>
      <c r="O5071" s="42">
        <f>I5062+I5063+I5066+I5067+SUM(I5065:I5065)</f>
        <v>5921.3799999999992</v>
      </c>
      <c r="P5071" s="42">
        <f>K5062+K5063+K5066+K5067+SUM(K5065:K5065)</f>
        <v>322226.06999999995</v>
      </c>
    </row>
    <row r="5072" spans="1:29" hidden="1" x14ac:dyDescent="0.25"/>
    <row r="5073" spans="1:29" ht="137.4" x14ac:dyDescent="0.25">
      <c r="A5073" s="46">
        <v>461</v>
      </c>
      <c r="B5073" s="46" t="str">
        <f>[1]Source!F4965</f>
        <v>КА. п. 196</v>
      </c>
      <c r="C5073" s="46" t="s">
        <v>915</v>
      </c>
      <c r="D5073" s="47" t="str">
        <f>[1]Source!H4965</f>
        <v>ПОГ.М</v>
      </c>
      <c r="E5073" s="48">
        <f>[1]Source!I4965</f>
        <v>66</v>
      </c>
      <c r="F5073" s="37">
        <f>[1]Source!AL4965</f>
        <v>742.8900000000001</v>
      </c>
      <c r="G5073" s="38"/>
      <c r="H5073" s="36">
        <f>[1]Source!AW4966</f>
        <v>1</v>
      </c>
      <c r="I5073" s="37">
        <f>[1]Source!P4965</f>
        <v>49030.74</v>
      </c>
      <c r="J5073" s="36">
        <f>IF([1]Source!BC4966&lt;&gt; 0, [1]Source!BC4966, 1)</f>
        <v>9.84</v>
      </c>
      <c r="K5073" s="49">
        <f>[1]Source!P4966</f>
        <v>482462.48</v>
      </c>
      <c r="L5073">
        <v>8600</v>
      </c>
      <c r="M5073" s="50">
        <f>L5073*E5073</f>
        <v>567600</v>
      </c>
      <c r="N5073" s="59" t="s">
        <v>180</v>
      </c>
      <c r="Q5073">
        <f>[1]Source!X4965</f>
        <v>0</v>
      </c>
      <c r="R5073">
        <f>[1]Source!X4966</f>
        <v>0</v>
      </c>
      <c r="S5073">
        <f>[1]Source!Y4965</f>
        <v>0</v>
      </c>
      <c r="T5073">
        <f>[1]Source!Y4966</f>
        <v>0</v>
      </c>
      <c r="U5073">
        <f>ROUND((175/100)*ROUND([1]Source!R4965, 2), 2)</f>
        <v>0</v>
      </c>
      <c r="V5073">
        <f>ROUND((0/100)*ROUND([1]Source!R4966, 2), 2)</f>
        <v>0</v>
      </c>
      <c r="AC5073">
        <v>3</v>
      </c>
    </row>
    <row r="5074" spans="1:29" ht="13.8" hidden="1" x14ac:dyDescent="0.25">
      <c r="C5074" s="39" t="s">
        <v>49</v>
      </c>
      <c r="H5074" s="40">
        <f>I5073+0</f>
        <v>49030.74</v>
      </c>
      <c r="I5074" s="40"/>
      <c r="J5074" s="40">
        <f>K5073+0</f>
        <v>482462.48</v>
      </c>
      <c r="K5074" s="40"/>
      <c r="O5074" s="42">
        <f>I5073+0</f>
        <v>49030.74</v>
      </c>
      <c r="P5074" s="42">
        <f>K5073+0</f>
        <v>482462.48</v>
      </c>
    </row>
    <row r="5075" spans="1:29" hidden="1" x14ac:dyDescent="0.25"/>
    <row r="5076" spans="1:29" ht="95.4" x14ac:dyDescent="0.25">
      <c r="A5076" s="46">
        <v>462</v>
      </c>
      <c r="B5076" s="46" t="str">
        <f>[1]Source!F4967</f>
        <v>КА. п. 197</v>
      </c>
      <c r="C5076" s="46" t="s">
        <v>916</v>
      </c>
      <c r="D5076" s="47" t="str">
        <f>[1]Source!H4967</f>
        <v>ПОГ.М</v>
      </c>
      <c r="E5076" s="48">
        <f>[1]Source!I4967</f>
        <v>15</v>
      </c>
      <c r="F5076" s="37">
        <f>[1]Source!AL4967</f>
        <v>1719.01</v>
      </c>
      <c r="G5076" s="38"/>
      <c r="H5076" s="36">
        <f>[1]Source!AW4968</f>
        <v>1</v>
      </c>
      <c r="I5076" s="37">
        <f>[1]Source!P4967</f>
        <v>25785.15</v>
      </c>
      <c r="J5076" s="36">
        <f>IF([1]Source!BC4968&lt;&gt; 0, [1]Source!BC4968, 1)</f>
        <v>9.84</v>
      </c>
      <c r="K5076" s="49">
        <f>[1]Source!P4968</f>
        <v>253725.88</v>
      </c>
      <c r="L5076">
        <v>19900</v>
      </c>
      <c r="M5076" s="50">
        <f>L5076*E5076</f>
        <v>298500</v>
      </c>
      <c r="N5076" s="59" t="s">
        <v>180</v>
      </c>
      <c r="Q5076">
        <f>[1]Source!X4967</f>
        <v>0</v>
      </c>
      <c r="R5076">
        <f>[1]Source!X4968</f>
        <v>0</v>
      </c>
      <c r="S5076">
        <f>[1]Source!Y4967</f>
        <v>0</v>
      </c>
      <c r="T5076">
        <f>[1]Source!Y4968</f>
        <v>0</v>
      </c>
      <c r="U5076">
        <f>ROUND((175/100)*ROUND([1]Source!R4967, 2), 2)</f>
        <v>0</v>
      </c>
      <c r="V5076">
        <f>ROUND((0/100)*ROUND([1]Source!R4968, 2), 2)</f>
        <v>0</v>
      </c>
      <c r="AC5076">
        <v>3</v>
      </c>
    </row>
    <row r="5077" spans="1:29" ht="13.8" hidden="1" x14ac:dyDescent="0.25">
      <c r="C5077" s="39" t="s">
        <v>49</v>
      </c>
      <c r="H5077" s="40">
        <f>I5076+0</f>
        <v>25785.15</v>
      </c>
      <c r="I5077" s="40"/>
      <c r="J5077" s="40">
        <f>K5076+0</f>
        <v>253725.88</v>
      </c>
      <c r="K5077" s="40"/>
      <c r="O5077" s="42">
        <f>I5076+0</f>
        <v>25785.15</v>
      </c>
      <c r="P5077" s="42">
        <f>K5076+0</f>
        <v>253725.88</v>
      </c>
    </row>
    <row r="5078" spans="1:29" hidden="1" x14ac:dyDescent="0.25"/>
    <row r="5079" spans="1:29" ht="54.6" x14ac:dyDescent="0.25">
      <c r="A5079" s="46">
        <v>463</v>
      </c>
      <c r="B5079" s="46" t="str">
        <f>[1]Source!F4969</f>
        <v>КА. п. 198</v>
      </c>
      <c r="C5079" s="46" t="s">
        <v>917</v>
      </c>
      <c r="D5079" s="47" t="str">
        <f>[1]Source!H4969</f>
        <v>ПОГ.М</v>
      </c>
      <c r="E5079" s="48">
        <f>[1]Source!I4969</f>
        <v>90</v>
      </c>
      <c r="F5079" s="37">
        <f>[1]Source!AL4969</f>
        <v>310.98</v>
      </c>
      <c r="G5079" s="38"/>
      <c r="H5079" s="36">
        <f>[1]Source!AW4970</f>
        <v>1</v>
      </c>
      <c r="I5079" s="37">
        <f>[1]Source!P4969</f>
        <v>27988.2</v>
      </c>
      <c r="J5079" s="36">
        <f>IF([1]Source!BC4970&lt;&gt; 0, [1]Source!BC4970, 1)</f>
        <v>9.84</v>
      </c>
      <c r="K5079" s="49">
        <f>[1]Source!P4970</f>
        <v>275403.89</v>
      </c>
      <c r="L5079">
        <v>3600</v>
      </c>
      <c r="M5079" s="50">
        <f>L5079*E5079</f>
        <v>324000</v>
      </c>
      <c r="N5079" s="59" t="s">
        <v>180</v>
      </c>
      <c r="Q5079">
        <f>[1]Source!X4969</f>
        <v>0</v>
      </c>
      <c r="R5079">
        <f>[1]Source!X4970</f>
        <v>0</v>
      </c>
      <c r="S5079">
        <f>[1]Source!Y4969</f>
        <v>0</v>
      </c>
      <c r="T5079">
        <f>[1]Source!Y4970</f>
        <v>0</v>
      </c>
      <c r="U5079">
        <f>ROUND((175/100)*ROUND([1]Source!R4969, 2), 2)</f>
        <v>0</v>
      </c>
      <c r="V5079">
        <f>ROUND((0/100)*ROUND([1]Source!R4970, 2), 2)</f>
        <v>0</v>
      </c>
      <c r="AC5079">
        <v>3</v>
      </c>
    </row>
    <row r="5080" spans="1:29" ht="13.8" hidden="1" x14ac:dyDescent="0.25">
      <c r="C5080" s="39" t="s">
        <v>49</v>
      </c>
      <c r="H5080" s="40">
        <f>I5079+0</f>
        <v>27988.2</v>
      </c>
      <c r="I5080" s="40"/>
      <c r="J5080" s="40">
        <f>K5079+0</f>
        <v>275403.89</v>
      </c>
      <c r="K5080" s="40"/>
      <c r="O5080" s="42">
        <f>I5079+0</f>
        <v>27988.2</v>
      </c>
      <c r="P5080" s="42">
        <f>K5079+0</f>
        <v>275403.89</v>
      </c>
    </row>
    <row r="5081" spans="1:29" hidden="1" x14ac:dyDescent="0.25"/>
    <row r="5082" spans="1:29" ht="54.6" x14ac:dyDescent="0.25">
      <c r="A5082" s="46">
        <v>464</v>
      </c>
      <c r="B5082" s="46" t="str">
        <f>[1]Source!F4971</f>
        <v>КА. п. 199</v>
      </c>
      <c r="C5082" s="46" t="s">
        <v>918</v>
      </c>
      <c r="D5082" s="47" t="str">
        <f>[1]Source!H4971</f>
        <v>ПОГ.М</v>
      </c>
      <c r="E5082" s="48">
        <f>[1]Source!I4971</f>
        <v>25.5</v>
      </c>
      <c r="F5082" s="37">
        <f>[1]Source!AL4971</f>
        <v>155.49</v>
      </c>
      <c r="G5082" s="38"/>
      <c r="H5082" s="36">
        <f>[1]Source!AW4972</f>
        <v>1</v>
      </c>
      <c r="I5082" s="37">
        <f>[1]Source!P4971</f>
        <v>3965</v>
      </c>
      <c r="J5082" s="36">
        <f>IF([1]Source!BC4972&lt;&gt; 0, [1]Source!BC4972, 1)</f>
        <v>9.84</v>
      </c>
      <c r="K5082" s="49">
        <f>[1]Source!P4972</f>
        <v>39015.599999999999</v>
      </c>
      <c r="L5082">
        <v>1800</v>
      </c>
      <c r="M5082" s="50">
        <f>L5082*E5082</f>
        <v>45900</v>
      </c>
      <c r="N5082" s="59" t="s">
        <v>180</v>
      </c>
      <c r="Q5082">
        <f>[1]Source!X4971</f>
        <v>0</v>
      </c>
      <c r="R5082">
        <f>[1]Source!X4972</f>
        <v>0</v>
      </c>
      <c r="S5082">
        <f>[1]Source!Y4971</f>
        <v>0</v>
      </c>
      <c r="T5082">
        <f>[1]Source!Y4972</f>
        <v>0</v>
      </c>
      <c r="U5082">
        <f>ROUND((175/100)*ROUND([1]Source!R4971, 2), 2)</f>
        <v>0</v>
      </c>
      <c r="V5082">
        <f>ROUND((0/100)*ROUND([1]Source!R4972, 2), 2)</f>
        <v>0</v>
      </c>
      <c r="AC5082">
        <v>3</v>
      </c>
    </row>
    <row r="5083" spans="1:29" ht="13.8" hidden="1" x14ac:dyDescent="0.25">
      <c r="C5083" s="39" t="s">
        <v>49</v>
      </c>
      <c r="H5083" s="40">
        <f>I5082+0</f>
        <v>3965</v>
      </c>
      <c r="I5083" s="40"/>
      <c r="J5083" s="40">
        <f>K5082+0</f>
        <v>39015.599999999999</v>
      </c>
      <c r="K5083" s="40"/>
      <c r="O5083" s="42">
        <f>I5082+0</f>
        <v>3965</v>
      </c>
      <c r="P5083" s="42">
        <f>K5082+0</f>
        <v>39015.599999999999</v>
      </c>
    </row>
    <row r="5084" spans="1:29" hidden="1" x14ac:dyDescent="0.25"/>
    <row r="5085" spans="1:29" ht="54.6" x14ac:dyDescent="0.25">
      <c r="A5085" s="46">
        <v>465</v>
      </c>
      <c r="B5085" s="46" t="str">
        <f>[1]Source!F4973</f>
        <v>КА. п. 200</v>
      </c>
      <c r="C5085" s="46" t="s">
        <v>919</v>
      </c>
      <c r="D5085" s="47" t="str">
        <f>[1]Source!H4973</f>
        <v>ПОГ.М</v>
      </c>
      <c r="E5085" s="48">
        <f>[1]Source!I4973</f>
        <v>15</v>
      </c>
      <c r="F5085" s="37">
        <f>[1]Source!AL4973</f>
        <v>336.89</v>
      </c>
      <c r="G5085" s="38"/>
      <c r="H5085" s="36">
        <f>[1]Source!AW4974</f>
        <v>1</v>
      </c>
      <c r="I5085" s="37">
        <f>[1]Source!P4973</f>
        <v>5053.3500000000004</v>
      </c>
      <c r="J5085" s="36">
        <f>IF([1]Source!BC4974&lt;&gt; 0, [1]Source!BC4974, 1)</f>
        <v>9.84</v>
      </c>
      <c r="K5085" s="49">
        <f>[1]Source!P4974</f>
        <v>49724.959999999999</v>
      </c>
      <c r="L5085">
        <v>3900</v>
      </c>
      <c r="M5085" s="50">
        <f>L5085*E5085</f>
        <v>58500</v>
      </c>
      <c r="N5085" s="59" t="s">
        <v>180</v>
      </c>
      <c r="Q5085">
        <f>[1]Source!X4973</f>
        <v>0</v>
      </c>
      <c r="R5085">
        <f>[1]Source!X4974</f>
        <v>0</v>
      </c>
      <c r="S5085">
        <f>[1]Source!Y4973</f>
        <v>0</v>
      </c>
      <c r="T5085">
        <f>[1]Source!Y4974</f>
        <v>0</v>
      </c>
      <c r="U5085">
        <f>ROUND((175/100)*ROUND([1]Source!R4973, 2), 2)</f>
        <v>0</v>
      </c>
      <c r="V5085">
        <f>ROUND((0/100)*ROUND([1]Source!R4974, 2), 2)</f>
        <v>0</v>
      </c>
      <c r="AC5085">
        <v>3</v>
      </c>
    </row>
    <row r="5086" spans="1:29" ht="13.8" hidden="1" x14ac:dyDescent="0.25">
      <c r="C5086" s="39" t="s">
        <v>49</v>
      </c>
      <c r="H5086" s="40">
        <f>I5085+0</f>
        <v>5053.3500000000004</v>
      </c>
      <c r="I5086" s="40"/>
      <c r="J5086" s="40">
        <f>K5085+0</f>
        <v>49724.959999999999</v>
      </c>
      <c r="K5086" s="40"/>
      <c r="O5086" s="42">
        <f>I5085+0</f>
        <v>5053.3500000000004</v>
      </c>
      <c r="P5086" s="42">
        <f>K5085+0</f>
        <v>49724.959999999999</v>
      </c>
    </row>
    <row r="5087" spans="1:29" hidden="1" x14ac:dyDescent="0.25"/>
    <row r="5088" spans="1:29" ht="137.4" x14ac:dyDescent="0.25">
      <c r="A5088" s="46">
        <v>466</v>
      </c>
      <c r="B5088" s="46" t="str">
        <f>[1]Source!F4975</f>
        <v>КА. п. 201</v>
      </c>
      <c r="C5088" s="46" t="s">
        <v>920</v>
      </c>
      <c r="D5088" s="47" t="str">
        <f>[1]Source!H4975</f>
        <v>ПОГ.М</v>
      </c>
      <c r="E5088" s="48">
        <f>[1]Source!I4975</f>
        <v>4.5</v>
      </c>
      <c r="F5088" s="37">
        <f>[1]Source!AL4975</f>
        <v>742.8900000000001</v>
      </c>
      <c r="G5088" s="38"/>
      <c r="H5088" s="36">
        <f>[1]Source!AW4976</f>
        <v>1</v>
      </c>
      <c r="I5088" s="37">
        <f>[1]Source!P4975</f>
        <v>3343.01</v>
      </c>
      <c r="J5088" s="36">
        <f>IF([1]Source!BC4976&lt;&gt; 0, [1]Source!BC4976, 1)</f>
        <v>9.84</v>
      </c>
      <c r="K5088" s="49">
        <f>[1]Source!P4976</f>
        <v>32895.22</v>
      </c>
      <c r="L5088">
        <v>8600</v>
      </c>
      <c r="M5088" s="50">
        <f>L5088*E5088</f>
        <v>38700</v>
      </c>
      <c r="N5088" s="59" t="s">
        <v>180</v>
      </c>
      <c r="Q5088">
        <f>[1]Source!X4975</f>
        <v>0</v>
      </c>
      <c r="R5088">
        <f>[1]Source!X4976</f>
        <v>0</v>
      </c>
      <c r="S5088">
        <f>[1]Source!Y4975</f>
        <v>0</v>
      </c>
      <c r="T5088">
        <f>[1]Source!Y4976</f>
        <v>0</v>
      </c>
      <c r="U5088">
        <f>ROUND((175/100)*ROUND([1]Source!R4975, 2), 2)</f>
        <v>0</v>
      </c>
      <c r="V5088">
        <f>ROUND((0/100)*ROUND([1]Source!R4976, 2), 2)</f>
        <v>0</v>
      </c>
      <c r="AC5088">
        <v>3</v>
      </c>
    </row>
    <row r="5089" spans="1:29" ht="13.8" hidden="1" x14ac:dyDescent="0.25">
      <c r="C5089" s="39" t="s">
        <v>49</v>
      </c>
      <c r="H5089" s="40">
        <f>I5088+0</f>
        <v>3343.01</v>
      </c>
      <c r="I5089" s="40"/>
      <c r="J5089" s="40">
        <f>K5088+0</f>
        <v>32895.22</v>
      </c>
      <c r="K5089" s="40"/>
      <c r="O5089" s="42">
        <f>I5088+0</f>
        <v>3343.01</v>
      </c>
      <c r="P5089" s="42">
        <f>K5088+0</f>
        <v>32895.22</v>
      </c>
    </row>
    <row r="5090" spans="1:29" hidden="1" x14ac:dyDescent="0.25"/>
    <row r="5091" spans="1:29" hidden="1" x14ac:dyDescent="0.25"/>
    <row r="5092" spans="1:29" ht="13.8" hidden="1" x14ac:dyDescent="0.25">
      <c r="A5092" s="44" t="str">
        <f>CONCATENATE("Итого по подразделу: ",IF([1]Source!G4978&lt;&gt;"Новый подраздел", [1]Source!G4978, ""))</f>
        <v>Итого по подразделу: Ограждение внутренних лестниц</v>
      </c>
      <c r="B5092" s="44"/>
      <c r="C5092" s="44"/>
      <c r="D5092" s="44"/>
      <c r="E5092" s="44"/>
      <c r="F5092" s="44"/>
      <c r="G5092" s="44"/>
      <c r="H5092" s="41">
        <f>SUM(O5059:O5091)</f>
        <v>121086.82999999999</v>
      </c>
      <c r="I5092" s="45"/>
      <c r="J5092" s="41">
        <f>SUM(P5059:P5091)</f>
        <v>1455454.0999999999</v>
      </c>
      <c r="K5092" s="45"/>
    </row>
    <row r="5093" spans="1:29" hidden="1" x14ac:dyDescent="0.25">
      <c r="A5093" t="s">
        <v>55</v>
      </c>
      <c r="I5093">
        <f>SUM(W5059:W5092)</f>
        <v>0</v>
      </c>
      <c r="J5093">
        <f>SUM(X5059:X5092)</f>
        <v>0</v>
      </c>
    </row>
    <row r="5094" spans="1:29" hidden="1" x14ac:dyDescent="0.25">
      <c r="A5094" t="s">
        <v>56</v>
      </c>
      <c r="I5094">
        <f>SUM(Y5059:Y5093)</f>
        <v>0</v>
      </c>
      <c r="J5094">
        <f>SUM(Z5059:Z5093)</f>
        <v>0</v>
      </c>
    </row>
    <row r="5095" spans="1:29" hidden="1" x14ac:dyDescent="0.25"/>
    <row r="5096" spans="1:29" ht="16.8" hidden="1" x14ac:dyDescent="0.25">
      <c r="A5096" s="11" t="str">
        <f>CONCATENATE("Подраздел: ",IF([1]Source!G5008&lt;&gt;"Новый подраздел", [1]Source!G5008, ""))</f>
        <v>Подраздел: Декоративная перегородка  К-1</v>
      </c>
      <c r="B5096" s="11"/>
      <c r="C5096" s="11"/>
      <c r="D5096" s="11"/>
      <c r="E5096" s="11"/>
      <c r="F5096" s="11"/>
      <c r="G5096" s="11"/>
      <c r="H5096" s="11"/>
      <c r="I5096" s="11"/>
      <c r="J5096" s="11"/>
      <c r="K5096" s="11"/>
    </row>
    <row r="5097" spans="1:29" ht="28.8" hidden="1" x14ac:dyDescent="0.25">
      <c r="A5097" s="27">
        <v>467</v>
      </c>
      <c r="B5097" s="27" t="str">
        <f>[1]Source!F5012</f>
        <v>3.9-40-1</v>
      </c>
      <c r="C5097" s="27" t="s">
        <v>921</v>
      </c>
      <c r="D5097" s="28" t="str">
        <f>[1]Source!H5012</f>
        <v>100 м2</v>
      </c>
      <c r="E5097" s="29">
        <f>[1]Source!I5012</f>
        <v>4.8000000000000001E-2</v>
      </c>
      <c r="F5097" s="30"/>
      <c r="G5097" s="31"/>
      <c r="H5097" s="29"/>
      <c r="I5097" s="30"/>
      <c r="J5097" s="29"/>
      <c r="K5097" s="30"/>
      <c r="Q5097">
        <f>[1]Source!X5012</f>
        <v>38.67</v>
      </c>
      <c r="R5097">
        <f>[1]Source!X5013</f>
        <v>2179.25</v>
      </c>
      <c r="S5097">
        <f>[1]Source!Y5012</f>
        <v>24.4</v>
      </c>
      <c r="T5097">
        <f>[1]Source!Y5013</f>
        <v>1375.01</v>
      </c>
      <c r="U5097">
        <f>ROUND((175/100)*ROUND([1]Source!R5012, 2), 2)</f>
        <v>1.07</v>
      </c>
      <c r="V5097">
        <f>ROUND((0/100)*ROUND([1]Source!R5013, 2), 2)</f>
        <v>0</v>
      </c>
      <c r="AC5097">
        <v>0</v>
      </c>
    </row>
    <row r="5098" spans="1:29" hidden="1" x14ac:dyDescent="0.25">
      <c r="C5098" s="32" t="str">
        <f>"Объем: "&amp;[1]Source!I5012&amp;"=(15*"&amp;"(0,08*"&amp;"4))/"&amp;"100"</f>
        <v>Объем: 0,048=(15*(0,08*4))/100</v>
      </c>
    </row>
    <row r="5099" spans="1:29" ht="14.4" hidden="1" x14ac:dyDescent="0.25">
      <c r="A5099" s="27"/>
      <c r="B5099" s="27"/>
      <c r="C5099" s="27" t="s">
        <v>36</v>
      </c>
      <c r="D5099" s="28"/>
      <c r="E5099" s="29"/>
      <c r="F5099" s="30">
        <f>[1]Source!AO5012</f>
        <v>630.96</v>
      </c>
      <c r="G5099" s="31" t="s">
        <v>37</v>
      </c>
      <c r="H5099" s="29">
        <f>[1]Source!AV5013</f>
        <v>1.087</v>
      </c>
      <c r="I5099" s="30">
        <f>[1]Source!S5012</f>
        <v>45.43</v>
      </c>
      <c r="J5099" s="29">
        <f>IF([1]Source!BA5013&lt;&gt; 0, [1]Source!BA5013, 1)</f>
        <v>56.35</v>
      </c>
      <c r="K5099" s="30">
        <f>[1]Source!S5013</f>
        <v>2559.98</v>
      </c>
    </row>
    <row r="5100" spans="1:29" ht="14.4" hidden="1" x14ac:dyDescent="0.25">
      <c r="A5100" s="27"/>
      <c r="B5100" s="27"/>
      <c r="C5100" s="27" t="s">
        <v>38</v>
      </c>
      <c r="D5100" s="28"/>
      <c r="E5100" s="29"/>
      <c r="F5100" s="30">
        <f>[1]Source!AM5012</f>
        <v>72.16</v>
      </c>
      <c r="G5100" s="31" t="s">
        <v>39</v>
      </c>
      <c r="H5100" s="29">
        <f>[1]Source!AV5013</f>
        <v>1.087</v>
      </c>
      <c r="I5100" s="30">
        <f>[1]Source!Q5012</f>
        <v>5.65</v>
      </c>
      <c r="J5100" s="29">
        <f>IF([1]Source!BB5013&lt;&gt; 0, [1]Source!BB5013, 1)</f>
        <v>15.04</v>
      </c>
      <c r="K5100" s="30">
        <f>[1]Source!Q5013</f>
        <v>84.98</v>
      </c>
    </row>
    <row r="5101" spans="1:29" ht="14.4" hidden="1" x14ac:dyDescent="0.25">
      <c r="A5101" s="27"/>
      <c r="B5101" s="27"/>
      <c r="C5101" s="27" t="s">
        <v>40</v>
      </c>
      <c r="D5101" s="28"/>
      <c r="E5101" s="29"/>
      <c r="F5101" s="30">
        <f>[1]Source!AN5012</f>
        <v>7.77</v>
      </c>
      <c r="G5101" s="31" t="s">
        <v>39</v>
      </c>
      <c r="H5101" s="29">
        <f>[1]Source!AV5013</f>
        <v>1.087</v>
      </c>
      <c r="I5101" s="33">
        <f>[1]Source!R5012</f>
        <v>0.61</v>
      </c>
      <c r="J5101" s="29">
        <f>IF([1]Source!BS5013&lt;&gt; 0, [1]Source!BS5013, 1)</f>
        <v>56.35</v>
      </c>
      <c r="K5101" s="33">
        <f>[1]Source!R5013</f>
        <v>34.369999999999997</v>
      </c>
    </row>
    <row r="5102" spans="1:29" ht="14.4" hidden="1" x14ac:dyDescent="0.25">
      <c r="A5102" s="27"/>
      <c r="B5102" s="27"/>
      <c r="C5102" s="27" t="s">
        <v>41</v>
      </c>
      <c r="D5102" s="28"/>
      <c r="E5102" s="29"/>
      <c r="F5102" s="30">
        <f>[1]Source!AL5012</f>
        <v>28.82</v>
      </c>
      <c r="G5102" s="31"/>
      <c r="H5102" s="29">
        <f>[1]Source!AW5013</f>
        <v>1</v>
      </c>
      <c r="I5102" s="30">
        <f>[1]Source!P5012</f>
        <v>1.38</v>
      </c>
      <c r="J5102" s="29">
        <f>IF([1]Source!BC5013&lt;&gt; 0, [1]Source!BC5013, 1)</f>
        <v>7.98</v>
      </c>
      <c r="K5102" s="30">
        <f>[1]Source!P5013</f>
        <v>11.01</v>
      </c>
    </row>
    <row r="5103" spans="1:29" ht="14.4" hidden="1" x14ac:dyDescent="0.25">
      <c r="A5103" s="27"/>
      <c r="B5103" s="27"/>
      <c r="C5103" s="27" t="s">
        <v>42</v>
      </c>
      <c r="D5103" s="28" t="s">
        <v>43</v>
      </c>
      <c r="E5103" s="29">
        <f>[1]Source!BZ5013</f>
        <v>84</v>
      </c>
      <c r="F5103" s="30"/>
      <c r="G5103" s="31"/>
      <c r="H5103" s="29"/>
      <c r="I5103" s="30">
        <f>SUM(Q5097:Q5102)</f>
        <v>38.67</v>
      </c>
      <c r="J5103" s="29">
        <f>[1]Source!AT5013</f>
        <v>84</v>
      </c>
      <c r="K5103" s="30">
        <f>SUM(R5097:R5102)</f>
        <v>2179.25</v>
      </c>
    </row>
    <row r="5104" spans="1:29" ht="14.4" hidden="1" x14ac:dyDescent="0.25">
      <c r="A5104" s="27"/>
      <c r="B5104" s="27"/>
      <c r="C5104" s="27" t="s">
        <v>44</v>
      </c>
      <c r="D5104" s="28" t="s">
        <v>43</v>
      </c>
      <c r="E5104" s="29">
        <f>[1]Source!CA5013</f>
        <v>53</v>
      </c>
      <c r="F5104" s="30"/>
      <c r="G5104" s="31"/>
      <c r="H5104" s="29"/>
      <c r="I5104" s="30">
        <f>SUM(S5097:S5103)</f>
        <v>24.4</v>
      </c>
      <c r="J5104" s="29">
        <f>[1]Source!AU5013</f>
        <v>53</v>
      </c>
      <c r="K5104" s="30">
        <f>SUM(T5097:T5103)</f>
        <v>1375.01</v>
      </c>
    </row>
    <row r="5105" spans="1:29" ht="14.4" hidden="1" x14ac:dyDescent="0.25">
      <c r="A5105" s="34"/>
      <c r="B5105" s="34"/>
      <c r="C5105" s="34" t="s">
        <v>45</v>
      </c>
      <c r="D5105" s="35" t="s">
        <v>46</v>
      </c>
      <c r="E5105" s="36">
        <f>[1]Source!AQ5012</f>
        <v>47.8</v>
      </c>
      <c r="F5105" s="37"/>
      <c r="G5105" s="38" t="s">
        <v>37</v>
      </c>
      <c r="H5105" s="36">
        <f>[1]Source!AV5013</f>
        <v>1.087</v>
      </c>
      <c r="I5105" s="37">
        <f>[1]Source!U5012</f>
        <v>3.4417376639999993</v>
      </c>
      <c r="J5105" s="36"/>
      <c r="K5105" s="37"/>
    </row>
    <row r="5106" spans="1:29" ht="13.8" hidden="1" x14ac:dyDescent="0.25">
      <c r="C5106" s="39" t="s">
        <v>47</v>
      </c>
      <c r="H5106" s="40">
        <f>I5099+I5100+I5102+I5103+I5104+0-0-0</f>
        <v>115.53</v>
      </c>
      <c r="I5106" s="40"/>
      <c r="J5106" s="40">
        <f>K5099+K5100+K5102+K5103+K5104+0-0-0</f>
        <v>6210.2300000000005</v>
      </c>
      <c r="K5106" s="40"/>
    </row>
    <row r="5107" spans="1:29" ht="13.8" hidden="1" x14ac:dyDescent="0.25">
      <c r="C5107" s="39" t="s">
        <v>48</v>
      </c>
      <c r="H5107" s="41">
        <f>0+0</f>
        <v>0</v>
      </c>
      <c r="I5107" s="41"/>
      <c r="J5107" s="41">
        <f>0+0</f>
        <v>0</v>
      </c>
      <c r="K5107" s="41"/>
    </row>
    <row r="5108" spans="1:29" ht="13.8" hidden="1" x14ac:dyDescent="0.25">
      <c r="C5108" s="39" t="s">
        <v>49</v>
      </c>
      <c r="H5108" s="41">
        <f>I5099+I5100+I5102+I5103+I5104+0</f>
        <v>115.53</v>
      </c>
      <c r="I5108" s="41"/>
      <c r="J5108" s="41">
        <f>K5099+K5100+K5102+K5103+K5104+0</f>
        <v>6210.2300000000005</v>
      </c>
      <c r="K5108" s="41"/>
      <c r="O5108" s="42">
        <f>I5099+I5100+I5102+I5103+I5104+0</f>
        <v>115.53</v>
      </c>
      <c r="P5108" s="42">
        <f>K5099+K5100+K5102+K5103+K5104+0</f>
        <v>6210.2300000000005</v>
      </c>
    </row>
    <row r="5109" spans="1:29" hidden="1" x14ac:dyDescent="0.25"/>
    <row r="5110" spans="1:29" ht="67.8" x14ac:dyDescent="0.25">
      <c r="A5110" s="46">
        <v>468</v>
      </c>
      <c r="B5110" s="46" t="str">
        <f>[1]Source!F5014</f>
        <v>КА. п. 202</v>
      </c>
      <c r="C5110" s="46" t="s">
        <v>922</v>
      </c>
      <c r="D5110" s="47" t="str">
        <f>[1]Source!H5014</f>
        <v>ШТ</v>
      </c>
      <c r="E5110" s="48">
        <f>[1]Source!I5014</f>
        <v>15</v>
      </c>
      <c r="F5110" s="37">
        <f>[1]Source!AL5014</f>
        <v>107.4</v>
      </c>
      <c r="G5110" s="38"/>
      <c r="H5110" s="36">
        <f>[1]Source!AW5015</f>
        <v>1</v>
      </c>
      <c r="I5110" s="37">
        <f>[1]Source!P5014</f>
        <v>1611</v>
      </c>
      <c r="J5110" s="36">
        <f>IF([1]Source!BC5015&lt;&gt; 0, [1]Source!BC5015, 1)</f>
        <v>9.84</v>
      </c>
      <c r="K5110" s="49">
        <f>[1]Source!P5015</f>
        <v>15852.24</v>
      </c>
      <c r="L5110">
        <v>1243.22</v>
      </c>
      <c r="M5110" s="50">
        <f>L5110*E5110</f>
        <v>18648.3</v>
      </c>
      <c r="N5110" s="59" t="s">
        <v>180</v>
      </c>
      <c r="Q5110">
        <f>[1]Source!X5014</f>
        <v>0</v>
      </c>
      <c r="R5110">
        <f>[1]Source!X5015</f>
        <v>0</v>
      </c>
      <c r="S5110">
        <f>[1]Source!Y5014</f>
        <v>0</v>
      </c>
      <c r="T5110">
        <f>[1]Source!Y5015</f>
        <v>0</v>
      </c>
      <c r="U5110">
        <f>ROUND((175/100)*ROUND([1]Source!R5014, 2), 2)</f>
        <v>0</v>
      </c>
      <c r="V5110">
        <f>ROUND((0/100)*ROUND([1]Source!R5015, 2), 2)</f>
        <v>0</v>
      </c>
      <c r="AC5110">
        <v>3</v>
      </c>
    </row>
    <row r="5111" spans="1:29" ht="13.8" hidden="1" x14ac:dyDescent="0.25">
      <c r="C5111" s="39" t="s">
        <v>49</v>
      </c>
      <c r="H5111" s="40">
        <f>I5110+0</f>
        <v>1611</v>
      </c>
      <c r="I5111" s="40"/>
      <c r="J5111" s="40">
        <f>K5110+0</f>
        <v>15852.24</v>
      </c>
      <c r="K5111" s="40"/>
      <c r="O5111" s="42">
        <f>I5110+0</f>
        <v>1611</v>
      </c>
      <c r="P5111" s="42">
        <f>K5110+0</f>
        <v>15852.24</v>
      </c>
    </row>
    <row r="5112" spans="1:29" hidden="1" x14ac:dyDescent="0.25"/>
    <row r="5113" spans="1:29" hidden="1" x14ac:dyDescent="0.25"/>
    <row r="5114" spans="1:29" ht="13.8" hidden="1" x14ac:dyDescent="0.25">
      <c r="A5114" s="44" t="str">
        <f>CONCATENATE("Итого по подразделу: ",IF([1]Source!G5017&lt;&gt;"Новый подраздел", [1]Source!G5017, ""))</f>
        <v>Итого по подразделу: Декоративная перегородка  К-1</v>
      </c>
      <c r="B5114" s="44"/>
      <c r="C5114" s="44"/>
      <c r="D5114" s="44"/>
      <c r="E5114" s="44"/>
      <c r="F5114" s="44"/>
      <c r="G5114" s="44"/>
      <c r="H5114" s="41">
        <f>SUM(O5096:O5113)</f>
        <v>1726.53</v>
      </c>
      <c r="I5114" s="45"/>
      <c r="J5114" s="41">
        <f>SUM(P5096:P5113)</f>
        <v>22062.47</v>
      </c>
      <c r="K5114" s="45"/>
    </row>
    <row r="5115" spans="1:29" hidden="1" x14ac:dyDescent="0.25">
      <c r="A5115" t="s">
        <v>55</v>
      </c>
      <c r="I5115">
        <f>SUM(W5096:W5114)</f>
        <v>0</v>
      </c>
      <c r="J5115">
        <f>SUM(X5096:X5114)</f>
        <v>0</v>
      </c>
    </row>
    <row r="5116" spans="1:29" hidden="1" x14ac:dyDescent="0.25">
      <c r="A5116" t="s">
        <v>56</v>
      </c>
      <c r="I5116">
        <f>SUM(Y5096:Y5115)</f>
        <v>0</v>
      </c>
      <c r="J5116">
        <f>SUM(Z5096:Z5115)</f>
        <v>0</v>
      </c>
    </row>
    <row r="5117" spans="1:29" hidden="1" x14ac:dyDescent="0.25"/>
    <row r="5118" spans="1:29" ht="13.8" hidden="1" x14ac:dyDescent="0.25">
      <c r="A5118" s="44" t="str">
        <f>CONCATENATE("Итого по разделу: ",IF([1]Source!G5047&lt;&gt;"Новый раздел", [1]Source!G5047, ""))</f>
        <v>Итого по разделу: Ограждения</v>
      </c>
      <c r="B5118" s="44"/>
      <c r="C5118" s="44"/>
      <c r="D5118" s="44"/>
      <c r="E5118" s="44"/>
      <c r="F5118" s="44"/>
      <c r="G5118" s="44"/>
      <c r="H5118" s="41">
        <f>SUM(O5039:O5117)</f>
        <v>125482.68</v>
      </c>
      <c r="I5118" s="45"/>
      <c r="J5118" s="41">
        <f>SUM(P5039:P5117)</f>
        <v>1624509.9100000001</v>
      </c>
      <c r="K5118" s="45"/>
    </row>
    <row r="5119" spans="1:29" hidden="1" x14ac:dyDescent="0.25">
      <c r="A5119" t="s">
        <v>55</v>
      </c>
      <c r="I5119">
        <f>SUM(W5039:W5118)</f>
        <v>0</v>
      </c>
      <c r="J5119">
        <f>SUM(X5039:X5118)</f>
        <v>0</v>
      </c>
    </row>
    <row r="5120" spans="1:29" hidden="1" x14ac:dyDescent="0.25">
      <c r="A5120" t="s">
        <v>56</v>
      </c>
      <c r="I5120">
        <f>SUM(Y5039:Y5119)</f>
        <v>0</v>
      </c>
      <c r="J5120">
        <f>SUM(Z5039:Z5119)</f>
        <v>0</v>
      </c>
    </row>
    <row r="5121" spans="1:11" hidden="1" x14ac:dyDescent="0.25"/>
    <row r="5122" spans="1:11" ht="13.8" hidden="1" x14ac:dyDescent="0.25">
      <c r="A5122" s="44" t="str">
        <f>CONCATENATE("Итого по локальной смете: ",IF([1]Source!G5077&lt;&gt;"Новая локальная смета", [1]Source!G5077, ""))</f>
        <v>Итого по локальной смете: Архитектурные решения</v>
      </c>
      <c r="B5122" s="44"/>
      <c r="C5122" s="44"/>
      <c r="D5122" s="44"/>
      <c r="E5122" s="44"/>
      <c r="F5122" s="44"/>
      <c r="G5122" s="44"/>
      <c r="H5122" s="41">
        <f>SUM(O32:O5121)</f>
        <v>31452809.359999999</v>
      </c>
      <c r="I5122" s="45"/>
      <c r="J5122" s="41">
        <f>SUM(P32:P5121)</f>
        <v>495695145.94000024</v>
      </c>
      <c r="K5122" s="45"/>
    </row>
    <row r="5123" spans="1:11" hidden="1" x14ac:dyDescent="0.25">
      <c r="A5123" t="s">
        <v>55</v>
      </c>
      <c r="I5123">
        <f>SUM(W32:W5122)</f>
        <v>0</v>
      </c>
      <c r="J5123">
        <f>SUM(X32:X5122)</f>
        <v>0</v>
      </c>
    </row>
    <row r="5124" spans="1:11" hidden="1" x14ac:dyDescent="0.25">
      <c r="A5124" t="s">
        <v>56</v>
      </c>
      <c r="I5124">
        <f>SUM(Y32:Y5123)</f>
        <v>0</v>
      </c>
      <c r="J5124">
        <f>SUM(Z32:Z5123)</f>
        <v>0</v>
      </c>
    </row>
    <row r="5125" spans="1:11" hidden="1" x14ac:dyDescent="0.25"/>
    <row r="5126" spans="1:11" ht="13.8" hidden="1" x14ac:dyDescent="0.25">
      <c r="A5126" s="44" t="str">
        <f>CONCATENATE("Итого по смете: ",IF([1]Source!G5107&lt;&gt;"Новый объект", [1]Source!G5107, ""))</f>
        <v xml:space="preserve">Итого по смете: </v>
      </c>
      <c r="B5126" s="44"/>
      <c r="C5126" s="44"/>
      <c r="D5126" s="44"/>
      <c r="E5126" s="44"/>
      <c r="F5126" s="44"/>
      <c r="G5126" s="44"/>
      <c r="H5126" s="41">
        <f>SUM(O4:O5125)</f>
        <v>31452809.359999999</v>
      </c>
      <c r="I5126" s="45"/>
      <c r="J5126" s="41">
        <f>SUM(P4:P5125)</f>
        <v>495695145.94000024</v>
      </c>
      <c r="K5126" s="45"/>
    </row>
    <row r="5127" spans="1:11" hidden="1" x14ac:dyDescent="0.25">
      <c r="A5127" t="s">
        <v>55</v>
      </c>
      <c r="I5127">
        <f>SUM(W4:W5126)</f>
        <v>0</v>
      </c>
      <c r="J5127">
        <f>SUM(X4:X5126)</f>
        <v>0</v>
      </c>
    </row>
    <row r="5128" spans="1:11" hidden="1" x14ac:dyDescent="0.25">
      <c r="A5128" t="s">
        <v>56</v>
      </c>
      <c r="I5128">
        <f>SUM(Y4:Y5127)</f>
        <v>0</v>
      </c>
      <c r="J5128">
        <f>SUM(Z4:Z5127)</f>
        <v>0</v>
      </c>
    </row>
    <row r="5129" spans="1:11" hidden="1" x14ac:dyDescent="0.25"/>
    <row r="5130" spans="1:11" hidden="1" x14ac:dyDescent="0.25"/>
    <row r="5131" spans="1:11" ht="13.8" hidden="1" x14ac:dyDescent="0.25">
      <c r="A5131" s="62" t="s">
        <v>923</v>
      </c>
      <c r="B5131" s="62"/>
      <c r="C5131" s="63" t="str">
        <f>IF([1]Source!AC12&lt;&gt;"", [1]Source!AC12," ")</f>
        <v xml:space="preserve"> </v>
      </c>
      <c r="D5131" s="63"/>
      <c r="E5131" s="63"/>
      <c r="F5131" s="63"/>
      <c r="G5131" s="63"/>
      <c r="H5131" s="20" t="str">
        <f>IF([1]Source!AB12&lt;&gt;"", [1]Source!AB12," ")</f>
        <v xml:space="preserve"> </v>
      </c>
      <c r="I5131" s="20"/>
      <c r="J5131" s="20"/>
      <c r="K5131" s="20"/>
    </row>
    <row r="5132" spans="1:11" ht="13.8" hidden="1" x14ac:dyDescent="0.25">
      <c r="A5132" s="5"/>
      <c r="B5132" s="5"/>
      <c r="C5132" s="9" t="s">
        <v>924</v>
      </c>
      <c r="D5132" s="9"/>
      <c r="E5132" s="9"/>
      <c r="F5132" s="9"/>
      <c r="G5132" s="9"/>
      <c r="H5132" s="5"/>
      <c r="I5132" s="5"/>
      <c r="J5132" s="5"/>
      <c r="K5132" s="5"/>
    </row>
    <row r="5133" spans="1:11" ht="13.8" hidden="1" x14ac:dyDescent="0.25">
      <c r="A5133" s="5"/>
      <c r="B5133" s="5"/>
      <c r="C5133" s="5"/>
      <c r="D5133" s="5"/>
      <c r="E5133" s="5"/>
      <c r="F5133" s="5"/>
      <c r="G5133" s="5"/>
      <c r="H5133" s="5"/>
      <c r="I5133" s="5"/>
      <c r="J5133" s="5"/>
      <c r="K5133" s="5"/>
    </row>
    <row r="5134" spans="1:11" ht="13.8" hidden="1" x14ac:dyDescent="0.25">
      <c r="A5134" s="62" t="s">
        <v>925</v>
      </c>
      <c r="B5134" s="62"/>
      <c r="C5134" s="63" t="str">
        <f>IF([1]Source!AE12&lt;&gt;"", [1]Source!AE12," ")</f>
        <v xml:space="preserve"> </v>
      </c>
      <c r="D5134" s="63"/>
      <c r="E5134" s="63"/>
      <c r="F5134" s="63"/>
      <c r="G5134" s="63"/>
      <c r="H5134" s="20" t="str">
        <f>IF([1]Source!AD12&lt;&gt;"", [1]Source!AD12," ")</f>
        <v xml:space="preserve"> </v>
      </c>
      <c r="I5134" s="20"/>
      <c r="J5134" s="20"/>
      <c r="K5134" s="20"/>
    </row>
    <row r="5135" spans="1:11" ht="13.8" hidden="1" x14ac:dyDescent="0.25">
      <c r="A5135" s="5"/>
      <c r="B5135" s="5"/>
      <c r="C5135" s="9" t="s">
        <v>924</v>
      </c>
      <c r="D5135" s="9"/>
      <c r="E5135" s="9"/>
      <c r="F5135" s="9"/>
      <c r="G5135" s="9"/>
      <c r="H5135" s="5"/>
      <c r="I5135" s="5"/>
      <c r="J5135" s="5"/>
      <c r="K5135" s="5"/>
    </row>
  </sheetData>
  <autoFilter ref="A4:AQ5135">
    <filterColumn colId="2">
      <colorFilter dxfId="0"/>
    </filterColumn>
  </autoFilter>
  <mergeCells count="2495">
    <mergeCell ref="A5131:B5131"/>
    <mergeCell ref="H5131:K5131"/>
    <mergeCell ref="C5132:G5132"/>
    <mergeCell ref="A5134:B5134"/>
    <mergeCell ref="H5134:K5134"/>
    <mergeCell ref="C5135:G5135"/>
    <mergeCell ref="A5122:G5122"/>
    <mergeCell ref="H5122:I5122"/>
    <mergeCell ref="J5122:K5122"/>
    <mergeCell ref="A5126:G5126"/>
    <mergeCell ref="H5126:I5126"/>
    <mergeCell ref="J5126:K5126"/>
    <mergeCell ref="A5114:G5114"/>
    <mergeCell ref="H5114:I5114"/>
    <mergeCell ref="J5114:K5114"/>
    <mergeCell ref="A5118:G5118"/>
    <mergeCell ref="H5118:I5118"/>
    <mergeCell ref="J5118:K5118"/>
    <mergeCell ref="H5107:I5107"/>
    <mergeCell ref="J5107:K5107"/>
    <mergeCell ref="H5108:I5108"/>
    <mergeCell ref="J5108:K5108"/>
    <mergeCell ref="H5111:I5111"/>
    <mergeCell ref="J5111:K5111"/>
    <mergeCell ref="A5092:G5092"/>
    <mergeCell ref="H5092:I5092"/>
    <mergeCell ref="J5092:K5092"/>
    <mergeCell ref="A5096:K5096"/>
    <mergeCell ref="H5106:I5106"/>
    <mergeCell ref="J5106:K5106"/>
    <mergeCell ref="H5083:I5083"/>
    <mergeCell ref="J5083:K5083"/>
    <mergeCell ref="H5086:I5086"/>
    <mergeCell ref="J5086:K5086"/>
    <mergeCell ref="H5089:I5089"/>
    <mergeCell ref="J5089:K5089"/>
    <mergeCell ref="H5074:I5074"/>
    <mergeCell ref="J5074:K5074"/>
    <mergeCell ref="H5077:I5077"/>
    <mergeCell ref="J5077:K5077"/>
    <mergeCell ref="H5080:I5080"/>
    <mergeCell ref="J5080:K5080"/>
    <mergeCell ref="H5069:I5069"/>
    <mergeCell ref="J5069:K5069"/>
    <mergeCell ref="H5070:I5070"/>
    <mergeCell ref="J5070:K5070"/>
    <mergeCell ref="H5071:I5071"/>
    <mergeCell ref="J5071:K5071"/>
    <mergeCell ref="H5052:I5052"/>
    <mergeCell ref="J5052:K5052"/>
    <mergeCell ref="A5055:G5055"/>
    <mergeCell ref="H5055:I5055"/>
    <mergeCell ref="J5055:K5055"/>
    <mergeCell ref="A5059:K5059"/>
    <mergeCell ref="A5039:K5039"/>
    <mergeCell ref="A5041:K5041"/>
    <mergeCell ref="H5050:I5050"/>
    <mergeCell ref="J5050:K5050"/>
    <mergeCell ref="H5051:I5051"/>
    <mergeCell ref="J5051:K5051"/>
    <mergeCell ref="H5031:I5031"/>
    <mergeCell ref="J5031:K5031"/>
    <mergeCell ref="H5032:I5032"/>
    <mergeCell ref="J5032:K5032"/>
    <mergeCell ref="A5035:G5035"/>
    <mergeCell ref="H5035:I5035"/>
    <mergeCell ref="J5035:K5035"/>
    <mergeCell ref="A5015:G5015"/>
    <mergeCell ref="H5015:I5015"/>
    <mergeCell ref="J5015:K5015"/>
    <mergeCell ref="A5019:K5019"/>
    <mergeCell ref="H5030:I5030"/>
    <mergeCell ref="J5030:K5030"/>
    <mergeCell ref="H5008:I5008"/>
    <mergeCell ref="J5008:K5008"/>
    <mergeCell ref="H5009:I5009"/>
    <mergeCell ref="J5009:K5009"/>
    <mergeCell ref="H5012:I5012"/>
    <mergeCell ref="J5012:K5012"/>
    <mergeCell ref="A4992:G4992"/>
    <mergeCell ref="H4992:I4992"/>
    <mergeCell ref="J4992:K4992"/>
    <mergeCell ref="A4996:K4996"/>
    <mergeCell ref="H5007:I5007"/>
    <mergeCell ref="J5007:K5007"/>
    <mergeCell ref="A4978:K4978"/>
    <mergeCell ref="H4987:I4987"/>
    <mergeCell ref="J4987:K4987"/>
    <mergeCell ref="H4988:I4988"/>
    <mergeCell ref="J4988:K4988"/>
    <mergeCell ref="H4989:I4989"/>
    <mergeCell ref="J4989:K4989"/>
    <mergeCell ref="H4967:I4967"/>
    <mergeCell ref="J4967:K4967"/>
    <mergeCell ref="A4970:G4970"/>
    <mergeCell ref="H4970:I4970"/>
    <mergeCell ref="J4970:K4970"/>
    <mergeCell ref="A4974:G4974"/>
    <mergeCell ref="H4974:I4974"/>
    <mergeCell ref="J4974:K4974"/>
    <mergeCell ref="A4951:K4951"/>
    <mergeCell ref="H4962:I4962"/>
    <mergeCell ref="J4962:K4962"/>
    <mergeCell ref="H4963:I4963"/>
    <mergeCell ref="J4963:K4963"/>
    <mergeCell ref="H4964:I4964"/>
    <mergeCell ref="J4964:K4964"/>
    <mergeCell ref="H4943:I4943"/>
    <mergeCell ref="J4943:K4943"/>
    <mergeCell ref="H4944:I4944"/>
    <mergeCell ref="J4944:K4944"/>
    <mergeCell ref="A4947:G4947"/>
    <mergeCell ref="H4947:I4947"/>
    <mergeCell ref="J4947:K4947"/>
    <mergeCell ref="A4926:G4926"/>
    <mergeCell ref="H4926:I4926"/>
    <mergeCell ref="J4926:K4926"/>
    <mergeCell ref="A4930:K4930"/>
    <mergeCell ref="H4942:I4942"/>
    <mergeCell ref="J4942:K4942"/>
    <mergeCell ref="H4921:I4921"/>
    <mergeCell ref="J4921:K4921"/>
    <mergeCell ref="H4922:I4922"/>
    <mergeCell ref="J4922:K4922"/>
    <mergeCell ref="H4923:I4923"/>
    <mergeCell ref="J4923:K4923"/>
    <mergeCell ref="H4899:I4899"/>
    <mergeCell ref="J4899:K4899"/>
    <mergeCell ref="A4902:G4902"/>
    <mergeCell ref="H4902:I4902"/>
    <mergeCell ref="J4902:K4902"/>
    <mergeCell ref="A4906:K4906"/>
    <mergeCell ref="H4887:I4887"/>
    <mergeCell ref="J4887:K4887"/>
    <mergeCell ref="H4897:I4897"/>
    <mergeCell ref="J4897:K4897"/>
    <mergeCell ref="H4898:I4898"/>
    <mergeCell ref="J4898:K4898"/>
    <mergeCell ref="H4877:I4877"/>
    <mergeCell ref="J4877:K4877"/>
    <mergeCell ref="H4885:I4885"/>
    <mergeCell ref="J4885:K4885"/>
    <mergeCell ref="H4886:I4886"/>
    <mergeCell ref="J4886:K4886"/>
    <mergeCell ref="A4866:K4866"/>
    <mergeCell ref="A4868:K4868"/>
    <mergeCell ref="H4875:I4875"/>
    <mergeCell ref="J4875:K4875"/>
    <mergeCell ref="H4876:I4876"/>
    <mergeCell ref="J4876:K4876"/>
    <mergeCell ref="A4858:G4858"/>
    <mergeCell ref="H4858:I4858"/>
    <mergeCell ref="J4858:K4858"/>
    <mergeCell ref="A4862:G4862"/>
    <mergeCell ref="H4862:I4862"/>
    <mergeCell ref="J4862:K4862"/>
    <mergeCell ref="A4842:K4842"/>
    <mergeCell ref="H4853:I4853"/>
    <mergeCell ref="J4853:K4853"/>
    <mergeCell ref="H4854:I4854"/>
    <mergeCell ref="J4854:K4854"/>
    <mergeCell ref="H4855:I4855"/>
    <mergeCell ref="J4855:K4855"/>
    <mergeCell ref="H4834:I4834"/>
    <mergeCell ref="J4834:K4834"/>
    <mergeCell ref="H4835:I4835"/>
    <mergeCell ref="J4835:K4835"/>
    <mergeCell ref="A4838:G4838"/>
    <mergeCell ref="H4838:I4838"/>
    <mergeCell ref="J4838:K4838"/>
    <mergeCell ref="H4819:I4819"/>
    <mergeCell ref="J4819:K4819"/>
    <mergeCell ref="H4820:I4820"/>
    <mergeCell ref="J4820:K4820"/>
    <mergeCell ref="H4833:I4833"/>
    <mergeCell ref="J4833:K4833"/>
    <mergeCell ref="H4804:I4804"/>
    <mergeCell ref="J4804:K4804"/>
    <mergeCell ref="H4805:I4805"/>
    <mergeCell ref="J4805:K4805"/>
    <mergeCell ref="H4818:I4818"/>
    <mergeCell ref="J4818:K4818"/>
    <mergeCell ref="H4786:I4786"/>
    <mergeCell ref="J4786:K4786"/>
    <mergeCell ref="H4787:I4787"/>
    <mergeCell ref="J4787:K4787"/>
    <mergeCell ref="H4803:I4803"/>
    <mergeCell ref="J4803:K4803"/>
    <mergeCell ref="A4766:G4766"/>
    <mergeCell ref="H4766:I4766"/>
    <mergeCell ref="J4766:K4766"/>
    <mergeCell ref="A4770:K4770"/>
    <mergeCell ref="H4785:I4785"/>
    <mergeCell ref="J4785:K4785"/>
    <mergeCell ref="H4761:I4761"/>
    <mergeCell ref="J4761:K4761"/>
    <mergeCell ref="H4762:I4762"/>
    <mergeCell ref="J4762:K4762"/>
    <mergeCell ref="H4763:I4763"/>
    <mergeCell ref="J4763:K4763"/>
    <mergeCell ref="A4728:K4728"/>
    <mergeCell ref="H4743:I4743"/>
    <mergeCell ref="J4743:K4743"/>
    <mergeCell ref="H4744:I4744"/>
    <mergeCell ref="J4744:K4744"/>
    <mergeCell ref="H4745:I4745"/>
    <mergeCell ref="J4745:K4745"/>
    <mergeCell ref="H4720:I4720"/>
    <mergeCell ref="J4720:K4720"/>
    <mergeCell ref="H4721:I4721"/>
    <mergeCell ref="J4721:K4721"/>
    <mergeCell ref="A4724:G4724"/>
    <mergeCell ref="H4724:I4724"/>
    <mergeCell ref="J4724:K4724"/>
    <mergeCell ref="H4702:I4702"/>
    <mergeCell ref="J4702:K4702"/>
    <mergeCell ref="H4703:I4703"/>
    <mergeCell ref="J4703:K4703"/>
    <mergeCell ref="H4719:I4719"/>
    <mergeCell ref="J4719:K4719"/>
    <mergeCell ref="H4688:I4688"/>
    <mergeCell ref="J4688:K4688"/>
    <mergeCell ref="H4689:I4689"/>
    <mergeCell ref="J4689:K4689"/>
    <mergeCell ref="H4701:I4701"/>
    <mergeCell ref="J4701:K4701"/>
    <mergeCell ref="H4674:I4674"/>
    <mergeCell ref="J4674:K4674"/>
    <mergeCell ref="H4675:I4675"/>
    <mergeCell ref="J4675:K4675"/>
    <mergeCell ref="H4687:I4687"/>
    <mergeCell ref="J4687:K4687"/>
    <mergeCell ref="H4662:I4662"/>
    <mergeCell ref="J4662:K4662"/>
    <mergeCell ref="H4663:I4663"/>
    <mergeCell ref="J4663:K4663"/>
    <mergeCell ref="H4673:I4673"/>
    <mergeCell ref="J4673:K4673"/>
    <mergeCell ref="A4647:G4647"/>
    <mergeCell ref="H4647:I4647"/>
    <mergeCell ref="J4647:K4647"/>
    <mergeCell ref="A4651:K4651"/>
    <mergeCell ref="H4661:I4661"/>
    <mergeCell ref="J4661:K4661"/>
    <mergeCell ref="H4642:I4642"/>
    <mergeCell ref="J4642:K4642"/>
    <mergeCell ref="H4643:I4643"/>
    <mergeCell ref="J4643:K4643"/>
    <mergeCell ref="H4644:I4644"/>
    <mergeCell ref="J4644:K4644"/>
    <mergeCell ref="H4627:I4627"/>
    <mergeCell ref="J4627:K4627"/>
    <mergeCell ref="H4628:I4628"/>
    <mergeCell ref="J4628:K4628"/>
    <mergeCell ref="H4629:I4629"/>
    <mergeCell ref="J4629:K4629"/>
    <mergeCell ref="H4613:I4613"/>
    <mergeCell ref="J4613:K4613"/>
    <mergeCell ref="H4614:I4614"/>
    <mergeCell ref="J4614:K4614"/>
    <mergeCell ref="H4615:I4615"/>
    <mergeCell ref="J4615:K4615"/>
    <mergeCell ref="A4591:K4591"/>
    <mergeCell ref="H4601:I4601"/>
    <mergeCell ref="J4601:K4601"/>
    <mergeCell ref="H4602:I4602"/>
    <mergeCell ref="J4602:K4602"/>
    <mergeCell ref="H4603:I4603"/>
    <mergeCell ref="J4603:K4603"/>
    <mergeCell ref="H4583:I4583"/>
    <mergeCell ref="J4583:K4583"/>
    <mergeCell ref="H4584:I4584"/>
    <mergeCell ref="J4584:K4584"/>
    <mergeCell ref="A4587:G4587"/>
    <mergeCell ref="H4587:I4587"/>
    <mergeCell ref="J4587:K4587"/>
    <mergeCell ref="H4565:I4565"/>
    <mergeCell ref="J4565:K4565"/>
    <mergeCell ref="H4566:I4566"/>
    <mergeCell ref="J4566:K4566"/>
    <mergeCell ref="H4582:I4582"/>
    <mergeCell ref="J4582:K4582"/>
    <mergeCell ref="H4551:I4551"/>
    <mergeCell ref="J4551:K4551"/>
    <mergeCell ref="H4552:I4552"/>
    <mergeCell ref="J4552:K4552"/>
    <mergeCell ref="H4564:I4564"/>
    <mergeCell ref="J4564:K4564"/>
    <mergeCell ref="H4537:I4537"/>
    <mergeCell ref="J4537:K4537"/>
    <mergeCell ref="H4538:I4538"/>
    <mergeCell ref="J4538:K4538"/>
    <mergeCell ref="H4550:I4550"/>
    <mergeCell ref="J4550:K4550"/>
    <mergeCell ref="H4525:I4525"/>
    <mergeCell ref="J4525:K4525"/>
    <mergeCell ref="H4526:I4526"/>
    <mergeCell ref="J4526:K4526"/>
    <mergeCell ref="H4536:I4536"/>
    <mergeCell ref="J4536:K4536"/>
    <mergeCell ref="A4510:G4510"/>
    <mergeCell ref="H4510:I4510"/>
    <mergeCell ref="J4510:K4510"/>
    <mergeCell ref="A4514:K4514"/>
    <mergeCell ref="H4524:I4524"/>
    <mergeCell ref="J4524:K4524"/>
    <mergeCell ref="H4505:I4505"/>
    <mergeCell ref="J4505:K4505"/>
    <mergeCell ref="H4506:I4506"/>
    <mergeCell ref="J4506:K4506"/>
    <mergeCell ref="H4507:I4507"/>
    <mergeCell ref="J4507:K4507"/>
    <mergeCell ref="H4490:I4490"/>
    <mergeCell ref="J4490:K4490"/>
    <mergeCell ref="H4491:I4491"/>
    <mergeCell ref="J4491:K4491"/>
    <mergeCell ref="H4492:I4492"/>
    <mergeCell ref="J4492:K4492"/>
    <mergeCell ref="H4476:I4476"/>
    <mergeCell ref="J4476:K4476"/>
    <mergeCell ref="H4477:I4477"/>
    <mergeCell ref="J4477:K4477"/>
    <mergeCell ref="H4478:I4478"/>
    <mergeCell ref="J4478:K4478"/>
    <mergeCell ref="H4464:I4464"/>
    <mergeCell ref="J4464:K4464"/>
    <mergeCell ref="H4465:I4465"/>
    <mergeCell ref="J4465:K4465"/>
    <mergeCell ref="H4466:I4466"/>
    <mergeCell ref="J4466:K4466"/>
    <mergeCell ref="H4447:I4447"/>
    <mergeCell ref="J4447:K4447"/>
    <mergeCell ref="A4450:G4450"/>
    <mergeCell ref="H4450:I4450"/>
    <mergeCell ref="J4450:K4450"/>
    <mergeCell ref="A4454:K4454"/>
    <mergeCell ref="H4441:I4441"/>
    <mergeCell ref="J4441:K4441"/>
    <mergeCell ref="H4442:I4442"/>
    <mergeCell ref="J4442:K4442"/>
    <mergeCell ref="H4443:I4443"/>
    <mergeCell ref="J4443:K4443"/>
    <mergeCell ref="H4427:I4427"/>
    <mergeCell ref="J4427:K4427"/>
    <mergeCell ref="H4428:I4428"/>
    <mergeCell ref="J4428:K4428"/>
    <mergeCell ref="H4429:I4429"/>
    <mergeCell ref="J4429:K4429"/>
    <mergeCell ref="H4409:I4409"/>
    <mergeCell ref="J4409:K4409"/>
    <mergeCell ref="H4410:I4410"/>
    <mergeCell ref="J4410:K4410"/>
    <mergeCell ref="H4413:I4413"/>
    <mergeCell ref="J4413:K4413"/>
    <mergeCell ref="H4394:I4394"/>
    <mergeCell ref="J4394:K4394"/>
    <mergeCell ref="H4395:I4395"/>
    <mergeCell ref="J4395:K4395"/>
    <mergeCell ref="H4408:I4408"/>
    <mergeCell ref="J4408:K4408"/>
    <mergeCell ref="A4379:G4379"/>
    <mergeCell ref="H4379:I4379"/>
    <mergeCell ref="J4379:K4379"/>
    <mergeCell ref="A4383:K4383"/>
    <mergeCell ref="H4393:I4393"/>
    <mergeCell ref="J4393:K4393"/>
    <mergeCell ref="H4374:I4374"/>
    <mergeCell ref="J4374:K4374"/>
    <mergeCell ref="H4375:I4375"/>
    <mergeCell ref="J4375:K4375"/>
    <mergeCell ref="H4376:I4376"/>
    <mergeCell ref="J4376:K4376"/>
    <mergeCell ref="H4356:I4356"/>
    <mergeCell ref="J4356:K4356"/>
    <mergeCell ref="H4357:I4357"/>
    <mergeCell ref="J4357:K4357"/>
    <mergeCell ref="H4358:I4358"/>
    <mergeCell ref="J4358:K4358"/>
    <mergeCell ref="H4342:I4342"/>
    <mergeCell ref="J4342:K4342"/>
    <mergeCell ref="H4343:I4343"/>
    <mergeCell ref="J4343:K4343"/>
    <mergeCell ref="H4344:I4344"/>
    <mergeCell ref="J4344:K4344"/>
    <mergeCell ref="H4328:I4328"/>
    <mergeCell ref="J4328:K4328"/>
    <mergeCell ref="H4329:I4329"/>
    <mergeCell ref="J4329:K4329"/>
    <mergeCell ref="H4330:I4330"/>
    <mergeCell ref="J4330:K4330"/>
    <mergeCell ref="A4306:K4306"/>
    <mergeCell ref="H4316:I4316"/>
    <mergeCell ref="J4316:K4316"/>
    <mergeCell ref="H4317:I4317"/>
    <mergeCell ref="J4317:K4317"/>
    <mergeCell ref="H4318:I4318"/>
    <mergeCell ref="J4318:K4318"/>
    <mergeCell ref="H4298:I4298"/>
    <mergeCell ref="J4298:K4298"/>
    <mergeCell ref="H4299:I4299"/>
    <mergeCell ref="J4299:K4299"/>
    <mergeCell ref="A4302:G4302"/>
    <mergeCell ref="H4302:I4302"/>
    <mergeCell ref="J4302:K4302"/>
    <mergeCell ref="H4283:I4283"/>
    <mergeCell ref="J4283:K4283"/>
    <mergeCell ref="H4284:I4284"/>
    <mergeCell ref="J4284:K4284"/>
    <mergeCell ref="H4297:I4297"/>
    <mergeCell ref="J4297:K4297"/>
    <mergeCell ref="H4269:I4269"/>
    <mergeCell ref="J4269:K4269"/>
    <mergeCell ref="H4270:I4270"/>
    <mergeCell ref="J4270:K4270"/>
    <mergeCell ref="H4282:I4282"/>
    <mergeCell ref="J4282:K4282"/>
    <mergeCell ref="H4257:I4257"/>
    <mergeCell ref="J4257:K4257"/>
    <mergeCell ref="H4258:I4258"/>
    <mergeCell ref="J4258:K4258"/>
    <mergeCell ref="H4268:I4268"/>
    <mergeCell ref="J4268:K4268"/>
    <mergeCell ref="A4242:G4242"/>
    <mergeCell ref="H4242:I4242"/>
    <mergeCell ref="J4242:K4242"/>
    <mergeCell ref="A4246:K4246"/>
    <mergeCell ref="H4256:I4256"/>
    <mergeCell ref="J4256:K4256"/>
    <mergeCell ref="H4237:I4237"/>
    <mergeCell ref="J4237:K4237"/>
    <mergeCell ref="H4238:I4238"/>
    <mergeCell ref="J4238:K4238"/>
    <mergeCell ref="H4239:I4239"/>
    <mergeCell ref="J4239:K4239"/>
    <mergeCell ref="H4222:I4222"/>
    <mergeCell ref="J4222:K4222"/>
    <mergeCell ref="H4223:I4223"/>
    <mergeCell ref="J4223:K4223"/>
    <mergeCell ref="H4224:I4224"/>
    <mergeCell ref="J4224:K4224"/>
    <mergeCell ref="H4208:I4208"/>
    <mergeCell ref="J4208:K4208"/>
    <mergeCell ref="H4209:I4209"/>
    <mergeCell ref="J4209:K4209"/>
    <mergeCell ref="H4210:I4210"/>
    <mergeCell ref="J4210:K4210"/>
    <mergeCell ref="A4186:K4186"/>
    <mergeCell ref="H4196:I4196"/>
    <mergeCell ref="J4196:K4196"/>
    <mergeCell ref="H4197:I4197"/>
    <mergeCell ref="J4197:K4197"/>
    <mergeCell ref="H4198:I4198"/>
    <mergeCell ref="J4198:K4198"/>
    <mergeCell ref="H4178:I4178"/>
    <mergeCell ref="J4178:K4178"/>
    <mergeCell ref="H4179:I4179"/>
    <mergeCell ref="J4179:K4179"/>
    <mergeCell ref="A4182:G4182"/>
    <mergeCell ref="H4182:I4182"/>
    <mergeCell ref="J4182:K4182"/>
    <mergeCell ref="H4160:I4160"/>
    <mergeCell ref="J4160:K4160"/>
    <mergeCell ref="H4161:I4161"/>
    <mergeCell ref="J4161:K4161"/>
    <mergeCell ref="H4177:I4177"/>
    <mergeCell ref="J4177:K4177"/>
    <mergeCell ref="H4146:I4146"/>
    <mergeCell ref="J4146:K4146"/>
    <mergeCell ref="H4147:I4147"/>
    <mergeCell ref="J4147:K4147"/>
    <mergeCell ref="H4159:I4159"/>
    <mergeCell ref="J4159:K4159"/>
    <mergeCell ref="H4132:I4132"/>
    <mergeCell ref="J4132:K4132"/>
    <mergeCell ref="H4133:I4133"/>
    <mergeCell ref="J4133:K4133"/>
    <mergeCell ref="H4145:I4145"/>
    <mergeCell ref="J4145:K4145"/>
    <mergeCell ref="H4120:I4120"/>
    <mergeCell ref="J4120:K4120"/>
    <mergeCell ref="H4121:I4121"/>
    <mergeCell ref="J4121:K4121"/>
    <mergeCell ref="H4131:I4131"/>
    <mergeCell ref="J4131:K4131"/>
    <mergeCell ref="A4105:G4105"/>
    <mergeCell ref="H4105:I4105"/>
    <mergeCell ref="J4105:K4105"/>
    <mergeCell ref="A4109:K4109"/>
    <mergeCell ref="H4119:I4119"/>
    <mergeCell ref="J4119:K4119"/>
    <mergeCell ref="H4100:I4100"/>
    <mergeCell ref="J4100:K4100"/>
    <mergeCell ref="H4101:I4101"/>
    <mergeCell ref="J4101:K4101"/>
    <mergeCell ref="H4102:I4102"/>
    <mergeCell ref="J4102:K4102"/>
    <mergeCell ref="H4085:I4085"/>
    <mergeCell ref="J4085:K4085"/>
    <mergeCell ref="H4086:I4086"/>
    <mergeCell ref="J4086:K4086"/>
    <mergeCell ref="H4087:I4087"/>
    <mergeCell ref="J4087:K4087"/>
    <mergeCell ref="H4071:I4071"/>
    <mergeCell ref="J4071:K4071"/>
    <mergeCell ref="H4072:I4072"/>
    <mergeCell ref="J4072:K4072"/>
    <mergeCell ref="H4073:I4073"/>
    <mergeCell ref="J4073:K4073"/>
    <mergeCell ref="H4057:I4057"/>
    <mergeCell ref="J4057:K4057"/>
    <mergeCell ref="H4058:I4058"/>
    <mergeCell ref="J4058:K4058"/>
    <mergeCell ref="H4059:I4059"/>
    <mergeCell ref="J4059:K4059"/>
    <mergeCell ref="A4035:K4035"/>
    <mergeCell ref="H4045:I4045"/>
    <mergeCell ref="J4045:K4045"/>
    <mergeCell ref="H4046:I4046"/>
    <mergeCell ref="J4046:K4046"/>
    <mergeCell ref="H4047:I4047"/>
    <mergeCell ref="J4047:K4047"/>
    <mergeCell ref="H4027:I4027"/>
    <mergeCell ref="J4027:K4027"/>
    <mergeCell ref="H4028:I4028"/>
    <mergeCell ref="J4028:K4028"/>
    <mergeCell ref="A4031:G4031"/>
    <mergeCell ref="H4031:I4031"/>
    <mergeCell ref="J4031:K4031"/>
    <mergeCell ref="H4012:I4012"/>
    <mergeCell ref="J4012:K4012"/>
    <mergeCell ref="H4013:I4013"/>
    <mergeCell ref="J4013:K4013"/>
    <mergeCell ref="H4026:I4026"/>
    <mergeCell ref="J4026:K4026"/>
    <mergeCell ref="H3998:I3998"/>
    <mergeCell ref="J3998:K3998"/>
    <mergeCell ref="H3999:I3999"/>
    <mergeCell ref="J3999:K3999"/>
    <mergeCell ref="H4011:I4011"/>
    <mergeCell ref="J4011:K4011"/>
    <mergeCell ref="H3984:I3984"/>
    <mergeCell ref="J3984:K3984"/>
    <mergeCell ref="H3985:I3985"/>
    <mergeCell ref="J3985:K3985"/>
    <mergeCell ref="H3997:I3997"/>
    <mergeCell ref="J3997:K3997"/>
    <mergeCell ref="H3972:I3972"/>
    <mergeCell ref="J3972:K3972"/>
    <mergeCell ref="H3973:I3973"/>
    <mergeCell ref="J3973:K3973"/>
    <mergeCell ref="H3983:I3983"/>
    <mergeCell ref="J3983:K3983"/>
    <mergeCell ref="A3957:G3957"/>
    <mergeCell ref="H3957:I3957"/>
    <mergeCell ref="J3957:K3957"/>
    <mergeCell ref="A3961:K3961"/>
    <mergeCell ref="H3971:I3971"/>
    <mergeCell ref="J3971:K3971"/>
    <mergeCell ref="H3952:I3952"/>
    <mergeCell ref="J3952:K3952"/>
    <mergeCell ref="H3953:I3953"/>
    <mergeCell ref="J3953:K3953"/>
    <mergeCell ref="H3954:I3954"/>
    <mergeCell ref="J3954:K3954"/>
    <mergeCell ref="H3934:I3934"/>
    <mergeCell ref="J3934:K3934"/>
    <mergeCell ref="H3935:I3935"/>
    <mergeCell ref="J3935:K3935"/>
    <mergeCell ref="H3936:I3936"/>
    <mergeCell ref="J3936:K3936"/>
    <mergeCell ref="H3920:I3920"/>
    <mergeCell ref="J3920:K3920"/>
    <mergeCell ref="H3921:I3921"/>
    <mergeCell ref="J3921:K3921"/>
    <mergeCell ref="H3922:I3922"/>
    <mergeCell ref="J3922:K3922"/>
    <mergeCell ref="H3906:I3906"/>
    <mergeCell ref="J3906:K3906"/>
    <mergeCell ref="H3907:I3907"/>
    <mergeCell ref="J3907:K3907"/>
    <mergeCell ref="H3908:I3908"/>
    <mergeCell ref="J3908:K3908"/>
    <mergeCell ref="A3884:K3884"/>
    <mergeCell ref="H3894:I3894"/>
    <mergeCell ref="J3894:K3894"/>
    <mergeCell ref="H3895:I3895"/>
    <mergeCell ref="J3895:K3895"/>
    <mergeCell ref="H3896:I3896"/>
    <mergeCell ref="J3896:K3896"/>
    <mergeCell ref="H3874:I3874"/>
    <mergeCell ref="J3874:K3874"/>
    <mergeCell ref="H3877:I3877"/>
    <mergeCell ref="J3877:K3877"/>
    <mergeCell ref="A3880:G3880"/>
    <mergeCell ref="H3880:I3880"/>
    <mergeCell ref="J3880:K3880"/>
    <mergeCell ref="H3860:I3860"/>
    <mergeCell ref="J3860:K3860"/>
    <mergeCell ref="H3872:I3872"/>
    <mergeCell ref="J3872:K3872"/>
    <mergeCell ref="H3873:I3873"/>
    <mergeCell ref="J3873:K3873"/>
    <mergeCell ref="H3844:I3844"/>
    <mergeCell ref="J3844:K3844"/>
    <mergeCell ref="H3858:I3858"/>
    <mergeCell ref="J3858:K3858"/>
    <mergeCell ref="H3859:I3859"/>
    <mergeCell ref="J3859:K3859"/>
    <mergeCell ref="H3839:I3839"/>
    <mergeCell ref="J3839:K3839"/>
    <mergeCell ref="H3840:I3840"/>
    <mergeCell ref="J3840:K3840"/>
    <mergeCell ref="H3841:I3841"/>
    <mergeCell ref="J3841:K3841"/>
    <mergeCell ref="A3814:K3814"/>
    <mergeCell ref="H3824:I3824"/>
    <mergeCell ref="J3824:K3824"/>
    <mergeCell ref="H3825:I3825"/>
    <mergeCell ref="J3825:K3825"/>
    <mergeCell ref="H3826:I3826"/>
    <mergeCell ref="J3826:K3826"/>
    <mergeCell ref="H3806:I3806"/>
    <mergeCell ref="J3806:K3806"/>
    <mergeCell ref="H3807:I3807"/>
    <mergeCell ref="J3807:K3807"/>
    <mergeCell ref="A3810:G3810"/>
    <mergeCell ref="H3810:I3810"/>
    <mergeCell ref="J3810:K3810"/>
    <mergeCell ref="H3788:I3788"/>
    <mergeCell ref="J3788:K3788"/>
    <mergeCell ref="H3789:I3789"/>
    <mergeCell ref="J3789:K3789"/>
    <mergeCell ref="H3805:I3805"/>
    <mergeCell ref="J3805:K3805"/>
    <mergeCell ref="H3774:I3774"/>
    <mergeCell ref="J3774:K3774"/>
    <mergeCell ref="H3775:I3775"/>
    <mergeCell ref="J3775:K3775"/>
    <mergeCell ref="H3787:I3787"/>
    <mergeCell ref="J3787:K3787"/>
    <mergeCell ref="H3760:I3760"/>
    <mergeCell ref="J3760:K3760"/>
    <mergeCell ref="H3761:I3761"/>
    <mergeCell ref="J3761:K3761"/>
    <mergeCell ref="H3773:I3773"/>
    <mergeCell ref="J3773:K3773"/>
    <mergeCell ref="H3746:I3746"/>
    <mergeCell ref="J3746:K3746"/>
    <mergeCell ref="H3747:I3747"/>
    <mergeCell ref="J3747:K3747"/>
    <mergeCell ref="H3759:I3759"/>
    <mergeCell ref="J3759:K3759"/>
    <mergeCell ref="H3734:I3734"/>
    <mergeCell ref="J3734:K3734"/>
    <mergeCell ref="H3735:I3735"/>
    <mergeCell ref="J3735:K3735"/>
    <mergeCell ref="H3745:I3745"/>
    <mergeCell ref="J3745:K3745"/>
    <mergeCell ref="A3719:G3719"/>
    <mergeCell ref="H3719:I3719"/>
    <mergeCell ref="J3719:K3719"/>
    <mergeCell ref="A3723:K3723"/>
    <mergeCell ref="H3733:I3733"/>
    <mergeCell ref="J3733:K3733"/>
    <mergeCell ref="H3714:I3714"/>
    <mergeCell ref="J3714:K3714"/>
    <mergeCell ref="H3715:I3715"/>
    <mergeCell ref="J3715:K3715"/>
    <mergeCell ref="H3716:I3716"/>
    <mergeCell ref="J3716:K3716"/>
    <mergeCell ref="H3696:I3696"/>
    <mergeCell ref="J3696:K3696"/>
    <mergeCell ref="H3697:I3697"/>
    <mergeCell ref="J3697:K3697"/>
    <mergeCell ref="H3698:I3698"/>
    <mergeCell ref="J3698:K3698"/>
    <mergeCell ref="H3682:I3682"/>
    <mergeCell ref="J3682:K3682"/>
    <mergeCell ref="H3683:I3683"/>
    <mergeCell ref="J3683:K3683"/>
    <mergeCell ref="H3684:I3684"/>
    <mergeCell ref="J3684:K3684"/>
    <mergeCell ref="H3668:I3668"/>
    <mergeCell ref="J3668:K3668"/>
    <mergeCell ref="H3669:I3669"/>
    <mergeCell ref="J3669:K3669"/>
    <mergeCell ref="H3670:I3670"/>
    <mergeCell ref="J3670:K3670"/>
    <mergeCell ref="A3646:K3646"/>
    <mergeCell ref="H3656:I3656"/>
    <mergeCell ref="J3656:K3656"/>
    <mergeCell ref="H3657:I3657"/>
    <mergeCell ref="J3657:K3657"/>
    <mergeCell ref="H3658:I3658"/>
    <mergeCell ref="J3658:K3658"/>
    <mergeCell ref="H3638:I3638"/>
    <mergeCell ref="J3638:K3638"/>
    <mergeCell ref="H3639:I3639"/>
    <mergeCell ref="J3639:K3639"/>
    <mergeCell ref="A3642:G3642"/>
    <mergeCell ref="H3642:I3642"/>
    <mergeCell ref="J3642:K3642"/>
    <mergeCell ref="H3628:I3628"/>
    <mergeCell ref="J3628:K3628"/>
    <mergeCell ref="H3629:I3629"/>
    <mergeCell ref="J3629:K3629"/>
    <mergeCell ref="H3637:I3637"/>
    <mergeCell ref="J3637:K3637"/>
    <mergeCell ref="H3616:I3616"/>
    <mergeCell ref="J3616:K3616"/>
    <mergeCell ref="H3617:I3617"/>
    <mergeCell ref="J3617:K3617"/>
    <mergeCell ref="H3627:I3627"/>
    <mergeCell ref="J3627:K3627"/>
    <mergeCell ref="H3606:I3606"/>
    <mergeCell ref="J3606:K3606"/>
    <mergeCell ref="H3607:I3607"/>
    <mergeCell ref="J3607:K3607"/>
    <mergeCell ref="H3615:I3615"/>
    <mergeCell ref="J3615:K3615"/>
    <mergeCell ref="H3594:I3594"/>
    <mergeCell ref="J3594:K3594"/>
    <mergeCell ref="H3595:I3595"/>
    <mergeCell ref="J3595:K3595"/>
    <mergeCell ref="H3605:I3605"/>
    <mergeCell ref="J3605:K3605"/>
    <mergeCell ref="A3580:G3580"/>
    <mergeCell ref="H3580:I3580"/>
    <mergeCell ref="J3580:K3580"/>
    <mergeCell ref="A3584:K3584"/>
    <mergeCell ref="A3586:K3586"/>
    <mergeCell ref="H3593:I3593"/>
    <mergeCell ref="J3593:K3593"/>
    <mergeCell ref="H3570:I3570"/>
    <mergeCell ref="J3570:K3570"/>
    <mergeCell ref="H3573:I3573"/>
    <mergeCell ref="J3573:K3573"/>
    <mergeCell ref="A3576:G3576"/>
    <mergeCell ref="H3576:I3576"/>
    <mergeCell ref="J3576:K3576"/>
    <mergeCell ref="H3555:I3555"/>
    <mergeCell ref="J3555:K3555"/>
    <mergeCell ref="H3568:I3568"/>
    <mergeCell ref="J3568:K3568"/>
    <mergeCell ref="H3569:I3569"/>
    <mergeCell ref="J3569:K3569"/>
    <mergeCell ref="H3541:I3541"/>
    <mergeCell ref="J3541:K3541"/>
    <mergeCell ref="H3553:I3553"/>
    <mergeCell ref="J3553:K3553"/>
    <mergeCell ref="H3554:I3554"/>
    <mergeCell ref="J3554:K3554"/>
    <mergeCell ref="H3536:I3536"/>
    <mergeCell ref="J3536:K3536"/>
    <mergeCell ref="H3537:I3537"/>
    <mergeCell ref="J3537:K3537"/>
    <mergeCell ref="H3538:I3538"/>
    <mergeCell ref="J3538:K3538"/>
    <mergeCell ref="H3522:I3522"/>
    <mergeCell ref="J3522:K3522"/>
    <mergeCell ref="H3523:I3523"/>
    <mergeCell ref="J3523:K3523"/>
    <mergeCell ref="H3524:I3524"/>
    <mergeCell ref="J3524:K3524"/>
    <mergeCell ref="H3509:I3509"/>
    <mergeCell ref="J3509:K3509"/>
    <mergeCell ref="H3510:I3510"/>
    <mergeCell ref="J3510:K3510"/>
    <mergeCell ref="H3511:I3511"/>
    <mergeCell ref="J3511:K3511"/>
    <mergeCell ref="H3493:I3493"/>
    <mergeCell ref="J3493:K3493"/>
    <mergeCell ref="H3494:I3494"/>
    <mergeCell ref="J3494:K3494"/>
    <mergeCell ref="H3495:I3495"/>
    <mergeCell ref="J3495:K3495"/>
    <mergeCell ref="H3477:I3477"/>
    <mergeCell ref="J3477:K3477"/>
    <mergeCell ref="H3478:I3478"/>
    <mergeCell ref="J3478:K3478"/>
    <mergeCell ref="H3479:I3479"/>
    <mergeCell ref="J3479:K3479"/>
    <mergeCell ref="H3457:I3457"/>
    <mergeCell ref="J3457:K3457"/>
    <mergeCell ref="A3460:G3460"/>
    <mergeCell ref="H3460:I3460"/>
    <mergeCell ref="J3460:K3460"/>
    <mergeCell ref="A3464:K3464"/>
    <mergeCell ref="H3447:I3447"/>
    <mergeCell ref="J3447:K3447"/>
    <mergeCell ref="H3455:I3455"/>
    <mergeCell ref="J3455:K3455"/>
    <mergeCell ref="H3456:I3456"/>
    <mergeCell ref="J3456:K3456"/>
    <mergeCell ref="H3435:I3435"/>
    <mergeCell ref="J3435:K3435"/>
    <mergeCell ref="H3445:I3445"/>
    <mergeCell ref="J3445:K3445"/>
    <mergeCell ref="H3446:I3446"/>
    <mergeCell ref="J3446:K3446"/>
    <mergeCell ref="A3423:K3423"/>
    <mergeCell ref="A3425:K3425"/>
    <mergeCell ref="H3433:I3433"/>
    <mergeCell ref="J3433:K3433"/>
    <mergeCell ref="H3434:I3434"/>
    <mergeCell ref="J3434:K3434"/>
    <mergeCell ref="H3412:I3412"/>
    <mergeCell ref="J3412:K3412"/>
    <mergeCell ref="A3415:G3415"/>
    <mergeCell ref="H3415:I3415"/>
    <mergeCell ref="J3415:K3415"/>
    <mergeCell ref="A3419:G3419"/>
    <mergeCell ref="H3419:I3419"/>
    <mergeCell ref="J3419:K3419"/>
    <mergeCell ref="H3396:I3396"/>
    <mergeCell ref="J3396:K3396"/>
    <mergeCell ref="H3410:I3410"/>
    <mergeCell ref="J3410:K3410"/>
    <mergeCell ref="H3411:I3411"/>
    <mergeCell ref="J3411:K3411"/>
    <mergeCell ref="H3378:I3378"/>
    <mergeCell ref="J3378:K3378"/>
    <mergeCell ref="H3394:I3394"/>
    <mergeCell ref="J3394:K3394"/>
    <mergeCell ref="H3395:I3395"/>
    <mergeCell ref="J3395:K3395"/>
    <mergeCell ref="H3361:I3361"/>
    <mergeCell ref="J3361:K3361"/>
    <mergeCell ref="H3376:I3376"/>
    <mergeCell ref="J3376:K3376"/>
    <mergeCell ref="H3377:I3377"/>
    <mergeCell ref="J3377:K3377"/>
    <mergeCell ref="H3345:I3345"/>
    <mergeCell ref="J3345:K3345"/>
    <mergeCell ref="H3359:I3359"/>
    <mergeCell ref="J3359:K3359"/>
    <mergeCell ref="H3360:I3360"/>
    <mergeCell ref="J3360:K3360"/>
    <mergeCell ref="H3329:I3329"/>
    <mergeCell ref="J3329:K3329"/>
    <mergeCell ref="H3343:I3343"/>
    <mergeCell ref="J3343:K3343"/>
    <mergeCell ref="H3344:I3344"/>
    <mergeCell ref="J3344:K3344"/>
    <mergeCell ref="H3313:I3313"/>
    <mergeCell ref="J3313:K3313"/>
    <mergeCell ref="H3327:I3327"/>
    <mergeCell ref="J3327:K3327"/>
    <mergeCell ref="H3328:I3328"/>
    <mergeCell ref="J3328:K3328"/>
    <mergeCell ref="H3295:I3295"/>
    <mergeCell ref="J3295:K3295"/>
    <mergeCell ref="H3311:I3311"/>
    <mergeCell ref="J3311:K3311"/>
    <mergeCell ref="H3312:I3312"/>
    <mergeCell ref="J3312:K3312"/>
    <mergeCell ref="H3277:I3277"/>
    <mergeCell ref="J3277:K3277"/>
    <mergeCell ref="H3293:I3293"/>
    <mergeCell ref="J3293:K3293"/>
    <mergeCell ref="H3294:I3294"/>
    <mergeCell ref="J3294:K3294"/>
    <mergeCell ref="H3262:I3262"/>
    <mergeCell ref="J3262:K3262"/>
    <mergeCell ref="H3275:I3275"/>
    <mergeCell ref="J3275:K3275"/>
    <mergeCell ref="H3276:I3276"/>
    <mergeCell ref="J3276:K3276"/>
    <mergeCell ref="H3246:I3246"/>
    <mergeCell ref="J3246:K3246"/>
    <mergeCell ref="H3260:I3260"/>
    <mergeCell ref="J3260:K3260"/>
    <mergeCell ref="H3261:I3261"/>
    <mergeCell ref="J3261:K3261"/>
    <mergeCell ref="H3230:I3230"/>
    <mergeCell ref="J3230:K3230"/>
    <mergeCell ref="H3244:I3244"/>
    <mergeCell ref="J3244:K3244"/>
    <mergeCell ref="H3245:I3245"/>
    <mergeCell ref="J3245:K3245"/>
    <mergeCell ref="H3213:I3213"/>
    <mergeCell ref="J3213:K3213"/>
    <mergeCell ref="H3228:I3228"/>
    <mergeCell ref="J3228:K3228"/>
    <mergeCell ref="H3229:I3229"/>
    <mergeCell ref="J3229:K3229"/>
    <mergeCell ref="A3196:K3196"/>
    <mergeCell ref="A3198:K3198"/>
    <mergeCell ref="H3211:I3211"/>
    <mergeCell ref="J3211:K3211"/>
    <mergeCell ref="H3212:I3212"/>
    <mergeCell ref="J3212:K3212"/>
    <mergeCell ref="H3186:I3186"/>
    <mergeCell ref="J3186:K3186"/>
    <mergeCell ref="H3189:I3189"/>
    <mergeCell ref="J3189:K3189"/>
    <mergeCell ref="A3192:G3192"/>
    <mergeCell ref="H3192:I3192"/>
    <mergeCell ref="J3192:K3192"/>
    <mergeCell ref="H3175:I3175"/>
    <mergeCell ref="J3175:K3175"/>
    <mergeCell ref="H3184:I3184"/>
    <mergeCell ref="J3184:K3184"/>
    <mergeCell ref="H3185:I3185"/>
    <mergeCell ref="J3185:K3185"/>
    <mergeCell ref="H3170:I3170"/>
    <mergeCell ref="J3170:K3170"/>
    <mergeCell ref="H3171:I3171"/>
    <mergeCell ref="J3171:K3171"/>
    <mergeCell ref="H3172:I3172"/>
    <mergeCell ref="J3172:K3172"/>
    <mergeCell ref="H3157:I3157"/>
    <mergeCell ref="J3157:K3157"/>
    <mergeCell ref="H3158:I3158"/>
    <mergeCell ref="J3158:K3158"/>
    <mergeCell ref="H3159:I3159"/>
    <mergeCell ref="J3159:K3159"/>
    <mergeCell ref="H3143:I3143"/>
    <mergeCell ref="J3143:K3143"/>
    <mergeCell ref="H3144:I3144"/>
    <mergeCell ref="J3144:K3144"/>
    <mergeCell ref="H3145:I3145"/>
    <mergeCell ref="J3145:K3145"/>
    <mergeCell ref="H3127:I3127"/>
    <mergeCell ref="J3127:K3127"/>
    <mergeCell ref="A3130:G3130"/>
    <mergeCell ref="H3130:I3130"/>
    <mergeCell ref="J3130:K3130"/>
    <mergeCell ref="A3134:K3134"/>
    <mergeCell ref="H3122:I3122"/>
    <mergeCell ref="J3122:K3122"/>
    <mergeCell ref="H3123:I3123"/>
    <mergeCell ref="J3123:K3123"/>
    <mergeCell ref="H3124:I3124"/>
    <mergeCell ref="J3124:K3124"/>
    <mergeCell ref="H3106:I3106"/>
    <mergeCell ref="J3106:K3106"/>
    <mergeCell ref="A3109:G3109"/>
    <mergeCell ref="H3109:I3109"/>
    <mergeCell ref="J3109:K3109"/>
    <mergeCell ref="A3113:K3113"/>
    <mergeCell ref="H3095:I3095"/>
    <mergeCell ref="J3095:K3095"/>
    <mergeCell ref="H3098:I3098"/>
    <mergeCell ref="J3098:K3098"/>
    <mergeCell ref="H3102:I3102"/>
    <mergeCell ref="J3102:K3102"/>
    <mergeCell ref="A3080:K3080"/>
    <mergeCell ref="H3090:I3090"/>
    <mergeCell ref="J3090:K3090"/>
    <mergeCell ref="H3091:I3091"/>
    <mergeCell ref="J3091:K3091"/>
    <mergeCell ref="H3092:I3092"/>
    <mergeCell ref="J3092:K3092"/>
    <mergeCell ref="H3069:I3069"/>
    <mergeCell ref="J3069:K3069"/>
    <mergeCell ref="A3072:G3072"/>
    <mergeCell ref="H3072:I3072"/>
    <mergeCell ref="J3072:K3072"/>
    <mergeCell ref="A3076:G3076"/>
    <mergeCell ref="H3076:I3076"/>
    <mergeCell ref="J3076:K3076"/>
    <mergeCell ref="H3055:I3055"/>
    <mergeCell ref="J3055:K3055"/>
    <mergeCell ref="H3067:I3067"/>
    <mergeCell ref="J3067:K3067"/>
    <mergeCell ref="H3068:I3068"/>
    <mergeCell ref="J3068:K3068"/>
    <mergeCell ref="H3049:I3049"/>
    <mergeCell ref="J3049:K3049"/>
    <mergeCell ref="H3050:I3050"/>
    <mergeCell ref="J3050:K3050"/>
    <mergeCell ref="H3051:I3051"/>
    <mergeCell ref="J3051:K3051"/>
    <mergeCell ref="H3036:I3036"/>
    <mergeCell ref="J3036:K3036"/>
    <mergeCell ref="H3037:I3037"/>
    <mergeCell ref="J3037:K3037"/>
    <mergeCell ref="H3038:I3038"/>
    <mergeCell ref="J3038:K3038"/>
    <mergeCell ref="H3023:I3023"/>
    <mergeCell ref="J3023:K3023"/>
    <mergeCell ref="H3024:I3024"/>
    <mergeCell ref="J3024:K3024"/>
    <mergeCell ref="H3025:I3025"/>
    <mergeCell ref="J3025:K3025"/>
    <mergeCell ref="H3005:I3005"/>
    <mergeCell ref="J3005:K3005"/>
    <mergeCell ref="A3008:G3008"/>
    <mergeCell ref="H3008:I3008"/>
    <mergeCell ref="J3008:K3008"/>
    <mergeCell ref="A3012:K3012"/>
    <mergeCell ref="H2999:I2999"/>
    <mergeCell ref="J2999:K2999"/>
    <mergeCell ref="H3000:I3000"/>
    <mergeCell ref="J3000:K3000"/>
    <mergeCell ref="H3001:I3001"/>
    <mergeCell ref="J3001:K3001"/>
    <mergeCell ref="H2986:I2986"/>
    <mergeCell ref="J2986:K2986"/>
    <mergeCell ref="H2987:I2987"/>
    <mergeCell ref="J2987:K2987"/>
    <mergeCell ref="H2988:I2988"/>
    <mergeCell ref="J2988:K2988"/>
    <mergeCell ref="H2973:I2973"/>
    <mergeCell ref="J2973:K2973"/>
    <mergeCell ref="H2974:I2974"/>
    <mergeCell ref="J2974:K2974"/>
    <mergeCell ref="H2975:I2975"/>
    <mergeCell ref="J2975:K2975"/>
    <mergeCell ref="H2955:I2955"/>
    <mergeCell ref="J2955:K2955"/>
    <mergeCell ref="A2958:G2958"/>
    <mergeCell ref="H2958:I2958"/>
    <mergeCell ref="J2958:K2958"/>
    <mergeCell ref="A2962:K2962"/>
    <mergeCell ref="H2949:I2949"/>
    <mergeCell ref="J2949:K2949"/>
    <mergeCell ref="H2950:I2950"/>
    <mergeCell ref="J2950:K2950"/>
    <mergeCell ref="H2951:I2951"/>
    <mergeCell ref="J2951:K2951"/>
    <mergeCell ref="H2936:I2936"/>
    <mergeCell ref="J2936:K2936"/>
    <mergeCell ref="H2937:I2937"/>
    <mergeCell ref="J2937:K2937"/>
    <mergeCell ref="H2938:I2938"/>
    <mergeCell ref="J2938:K2938"/>
    <mergeCell ref="H2923:I2923"/>
    <mergeCell ref="J2923:K2923"/>
    <mergeCell ref="H2924:I2924"/>
    <mergeCell ref="J2924:K2924"/>
    <mergeCell ref="H2925:I2925"/>
    <mergeCell ref="J2925:K2925"/>
    <mergeCell ref="H2905:I2905"/>
    <mergeCell ref="J2905:K2905"/>
    <mergeCell ref="A2908:G2908"/>
    <mergeCell ref="H2908:I2908"/>
    <mergeCell ref="J2908:K2908"/>
    <mergeCell ref="A2912:K2912"/>
    <mergeCell ref="H2899:I2899"/>
    <mergeCell ref="J2899:K2899"/>
    <mergeCell ref="H2900:I2900"/>
    <mergeCell ref="J2900:K2900"/>
    <mergeCell ref="H2901:I2901"/>
    <mergeCell ref="J2901:K2901"/>
    <mergeCell ref="H2886:I2886"/>
    <mergeCell ref="J2886:K2886"/>
    <mergeCell ref="H2887:I2887"/>
    <mergeCell ref="J2887:K2887"/>
    <mergeCell ref="H2888:I2888"/>
    <mergeCell ref="J2888:K2888"/>
    <mergeCell ref="H2873:I2873"/>
    <mergeCell ref="J2873:K2873"/>
    <mergeCell ref="H2874:I2874"/>
    <mergeCell ref="J2874:K2874"/>
    <mergeCell ref="H2875:I2875"/>
    <mergeCell ref="J2875:K2875"/>
    <mergeCell ref="H2855:I2855"/>
    <mergeCell ref="J2855:K2855"/>
    <mergeCell ref="A2858:G2858"/>
    <mergeCell ref="H2858:I2858"/>
    <mergeCell ref="J2858:K2858"/>
    <mergeCell ref="A2862:K2862"/>
    <mergeCell ref="H2849:I2849"/>
    <mergeCell ref="J2849:K2849"/>
    <mergeCell ref="H2850:I2850"/>
    <mergeCell ref="J2850:K2850"/>
    <mergeCell ref="H2851:I2851"/>
    <mergeCell ref="J2851:K2851"/>
    <mergeCell ref="H2836:I2836"/>
    <mergeCell ref="J2836:K2836"/>
    <mergeCell ref="H2837:I2837"/>
    <mergeCell ref="J2837:K2837"/>
    <mergeCell ref="H2838:I2838"/>
    <mergeCell ref="J2838:K2838"/>
    <mergeCell ref="H2823:I2823"/>
    <mergeCell ref="J2823:K2823"/>
    <mergeCell ref="H2824:I2824"/>
    <mergeCell ref="J2824:K2824"/>
    <mergeCell ref="H2825:I2825"/>
    <mergeCell ref="J2825:K2825"/>
    <mergeCell ref="H2805:I2805"/>
    <mergeCell ref="J2805:K2805"/>
    <mergeCell ref="A2808:G2808"/>
    <mergeCell ref="H2808:I2808"/>
    <mergeCell ref="J2808:K2808"/>
    <mergeCell ref="A2812:K2812"/>
    <mergeCell ref="H2799:I2799"/>
    <mergeCell ref="J2799:K2799"/>
    <mergeCell ref="H2800:I2800"/>
    <mergeCell ref="J2800:K2800"/>
    <mergeCell ref="H2801:I2801"/>
    <mergeCell ref="J2801:K2801"/>
    <mergeCell ref="H2786:I2786"/>
    <mergeCell ref="J2786:K2786"/>
    <mergeCell ref="H2787:I2787"/>
    <mergeCell ref="J2787:K2787"/>
    <mergeCell ref="H2788:I2788"/>
    <mergeCell ref="J2788:K2788"/>
    <mergeCell ref="H2773:I2773"/>
    <mergeCell ref="J2773:K2773"/>
    <mergeCell ref="H2774:I2774"/>
    <mergeCell ref="J2774:K2774"/>
    <mergeCell ref="H2775:I2775"/>
    <mergeCell ref="J2775:K2775"/>
    <mergeCell ref="H2755:I2755"/>
    <mergeCell ref="J2755:K2755"/>
    <mergeCell ref="A2758:G2758"/>
    <mergeCell ref="H2758:I2758"/>
    <mergeCell ref="J2758:K2758"/>
    <mergeCell ref="A2762:K2762"/>
    <mergeCell ref="H2749:I2749"/>
    <mergeCell ref="J2749:K2749"/>
    <mergeCell ref="H2750:I2750"/>
    <mergeCell ref="J2750:K2750"/>
    <mergeCell ref="H2751:I2751"/>
    <mergeCell ref="J2751:K2751"/>
    <mergeCell ref="H2736:I2736"/>
    <mergeCell ref="J2736:K2736"/>
    <mergeCell ref="H2737:I2737"/>
    <mergeCell ref="J2737:K2737"/>
    <mergeCell ref="H2738:I2738"/>
    <mergeCell ref="J2738:K2738"/>
    <mergeCell ref="H2723:I2723"/>
    <mergeCell ref="J2723:K2723"/>
    <mergeCell ref="H2724:I2724"/>
    <mergeCell ref="J2724:K2724"/>
    <mergeCell ref="H2725:I2725"/>
    <mergeCell ref="J2725:K2725"/>
    <mergeCell ref="H2705:I2705"/>
    <mergeCell ref="J2705:K2705"/>
    <mergeCell ref="A2708:G2708"/>
    <mergeCell ref="H2708:I2708"/>
    <mergeCell ref="J2708:K2708"/>
    <mergeCell ref="A2712:K2712"/>
    <mergeCell ref="H2699:I2699"/>
    <mergeCell ref="J2699:K2699"/>
    <mergeCell ref="H2700:I2700"/>
    <mergeCell ref="J2700:K2700"/>
    <mergeCell ref="H2701:I2701"/>
    <mergeCell ref="J2701:K2701"/>
    <mergeCell ref="H2686:I2686"/>
    <mergeCell ref="J2686:K2686"/>
    <mergeCell ref="H2687:I2687"/>
    <mergeCell ref="J2687:K2687"/>
    <mergeCell ref="H2688:I2688"/>
    <mergeCell ref="J2688:K2688"/>
    <mergeCell ref="H2673:I2673"/>
    <mergeCell ref="J2673:K2673"/>
    <mergeCell ref="H2674:I2674"/>
    <mergeCell ref="J2674:K2674"/>
    <mergeCell ref="H2675:I2675"/>
    <mergeCell ref="J2675:K2675"/>
    <mergeCell ref="H2655:I2655"/>
    <mergeCell ref="J2655:K2655"/>
    <mergeCell ref="A2658:G2658"/>
    <mergeCell ref="H2658:I2658"/>
    <mergeCell ref="J2658:K2658"/>
    <mergeCell ref="A2662:K2662"/>
    <mergeCell ref="H2649:I2649"/>
    <mergeCell ref="J2649:K2649"/>
    <mergeCell ref="H2650:I2650"/>
    <mergeCell ref="J2650:K2650"/>
    <mergeCell ref="H2651:I2651"/>
    <mergeCell ref="J2651:K2651"/>
    <mergeCell ref="H2636:I2636"/>
    <mergeCell ref="J2636:K2636"/>
    <mergeCell ref="H2637:I2637"/>
    <mergeCell ref="J2637:K2637"/>
    <mergeCell ref="H2638:I2638"/>
    <mergeCell ref="J2638:K2638"/>
    <mergeCell ref="H2623:I2623"/>
    <mergeCell ref="J2623:K2623"/>
    <mergeCell ref="H2624:I2624"/>
    <mergeCell ref="J2624:K2624"/>
    <mergeCell ref="H2625:I2625"/>
    <mergeCell ref="J2625:K2625"/>
    <mergeCell ref="H2605:I2605"/>
    <mergeCell ref="J2605:K2605"/>
    <mergeCell ref="A2608:G2608"/>
    <mergeCell ref="H2608:I2608"/>
    <mergeCell ref="J2608:K2608"/>
    <mergeCell ref="A2612:K2612"/>
    <mergeCell ref="H2599:I2599"/>
    <mergeCell ref="J2599:K2599"/>
    <mergeCell ref="H2600:I2600"/>
    <mergeCell ref="J2600:K2600"/>
    <mergeCell ref="H2601:I2601"/>
    <mergeCell ref="J2601:K2601"/>
    <mergeCell ref="H2586:I2586"/>
    <mergeCell ref="J2586:K2586"/>
    <mergeCell ref="H2587:I2587"/>
    <mergeCell ref="J2587:K2587"/>
    <mergeCell ref="H2588:I2588"/>
    <mergeCell ref="J2588:K2588"/>
    <mergeCell ref="H2573:I2573"/>
    <mergeCell ref="J2573:K2573"/>
    <mergeCell ref="H2574:I2574"/>
    <mergeCell ref="J2574:K2574"/>
    <mergeCell ref="H2575:I2575"/>
    <mergeCell ref="J2575:K2575"/>
    <mergeCell ref="H2555:I2555"/>
    <mergeCell ref="J2555:K2555"/>
    <mergeCell ref="A2558:G2558"/>
    <mergeCell ref="H2558:I2558"/>
    <mergeCell ref="J2558:K2558"/>
    <mergeCell ref="A2562:K2562"/>
    <mergeCell ref="H2549:I2549"/>
    <mergeCell ref="J2549:K2549"/>
    <mergeCell ref="H2550:I2550"/>
    <mergeCell ref="J2550:K2550"/>
    <mergeCell ref="H2551:I2551"/>
    <mergeCell ref="J2551:K2551"/>
    <mergeCell ref="H2536:I2536"/>
    <mergeCell ref="J2536:K2536"/>
    <mergeCell ref="H2537:I2537"/>
    <mergeCell ref="J2537:K2537"/>
    <mergeCell ref="H2538:I2538"/>
    <mergeCell ref="J2538:K2538"/>
    <mergeCell ref="H2523:I2523"/>
    <mergeCell ref="J2523:K2523"/>
    <mergeCell ref="H2524:I2524"/>
    <mergeCell ref="J2524:K2524"/>
    <mergeCell ref="H2525:I2525"/>
    <mergeCell ref="J2525:K2525"/>
    <mergeCell ref="H2505:I2505"/>
    <mergeCell ref="J2505:K2505"/>
    <mergeCell ref="A2508:G2508"/>
    <mergeCell ref="H2508:I2508"/>
    <mergeCell ref="J2508:K2508"/>
    <mergeCell ref="A2512:K2512"/>
    <mergeCell ref="H2499:I2499"/>
    <mergeCell ref="J2499:K2499"/>
    <mergeCell ref="H2500:I2500"/>
    <mergeCell ref="J2500:K2500"/>
    <mergeCell ref="H2501:I2501"/>
    <mergeCell ref="J2501:K2501"/>
    <mergeCell ref="H2485:I2485"/>
    <mergeCell ref="J2485:K2485"/>
    <mergeCell ref="H2486:I2486"/>
    <mergeCell ref="J2486:K2486"/>
    <mergeCell ref="H2487:I2487"/>
    <mergeCell ref="J2487:K2487"/>
    <mergeCell ref="A2458:K2458"/>
    <mergeCell ref="H2472:I2472"/>
    <mergeCell ref="J2472:K2472"/>
    <mergeCell ref="H2473:I2473"/>
    <mergeCell ref="J2473:K2473"/>
    <mergeCell ref="H2474:I2474"/>
    <mergeCell ref="J2474:K2474"/>
    <mergeCell ref="H2450:I2450"/>
    <mergeCell ref="J2450:K2450"/>
    <mergeCell ref="H2451:I2451"/>
    <mergeCell ref="J2451:K2451"/>
    <mergeCell ref="A2454:G2454"/>
    <mergeCell ref="H2454:I2454"/>
    <mergeCell ref="J2454:K2454"/>
    <mergeCell ref="A2433:G2433"/>
    <mergeCell ref="H2433:I2433"/>
    <mergeCell ref="J2433:K2433"/>
    <mergeCell ref="A2437:K2437"/>
    <mergeCell ref="A2439:K2439"/>
    <mergeCell ref="H2449:I2449"/>
    <mergeCell ref="J2449:K2449"/>
    <mergeCell ref="H2422:I2422"/>
    <mergeCell ref="J2422:K2422"/>
    <mergeCell ref="H2426:I2426"/>
    <mergeCell ref="J2426:K2426"/>
    <mergeCell ref="A2429:G2429"/>
    <mergeCell ref="H2429:I2429"/>
    <mergeCell ref="J2429:K2429"/>
    <mergeCell ref="H2406:I2406"/>
    <mergeCell ref="J2406:K2406"/>
    <mergeCell ref="H2420:I2420"/>
    <mergeCell ref="J2420:K2420"/>
    <mergeCell ref="H2421:I2421"/>
    <mergeCell ref="J2421:K2421"/>
    <mergeCell ref="H2395:I2395"/>
    <mergeCell ref="J2395:K2395"/>
    <mergeCell ref="H2398:I2398"/>
    <mergeCell ref="J2398:K2398"/>
    <mergeCell ref="H2402:I2402"/>
    <mergeCell ref="J2402:K2402"/>
    <mergeCell ref="H2389:I2389"/>
    <mergeCell ref="J2389:K2389"/>
    <mergeCell ref="H2390:I2390"/>
    <mergeCell ref="J2390:K2390"/>
    <mergeCell ref="H2391:I2391"/>
    <mergeCell ref="J2391:K2391"/>
    <mergeCell ref="H2369:I2369"/>
    <mergeCell ref="J2369:K2369"/>
    <mergeCell ref="A2372:G2372"/>
    <mergeCell ref="H2372:I2372"/>
    <mergeCell ref="J2372:K2372"/>
    <mergeCell ref="A2376:K2376"/>
    <mergeCell ref="H2363:I2363"/>
    <mergeCell ref="J2363:K2363"/>
    <mergeCell ref="H2364:I2364"/>
    <mergeCell ref="J2364:K2364"/>
    <mergeCell ref="H2365:I2365"/>
    <mergeCell ref="J2365:K2365"/>
    <mergeCell ref="H2344:I2344"/>
    <mergeCell ref="J2344:K2344"/>
    <mergeCell ref="H2348:I2348"/>
    <mergeCell ref="J2348:K2348"/>
    <mergeCell ref="H2352:I2352"/>
    <mergeCell ref="J2352:K2352"/>
    <mergeCell ref="H2339:I2339"/>
    <mergeCell ref="J2339:K2339"/>
    <mergeCell ref="H2340:I2340"/>
    <mergeCell ref="J2340:K2340"/>
    <mergeCell ref="H2341:I2341"/>
    <mergeCell ref="J2341:K2341"/>
    <mergeCell ref="H2326:I2326"/>
    <mergeCell ref="J2326:K2326"/>
    <mergeCell ref="H2327:I2327"/>
    <mergeCell ref="J2327:K2327"/>
    <mergeCell ref="H2328:I2328"/>
    <mergeCell ref="J2328:K2328"/>
    <mergeCell ref="H2309:I2309"/>
    <mergeCell ref="J2309:K2309"/>
    <mergeCell ref="A2312:G2312"/>
    <mergeCell ref="H2312:I2312"/>
    <mergeCell ref="J2312:K2312"/>
    <mergeCell ref="A2316:K2316"/>
    <mergeCell ref="H2295:I2295"/>
    <mergeCell ref="J2295:K2295"/>
    <mergeCell ref="H2307:I2307"/>
    <mergeCell ref="J2307:K2307"/>
    <mergeCell ref="H2308:I2308"/>
    <mergeCell ref="J2308:K2308"/>
    <mergeCell ref="H2283:I2283"/>
    <mergeCell ref="J2283:K2283"/>
    <mergeCell ref="H2287:I2287"/>
    <mergeCell ref="J2287:K2287"/>
    <mergeCell ref="H2291:I2291"/>
    <mergeCell ref="J2291:K2291"/>
    <mergeCell ref="H2271:I2271"/>
    <mergeCell ref="J2271:K2271"/>
    <mergeCell ref="H2275:I2275"/>
    <mergeCell ref="J2275:K2275"/>
    <mergeCell ref="H2279:I2279"/>
    <mergeCell ref="J2279:K2279"/>
    <mergeCell ref="H2259:I2259"/>
    <mergeCell ref="J2259:K2259"/>
    <mergeCell ref="H2263:I2263"/>
    <mergeCell ref="J2263:K2263"/>
    <mergeCell ref="H2267:I2267"/>
    <mergeCell ref="J2267:K2267"/>
    <mergeCell ref="H2247:I2247"/>
    <mergeCell ref="J2247:K2247"/>
    <mergeCell ref="H2251:I2251"/>
    <mergeCell ref="J2251:K2251"/>
    <mergeCell ref="H2255:I2255"/>
    <mergeCell ref="J2255:K2255"/>
    <mergeCell ref="H2235:I2235"/>
    <mergeCell ref="J2235:K2235"/>
    <mergeCell ref="H2239:I2239"/>
    <mergeCell ref="J2239:K2239"/>
    <mergeCell ref="H2243:I2243"/>
    <mergeCell ref="J2243:K2243"/>
    <mergeCell ref="H2223:I2223"/>
    <mergeCell ref="J2223:K2223"/>
    <mergeCell ref="H2227:I2227"/>
    <mergeCell ref="J2227:K2227"/>
    <mergeCell ref="H2231:I2231"/>
    <mergeCell ref="J2231:K2231"/>
    <mergeCell ref="H2217:I2217"/>
    <mergeCell ref="J2217:K2217"/>
    <mergeCell ref="H2218:I2218"/>
    <mergeCell ref="J2218:K2218"/>
    <mergeCell ref="H2219:I2219"/>
    <mergeCell ref="J2219:K2219"/>
    <mergeCell ref="H2196:I2196"/>
    <mergeCell ref="J2196:K2196"/>
    <mergeCell ref="H2200:I2200"/>
    <mergeCell ref="J2200:K2200"/>
    <mergeCell ref="H2203:I2203"/>
    <mergeCell ref="J2203:K2203"/>
    <mergeCell ref="H2184:I2184"/>
    <mergeCell ref="J2184:K2184"/>
    <mergeCell ref="H2188:I2188"/>
    <mergeCell ref="J2188:K2188"/>
    <mergeCell ref="H2192:I2192"/>
    <mergeCell ref="J2192:K2192"/>
    <mergeCell ref="H2172:I2172"/>
    <mergeCell ref="J2172:K2172"/>
    <mergeCell ref="H2176:I2176"/>
    <mergeCell ref="J2176:K2176"/>
    <mergeCell ref="H2180:I2180"/>
    <mergeCell ref="J2180:K2180"/>
    <mergeCell ref="H2160:I2160"/>
    <mergeCell ref="J2160:K2160"/>
    <mergeCell ref="H2164:I2164"/>
    <mergeCell ref="J2164:K2164"/>
    <mergeCell ref="H2168:I2168"/>
    <mergeCell ref="J2168:K2168"/>
    <mergeCell ref="H2154:I2154"/>
    <mergeCell ref="J2154:K2154"/>
    <mergeCell ref="H2155:I2155"/>
    <mergeCell ref="J2155:K2155"/>
    <mergeCell ref="H2156:I2156"/>
    <mergeCell ref="J2156:K2156"/>
    <mergeCell ref="H2134:I2134"/>
    <mergeCell ref="J2134:K2134"/>
    <mergeCell ref="A2137:G2137"/>
    <mergeCell ref="H2137:I2137"/>
    <mergeCell ref="J2137:K2137"/>
    <mergeCell ref="A2141:K2141"/>
    <mergeCell ref="H2121:I2121"/>
    <mergeCell ref="J2121:K2121"/>
    <mergeCell ref="H2132:I2132"/>
    <mergeCell ref="J2132:K2132"/>
    <mergeCell ref="H2133:I2133"/>
    <mergeCell ref="J2133:K2133"/>
    <mergeCell ref="A2110:K2110"/>
    <mergeCell ref="A2112:K2112"/>
    <mergeCell ref="H2119:I2119"/>
    <mergeCell ref="J2119:K2119"/>
    <mergeCell ref="H2120:I2120"/>
    <mergeCell ref="J2120:K2120"/>
    <mergeCell ref="A2102:G2102"/>
    <mergeCell ref="H2102:I2102"/>
    <mergeCell ref="J2102:K2102"/>
    <mergeCell ref="A2106:G2106"/>
    <mergeCell ref="H2106:I2106"/>
    <mergeCell ref="J2106:K2106"/>
    <mergeCell ref="H2095:I2095"/>
    <mergeCell ref="J2095:K2095"/>
    <mergeCell ref="H2096:I2096"/>
    <mergeCell ref="J2096:K2096"/>
    <mergeCell ref="H2099:I2099"/>
    <mergeCell ref="J2099:K2099"/>
    <mergeCell ref="H2082:I2082"/>
    <mergeCell ref="J2082:K2082"/>
    <mergeCell ref="H2083:I2083"/>
    <mergeCell ref="J2083:K2083"/>
    <mergeCell ref="H2094:I2094"/>
    <mergeCell ref="J2094:K2094"/>
    <mergeCell ref="A2068:G2068"/>
    <mergeCell ref="H2068:I2068"/>
    <mergeCell ref="J2068:K2068"/>
    <mergeCell ref="A2072:K2072"/>
    <mergeCell ref="H2081:I2081"/>
    <mergeCell ref="J2081:K2081"/>
    <mergeCell ref="H2061:I2061"/>
    <mergeCell ref="J2061:K2061"/>
    <mergeCell ref="H2062:I2062"/>
    <mergeCell ref="J2062:K2062"/>
    <mergeCell ref="H2065:I2065"/>
    <mergeCell ref="J2065:K2065"/>
    <mergeCell ref="H2048:I2048"/>
    <mergeCell ref="J2048:K2048"/>
    <mergeCell ref="H2049:I2049"/>
    <mergeCell ref="J2049:K2049"/>
    <mergeCell ref="H2060:I2060"/>
    <mergeCell ref="J2060:K2060"/>
    <mergeCell ref="H2034:I2034"/>
    <mergeCell ref="J2034:K2034"/>
    <mergeCell ref="H2035:I2035"/>
    <mergeCell ref="J2035:K2035"/>
    <mergeCell ref="H2047:I2047"/>
    <mergeCell ref="J2047:K2047"/>
    <mergeCell ref="A2017:G2017"/>
    <mergeCell ref="H2017:I2017"/>
    <mergeCell ref="J2017:K2017"/>
    <mergeCell ref="A2021:K2021"/>
    <mergeCell ref="H2033:I2033"/>
    <mergeCell ref="J2033:K2033"/>
    <mergeCell ref="A1998:K1998"/>
    <mergeCell ref="H2012:I2012"/>
    <mergeCell ref="J2012:K2012"/>
    <mergeCell ref="H2013:I2013"/>
    <mergeCell ref="J2013:K2013"/>
    <mergeCell ref="H2014:I2014"/>
    <mergeCell ref="J2014:K2014"/>
    <mergeCell ref="H1990:I1990"/>
    <mergeCell ref="J1990:K1990"/>
    <mergeCell ref="H1991:I1991"/>
    <mergeCell ref="J1991:K1991"/>
    <mergeCell ref="A1994:G1994"/>
    <mergeCell ref="H1994:I1994"/>
    <mergeCell ref="J1994:K1994"/>
    <mergeCell ref="A1975:G1975"/>
    <mergeCell ref="H1975:I1975"/>
    <mergeCell ref="J1975:K1975"/>
    <mergeCell ref="A1979:K1979"/>
    <mergeCell ref="H1989:I1989"/>
    <mergeCell ref="J1989:K1989"/>
    <mergeCell ref="A1957:K1957"/>
    <mergeCell ref="H1970:I1970"/>
    <mergeCell ref="J1970:K1970"/>
    <mergeCell ref="H1971:I1971"/>
    <mergeCell ref="J1971:K1971"/>
    <mergeCell ref="H1972:I1972"/>
    <mergeCell ref="J1972:K1972"/>
    <mergeCell ref="H1949:I1949"/>
    <mergeCell ref="J1949:K1949"/>
    <mergeCell ref="H1950:I1950"/>
    <mergeCell ref="J1950:K1950"/>
    <mergeCell ref="A1953:G1953"/>
    <mergeCell ref="H1953:I1953"/>
    <mergeCell ref="J1953:K1953"/>
    <mergeCell ref="H1939:I1939"/>
    <mergeCell ref="J1939:K1939"/>
    <mergeCell ref="H1940:I1940"/>
    <mergeCell ref="J1940:K1940"/>
    <mergeCell ref="H1948:I1948"/>
    <mergeCell ref="J1948:K1948"/>
    <mergeCell ref="A1923:G1923"/>
    <mergeCell ref="H1923:I1923"/>
    <mergeCell ref="J1923:K1923"/>
    <mergeCell ref="A1927:K1927"/>
    <mergeCell ref="A1929:K1929"/>
    <mergeCell ref="H1938:I1938"/>
    <mergeCell ref="J1938:K1938"/>
    <mergeCell ref="H1915:I1915"/>
    <mergeCell ref="J1915:K1915"/>
    <mergeCell ref="H1916:I1916"/>
    <mergeCell ref="J1916:K1916"/>
    <mergeCell ref="A1919:G1919"/>
    <mergeCell ref="H1919:I1919"/>
    <mergeCell ref="J1919:K1919"/>
    <mergeCell ref="H1901:I1901"/>
    <mergeCell ref="J1901:K1901"/>
    <mergeCell ref="H1902:I1902"/>
    <mergeCell ref="J1902:K1902"/>
    <mergeCell ref="H1914:I1914"/>
    <mergeCell ref="J1914:K1914"/>
    <mergeCell ref="H1887:I1887"/>
    <mergeCell ref="J1887:K1887"/>
    <mergeCell ref="H1890:I1890"/>
    <mergeCell ref="J1890:K1890"/>
    <mergeCell ref="H1900:I1900"/>
    <mergeCell ref="J1900:K1900"/>
    <mergeCell ref="A1872:K1872"/>
    <mergeCell ref="H1882:I1882"/>
    <mergeCell ref="J1882:K1882"/>
    <mergeCell ref="H1883:I1883"/>
    <mergeCell ref="J1883:K1883"/>
    <mergeCell ref="H1884:I1884"/>
    <mergeCell ref="J1884:K1884"/>
    <mergeCell ref="H1864:I1864"/>
    <mergeCell ref="J1864:K1864"/>
    <mergeCell ref="H1865:I1865"/>
    <mergeCell ref="J1865:K1865"/>
    <mergeCell ref="A1868:G1868"/>
    <mergeCell ref="H1868:I1868"/>
    <mergeCell ref="J1868:K1868"/>
    <mergeCell ref="H1850:I1850"/>
    <mergeCell ref="J1850:K1850"/>
    <mergeCell ref="H1851:I1851"/>
    <mergeCell ref="J1851:K1851"/>
    <mergeCell ref="H1863:I1863"/>
    <mergeCell ref="J1863:K1863"/>
    <mergeCell ref="H1835:I1835"/>
    <mergeCell ref="J1835:K1835"/>
    <mergeCell ref="H1839:I1839"/>
    <mergeCell ref="J1839:K1839"/>
    <mergeCell ref="H1849:I1849"/>
    <mergeCell ref="J1849:K1849"/>
    <mergeCell ref="H1824:I1824"/>
    <mergeCell ref="J1824:K1824"/>
    <mergeCell ref="H1827:I1827"/>
    <mergeCell ref="J1827:K1827"/>
    <mergeCell ref="H1831:I1831"/>
    <mergeCell ref="J1831:K1831"/>
    <mergeCell ref="H1808:I1808"/>
    <mergeCell ref="J1808:K1808"/>
    <mergeCell ref="H1822:I1822"/>
    <mergeCell ref="J1822:K1822"/>
    <mergeCell ref="H1823:I1823"/>
    <mergeCell ref="J1823:K1823"/>
    <mergeCell ref="H1799:I1799"/>
    <mergeCell ref="J1799:K1799"/>
    <mergeCell ref="H1802:I1802"/>
    <mergeCell ref="J1802:K1802"/>
    <mergeCell ref="H1805:I1805"/>
    <mergeCell ref="J1805:K1805"/>
    <mergeCell ref="H1790:I1790"/>
    <mergeCell ref="J1790:K1790"/>
    <mergeCell ref="H1793:I1793"/>
    <mergeCell ref="J1793:K1793"/>
    <mergeCell ref="H1796:I1796"/>
    <mergeCell ref="J1796:K1796"/>
    <mergeCell ref="A1772:K1772"/>
    <mergeCell ref="H1785:I1785"/>
    <mergeCell ref="J1785:K1785"/>
    <mergeCell ref="H1786:I1786"/>
    <mergeCell ref="J1786:K1786"/>
    <mergeCell ref="H1787:I1787"/>
    <mergeCell ref="J1787:K1787"/>
    <mergeCell ref="H1764:I1764"/>
    <mergeCell ref="J1764:K1764"/>
    <mergeCell ref="H1765:I1765"/>
    <mergeCell ref="J1765:K1765"/>
    <mergeCell ref="A1768:G1768"/>
    <mergeCell ref="H1768:I1768"/>
    <mergeCell ref="J1768:K1768"/>
    <mergeCell ref="A1747:G1747"/>
    <mergeCell ref="H1747:I1747"/>
    <mergeCell ref="J1747:K1747"/>
    <mergeCell ref="A1751:K1751"/>
    <mergeCell ref="A1753:K1753"/>
    <mergeCell ref="H1763:I1763"/>
    <mergeCell ref="J1763:K1763"/>
    <mergeCell ref="H1737:I1737"/>
    <mergeCell ref="J1737:K1737"/>
    <mergeCell ref="H1740:I1740"/>
    <mergeCell ref="J1740:K1740"/>
    <mergeCell ref="A1743:G1743"/>
    <mergeCell ref="H1743:I1743"/>
    <mergeCell ref="J1743:K1743"/>
    <mergeCell ref="H1728:I1728"/>
    <mergeCell ref="J1728:K1728"/>
    <mergeCell ref="H1731:I1731"/>
    <mergeCell ref="J1731:K1731"/>
    <mergeCell ref="H1734:I1734"/>
    <mergeCell ref="J1734:K1734"/>
    <mergeCell ref="H1715:I1715"/>
    <mergeCell ref="J1715:K1715"/>
    <mergeCell ref="H1726:I1726"/>
    <mergeCell ref="J1726:K1726"/>
    <mergeCell ref="H1727:I1727"/>
    <mergeCell ref="J1727:K1727"/>
    <mergeCell ref="H1706:I1706"/>
    <mergeCell ref="J1706:K1706"/>
    <mergeCell ref="H1709:I1709"/>
    <mergeCell ref="J1709:K1709"/>
    <mergeCell ref="H1712:I1712"/>
    <mergeCell ref="J1712:K1712"/>
    <mergeCell ref="H1697:I1697"/>
    <mergeCell ref="J1697:K1697"/>
    <mergeCell ref="H1700:I1700"/>
    <mergeCell ref="J1700:K1700"/>
    <mergeCell ref="H1703:I1703"/>
    <mergeCell ref="J1703:K1703"/>
    <mergeCell ref="H1688:I1688"/>
    <mergeCell ref="J1688:K1688"/>
    <mergeCell ref="H1691:I1691"/>
    <mergeCell ref="J1691:K1691"/>
    <mergeCell ref="H1694:I1694"/>
    <mergeCell ref="J1694:K1694"/>
    <mergeCell ref="H1679:I1679"/>
    <mergeCell ref="J1679:K1679"/>
    <mergeCell ref="H1682:I1682"/>
    <mergeCell ref="J1682:K1682"/>
    <mergeCell ref="H1685:I1685"/>
    <mergeCell ref="J1685:K1685"/>
    <mergeCell ref="H1672:I1672"/>
    <mergeCell ref="J1672:K1672"/>
    <mergeCell ref="H1673:I1673"/>
    <mergeCell ref="J1673:K1673"/>
    <mergeCell ref="H1676:I1676"/>
    <mergeCell ref="J1676:K1676"/>
    <mergeCell ref="H1658:I1658"/>
    <mergeCell ref="J1658:K1658"/>
    <mergeCell ref="H1659:I1659"/>
    <mergeCell ref="J1659:K1659"/>
    <mergeCell ref="H1671:I1671"/>
    <mergeCell ref="J1671:K1671"/>
    <mergeCell ref="H1644:I1644"/>
    <mergeCell ref="J1644:K1644"/>
    <mergeCell ref="H1645:I1645"/>
    <mergeCell ref="J1645:K1645"/>
    <mergeCell ref="H1657:I1657"/>
    <mergeCell ref="J1657:K1657"/>
    <mergeCell ref="H1627:I1627"/>
    <mergeCell ref="J1627:K1627"/>
    <mergeCell ref="H1628:I1628"/>
    <mergeCell ref="J1628:K1628"/>
    <mergeCell ref="H1643:I1643"/>
    <mergeCell ref="J1643:K1643"/>
    <mergeCell ref="A1610:G1610"/>
    <mergeCell ref="H1610:I1610"/>
    <mergeCell ref="J1610:K1610"/>
    <mergeCell ref="A1614:K1614"/>
    <mergeCell ref="H1626:I1626"/>
    <mergeCell ref="J1626:K1626"/>
    <mergeCell ref="H1605:I1605"/>
    <mergeCell ref="J1605:K1605"/>
    <mergeCell ref="H1606:I1606"/>
    <mergeCell ref="J1606:K1606"/>
    <mergeCell ref="H1607:I1607"/>
    <mergeCell ref="J1607:K1607"/>
    <mergeCell ref="H1591:I1591"/>
    <mergeCell ref="J1591:K1591"/>
    <mergeCell ref="H1592:I1592"/>
    <mergeCell ref="J1592:K1592"/>
    <mergeCell ref="H1593:I1593"/>
    <mergeCell ref="J1593:K1593"/>
    <mergeCell ref="H1572:I1572"/>
    <mergeCell ref="J1572:K1572"/>
    <mergeCell ref="H1575:I1575"/>
    <mergeCell ref="J1575:K1575"/>
    <mergeCell ref="H1578:I1578"/>
    <mergeCell ref="J1578:K1578"/>
    <mergeCell ref="H1563:I1563"/>
    <mergeCell ref="J1563:K1563"/>
    <mergeCell ref="H1566:I1566"/>
    <mergeCell ref="J1566:K1566"/>
    <mergeCell ref="H1569:I1569"/>
    <mergeCell ref="J1569:K1569"/>
    <mergeCell ref="H1554:I1554"/>
    <mergeCell ref="J1554:K1554"/>
    <mergeCell ref="H1557:I1557"/>
    <mergeCell ref="J1557:K1557"/>
    <mergeCell ref="H1560:I1560"/>
    <mergeCell ref="J1560:K1560"/>
    <mergeCell ref="H1545:I1545"/>
    <mergeCell ref="J1545:K1545"/>
    <mergeCell ref="H1548:I1548"/>
    <mergeCell ref="J1548:K1548"/>
    <mergeCell ref="H1551:I1551"/>
    <mergeCell ref="J1551:K1551"/>
    <mergeCell ref="H1535:I1535"/>
    <mergeCell ref="J1535:K1535"/>
    <mergeCell ref="H1539:I1539"/>
    <mergeCell ref="J1539:K1539"/>
    <mergeCell ref="H1542:I1542"/>
    <mergeCell ref="J1542:K1542"/>
    <mergeCell ref="H1525:I1525"/>
    <mergeCell ref="J1525:K1525"/>
    <mergeCell ref="H1529:I1529"/>
    <mergeCell ref="J1529:K1529"/>
    <mergeCell ref="H1532:I1532"/>
    <mergeCell ref="J1532:K1532"/>
    <mergeCell ref="H1513:I1513"/>
    <mergeCell ref="J1513:K1513"/>
    <mergeCell ref="H1517:I1517"/>
    <mergeCell ref="J1517:K1517"/>
    <mergeCell ref="H1521:I1521"/>
    <mergeCell ref="J1521:K1521"/>
    <mergeCell ref="H1503:I1503"/>
    <mergeCell ref="J1503:K1503"/>
    <mergeCell ref="H1506:I1506"/>
    <mergeCell ref="J1506:K1506"/>
    <mergeCell ref="H1510:I1510"/>
    <mergeCell ref="J1510:K1510"/>
    <mergeCell ref="H1494:I1494"/>
    <mergeCell ref="J1494:K1494"/>
    <mergeCell ref="H1497:I1497"/>
    <mergeCell ref="J1497:K1497"/>
    <mergeCell ref="H1500:I1500"/>
    <mergeCell ref="J1500:K1500"/>
    <mergeCell ref="H1485:I1485"/>
    <mergeCell ref="J1485:K1485"/>
    <mergeCell ref="H1488:I1488"/>
    <mergeCell ref="J1488:K1488"/>
    <mergeCell ref="H1491:I1491"/>
    <mergeCell ref="J1491:K1491"/>
    <mergeCell ref="H1475:I1475"/>
    <mergeCell ref="J1475:K1475"/>
    <mergeCell ref="H1479:I1479"/>
    <mergeCell ref="J1479:K1479"/>
    <mergeCell ref="H1482:I1482"/>
    <mergeCell ref="J1482:K1482"/>
    <mergeCell ref="H1466:I1466"/>
    <mergeCell ref="J1466:K1466"/>
    <mergeCell ref="H1469:I1469"/>
    <mergeCell ref="J1469:K1469"/>
    <mergeCell ref="H1472:I1472"/>
    <mergeCell ref="J1472:K1472"/>
    <mergeCell ref="H1456:I1456"/>
    <mergeCell ref="J1456:K1456"/>
    <mergeCell ref="H1459:I1459"/>
    <mergeCell ref="J1459:K1459"/>
    <mergeCell ref="H1462:I1462"/>
    <mergeCell ref="J1462:K1462"/>
    <mergeCell ref="H1447:I1447"/>
    <mergeCell ref="J1447:K1447"/>
    <mergeCell ref="H1450:I1450"/>
    <mergeCell ref="J1450:K1450"/>
    <mergeCell ref="H1453:I1453"/>
    <mergeCell ref="J1453:K1453"/>
    <mergeCell ref="H1437:I1437"/>
    <mergeCell ref="J1437:K1437"/>
    <mergeCell ref="H1441:I1441"/>
    <mergeCell ref="J1441:K1441"/>
    <mergeCell ref="H1444:I1444"/>
    <mergeCell ref="J1444:K1444"/>
    <mergeCell ref="H1428:I1428"/>
    <mergeCell ref="J1428:K1428"/>
    <mergeCell ref="H1431:I1431"/>
    <mergeCell ref="J1431:K1431"/>
    <mergeCell ref="H1434:I1434"/>
    <mergeCell ref="J1434:K1434"/>
    <mergeCell ref="H1413:I1413"/>
    <mergeCell ref="J1413:K1413"/>
    <mergeCell ref="H1426:I1426"/>
    <mergeCell ref="J1426:K1426"/>
    <mergeCell ref="H1427:I1427"/>
    <mergeCell ref="J1427:K1427"/>
    <mergeCell ref="H1404:I1404"/>
    <mergeCell ref="J1404:K1404"/>
    <mergeCell ref="H1407:I1407"/>
    <mergeCell ref="J1407:K1407"/>
    <mergeCell ref="H1410:I1410"/>
    <mergeCell ref="J1410:K1410"/>
    <mergeCell ref="H1394:I1394"/>
    <mergeCell ref="J1394:K1394"/>
    <mergeCell ref="H1398:I1398"/>
    <mergeCell ref="J1398:K1398"/>
    <mergeCell ref="H1401:I1401"/>
    <mergeCell ref="J1401:K1401"/>
    <mergeCell ref="H1385:I1385"/>
    <mergeCell ref="J1385:K1385"/>
    <mergeCell ref="H1388:I1388"/>
    <mergeCell ref="J1388:K1388"/>
    <mergeCell ref="H1391:I1391"/>
    <mergeCell ref="J1391:K1391"/>
    <mergeCell ref="H1380:I1380"/>
    <mergeCell ref="J1380:K1380"/>
    <mergeCell ref="H1381:I1381"/>
    <mergeCell ref="J1381:K1381"/>
    <mergeCell ref="H1382:I1382"/>
    <mergeCell ref="J1382:K1382"/>
    <mergeCell ref="H1361:I1361"/>
    <mergeCell ref="J1361:K1361"/>
    <mergeCell ref="A1364:G1364"/>
    <mergeCell ref="H1364:I1364"/>
    <mergeCell ref="J1364:K1364"/>
    <mergeCell ref="A1368:K1368"/>
    <mergeCell ref="H1351:I1351"/>
    <mergeCell ref="J1351:K1351"/>
    <mergeCell ref="H1359:I1359"/>
    <mergeCell ref="J1359:K1359"/>
    <mergeCell ref="H1360:I1360"/>
    <mergeCell ref="J1360:K1360"/>
    <mergeCell ref="H1338:I1338"/>
    <mergeCell ref="J1338:K1338"/>
    <mergeCell ref="H1349:I1349"/>
    <mergeCell ref="J1349:K1349"/>
    <mergeCell ref="H1350:I1350"/>
    <mergeCell ref="J1350:K1350"/>
    <mergeCell ref="A1325:K1325"/>
    <mergeCell ref="A1327:K1327"/>
    <mergeCell ref="H1336:I1336"/>
    <mergeCell ref="J1336:K1336"/>
    <mergeCell ref="H1337:I1337"/>
    <mergeCell ref="J1337:K1337"/>
    <mergeCell ref="A1317:G1317"/>
    <mergeCell ref="H1317:I1317"/>
    <mergeCell ref="J1317:K1317"/>
    <mergeCell ref="A1321:G1321"/>
    <mergeCell ref="H1321:I1321"/>
    <mergeCell ref="J1321:K1321"/>
    <mergeCell ref="H1308:I1308"/>
    <mergeCell ref="J1308:K1308"/>
    <mergeCell ref="H1311:I1311"/>
    <mergeCell ref="J1311:K1311"/>
    <mergeCell ref="H1314:I1314"/>
    <mergeCell ref="J1314:K1314"/>
    <mergeCell ref="H1301:I1301"/>
    <mergeCell ref="J1301:K1301"/>
    <mergeCell ref="H1302:I1302"/>
    <mergeCell ref="J1302:K1302"/>
    <mergeCell ref="H1305:I1305"/>
    <mergeCell ref="J1305:K1305"/>
    <mergeCell ref="H1289:I1289"/>
    <mergeCell ref="J1289:K1289"/>
    <mergeCell ref="H1290:I1290"/>
    <mergeCell ref="J1290:K1290"/>
    <mergeCell ref="H1300:I1300"/>
    <mergeCell ref="J1300:K1300"/>
    <mergeCell ref="H1276:I1276"/>
    <mergeCell ref="J1276:K1276"/>
    <mergeCell ref="H1277:I1277"/>
    <mergeCell ref="J1277:K1277"/>
    <mergeCell ref="H1288:I1288"/>
    <mergeCell ref="J1288:K1288"/>
    <mergeCell ref="H1260:I1260"/>
    <mergeCell ref="J1260:K1260"/>
    <mergeCell ref="H1263:I1263"/>
    <mergeCell ref="J1263:K1263"/>
    <mergeCell ref="H1275:I1275"/>
    <mergeCell ref="J1275:K1275"/>
    <mergeCell ref="H1248:I1248"/>
    <mergeCell ref="J1248:K1248"/>
    <mergeCell ref="H1258:I1258"/>
    <mergeCell ref="J1258:K1258"/>
    <mergeCell ref="H1259:I1259"/>
    <mergeCell ref="J1259:K1259"/>
    <mergeCell ref="H1243:I1243"/>
    <mergeCell ref="J1243:K1243"/>
    <mergeCell ref="H1244:I1244"/>
    <mergeCell ref="J1244:K1244"/>
    <mergeCell ref="H1245:I1245"/>
    <mergeCell ref="J1245:K1245"/>
    <mergeCell ref="H1230:I1230"/>
    <mergeCell ref="J1230:K1230"/>
    <mergeCell ref="H1231:I1231"/>
    <mergeCell ref="J1231:K1231"/>
    <mergeCell ref="H1232:I1232"/>
    <mergeCell ref="J1232:K1232"/>
    <mergeCell ref="H1217:I1217"/>
    <mergeCell ref="J1217:K1217"/>
    <mergeCell ref="H1218:I1218"/>
    <mergeCell ref="J1218:K1218"/>
    <mergeCell ref="H1219:I1219"/>
    <mergeCell ref="J1219:K1219"/>
    <mergeCell ref="H1204:I1204"/>
    <mergeCell ref="J1204:K1204"/>
    <mergeCell ref="H1205:I1205"/>
    <mergeCell ref="J1205:K1205"/>
    <mergeCell ref="H1206:I1206"/>
    <mergeCell ref="J1206:K1206"/>
    <mergeCell ref="A1177:K1177"/>
    <mergeCell ref="H1189:I1189"/>
    <mergeCell ref="J1189:K1189"/>
    <mergeCell ref="H1190:I1190"/>
    <mergeCell ref="J1190:K1190"/>
    <mergeCell ref="H1191:I1191"/>
    <mergeCell ref="J1191:K1191"/>
    <mergeCell ref="H1167:I1167"/>
    <mergeCell ref="J1167:K1167"/>
    <mergeCell ref="H1170:I1170"/>
    <mergeCell ref="J1170:K1170"/>
    <mergeCell ref="A1173:G1173"/>
    <mergeCell ref="H1173:I1173"/>
    <mergeCell ref="J1173:K1173"/>
    <mergeCell ref="H1162:I1162"/>
    <mergeCell ref="J1162:K1162"/>
    <mergeCell ref="H1163:I1163"/>
    <mergeCell ref="J1163:K1163"/>
    <mergeCell ref="H1164:I1164"/>
    <mergeCell ref="J1164:K1164"/>
    <mergeCell ref="H1149:I1149"/>
    <mergeCell ref="J1149:K1149"/>
    <mergeCell ref="H1150:I1150"/>
    <mergeCell ref="J1150:K1150"/>
    <mergeCell ref="H1151:I1151"/>
    <mergeCell ref="J1151:K1151"/>
    <mergeCell ref="H1132:I1132"/>
    <mergeCell ref="J1132:K1132"/>
    <mergeCell ref="A1135:G1135"/>
    <mergeCell ref="H1135:I1135"/>
    <mergeCell ref="J1135:K1135"/>
    <mergeCell ref="A1139:K1139"/>
    <mergeCell ref="H1127:I1127"/>
    <mergeCell ref="J1127:K1127"/>
    <mergeCell ref="H1128:I1128"/>
    <mergeCell ref="J1128:K1128"/>
    <mergeCell ref="H1129:I1129"/>
    <mergeCell ref="J1129:K1129"/>
    <mergeCell ref="H1110:I1110"/>
    <mergeCell ref="J1110:K1110"/>
    <mergeCell ref="H1111:I1111"/>
    <mergeCell ref="J1111:K1111"/>
    <mergeCell ref="H1112:I1112"/>
    <mergeCell ref="J1112:K1112"/>
    <mergeCell ref="H1096:I1096"/>
    <mergeCell ref="J1096:K1096"/>
    <mergeCell ref="H1097:I1097"/>
    <mergeCell ref="J1097:K1097"/>
    <mergeCell ref="H1098:I1098"/>
    <mergeCell ref="J1098:K1098"/>
    <mergeCell ref="H1085:I1085"/>
    <mergeCell ref="J1085:K1085"/>
    <mergeCell ref="H1086:I1086"/>
    <mergeCell ref="J1086:K1086"/>
    <mergeCell ref="H1087:I1087"/>
    <mergeCell ref="J1087:K1087"/>
    <mergeCell ref="H1072:I1072"/>
    <mergeCell ref="J1072:K1072"/>
    <mergeCell ref="H1073:I1073"/>
    <mergeCell ref="J1073:K1073"/>
    <mergeCell ref="H1074:I1074"/>
    <mergeCell ref="J1074:K1074"/>
    <mergeCell ref="H1060:I1060"/>
    <mergeCell ref="J1060:K1060"/>
    <mergeCell ref="H1061:I1061"/>
    <mergeCell ref="J1061:K1061"/>
    <mergeCell ref="H1062:I1062"/>
    <mergeCell ref="J1062:K1062"/>
    <mergeCell ref="H1047:I1047"/>
    <mergeCell ref="J1047:K1047"/>
    <mergeCell ref="H1048:I1048"/>
    <mergeCell ref="J1048:K1048"/>
    <mergeCell ref="H1049:I1049"/>
    <mergeCell ref="J1049:K1049"/>
    <mergeCell ref="H1033:I1033"/>
    <mergeCell ref="J1033:K1033"/>
    <mergeCell ref="H1034:I1034"/>
    <mergeCell ref="J1034:K1034"/>
    <mergeCell ref="H1035:I1035"/>
    <mergeCell ref="J1035:K1035"/>
    <mergeCell ref="H1020:I1020"/>
    <mergeCell ref="J1020:K1020"/>
    <mergeCell ref="H1021:I1021"/>
    <mergeCell ref="J1021:K1021"/>
    <mergeCell ref="H1022:I1022"/>
    <mergeCell ref="J1022:K1022"/>
    <mergeCell ref="H1007:I1007"/>
    <mergeCell ref="J1007:K1007"/>
    <mergeCell ref="H1008:I1008"/>
    <mergeCell ref="J1008:K1008"/>
    <mergeCell ref="H1009:I1009"/>
    <mergeCell ref="J1009:K1009"/>
    <mergeCell ref="H993:I993"/>
    <mergeCell ref="J993:K993"/>
    <mergeCell ref="H994:I994"/>
    <mergeCell ref="J994:K994"/>
    <mergeCell ref="H995:I995"/>
    <mergeCell ref="J995:K995"/>
    <mergeCell ref="A972:K972"/>
    <mergeCell ref="H982:I982"/>
    <mergeCell ref="J982:K982"/>
    <mergeCell ref="H983:I983"/>
    <mergeCell ref="J983:K983"/>
    <mergeCell ref="H984:I984"/>
    <mergeCell ref="J984:K984"/>
    <mergeCell ref="H962:I962"/>
    <mergeCell ref="J962:K962"/>
    <mergeCell ref="H965:I965"/>
    <mergeCell ref="J965:K965"/>
    <mergeCell ref="A968:G968"/>
    <mergeCell ref="H968:I968"/>
    <mergeCell ref="J968:K968"/>
    <mergeCell ref="H957:I957"/>
    <mergeCell ref="J957:K957"/>
    <mergeCell ref="H958:I958"/>
    <mergeCell ref="J958:K958"/>
    <mergeCell ref="H959:I959"/>
    <mergeCell ref="J959:K959"/>
    <mergeCell ref="H944:I944"/>
    <mergeCell ref="J944:K944"/>
    <mergeCell ref="H945:I945"/>
    <mergeCell ref="J945:K945"/>
    <mergeCell ref="H946:I946"/>
    <mergeCell ref="J946:K946"/>
    <mergeCell ref="H933:I933"/>
    <mergeCell ref="J933:K933"/>
    <mergeCell ref="H934:I934"/>
    <mergeCell ref="J934:K934"/>
    <mergeCell ref="H935:I935"/>
    <mergeCell ref="J935:K935"/>
    <mergeCell ref="H919:I919"/>
    <mergeCell ref="J919:K919"/>
    <mergeCell ref="H920:I920"/>
    <mergeCell ref="J920:K920"/>
    <mergeCell ref="H921:I921"/>
    <mergeCell ref="J921:K921"/>
    <mergeCell ref="H908:I908"/>
    <mergeCell ref="J908:K908"/>
    <mergeCell ref="H909:I909"/>
    <mergeCell ref="J909:K909"/>
    <mergeCell ref="H910:I910"/>
    <mergeCell ref="J910:K910"/>
    <mergeCell ref="H895:I895"/>
    <mergeCell ref="J895:K895"/>
    <mergeCell ref="H896:I896"/>
    <mergeCell ref="J896:K896"/>
    <mergeCell ref="H897:I897"/>
    <mergeCell ref="J897:K897"/>
    <mergeCell ref="H878:I878"/>
    <mergeCell ref="J878:K878"/>
    <mergeCell ref="A881:G881"/>
    <mergeCell ref="H881:I881"/>
    <mergeCell ref="J881:K881"/>
    <mergeCell ref="A885:K885"/>
    <mergeCell ref="H871:I871"/>
    <mergeCell ref="J871:K871"/>
    <mergeCell ref="H872:I872"/>
    <mergeCell ref="J872:K872"/>
    <mergeCell ref="H875:I875"/>
    <mergeCell ref="J875:K875"/>
    <mergeCell ref="H858:I858"/>
    <mergeCell ref="J858:K858"/>
    <mergeCell ref="H859:I859"/>
    <mergeCell ref="J859:K859"/>
    <mergeCell ref="H870:I870"/>
    <mergeCell ref="J870:K870"/>
    <mergeCell ref="H847:I847"/>
    <mergeCell ref="J847:K847"/>
    <mergeCell ref="H848:I848"/>
    <mergeCell ref="J848:K848"/>
    <mergeCell ref="H857:I857"/>
    <mergeCell ref="J857:K857"/>
    <mergeCell ref="H833:I833"/>
    <mergeCell ref="J833:K833"/>
    <mergeCell ref="H834:I834"/>
    <mergeCell ref="J834:K834"/>
    <mergeCell ref="H846:I846"/>
    <mergeCell ref="J846:K846"/>
    <mergeCell ref="H822:I822"/>
    <mergeCell ref="J822:K822"/>
    <mergeCell ref="H823:I823"/>
    <mergeCell ref="J823:K823"/>
    <mergeCell ref="H832:I832"/>
    <mergeCell ref="J832:K832"/>
    <mergeCell ref="H809:I809"/>
    <mergeCell ref="J809:K809"/>
    <mergeCell ref="H810:I810"/>
    <mergeCell ref="J810:K810"/>
    <mergeCell ref="H821:I821"/>
    <mergeCell ref="J821:K821"/>
    <mergeCell ref="H797:I797"/>
    <mergeCell ref="J797:K797"/>
    <mergeCell ref="H798:I798"/>
    <mergeCell ref="J798:K798"/>
    <mergeCell ref="H808:I808"/>
    <mergeCell ref="J808:K808"/>
    <mergeCell ref="H784:I784"/>
    <mergeCell ref="J784:K784"/>
    <mergeCell ref="H785:I785"/>
    <mergeCell ref="J785:K785"/>
    <mergeCell ref="H796:I796"/>
    <mergeCell ref="J796:K796"/>
    <mergeCell ref="H770:I770"/>
    <mergeCell ref="J770:K770"/>
    <mergeCell ref="H771:I771"/>
    <mergeCell ref="J771:K771"/>
    <mergeCell ref="H783:I783"/>
    <mergeCell ref="J783:K783"/>
    <mergeCell ref="H757:I757"/>
    <mergeCell ref="J757:K757"/>
    <mergeCell ref="H758:I758"/>
    <mergeCell ref="J758:K758"/>
    <mergeCell ref="H769:I769"/>
    <mergeCell ref="J769:K769"/>
    <mergeCell ref="H744:I744"/>
    <mergeCell ref="J744:K744"/>
    <mergeCell ref="H745:I745"/>
    <mergeCell ref="J745:K745"/>
    <mergeCell ref="H756:I756"/>
    <mergeCell ref="J756:K756"/>
    <mergeCell ref="H730:I730"/>
    <mergeCell ref="J730:K730"/>
    <mergeCell ref="H731:I731"/>
    <mergeCell ref="J731:K731"/>
    <mergeCell ref="H743:I743"/>
    <mergeCell ref="J743:K743"/>
    <mergeCell ref="H719:I719"/>
    <mergeCell ref="J719:K719"/>
    <mergeCell ref="H720:I720"/>
    <mergeCell ref="J720:K720"/>
    <mergeCell ref="H729:I729"/>
    <mergeCell ref="J729:K729"/>
    <mergeCell ref="A704:G704"/>
    <mergeCell ref="H704:I704"/>
    <mergeCell ref="J704:K704"/>
    <mergeCell ref="A708:K708"/>
    <mergeCell ref="H718:I718"/>
    <mergeCell ref="J718:K718"/>
    <mergeCell ref="A690:K690"/>
    <mergeCell ref="H699:I699"/>
    <mergeCell ref="J699:K699"/>
    <mergeCell ref="H700:I700"/>
    <mergeCell ref="J700:K700"/>
    <mergeCell ref="H701:I701"/>
    <mergeCell ref="J701:K701"/>
    <mergeCell ref="H682:I682"/>
    <mergeCell ref="J682:K682"/>
    <mergeCell ref="H683:I683"/>
    <mergeCell ref="J683:K683"/>
    <mergeCell ref="A686:G686"/>
    <mergeCell ref="H686:I686"/>
    <mergeCell ref="J686:K686"/>
    <mergeCell ref="H669:I669"/>
    <mergeCell ref="J669:K669"/>
    <mergeCell ref="H670:I670"/>
    <mergeCell ref="J670:K670"/>
    <mergeCell ref="H681:I681"/>
    <mergeCell ref="J681:K681"/>
    <mergeCell ref="H657:I657"/>
    <mergeCell ref="J657:K657"/>
    <mergeCell ref="H658:I658"/>
    <mergeCell ref="J658:K658"/>
    <mergeCell ref="H668:I668"/>
    <mergeCell ref="J668:K668"/>
    <mergeCell ref="H647:I647"/>
    <mergeCell ref="J647:K647"/>
    <mergeCell ref="H648:I648"/>
    <mergeCell ref="J648:K648"/>
    <mergeCell ref="H656:I656"/>
    <mergeCell ref="J656:K656"/>
    <mergeCell ref="H635:I635"/>
    <mergeCell ref="J635:K635"/>
    <mergeCell ref="H636:I636"/>
    <mergeCell ref="J636:K636"/>
    <mergeCell ref="H646:I646"/>
    <mergeCell ref="J646:K646"/>
    <mergeCell ref="H625:I625"/>
    <mergeCell ref="J625:K625"/>
    <mergeCell ref="H626:I626"/>
    <mergeCell ref="J626:K626"/>
    <mergeCell ref="H634:I634"/>
    <mergeCell ref="J634:K634"/>
    <mergeCell ref="H613:I613"/>
    <mergeCell ref="J613:K613"/>
    <mergeCell ref="H614:I614"/>
    <mergeCell ref="J614:K614"/>
    <mergeCell ref="H624:I624"/>
    <mergeCell ref="J624:K624"/>
    <mergeCell ref="A599:G599"/>
    <mergeCell ref="H599:I599"/>
    <mergeCell ref="J599:K599"/>
    <mergeCell ref="A603:K603"/>
    <mergeCell ref="A605:K605"/>
    <mergeCell ref="H612:I612"/>
    <mergeCell ref="J612:K612"/>
    <mergeCell ref="A583:K583"/>
    <mergeCell ref="H594:I594"/>
    <mergeCell ref="J594:K594"/>
    <mergeCell ref="H595:I595"/>
    <mergeCell ref="J595:K595"/>
    <mergeCell ref="H596:I596"/>
    <mergeCell ref="J596:K596"/>
    <mergeCell ref="H572:I572"/>
    <mergeCell ref="J572:K572"/>
    <mergeCell ref="A575:G575"/>
    <mergeCell ref="H575:I575"/>
    <mergeCell ref="J575:K575"/>
    <mergeCell ref="A579:G579"/>
    <mergeCell ref="H579:I579"/>
    <mergeCell ref="J579:K579"/>
    <mergeCell ref="H563:I563"/>
    <mergeCell ref="J563:K563"/>
    <mergeCell ref="H566:I566"/>
    <mergeCell ref="J566:K566"/>
    <mergeCell ref="H569:I569"/>
    <mergeCell ref="J569:K569"/>
    <mergeCell ref="A548:K548"/>
    <mergeCell ref="H558:I558"/>
    <mergeCell ref="J558:K558"/>
    <mergeCell ref="H559:I559"/>
    <mergeCell ref="J559:K559"/>
    <mergeCell ref="H560:I560"/>
    <mergeCell ref="J560:K560"/>
    <mergeCell ref="H540:I540"/>
    <mergeCell ref="J540:K540"/>
    <mergeCell ref="H541:I541"/>
    <mergeCell ref="J541:K541"/>
    <mergeCell ref="A544:G544"/>
    <mergeCell ref="H544:I544"/>
    <mergeCell ref="J544:K544"/>
    <mergeCell ref="A525:G525"/>
    <mergeCell ref="H525:I525"/>
    <mergeCell ref="J525:K525"/>
    <mergeCell ref="A529:K529"/>
    <mergeCell ref="H539:I539"/>
    <mergeCell ref="J539:K539"/>
    <mergeCell ref="H520:I520"/>
    <mergeCell ref="J520:K520"/>
    <mergeCell ref="H521:I521"/>
    <mergeCell ref="J521:K521"/>
    <mergeCell ref="H522:I522"/>
    <mergeCell ref="J522:K522"/>
    <mergeCell ref="H506:I506"/>
    <mergeCell ref="J506:K506"/>
    <mergeCell ref="H507:I507"/>
    <mergeCell ref="J507:K507"/>
    <mergeCell ref="H508:I508"/>
    <mergeCell ref="J508:K508"/>
    <mergeCell ref="H494:I494"/>
    <mergeCell ref="J494:K494"/>
    <mergeCell ref="H495:I495"/>
    <mergeCell ref="J495:K495"/>
    <mergeCell ref="H496:I496"/>
    <mergeCell ref="J496:K496"/>
    <mergeCell ref="H481:I481"/>
    <mergeCell ref="J481:K481"/>
    <mergeCell ref="H482:I482"/>
    <mergeCell ref="J482:K482"/>
    <mergeCell ref="H483:I483"/>
    <mergeCell ref="J483:K483"/>
    <mergeCell ref="H467:I467"/>
    <mergeCell ref="J467:K467"/>
    <mergeCell ref="H468:I468"/>
    <mergeCell ref="J468:K468"/>
    <mergeCell ref="H469:I469"/>
    <mergeCell ref="J469:K469"/>
    <mergeCell ref="H445:I445"/>
    <mergeCell ref="J445:K445"/>
    <mergeCell ref="A448:G448"/>
    <mergeCell ref="H448:I448"/>
    <mergeCell ref="J448:K448"/>
    <mergeCell ref="A452:K452"/>
    <mergeCell ref="H431:I431"/>
    <mergeCell ref="J431:K431"/>
    <mergeCell ref="H443:I443"/>
    <mergeCell ref="J443:K443"/>
    <mergeCell ref="H444:I444"/>
    <mergeCell ref="J444:K444"/>
    <mergeCell ref="H419:I419"/>
    <mergeCell ref="J419:K419"/>
    <mergeCell ref="H429:I429"/>
    <mergeCell ref="J429:K429"/>
    <mergeCell ref="H430:I430"/>
    <mergeCell ref="J430:K430"/>
    <mergeCell ref="H406:I406"/>
    <mergeCell ref="J406:K406"/>
    <mergeCell ref="H417:I417"/>
    <mergeCell ref="J417:K417"/>
    <mergeCell ref="H418:I418"/>
    <mergeCell ref="J418:K418"/>
    <mergeCell ref="H392:I392"/>
    <mergeCell ref="J392:K392"/>
    <mergeCell ref="H404:I404"/>
    <mergeCell ref="J404:K404"/>
    <mergeCell ref="H405:I405"/>
    <mergeCell ref="J405:K405"/>
    <mergeCell ref="H374:I374"/>
    <mergeCell ref="J374:K374"/>
    <mergeCell ref="H390:I390"/>
    <mergeCell ref="J390:K390"/>
    <mergeCell ref="H391:I391"/>
    <mergeCell ref="J391:K391"/>
    <mergeCell ref="A356:K356"/>
    <mergeCell ref="A358:K358"/>
    <mergeCell ref="H372:I372"/>
    <mergeCell ref="J372:K372"/>
    <mergeCell ref="H373:I373"/>
    <mergeCell ref="J373:K373"/>
    <mergeCell ref="A348:G348"/>
    <mergeCell ref="H348:I348"/>
    <mergeCell ref="J348:K348"/>
    <mergeCell ref="A352:G352"/>
    <mergeCell ref="H352:I352"/>
    <mergeCell ref="J352:K352"/>
    <mergeCell ref="H343:I343"/>
    <mergeCell ref="J343:K343"/>
    <mergeCell ref="H344:I344"/>
    <mergeCell ref="J344:K344"/>
    <mergeCell ref="H345:I345"/>
    <mergeCell ref="J345:K345"/>
    <mergeCell ref="H326:I326"/>
    <mergeCell ref="J326:K326"/>
    <mergeCell ref="H327:I327"/>
    <mergeCell ref="J327:K327"/>
    <mergeCell ref="H328:I328"/>
    <mergeCell ref="J328:K328"/>
    <mergeCell ref="H311:I311"/>
    <mergeCell ref="J311:K311"/>
    <mergeCell ref="H312:I312"/>
    <mergeCell ref="J312:K312"/>
    <mergeCell ref="H313:I313"/>
    <mergeCell ref="J313:K313"/>
    <mergeCell ref="H297:I297"/>
    <mergeCell ref="J297:K297"/>
    <mergeCell ref="H298:I298"/>
    <mergeCell ref="J298:K298"/>
    <mergeCell ref="H299:I299"/>
    <mergeCell ref="J299:K299"/>
    <mergeCell ref="H283:I283"/>
    <mergeCell ref="J283:K283"/>
    <mergeCell ref="H284:I284"/>
    <mergeCell ref="J284:K284"/>
    <mergeCell ref="H285:I285"/>
    <mergeCell ref="J285:K285"/>
    <mergeCell ref="A258:K258"/>
    <mergeCell ref="H269:I269"/>
    <mergeCell ref="J269:K269"/>
    <mergeCell ref="H270:I270"/>
    <mergeCell ref="J270:K270"/>
    <mergeCell ref="H271:I271"/>
    <mergeCell ref="J271:K271"/>
    <mergeCell ref="H250:I250"/>
    <mergeCell ref="J250:K250"/>
    <mergeCell ref="H251:I251"/>
    <mergeCell ref="J251:K251"/>
    <mergeCell ref="A254:G254"/>
    <mergeCell ref="H254:I254"/>
    <mergeCell ref="J254:K254"/>
    <mergeCell ref="H238:I238"/>
    <mergeCell ref="J238:K238"/>
    <mergeCell ref="H239:I239"/>
    <mergeCell ref="J239:K239"/>
    <mergeCell ref="H249:I249"/>
    <mergeCell ref="J249:K249"/>
    <mergeCell ref="H226:I226"/>
    <mergeCell ref="J226:K226"/>
    <mergeCell ref="H227:I227"/>
    <mergeCell ref="J227:K227"/>
    <mergeCell ref="H237:I237"/>
    <mergeCell ref="J237:K237"/>
    <mergeCell ref="A212:G212"/>
    <mergeCell ref="H212:I212"/>
    <mergeCell ref="J212:K212"/>
    <mergeCell ref="A216:K216"/>
    <mergeCell ref="A218:K218"/>
    <mergeCell ref="H225:I225"/>
    <mergeCell ref="J225:K225"/>
    <mergeCell ref="H204:I204"/>
    <mergeCell ref="J204:K204"/>
    <mergeCell ref="H205:I205"/>
    <mergeCell ref="J205:K205"/>
    <mergeCell ref="A208:G208"/>
    <mergeCell ref="H208:I208"/>
    <mergeCell ref="J208:K208"/>
    <mergeCell ref="H193:I193"/>
    <mergeCell ref="J193:K193"/>
    <mergeCell ref="H194:I194"/>
    <mergeCell ref="J194:K194"/>
    <mergeCell ref="H203:I203"/>
    <mergeCell ref="J203:K203"/>
    <mergeCell ref="H178:I178"/>
    <mergeCell ref="J178:K178"/>
    <mergeCell ref="H179:I179"/>
    <mergeCell ref="J179:K179"/>
    <mergeCell ref="H192:I192"/>
    <mergeCell ref="J192:K192"/>
    <mergeCell ref="H167:I167"/>
    <mergeCell ref="J167:K167"/>
    <mergeCell ref="H168:I168"/>
    <mergeCell ref="J168:K168"/>
    <mergeCell ref="H177:I177"/>
    <mergeCell ref="J177:K177"/>
    <mergeCell ref="H150:I150"/>
    <mergeCell ref="J150:K150"/>
    <mergeCell ref="H151:I151"/>
    <mergeCell ref="J151:K151"/>
    <mergeCell ref="H166:I166"/>
    <mergeCell ref="J166:K166"/>
    <mergeCell ref="H135:I135"/>
    <mergeCell ref="J135:K135"/>
    <mergeCell ref="H136:I136"/>
    <mergeCell ref="J136:K136"/>
    <mergeCell ref="H149:I149"/>
    <mergeCell ref="J149:K149"/>
    <mergeCell ref="A117:K117"/>
    <mergeCell ref="A119:G119"/>
    <mergeCell ref="H119:I119"/>
    <mergeCell ref="J119:K119"/>
    <mergeCell ref="A123:K123"/>
    <mergeCell ref="H134:I134"/>
    <mergeCell ref="J134:K134"/>
    <mergeCell ref="H109:I109"/>
    <mergeCell ref="J109:K109"/>
    <mergeCell ref="H110:I110"/>
    <mergeCell ref="J110:K110"/>
    <mergeCell ref="A113:G113"/>
    <mergeCell ref="H113:I113"/>
    <mergeCell ref="J113:K113"/>
    <mergeCell ref="H99:I99"/>
    <mergeCell ref="J99:K99"/>
    <mergeCell ref="H100:I100"/>
    <mergeCell ref="J100:K100"/>
    <mergeCell ref="H108:I108"/>
    <mergeCell ref="J108:K108"/>
    <mergeCell ref="H90:I90"/>
    <mergeCell ref="J90:K90"/>
    <mergeCell ref="H91:I91"/>
    <mergeCell ref="J91:K91"/>
    <mergeCell ref="H98:I98"/>
    <mergeCell ref="J98:K98"/>
    <mergeCell ref="H81:I81"/>
    <mergeCell ref="J81:K81"/>
    <mergeCell ref="H82:I82"/>
    <mergeCell ref="J82:K82"/>
    <mergeCell ref="H89:I89"/>
    <mergeCell ref="J89:K89"/>
    <mergeCell ref="A67:G67"/>
    <mergeCell ref="H67:I67"/>
    <mergeCell ref="J67:K67"/>
    <mergeCell ref="A71:K71"/>
    <mergeCell ref="A73:K73"/>
    <mergeCell ref="H80:I80"/>
    <mergeCell ref="J80:K80"/>
    <mergeCell ref="H62:I62"/>
    <mergeCell ref="J62:K62"/>
    <mergeCell ref="H63:I63"/>
    <mergeCell ref="J63:K63"/>
    <mergeCell ref="H64:I64"/>
    <mergeCell ref="J64:K64"/>
    <mergeCell ref="H45:I45"/>
    <mergeCell ref="J45:K45"/>
    <mergeCell ref="H46:I46"/>
    <mergeCell ref="J46:K46"/>
    <mergeCell ref="H50:I50"/>
    <mergeCell ref="J50:K50"/>
    <mergeCell ref="E24:H24"/>
    <mergeCell ref="E25:H25"/>
    <mergeCell ref="A28:K28"/>
    <mergeCell ref="A34:K34"/>
    <mergeCell ref="H44:I44"/>
    <mergeCell ref="J44:K44"/>
    <mergeCell ref="E18:H18"/>
    <mergeCell ref="E19:H19"/>
    <mergeCell ref="E20:H20"/>
    <mergeCell ref="E21:H21"/>
    <mergeCell ref="E22:H22"/>
    <mergeCell ref="E23:H23"/>
    <mergeCell ref="A7:K7"/>
    <mergeCell ref="A9:K9"/>
    <mergeCell ref="A11:K11"/>
    <mergeCell ref="A12:K12"/>
    <mergeCell ref="A14:K14"/>
    <mergeCell ref="E17:H17"/>
    <mergeCell ref="L3:L4"/>
    <mergeCell ref="M3:M4"/>
    <mergeCell ref="J5:K5"/>
    <mergeCell ref="A6:K6"/>
  </mergeCells>
  <pageMargins left="0.4" right="0.2" top="0.2" bottom="0.4" header="0.2" footer="0.2"/>
  <pageSetup paperSize="9" fitToHeight="0" orientation="portrait" r:id="rId1"/>
  <headerFooter>
    <oddHeader>&amp;L&amp;8</oddHeader>
    <oddFooter>&amp;R&amp;P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02-01-01</vt:lpstr>
      <vt:lpstr>'02-01-01'!Заголовки_для_печати</vt:lpstr>
      <vt:lpstr>'02-01-01'!Область_печати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Воропаева Татьяна Вячеславовна</dc:creator>
  <cp:lastModifiedBy>Воропаева Татьяна Вячеславовна</cp:lastModifiedBy>
  <dcterms:created xsi:type="dcterms:W3CDTF">2026-07-13T22:13:00Z</dcterms:created>
  <dcterms:modified xsi:type="dcterms:W3CDTF">2026-07-13T22:19:36Z</dcterms:modified>
</cp:coreProperties>
</file>