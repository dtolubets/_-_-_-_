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БЛОК 3\800 Отдел ПМР\ГОСУДАРСТВЕННАЯ ЭКСПЕРТИЗА\2026\57945-1-9\Царева\Согл\"/>
    </mc:Choice>
  </mc:AlternateContent>
  <xr:revisionPtr revIDLastSave="0" documentId="13_ncr:1_{6D8F64A4-8E36-48C9-B0DC-238B6F9BEC4F}" xr6:coauthVersionLast="36" xr6:coauthVersionMax="47" xr10:uidLastSave="{00000000-0000-0000-0000-000000000000}"/>
  <bookViews>
    <workbookView xWindow="57480" yWindow="-120" windowWidth="29040" windowHeight="15840" xr2:uid="{00000000-000D-0000-FFFF-FFFF00000000}"/>
  </bookViews>
  <sheets>
    <sheet name="02-01-03" sheetId="10" r:id="rId1"/>
  </sheets>
  <calcPr calcId="191029"/>
</workbook>
</file>

<file path=xl/sharedStrings.xml><?xml version="1.0" encoding="utf-8"?>
<sst xmlns="http://schemas.openxmlformats.org/spreadsheetml/2006/main" count="441" uniqueCount="227">
  <si>
    <t>ШТ</t>
  </si>
  <si>
    <t>27.40.25.123, п.54</t>
  </si>
  <si>
    <t>27.40.25.123, п.55</t>
  </si>
  <si>
    <t>27.40.25.123, п.56</t>
  </si>
  <si>
    <t>27.40.25.123, п.57</t>
  </si>
  <si>
    <t>27.40.25.123, п.58</t>
  </si>
  <si>
    <t>27.40.25.123, п.59</t>
  </si>
  <si>
    <t>27.40.25.123, п.60</t>
  </si>
  <si>
    <t>27.40.25.123, п.61</t>
  </si>
  <si>
    <t>27.40.25.123, п.62</t>
  </si>
  <si>
    <t>27.40.25.123, п.63</t>
  </si>
  <si>
    <t>27.40.25.123, п.64</t>
  </si>
  <si>
    <t>27.40.25.123, п.65</t>
  </si>
  <si>
    <t>27.40.25.123, п.66</t>
  </si>
  <si>
    <t>27.40.25.123, п.67</t>
  </si>
  <si>
    <t>27.40.25.123, п.68</t>
  </si>
  <si>
    <t>27.40.25.123, п.69</t>
  </si>
  <si>
    <t>27.40.25.123, п.70</t>
  </si>
  <si>
    <t>27.40.25.123, п.71</t>
  </si>
  <si>
    <t>27.40.25.123, п.72</t>
  </si>
  <si>
    <t>27.40.25.123, п.73</t>
  </si>
  <si>
    <t>27.40.25.123, п.74</t>
  </si>
  <si>
    <t>27.40.25.123, п.75</t>
  </si>
  <si>
    <t>27.40.25.123, п.76</t>
  </si>
  <si>
    <t>27.40.25.123, п.77</t>
  </si>
  <si>
    <t>27.40.25.123, п.78</t>
  </si>
  <si>
    <t>27.40.25.123, п.79</t>
  </si>
  <si>
    <t>27.40.25.123, п.80</t>
  </si>
  <si>
    <t>27.40.25.123, п.81</t>
  </si>
  <si>
    <t>27.40.25.123, п.82</t>
  </si>
  <si>
    <t>27.40.25.123, п.83</t>
  </si>
  <si>
    <t>27.40.25.123, п.84</t>
  </si>
  <si>
    <t>27.40.24.113 , п.85</t>
  </si>
  <si>
    <t>27.40.24.113 , п.86</t>
  </si>
  <si>
    <t>27.40.24.113 , п.87</t>
  </si>
  <si>
    <t>27.40.24.113 , п.88</t>
  </si>
  <si>
    <t>27.40.24.113 , п.89</t>
  </si>
  <si>
    <t>27.40.24.113 , п.90</t>
  </si>
  <si>
    <t>27.40.24.113 , п.91</t>
  </si>
  <si>
    <t>27.40.24.113 , п.92</t>
  </si>
  <si>
    <t>27.33.13.190, п.93</t>
  </si>
  <si>
    <t>27.33.13.190, п.94</t>
  </si>
  <si>
    <t>27.33.13.190, п.95</t>
  </si>
  <si>
    <t>27.33.13.110, п.96</t>
  </si>
  <si>
    <t>27.33.13.120, п.97</t>
  </si>
  <si>
    <t>27.33.13.120, п.98</t>
  </si>
  <si>
    <t>27.12.31, п.99</t>
  </si>
  <si>
    <t>27.12.40.000, п.100</t>
  </si>
  <si>
    <t>27.33.13.162, п.101</t>
  </si>
  <si>
    <t>27.33.13.162, п.102</t>
  </si>
  <si>
    <t>27.32.13.135, п.103</t>
  </si>
  <si>
    <t>м</t>
  </si>
  <si>
    <t>27.32.13.135, п.104</t>
  </si>
  <si>
    <t>27.32.13.135, п.105</t>
  </si>
  <si>
    <t>27.32.13.135, п.106</t>
  </si>
  <si>
    <t>27.32.13.135, п.107</t>
  </si>
  <si>
    <t>27.32.13.135, п.108</t>
  </si>
  <si>
    <t>27.32.13.135, п.109</t>
  </si>
  <si>
    <t>27.32.13.135, п.110</t>
  </si>
  <si>
    <t>27.32.13.135, п.111</t>
  </si>
  <si>
    <t>27.32.13.135, п.112</t>
  </si>
  <si>
    <t>27.32.13.135, п.113</t>
  </si>
  <si>
    <t>27.32.13.135, п.114</t>
  </si>
  <si>
    <t>27.32.13.135, п.115</t>
  </si>
  <si>
    <t>27.32.13.135, п.116</t>
  </si>
  <si>
    <t>27.32.13.135, п.117</t>
  </si>
  <si>
    <t>27.32.13.135, п.118</t>
  </si>
  <si>
    <t>27.32.13.135, п.119</t>
  </si>
  <si>
    <t>27.33.13.130, п.120</t>
  </si>
  <si>
    <t>27.33.13.130, п.121</t>
  </si>
  <si>
    <t>27.33.13.130, п.122</t>
  </si>
  <si>
    <t>27.33.13.130, п.123</t>
  </si>
  <si>
    <t>27.33.13.130, п.124</t>
  </si>
  <si>
    <t>24.10.71.190, п.125</t>
  </si>
  <si>
    <t>25.72.14.190, п.126</t>
  </si>
  <si>
    <t>25.72.14.190, п.127</t>
  </si>
  <si>
    <t>25.94.12.190, п.128</t>
  </si>
  <si>
    <t>25.94.12.190, п.129</t>
  </si>
  <si>
    <t>25.94.12.190, п.130</t>
  </si>
  <si>
    <t>25.94.12.190, п.131</t>
  </si>
  <si>
    <t>25.94.12.190, п.132</t>
  </si>
  <si>
    <t>25.94.12.190, п.133</t>
  </si>
  <si>
    <t>25.94.12.190, п.134</t>
  </si>
  <si>
    <t>25.94.12.190, п.135</t>
  </si>
  <si>
    <t>25.94.12.190, п.136</t>
  </si>
  <si>
    <t>25.94.12.190, п.137</t>
  </si>
  <si>
    <t>25.94.12.190, п.138</t>
  </si>
  <si>
    <t>25.94.12.190, п.139</t>
  </si>
  <si>
    <t>25.94.12.190, п.140</t>
  </si>
  <si>
    <t>25.94.12.190, п.141</t>
  </si>
  <si>
    <t>25.94.12.190, п.142</t>
  </si>
  <si>
    <t>25.94.12.190, п.143</t>
  </si>
  <si>
    <t>25.94.12.190, п.144</t>
  </si>
  <si>
    <t>25.94.12.190, п.145</t>
  </si>
  <si>
    <t>25.72.14.190, п.147</t>
  </si>
  <si>
    <t>24.34.11.180, п.148</t>
  </si>
  <si>
    <t>25.72.14.190, п.149</t>
  </si>
  <si>
    <t>25.72.14.190, п.150</t>
  </si>
  <si>
    <t>25.72.14.190, п.151</t>
  </si>
  <si>
    <t>25.72.14.190, п.152</t>
  </si>
  <si>
    <t>27.12.40, п.153</t>
  </si>
  <si>
    <t>27.32.13.135, п.154</t>
  </si>
  <si>
    <t>27.32.13.135, п.155</t>
  </si>
  <si>
    <t>27.32.13.135, п.156</t>
  </si>
  <si>
    <t>27.33.13.130, п.157</t>
  </si>
  <si>
    <t>27.33.13.130, п.158</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</si>
  <si>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</si>
  <si>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</si>
  <si>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</si>
  <si>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</si>
  <si>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</si>
  <si>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</si>
  <si>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</si>
  <si>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</si>
  <si>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</si>
  <si>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</si>
  <si>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Всего в
ценах на
январь 2000 года,
руб.</t>
  </si>
  <si>
    <r>
      <t>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t>
    </r>
    <r>
      <rPr>
        <i/>
        <sz val="10"/>
        <rFont val="Arial"/>
        <family val="2"/>
        <charset val="204"/>
      </rPr>
      <t xml:space="preserve">
965,80 = [11 366,85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</si>
  <si>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t>
    </r>
    <r>
      <rPr>
        <i/>
        <sz val="10"/>
        <rFont val="Arial"/>
        <family val="2"/>
        <charset val="204"/>
      </rPr>
      <t xml:space="preserve">
606,66 = [7 140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</si>
  <si>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t>
    </r>
    <r>
      <rPr>
        <i/>
        <sz val="10"/>
        <rFont val="Arial"/>
        <family val="2"/>
        <charset val="204"/>
      </rPr>
      <t xml:space="preserve">
788,65 = [9 282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</si>
  <si>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t>
    </r>
    <r>
      <rPr>
        <i/>
        <sz val="10"/>
        <rFont val="Arial"/>
        <family val="2"/>
        <charset val="204"/>
      </rPr>
      <t xml:space="preserve">
3 027,59 = [35 633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</si>
  <si>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 черный БАП 3 часа) светильник</t>
    </r>
    <r>
      <rPr>
        <i/>
        <sz val="10"/>
        <rFont val="Arial"/>
        <family val="2"/>
        <charset val="204"/>
      </rPr>
      <t xml:space="preserve">
3 935,87 = [46 322,9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</si>
  <si>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t>
    </r>
    <r>
      <rPr>
        <i/>
        <sz val="10"/>
        <rFont val="Arial"/>
        <family val="2"/>
        <charset val="204"/>
      </rPr>
      <t xml:space="preserve">
2 198,07 = [25 870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</si>
  <si>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 56Вт (141%) Подвесной 4000К Черный БАП на 3 часа ) светильник</t>
    </r>
    <r>
      <rPr>
        <i/>
        <sz val="10"/>
        <rFont val="Arial"/>
        <family val="2"/>
        <charset val="204"/>
      </rPr>
      <t xml:space="preserve">
2 857,49 = [33 631 / 1,22 /  9,84] +  2% Заг.скл</t>
    </r>
  </si>
  <si>
    <r>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t>
    </r>
    <r>
      <rPr>
        <i/>
        <sz val="10"/>
        <rFont val="Arial"/>
        <family val="2"/>
        <charset val="204"/>
      </rPr>
      <t xml:space="preserve">
1 831,70 = [21 558 / 1,22 /  9,84] +  2% Заг.скл</t>
    </r>
  </si>
  <si>
    <r>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 БАП 3 часа) светильник</t>
    </r>
    <r>
      <rPr>
        <i/>
        <sz val="10"/>
        <rFont val="Arial"/>
        <family val="2"/>
        <charset val="204"/>
      </rPr>
      <t xml:space="preserve">
2 381,21 = [28 025,4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</si>
  <si>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t>
    </r>
    <r>
      <rPr>
        <i/>
        <sz val="10"/>
        <rFont val="Arial"/>
        <family val="2"/>
        <charset val="204"/>
      </rPr>
      <t xml:space="preserve">
1 831,70 = [21 558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</si>
  <si>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 4000К Черный БАП 3 часа) светильник</t>
    </r>
    <r>
      <rPr>
        <i/>
        <sz val="10"/>
        <rFont val="Arial"/>
        <family val="2"/>
        <charset val="204"/>
      </rPr>
      <t xml:space="preserve">
2 381,21 = [28 025,4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</si>
  <si>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t>
    </r>
    <r>
      <rPr>
        <i/>
        <sz val="10"/>
        <rFont val="Arial"/>
        <family val="2"/>
        <charset val="204"/>
      </rPr>
      <t xml:space="preserve">
1 831,70 = [21 558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</si>
  <si>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 20Вт (50%) Подвесной 4000К Черный БАП 3 часа) светильник</t>
    </r>
    <r>
      <rPr>
        <i/>
        <sz val="10"/>
        <rFont val="Arial"/>
        <family val="2"/>
        <charset val="204"/>
      </rPr>
      <t xml:space="preserve">
2 381,21 = [28 025,4 / 1,22 /  9,84] +  2% Заг.скл</t>
    </r>
  </si>
  <si>
    <r>
      <t>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t>
    </r>
    <r>
      <rPr>
        <i/>
        <sz val="10"/>
        <rFont val="Arial"/>
        <family val="2"/>
        <charset val="204"/>
      </rPr>
      <t xml:space="preserve">
1 661,76 = [19 558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</si>
  <si>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t>
    </r>
    <r>
      <rPr>
        <i/>
        <sz val="10"/>
        <rFont val="Arial"/>
        <family val="2"/>
        <charset val="204"/>
      </rPr>
      <t xml:space="preserve">
1 308,99 = [15 406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</si>
  <si>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t>
    </r>
    <r>
      <rPr>
        <i/>
        <sz val="10"/>
        <rFont val="Arial"/>
        <family val="2"/>
        <charset val="204"/>
      </rPr>
      <t xml:space="preserve">
1 701,69 = [20 027,8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</si>
  <si>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t>
    </r>
    <r>
      <rPr>
        <i/>
        <sz val="10"/>
        <rFont val="Arial"/>
        <family val="2"/>
        <charset val="204"/>
      </rPr>
      <t xml:space="preserve">
852,21 = [10 030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</si>
  <si>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t>
    </r>
    <r>
      <rPr>
        <i/>
        <sz val="10"/>
        <rFont val="Arial"/>
        <family val="2"/>
        <charset val="204"/>
      </rPr>
      <t xml:space="preserve">
1 107,87 = [13 039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</si>
  <si>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t>
    </r>
    <r>
      <rPr>
        <i/>
        <sz val="10"/>
        <rFont val="Arial"/>
        <family val="2"/>
        <charset val="204"/>
      </rPr>
      <t xml:space="preserve">
1 284,01 = [15 112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</si>
  <si>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t>
    </r>
    <r>
      <rPr>
        <i/>
        <sz val="10"/>
        <rFont val="Arial"/>
        <family val="2"/>
        <charset val="204"/>
      </rPr>
      <t xml:space="preserve">
1 669,21 = [19 645,6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</si>
  <si>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t>
    </r>
    <r>
      <rPr>
        <i/>
        <sz val="10"/>
        <rFont val="Arial"/>
        <family val="2"/>
        <charset val="204"/>
      </rPr>
      <t xml:space="preserve">
202,31 = [2 381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</si>
  <si>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t>
    </r>
    <r>
      <rPr>
        <i/>
        <sz val="10"/>
        <rFont val="Arial"/>
        <family val="2"/>
        <charset val="204"/>
      </rPr>
      <t xml:space="preserve">
263,00 = [3 095,3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</si>
  <si>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t>
    </r>
    <r>
      <rPr>
        <i/>
        <sz val="10"/>
        <rFont val="Arial"/>
        <family val="2"/>
        <charset val="204"/>
      </rPr>
      <t xml:space="preserve">
242,83 = [2 858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</si>
  <si>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 на 3ч) светильник</t>
    </r>
    <r>
      <rPr>
        <i/>
        <sz val="10"/>
        <rFont val="Arial"/>
        <family val="2"/>
        <charset val="204"/>
      </rPr>
      <t xml:space="preserve">
315,68 = [3 715,4 / 1,22 /  9,84] +  2% Заг.скл</t>
    </r>
  </si>
  <si>
    <r>
      <t>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t>
    </r>
    <r>
      <rPr>
        <i/>
        <sz val="10"/>
        <rFont val="Arial"/>
        <family val="2"/>
        <charset val="204"/>
      </rPr>
      <t xml:space="preserve">
242,83 = [2 858 / 1,22 /  9,84] +  2% Заг.скл</t>
    </r>
  </si>
  <si>
    <r>
      <t>Светодиодный светильник. Монтаж накладной. Размер 1262х124х85мм. Мощность 38Вт. Световой поток 4800лм.  RVE-PRIME-SLIM-SC-38/(IP65, 4000К) 1262х124х85мм 38Вт</t>
    </r>
    <r>
      <rPr>
        <i/>
        <sz val="10"/>
        <rFont val="Arial"/>
        <family val="2"/>
        <charset val="204"/>
      </rPr>
      <t xml:space="preserve">
761,72 = [8 965 / 1,22 /  9,84] +  2% Заг.скл</t>
    </r>
  </si>
  <si>
    <r>
      <t>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t>
    </r>
    <r>
      <rPr>
        <i/>
        <sz val="10"/>
        <rFont val="Arial"/>
        <family val="2"/>
        <charset val="204"/>
      </rPr>
      <t xml:space="preserve">
990,24 = [11 654,5 / 1,22 /  9,84] +  2% Заг.скл</t>
    </r>
  </si>
  <si>
    <r>
      <t>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 кронштейне 500мм 4000K черный) светильник</t>
    </r>
    <r>
      <rPr>
        <i/>
        <sz val="10"/>
        <rFont val="Arial"/>
        <family val="2"/>
        <charset val="204"/>
      </rPr>
      <t xml:space="preserve">
2 408,63 = [28 348,1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</si>
  <si>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t>
    </r>
    <r>
      <rPr>
        <i/>
        <sz val="10"/>
        <rFont val="Arial"/>
        <family val="2"/>
        <charset val="204"/>
      </rPr>
      <t xml:space="preserve">
3 848,79 = [45 298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</si>
  <si>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 черный БАП 3 часа) светильник</t>
    </r>
    <r>
      <rPr>
        <i/>
        <sz val="10"/>
        <rFont val="Arial"/>
        <family val="2"/>
        <charset val="204"/>
      </rPr>
      <t xml:space="preserve">
4 426,11 = [52 092,7 / 1,22 /  9,84] +  2% Заг.скл</t>
    </r>
  </si>
  <si>
    <r>
      <t>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t>
    </r>
    <r>
      <rPr>
        <i/>
        <sz val="10"/>
        <rFont val="Arial"/>
        <family val="2"/>
        <charset val="204"/>
      </rPr>
      <t xml:space="preserve">
2 417,88 = [28 457 / 1,22 /  9,84] +  2% Заг.скл</t>
    </r>
  </si>
  <si>
    <r>
      <t>Световой указатель постоянного действия HTL FLAT, 240х130х41мм., 3Вт., IP20, БАП 3ч., белый с Пиктограммой "Выход"  FLAT S 240х130 3Вт 20 EM3 WH - EXIT</t>
    </r>
    <r>
      <rPr>
        <i/>
        <sz val="10"/>
        <rFont val="Arial"/>
        <family val="2"/>
        <charset val="204"/>
      </rPr>
      <t xml:space="preserve">
726,12 = [8 546 / 1,22 /  9,84] +  2% Заг.скл</t>
    </r>
  </si>
  <si>
    <r>
      <t>Световой указатель постоянного действия HTL FLAT, 240х130х41мм., 3Вт., IP20, БАП 3ч., белый с Пиктограммой "Движение Налево"  FLAT S 240х130 3Вт 20 EM3 WH - EXIT left</t>
    </r>
    <r>
      <rPr>
        <i/>
        <sz val="10"/>
        <rFont val="Arial"/>
        <family val="2"/>
        <charset val="204"/>
      </rPr>
      <t xml:space="preserve">
726,12 = [8 546 / 1,22 /  9,84] +  2% Заг.скл</t>
    </r>
  </si>
  <si>
    <r>
      <t>Световой указатель постоянного действия HTL FLAT, 240х130х41мм., 3Вт., IP20, БАП 3ч., белый с Пиктограммой "Движение Направо"  FLAT S 240х130 3Вт 20 EM3 WH - EXIT right</t>
    </r>
    <r>
      <rPr>
        <i/>
        <sz val="10"/>
        <rFont val="Arial"/>
        <family val="2"/>
        <charset val="204"/>
      </rPr>
      <t xml:space="preserve">
726,12 = [8 546 / 1,22 /  9,84] +  2% Заг.скл</t>
    </r>
  </si>
  <si>
    <r>
      <t>Световой указатель постоянного действия HTL FLAT, 240х130х41мм., 3Вт., IP20, БАП 3ч., белый с Пиктограммой "Дверь Эвакуационного Выхода"  FLAT S 240х130 3Вт 20 EM3 WH - EXIT straight</t>
    </r>
    <r>
      <rPr>
        <i/>
        <sz val="10"/>
        <rFont val="Arial"/>
        <family val="2"/>
        <charset val="204"/>
      </rPr>
      <t xml:space="preserve">
726,12 = [8 546 / 1,22 /  9,84] +  2% Заг.скл</t>
    </r>
  </si>
  <si>
    <r>
      <t>Световой указатель постоянного действия HTL INDEX, 250х130х60мм., 3Вт., IP65, БАП 3ч., белый с Пиктограммой "Выход"  INDEX S 250х130 3Вт 65 EM3 WH - EXIT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</si>
  <si>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"Движение Направо"  INDEX S 250х130 3Вт 65 EM3 WH - EXIT right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</si>
  <si>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"Дверь Эвакуационного Выхода"  INDEX S 250х130 3Вт 65 EM3 WH - EXIT straight</t>
    </r>
    <r>
      <rPr>
        <i/>
        <sz val="10"/>
        <rFont val="Arial"/>
        <family val="2"/>
        <charset val="204"/>
      </rPr>
      <t xml:space="preserve">
755,35 = [8 890 / 1,22 /  9,84] +  2% Заг.скл</t>
    </r>
  </si>
  <si>
    <r>
      <t>Световой указатель постоянного действия ССА1005 на светодиодах 3Вт 1,5ч + этикетка самокл. 330х140мм Медпункт  LSSA0-1005-003-K03 LPC10-1-35-13-MEDPUNKT</t>
    </r>
    <r>
      <rPr>
        <i/>
        <sz val="10"/>
        <rFont val="Arial"/>
        <family val="2"/>
        <charset val="204"/>
      </rPr>
      <t xml:space="preserve">
296,70 = [3 492 / 1,22 /  9,84] +  2% Заг.скл</t>
    </r>
  </si>
  <si>
    <r>
      <t>Лючки напольные/настольные на 2 поста IP44 300004</t>
    </r>
    <r>
      <rPr>
        <i/>
        <sz val="10"/>
        <rFont val="Arial"/>
        <family val="2"/>
        <charset val="204"/>
      </rPr>
      <t xml:space="preserve">
856,11 = [10 075,87 / 1,22 /  9,84] +  2% Заг.скл</t>
    </r>
  </si>
  <si>
    <r>
      <t>Лючки стальные в уровень пола на 4 постов Вертикально IP44 300020 WP</t>
    </r>
    <r>
      <rPr>
        <i/>
        <sz val="10"/>
        <rFont val="Arial"/>
        <family val="2"/>
        <charset val="204"/>
      </rPr>
      <t xml:space="preserve">
3 061,43 = [36 031,2 / 1,22 /  9,84] +  2% Заг.скл</t>
    </r>
  </si>
  <si>
    <r>
      <t>Лючки стальные в уровень пола на 8 постов Вертикально IP44 300026 WP</t>
    </r>
    <r>
      <rPr>
        <i/>
        <sz val="10"/>
        <rFont val="Arial"/>
        <family val="2"/>
        <charset val="204"/>
      </rPr>
      <t xml:space="preserve">
3 915,11 = [46 078,56 / 1,22 /  9,84] +  2% Заг.скл</t>
    </r>
  </si>
  <si>
    <r>
      <t>Розетка 220В модульной установки, 1-мест. с защ.конт. цв. Белый для установки в Лючок 16А IP20 200013</t>
    </r>
    <r>
      <rPr>
        <i/>
        <sz val="10"/>
        <rFont val="Arial"/>
        <family val="2"/>
        <charset val="204"/>
      </rPr>
      <t xml:space="preserve">
42,48 = [500 / 1,22 /  9,84] +  2% Заг.скл</t>
    </r>
  </si>
  <si>
    <r>
      <t>3-проводная клемма, d: 0,08-2,5 мм2, t-85 C, оранж. рычаг 222-413 WAGO</t>
    </r>
    <r>
      <rPr>
        <i/>
        <sz val="10"/>
        <rFont val="Arial"/>
        <family val="2"/>
        <charset val="204"/>
      </rPr>
      <t xml:space="preserve">
5,45 = [64,06 / 1,22 /  9,84] +  2% Заг.скл</t>
    </r>
  </si>
  <si>
    <r>
      <t>5-проводная клемма, d: 0,08-2,5 мм2, t-85 C, оранж. рычаг 222-415 WAGO</t>
    </r>
    <r>
      <rPr>
        <i/>
        <sz val="10"/>
        <rFont val="Arial"/>
        <family val="2"/>
        <charset val="204"/>
      </rPr>
      <t xml:space="preserve">
7,92 = [93,2 / 1,22 /  9,84] +  2% Заг.скл</t>
    </r>
  </si>
  <si>
    <r>
      <t>Коробка КМ41233 распаячная для о/п IP44 RAL7035 (6 вводов) UKO11-100-100-050-K41-44 DKC</t>
    </r>
    <r>
      <rPr>
        <i/>
        <sz val="10"/>
        <rFont val="Arial"/>
        <family val="2"/>
        <charset val="204"/>
      </rPr>
      <t xml:space="preserve">
12,85 = [151,29 / 1,22 /  9,84] +  2% Заг.скл</t>
    </r>
  </si>
  <si>
    <r>
      <t>Коробка ответвительная FS 100х100х50мм 4р 450В 6А 4кв.мм с каб. вводами и клеммн. IP55 пластик. FSB11404</t>
    </r>
    <r>
      <rPr>
        <i/>
        <sz val="10"/>
        <rFont val="Arial"/>
        <family val="2"/>
        <charset val="204"/>
      </rPr>
      <t xml:space="preserve">
105,36 = [1 240 / 1,22 /  9,84] +  2% Заг.скл</t>
    </r>
  </si>
  <si>
    <r>
      <t>Кнопка S-Pro67 19 мм с фикс. с красной подсв. 230В EKF PROxima</t>
    </r>
    <r>
      <rPr>
        <i/>
        <sz val="10"/>
        <rFont val="Arial"/>
        <family val="2"/>
        <charset val="204"/>
      </rPr>
      <t xml:space="preserve">
96,40 = [1 134,56 / 1,22 /  9,84] +  2% Заг.скл</t>
    </r>
  </si>
  <si>
    <r>
      <t>Корпус КП101 для кнопок 1место белый IEK</t>
    </r>
    <r>
      <rPr>
        <i/>
        <sz val="10"/>
        <rFont val="Arial"/>
        <family val="2"/>
        <charset val="204"/>
      </rPr>
      <t xml:space="preserve">
12,45 = [146,55 / 1,22 /  9,84] +  2% Заг.скл</t>
    </r>
  </si>
  <si>
    <r>
      <t>Силовой кабель, с медной жилой, изоляцией и оболочкой из ПВХ, пониженной пожарной опасности, ВВГнг(A)-LSLTx, сечением 1х95</t>
    </r>
    <r>
      <rPr>
        <i/>
        <sz val="10"/>
        <rFont val="Arial"/>
        <family val="2"/>
        <charset val="204"/>
      </rPr>
      <t xml:space="preserve">
119,11 = [1 401,84 / 1,22 /  9,84] +  2% Заг.скл</t>
    </r>
  </si>
  <si>
    <r>
      <t>Силовой кабель, с медной жилой, изоляцией и оболочкой из ПВХ, пониженной пожарной опасности, ВВГнг(A)-LSLTx, сечением 3х6</t>
    </r>
    <r>
      <rPr>
        <i/>
        <sz val="10"/>
        <rFont val="Arial"/>
        <family val="2"/>
        <charset val="204"/>
      </rPr>
      <t xml:space="preserve">
24,97 = [293,83 / 1,22 /  9,84] +  2% Заг.скл</t>
    </r>
  </si>
  <si>
    <r>
      <t>Силовой кабель, с медной жилой, изоляцией и оболочкой из ПВХ пониженной пожарной опасности,огнестойкий, ВВГнг(A)-FRLSLTx, сечением: 1х120</t>
    </r>
    <r>
      <rPr>
        <i/>
        <sz val="10"/>
        <rFont val="Arial"/>
        <family val="2"/>
        <charset val="204"/>
      </rPr>
      <t xml:space="preserve">
165,50 = [1 947,79 / 1,22 /  9,84] +  2% Заг.скл</t>
    </r>
  </si>
  <si>
    <r>
      <t>Силовой кабель, с медной жилой, изоляцией и оболочкой из ПВХ пониженной пожарной опасности,огнестойкий, ВВГнг(A)-FRLSLTx, сечением: 5х16</t>
    </r>
    <r>
      <rPr>
        <i/>
        <sz val="10"/>
        <rFont val="Arial"/>
        <family val="2"/>
        <charset val="204"/>
      </rPr>
      <t xml:space="preserve">
126,60 = [1 490 / 1,22 /  9,84] +  2% Заг.скл</t>
    </r>
  </si>
  <si>
    <r>
      <t>Силовой кабель, с медной жилой, изоляцией и оболочкой из ПВХ пониженной пожарной опасности,огнестойкий, ВВГнг(A)-FRLSLTx, сечением: 4х16</t>
    </r>
    <r>
      <rPr>
        <i/>
        <sz val="10"/>
        <rFont val="Arial"/>
        <family val="2"/>
        <charset val="204"/>
      </rPr>
      <t xml:space="preserve">
103,62 = [1 219,6 / 1,22 /  9,84] +  2% Заг.скл</t>
    </r>
  </si>
  <si>
    <r>
      <t>Силовой кабель, с медной жилой, изоляцией и оболочкой из ПВХ пониженной пожарной опасности,огнестойкий, ВВГнг(A)-FRLSLTx, сечением: 4х10</t>
    </r>
    <r>
      <rPr>
        <i/>
        <sz val="10"/>
        <rFont val="Arial"/>
        <family val="2"/>
        <charset val="204"/>
      </rPr>
      <t xml:space="preserve">
66,79 = [786,09 / 1,22 /  9,84] +  2% Заг.скл</t>
    </r>
  </si>
  <si>
    <r>
      <t>Силовой кабель, с медной жилой, изоляцией и оболочкой из ПВХ пониженной пожарной опасности,огнестойкий, ВВГнг(A)-FRLSLTx, сечением: 4х6</t>
    </r>
    <r>
      <rPr>
        <i/>
        <sz val="10"/>
        <rFont val="Arial"/>
        <family val="2"/>
        <charset val="204"/>
      </rPr>
      <t xml:space="preserve">
40,78 = [480 / 1,22 /  9,84] +  2% Заг.скл</t>
    </r>
  </si>
  <si>
    <r>
      <t>Силовой кабель, с медной жилой, изоляцией и оболочкой из ПВХ пониженной пожарной опасности,огнестойкий, ВВГнг(A)-FRLSLTx, сечением: 4х4</t>
    </r>
    <r>
      <rPr>
        <i/>
        <sz val="10"/>
        <rFont val="Arial"/>
        <family val="2"/>
        <charset val="204"/>
      </rPr>
      <t xml:space="preserve">
27,85 = [327,75 / 1,22 /  9,84] +  2% Заг.скл</t>
    </r>
  </si>
  <si>
    <r>
      <t>Силовой кабель, с медной жилой, изоляцией и оболочкой из ПВХ пониженной пожарной опасности,огнестойкий, ВВГнг(A)-FRLSLTx, сечением: 4х1,5</t>
    </r>
    <r>
      <rPr>
        <i/>
        <sz val="10"/>
        <rFont val="Arial"/>
        <family val="2"/>
        <charset val="204"/>
      </rPr>
      <t xml:space="preserve">
15,94 = [187,65 / 1,22 /  9,84] +  2% Заг.скл</t>
    </r>
  </si>
  <si>
    <r>
      <t>Силовой кабель, с медной жилой, изоляцией и оболочкой из ПВХ пониженной пожарной опасности,огнестойкий, ВВГнг(A)-FRLSLTx, сечением: 3х4</t>
    </r>
    <r>
      <rPr>
        <i/>
        <sz val="10"/>
        <rFont val="Arial"/>
        <family val="2"/>
        <charset val="204"/>
      </rPr>
      <t xml:space="preserve">
21,25 = [250 / 1,22 /  9,84] +  2% Заг.скл</t>
    </r>
  </si>
  <si>
    <r>
      <t>Силовой кабель, с медной жилой, изоляцией и оболочкой из ПВХ, пониженной пожарной опасности, ВВГЭнг(A)-LSLTx, сечением 4х2,5</t>
    </r>
    <r>
      <rPr>
        <i/>
        <sz val="10"/>
        <rFont val="Arial"/>
        <family val="2"/>
        <charset val="204"/>
      </rPr>
      <t xml:space="preserve">
20,44 = [240,54 / 1,22 /  9,84] +  2% Заг.скл</t>
    </r>
  </si>
  <si>
    <r>
      <t>Силовой кабель, с медной жилой, изоляцией и оболочкой из ПВХ, пониженной пожарной опасности, ВВГЭнг(A)-LSLTx, сечением 4х1,5</t>
    </r>
    <r>
      <rPr>
        <i/>
        <sz val="10"/>
        <rFont val="Arial"/>
        <family val="2"/>
        <charset val="204"/>
      </rPr>
      <t xml:space="preserve">
13,99 = [164,65 / 1,22 /  9,84] +  2% Заг.скл</t>
    </r>
  </si>
  <si>
    <r>
      <t>Силовой кабель, с медной жилой, изоляцией и оболочкой из ПВХ, пониженной пожарной опасности, ВВГЭнг(A)-LSLTx, сечением 3х1,5</t>
    </r>
    <r>
      <rPr>
        <i/>
        <sz val="10"/>
        <rFont val="Arial"/>
        <family val="2"/>
        <charset val="204"/>
      </rPr>
      <t xml:space="preserve">
15,53 = [182,85 / 1,22 /  9,84] +  2% Заг.скл</t>
    </r>
  </si>
  <si>
    <r>
      <t>Контрольный кабель, с медной жилой, изоляцией и оболочкой из ПВХ пониженной пожарной опасности КВВГнг(A)-LSLTx, сечением 5х1</t>
    </r>
    <r>
      <rPr>
        <i/>
        <sz val="10"/>
        <rFont val="Arial"/>
        <family val="2"/>
        <charset val="204"/>
      </rPr>
      <t xml:space="preserve">
12,61 = [148,35 / 1,22 /  9,84] +  2% Заг.скл</t>
    </r>
  </si>
  <si>
    <r>
      <t>Контрольный кабель, с медной жилой, изоляцией и оболочкой из ПВХ пониженной пожарной опасности КВВГнг(A)-LSLTx, сечением 4х1</t>
    </r>
    <r>
      <rPr>
        <i/>
        <sz val="10"/>
        <rFont val="Arial"/>
        <family val="2"/>
        <charset val="204"/>
      </rPr>
      <t xml:space="preserve">
18,00 = [211,91 / 1,22 /  9,84] +  2% Заг.скл</t>
    </r>
  </si>
  <si>
    <r>
      <t>Силовой кабель, с медной жилой, изоляцией и оболочкой из ПВХ пониженной пожарной опасности,огнестойкий, КВВГнг(A)-FRLSLTx, сечением 5х1</t>
    </r>
    <r>
      <rPr>
        <i/>
        <sz val="10"/>
        <rFont val="Arial"/>
        <family val="2"/>
        <charset val="204"/>
      </rPr>
      <t xml:space="preserve">
28,02 = [329,76 / 1,22 /  9,84] +  2% Заг.скл</t>
    </r>
  </si>
  <si>
    <r>
      <t>Силовой кабель, с медной жилой, изоляцией и оболочкой из ПВХ пониженной пожарной опасности,огнестойкий, КВВГнг(A)-FRLSLTx, сечением 4х1</t>
    </r>
    <r>
      <rPr>
        <i/>
        <sz val="10"/>
        <rFont val="Arial"/>
        <family val="2"/>
        <charset val="204"/>
      </rPr>
      <t xml:space="preserve">
22,87 = [269,09 / 1,22 /  9,84] +  2% Заг.скл</t>
    </r>
  </si>
  <si>
    <r>
      <t>Проходка на кровлю Гусак ПГ1 100-1000 с опорной пластиной</t>
    </r>
    <r>
      <rPr>
        <i/>
        <sz val="10"/>
        <rFont val="Arial"/>
        <family val="2"/>
        <charset val="204"/>
      </rPr>
      <t xml:space="preserve">
670,80 = [7 895 / 1,22 /  9,84] +  2% Заг.скл</t>
    </r>
  </si>
  <si>
    <r>
      <t>Проходка на кровлю Гусак ПГ1 40-1000 с опорной пластиной</t>
    </r>
    <r>
      <rPr>
        <i/>
        <sz val="10"/>
        <rFont val="Arial"/>
        <family val="2"/>
        <charset val="204"/>
      </rPr>
      <t xml:space="preserve">
403,59 = [4 750 / 1,22 /  9,84] +  2% Заг.скл</t>
    </r>
  </si>
  <si>
    <r>
      <t>Проходка на кровлю Гусак ПГ1 32-1000 с опорной пластиной</t>
    </r>
    <r>
      <rPr>
        <i/>
        <sz val="10"/>
        <rFont val="Arial"/>
        <family val="2"/>
        <charset val="204"/>
      </rPr>
      <t xml:space="preserve">
373,85 = [4 400 / 1,22 /  9,84] +  2% Заг.скл</t>
    </r>
  </si>
  <si>
    <r>
      <t>Наконечник медный луженый ТМЛ 6–4–4 UNP41-006-03-04</t>
    </r>
    <r>
      <rPr>
        <i/>
        <sz val="10"/>
        <rFont val="Arial"/>
        <family val="2"/>
        <charset val="204"/>
      </rPr>
      <t xml:space="preserve">
2,04 = [24 / 1,22 /  9,84] +  2% Заг.скл</t>
    </r>
  </si>
  <si>
    <r>
      <t>Наконечник медный луженый ТМЛ 10–5–5 UNP41-010-05-05</t>
    </r>
    <r>
      <rPr>
        <i/>
        <sz val="10"/>
        <rFont val="Arial"/>
        <family val="2"/>
        <charset val="204"/>
      </rPr>
      <t xml:space="preserve">
5,08 = [59,78 / 1,22 /  9,84] +  2% Заг.скл</t>
    </r>
  </si>
  <si>
    <r>
      <t>П-образный профиль PSM, L500, толщ.2,5 мм BPM2905</t>
    </r>
    <r>
      <rPr>
        <i/>
        <sz val="10"/>
        <rFont val="Arial"/>
        <family val="2"/>
        <charset val="204"/>
      </rPr>
      <t xml:space="preserve">
43,17 = [508,01 / 1,22 /  9,84] +  2% Заг.скл</t>
    </r>
  </si>
  <si>
    <r>
      <t>Шпилька М8х1000 CM200801</t>
    </r>
    <r>
      <rPr>
        <i/>
        <sz val="10"/>
        <rFont val="Arial"/>
        <family val="2"/>
        <charset val="204"/>
      </rPr>
      <t xml:space="preserve">
21,54 = [253,55 / 1,22 /  9,84] +  2% Заг.скл</t>
    </r>
  </si>
  <si>
    <r>
      <t>Шайба с узкими полями М8 CM240800</t>
    </r>
    <r>
      <rPr>
        <i/>
        <sz val="10"/>
        <rFont val="Arial"/>
        <family val="2"/>
        <charset val="204"/>
      </rPr>
      <t xml:space="preserve">
0,36 = [4,21 / 1,22 /  9,84] +  2% Заг.скл</t>
    </r>
  </si>
  <si>
    <r>
      <t>Угол CPO 90 горизонтальный 90° 400х80 в комплекте с крепежными элементами и соединительными пластинами, необходимыми для монтажа 36026K</t>
    </r>
    <r>
      <rPr>
        <i/>
        <sz val="10"/>
        <rFont val="Arial"/>
        <family val="2"/>
        <charset val="204"/>
      </rPr>
      <t xml:space="preserve">
380,64 = [4 480 / 1,22 /  9,84] +  2% Заг.скл</t>
    </r>
  </si>
  <si>
    <r>
      <t>Угол CPO 90 горизонтальный 90° 400х50 в комплекте с крепежными элементами и соединительными пластинами, необходимыми для монтажа 36006K</t>
    </r>
    <r>
      <rPr>
        <i/>
        <sz val="10"/>
        <rFont val="Arial"/>
        <family val="2"/>
        <charset val="204"/>
      </rPr>
      <t xml:space="preserve">
337,96 = [3 977,61 / 1,22 /  9,84] +  2% Заг.скл</t>
    </r>
  </si>
  <si>
    <r>
      <t>Переходник RRD правосторонний 400/300 H50 в комплекте с крепежными элементами и соединительными пластинами, необходимыми для монтажа 36339K</t>
    </r>
    <r>
      <rPr>
        <i/>
        <sz val="10"/>
        <rFont val="Arial"/>
        <family val="2"/>
        <charset val="204"/>
      </rPr>
      <t xml:space="preserve">
317,35 = [3 735 / 1,22 /  9,84] +  2% Заг.скл</t>
    </r>
  </si>
  <si>
    <r>
      <t>Переходник RRD правосторонний 400/200 H50 в комплекте с крепежными элементами и соединительными пластинами, необходимыми для монтажа 36338K</t>
    </r>
    <r>
      <rPr>
        <i/>
        <sz val="10"/>
        <rFont val="Arial"/>
        <family val="2"/>
        <charset val="204"/>
      </rPr>
      <t xml:space="preserve">
329,50 = [3 878 / 1,22 /  9,84] +  2% Заг.скл</t>
    </r>
  </si>
  <si>
    <r>
      <t>Угол CPO 90 горизонтальный 90° 300х50 в комплекте с крепежными элементами и соединительными пластинами, необходимыми для монтажа 36005K</t>
    </r>
    <r>
      <rPr>
        <i/>
        <sz val="10"/>
        <rFont val="Arial"/>
        <family val="2"/>
        <charset val="204"/>
      </rPr>
      <t xml:space="preserve">
269,17 = [3 168 / 1,22 /  9,84] +  2% Заг.скл</t>
    </r>
  </si>
  <si>
    <r>
      <t>Переходник RRD правосторонний 300/200 H50 в комплекте с крепежными  элементами и соединительными пластинами, необходимыми для монтажа 36337K</t>
    </r>
    <r>
      <rPr>
        <i/>
        <sz val="10"/>
        <rFont val="Arial"/>
        <family val="2"/>
        <charset val="204"/>
      </rPr>
      <t xml:space="preserve">
269,17 = [3 168 / 1,22 /  9,84] +  2% Заг.скл</t>
    </r>
  </si>
  <si>
    <r>
      <t>Ответвитель DPT Т-образный горизонтальный 200х50 в комплекте с крепежными элементами и соединит. пластинами, необходимыми для монтажа 36124K</t>
    </r>
    <r>
      <rPr>
        <i/>
        <sz val="10"/>
        <rFont val="Arial"/>
        <family val="2"/>
        <charset val="204"/>
      </rPr>
      <t xml:space="preserve">
318,28 = [3 746 / 1,22 /  9,84] +  2% Заг.скл</t>
    </r>
  </si>
  <si>
    <r>
      <t>Угол CPO 90 горизонтальный 90° 200х50 в комплекте с крепежными элементами и соединительными пластинами, необходимыми для монтажа 36004K</t>
    </r>
    <r>
      <rPr>
        <i/>
        <sz val="10"/>
        <rFont val="Arial"/>
        <family val="2"/>
        <charset val="204"/>
      </rPr>
      <t xml:space="preserve">
212,24 = [2 498 / 1,22 /  9,84] +  2% Заг.скл</t>
    </r>
  </si>
  <si>
    <r>
      <t>Угол CPO 45 горизонтальный 45° 200х50 в комплекте с крепежными элементами и соединительными пластинами, необходимыми для монтажа 36064K</t>
    </r>
    <r>
      <rPr>
        <i/>
        <sz val="10"/>
        <rFont val="Arial"/>
        <family val="2"/>
        <charset val="204"/>
      </rPr>
      <t xml:space="preserve">
193,97 = [2 283 / 1,22 /  9,84] +  2% Заг.скл</t>
    </r>
  </si>
  <si>
    <r>
      <t>Переходник RRD правосторонний 200/100 H50 в комплекте с крепежными элементами и соединительными пластинами, необходимыми для монтажа 36333K</t>
    </r>
    <r>
      <rPr>
        <i/>
        <sz val="10"/>
        <rFont val="Arial"/>
        <family val="2"/>
        <charset val="204"/>
      </rPr>
      <t xml:space="preserve">
239,94 = [2 824 / 1,22 /  9,84] +  2% Заг.скл</t>
    </r>
  </si>
  <si>
    <r>
      <t>Скоба SPC под лоток осн.100 мм BMT1010</t>
    </r>
    <r>
      <rPr>
        <i/>
        <sz val="10"/>
        <rFont val="Arial"/>
        <family val="2"/>
        <charset val="204"/>
      </rPr>
      <t xml:space="preserve">
64,66 = [761 / 1,22 /  9,84] +  2% Заг.скл</t>
    </r>
  </si>
  <si>
    <r>
      <t>Анкер-шуруп для бетона с внутренней резьбой М8, 6x55 мм CM57080655</t>
    </r>
    <r>
      <rPr>
        <i/>
        <sz val="10"/>
        <rFont val="Arial"/>
        <family val="2"/>
        <charset val="204"/>
      </rPr>
      <t xml:space="preserve">
27,19 = [320 / 1,22 /  9,84] +  2% Заг.скл</t>
    </r>
  </si>
  <si>
    <r>
      <t>Ответвитель DPT Т-образный горизонтальный 100х50 в комплекте с крепежными элементами и соединит. пластинами, необходимыми для монтажа 36122K</t>
    </r>
    <r>
      <rPr>
        <i/>
        <sz val="10"/>
        <rFont val="Arial"/>
        <family val="2"/>
        <charset val="204"/>
      </rPr>
      <t xml:space="preserve">
279,62 = [3 291 / 1,22 /  9,84] +  2% Заг.скл</t>
    </r>
  </si>
  <si>
    <r>
      <t>Угол CPO 90 горизонтальный 90° 100х50 в комплекте с крепежными элементами и соединительными пластинами, необходимыми для монтажа 36002K</t>
    </r>
    <r>
      <rPr>
        <i/>
        <sz val="10"/>
        <rFont val="Arial"/>
        <family val="2"/>
        <charset val="204"/>
      </rPr>
      <t xml:space="preserve">
171,62 = [2 019,81 / 1,22 /  9,84] +  2% Заг.скл</t>
    </r>
  </si>
  <si>
    <r>
      <t>Угол CPO 45 горизонтальный 45° 100х50 в комплекте с крепежными элементами и соединительными пластинами, необходимыми для монтажа 36062K</t>
    </r>
    <r>
      <rPr>
        <i/>
        <sz val="10"/>
        <rFont val="Arial"/>
        <family val="2"/>
        <charset val="204"/>
      </rPr>
      <t xml:space="preserve">
172,66 = [2 032 / 1,22 /  9,84] +  2% Заг.скл</t>
    </r>
  </si>
  <si>
    <r>
      <t>Стандартный анкер с болтом М8 CM430850</t>
    </r>
    <r>
      <rPr>
        <i/>
        <sz val="10"/>
        <rFont val="Arial"/>
        <family val="2"/>
        <charset val="204"/>
      </rPr>
      <t xml:space="preserve">
11,56 = [136 / 1,22 /  9,84] +  2% Заг.скл</t>
    </r>
  </si>
  <si>
    <r>
      <t>Угол вертикальный внутренний 90 градусов 50х100, 1,5 мм, в комплекте с крепежными элементами и соединительными пластинами, необходимыми для монтажа SIM510K</t>
    </r>
    <r>
      <rPr>
        <i/>
        <sz val="10"/>
        <rFont val="Arial"/>
        <family val="2"/>
        <charset val="204"/>
      </rPr>
      <t xml:space="preserve">
208,17 = [2 450 / 1,22 /  9,84] +  2% Заг.скл</t>
    </r>
  </si>
  <si>
    <r>
      <t>Угол вертикальный внешний 90 градусов 50х100, 1,5 мм, в комплекте с крепежными элементами и соединительными пластинами, необходимыми для монтажа SOM510K</t>
    </r>
    <r>
      <rPr>
        <i/>
        <sz val="10"/>
        <rFont val="Arial"/>
        <family val="2"/>
        <charset val="204"/>
      </rPr>
      <t xml:space="preserve">
345,64 = [4 068 / 1,22 /  9,84] +  2% Заг.скл</t>
    </r>
  </si>
  <si>
    <r>
      <t>ZANDZ Зажим к молниеприёмнику D42 мм для токоотводов (нержавеющая сталь) ZZ-202-002</t>
    </r>
    <r>
      <rPr>
        <i/>
        <sz val="10"/>
        <rFont val="Arial"/>
        <family val="2"/>
        <charset val="204"/>
      </rPr>
      <t xml:space="preserve">
348,42 = [4 100,75 / 1,22 /  9,84] +  2% Заг.скл</t>
    </r>
  </si>
  <si>
    <r>
      <t>Проволока ZANDZ стальная оцинкованная (D 8 мм / S 50 мм?; бухта 125 м) ZZ-502-008-125</t>
    </r>
    <r>
      <rPr>
        <i/>
        <sz val="10"/>
        <rFont val="Arial"/>
        <family val="2"/>
        <charset val="204"/>
      </rPr>
      <t xml:space="preserve">
10,17 = [119,7 / 1,22 /  9,84] +  2% Заг.скл</t>
    </r>
  </si>
  <si>
    <r>
      <t>Держатель для круглого проводника с возвышением 20 мм (D8-10; внутренняя резьба M6; толщина цинк. покрытия &gt; 30 мкм) ZZ-202-003</t>
    </r>
    <r>
      <rPr>
        <i/>
        <sz val="10"/>
        <rFont val="Arial"/>
        <family val="2"/>
        <charset val="204"/>
      </rPr>
      <t xml:space="preserve">
14,70 = [173 / 1,22 /  9,84] +  2% Заг.скл</t>
    </r>
  </si>
  <si>
    <r>
      <t>Зажим ZANDZ для круглого проводника универсальный (D6-10 мм; оцинкованная сталь) ZZ-202-021</t>
    </r>
    <r>
      <rPr>
        <i/>
        <sz val="10"/>
        <rFont val="Arial"/>
        <family val="2"/>
        <charset val="204"/>
      </rPr>
      <t xml:space="preserve">
22,43 = [264 / 1,22 /  9,84] +  2% Заг.скл</t>
    </r>
  </si>
  <si>
    <r>
      <t>Зажим ZANDZ для круглого проводника и полосы (D6-10 мм; до 50х6; оцинкованная сталь) ZZ-202-023</t>
    </r>
    <r>
      <rPr>
        <i/>
        <sz val="10"/>
        <rFont val="Arial"/>
        <family val="2"/>
        <charset val="204"/>
      </rPr>
      <t xml:space="preserve">
43,50 = [512 / 1,22 /  9,84] +  2% Заг.скл</t>
    </r>
  </si>
  <si>
    <r>
      <t>Держатель с крестовой фиксацией круглого проводника на плоской кровле ZZ-202-005</t>
    </r>
    <r>
      <rPr>
        <i/>
        <sz val="10"/>
        <rFont val="Arial"/>
        <family val="2"/>
        <charset val="204"/>
      </rPr>
      <t xml:space="preserve">
10,11 = [119 / 1,22 /  9,84] +  2% Заг.скл</t>
    </r>
  </si>
  <si>
    <r>
      <t>Коробка с шиной заземления (КУП) КУП2603- И</t>
    </r>
    <r>
      <rPr>
        <i/>
        <sz val="10"/>
        <rFont val="Arial"/>
        <family val="2"/>
        <charset val="204"/>
      </rPr>
      <t xml:space="preserve">
28,89 = [340 / 1,22 /  9,84] +  2% Заг.скл</t>
    </r>
  </si>
  <si>
    <r>
      <t>Провод ж/з цвета 4мм ПуГВнг(А)-LSLTX</t>
    </r>
    <r>
      <rPr>
        <i/>
        <sz val="10"/>
        <rFont val="Arial"/>
        <family val="2"/>
        <charset val="204"/>
      </rPr>
      <t xml:space="preserve">
5,80 = [68,32 / 1,22 /  9,84] +  2% Заг.скл</t>
    </r>
  </si>
  <si>
    <r>
      <t>Провод ж/з цвета 6мм ПуГВнг(А)-LSLTX</t>
    </r>
    <r>
      <rPr>
        <i/>
        <sz val="10"/>
        <rFont val="Arial"/>
        <family val="2"/>
        <charset val="204"/>
      </rPr>
      <t xml:space="preserve">
8,32 = [98 / 1,22 /  9,84] +  2% Заг.скл</t>
    </r>
  </si>
  <si>
    <r>
      <t>Провод ж/з цвета 25мм ПуГВнг(А)-LSLTX</t>
    </r>
    <r>
      <rPr>
        <i/>
        <sz val="10"/>
        <rFont val="Arial"/>
        <family val="2"/>
        <charset val="204"/>
      </rPr>
      <t xml:space="preserve">
34,16 = [401,99 / 1,22 /  9,84] +  2% Заг.скл</t>
    </r>
  </si>
  <si>
    <r>
      <t>Наконечник кабельный медный луженый ТМЛ 6–6–4 UNP41-006-06-04</t>
    </r>
    <r>
      <rPr>
        <i/>
        <sz val="10"/>
        <rFont val="Arial"/>
        <family val="2"/>
        <charset val="204"/>
      </rPr>
      <t xml:space="preserve">
1,84 = [21,66 / 1,22 /  9,84] +  2% Заг.скл</t>
    </r>
  </si>
  <si>
    <r>
      <t>Наконечник кабельный медный луженый UNP41-025-10-08</t>
    </r>
    <r>
      <rPr>
        <i/>
        <sz val="10"/>
        <rFont val="Arial"/>
        <family val="2"/>
        <charset val="204"/>
      </rPr>
      <t xml:space="preserve">
8,76 = [103,09 / 1,22 /  9,84] +  2% Заг.скл</t>
    </r>
  </si>
  <si>
    <t>Анализ МГЭ, цена за ед., с нДС</t>
  </si>
  <si>
    <t>Согласовано</t>
  </si>
  <si>
    <t>ед.изм привести в соответ с ПД</t>
  </si>
  <si>
    <t>кол-во привести в соответ</t>
  </si>
  <si>
    <t>ед изм привести в соответ с ПД</t>
  </si>
  <si>
    <t>Замечания МГЭ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</si>
</sst>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 #,##0.00"/>
  </numFmts>
  <fonts count="9" x14ac:knownFonts="1">
    <font>
      <sz val="10"/>
      <name val="Arial"/>
      <charset val="204"/>
    </font>
    <font>
      <sz val="10"/>
      <name val="Arial"/>
      <family val="2"/>
      <charset val="204"/>
    </font>
    <font>
      <sz val="11"/>
      <name val="Arial"/>
      <family val="2"/>
      <charset val="204"/>
    </font>
    <font>
      <b/>
      <sz val="11"/>
      <name val="Arial"/>
      <family val="2"/>
      <charset val="204"/>
    </font>
    <font>
      <i/>
      <sz val="11"/>
      <name val="Arial"/>
      <family val="2"/>
      <charset val="204"/>
    </font>
    <font>
      <i/>
      <sz val="10"/>
      <name val="Arial"/>
      <family val="2"/>
      <charset val="204"/>
    </font>
    <font>
      <sz val="10"/>
      <color rgb="FFFF0000"/>
      <name val="Arial"/>
      <family val="2"/>
      <charset val="204"/>
    </font>
    <font>
      <i/>
      <sz val="11"/>
      <color rgb="FFFF0000"/>
      <name val="Arial"/>
      <family val="2"/>
      <charset val="204"/>
    </font>
    <font>
      <sz val="11"/>
      <color rgb="FFFF0000"/>
      <name val="Arial"/>
      <family val="2"/>
      <charset val="20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15">
    <xf numFmtId="0" fontId="0" fillId="0" borderId="0" xfId="0"/>
    <xf numFmtId="0" fontId="3" fillId="0" borderId="1" xfId="0" applyFont="1" applyFill="1" applyBorder="1" applyAlignment="1">
      <alignment horizontal="center" vertical="center" wrapText="1"/>
    </xf>
    <xf numFmtId="4" fontId="0" fillId="0" borderId="1" xfId="0" applyNumberFormat="1" applyBorder="1" applyAlignment="1">
      <alignment horizontal="center" vertical="center"/>
    </xf>
    <xf numFmtId="4" fontId="1" fillId="0" borderId="1" xfId="0" applyNumberFormat="1" applyFont="1" applyBorder="1" applyAlignment="1">
      <alignment horizontal="center" vertical="center"/>
    </xf>
    <xf numFmtId="0" fontId="0" fillId="0" borderId="0" xfId="0" applyFill="1"/>
    <xf numFmtId="0" fontId="6" fillId="0" borderId="0" xfId="0" applyFont="1" applyFill="1" applyAlignment="1">
      <alignment wrapText="1"/>
    </xf>
    <xf numFmtId="0" fontId="8"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164" fontId="2" fillId="0" borderId="1" xfId="0" applyNumberFormat="1" applyFont="1" applyFill="1" applyBorder="1" applyAlignment="1">
      <alignment horizontal="center" vertical="center"/>
    </xf>
    <xf numFmtId="0" fontId="2" fillId="0" borderId="2" xfId="0" applyFont="1" applyFill="1" applyBorder="1" applyAlignment="1">
      <alignment horizontal="center" vertical="center" wrapText="1"/>
    </xf>
    <xf numFmtId="0" fontId="8" fillId="0" borderId="1" xfId="0" applyFont="1" applyFill="1" applyBorder="1" applyAlignment="1">
      <alignment horizontal="center" vertical="center"/>
    </xf>
    <xf numFmtId="0" fontId="0" fillId="0" borderId="0" xfId="0" applyFill="1" applyAlignment="1">
      <alignment horizontal="center" vertical="center"/>
    </xf>
    <xf numFmtId="0" fontId="7" fillId="0" borderId="1" xfId="0" applyFont="1" applyFill="1" applyBorder="1" applyAlignment="1">
      <alignment horizontal="center" vertical="center" wrapText="1"/>
    </xf>
  </cellXfs>
  <cellStyles count="2">
    <cellStyle name="Обычный" xfId="0" builtinId="0"/>
    <cellStyle name="Обычный 4" xfId="1" xr:uid="{F8C5F738-BF21-4491-A2EE-BE762146DAFF}"/>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77D2-99E0-4709-A2A2-6A890026CB7A}">
  <dimension ref="A1:M117"/>
  <sheetViews>
    <sheetView tabSelected="1" zoomScale="70" zoomScaleNormal="70" workbookViewId="0">
      <selection activeCell="P1" sqref="P1"/>
    </sheetView>
  </sheetViews>
  <sheetFormatPr defaultRowHeight="12.5" x14ac:dyDescent="0.25"/>
  <cols>
    <col min="1" max="2" width="8.7265625" style="13"/>
    <col min="3" max="3" width="31.08984375" style="13" customWidth="1"/>
    <col min="4" max="8" width="8.7265625" style="13"/>
    <col min="9" max="9" width="11.81640625" style="13" customWidth="1"/>
    <col min="10" max="10" width="8.7265625" style="13"/>
    <col min="11" max="11" width="12.54296875" style="13" customWidth="1"/>
    <col min="12" max="12" width="16.1796875" customWidth="1"/>
    <col min="13" max="13" width="10.7265625" customWidth="1"/>
  </cols>
  <sheetData>
    <row r="1" spans="1:13" ht="126" x14ac:dyDescent="0.25">
      <c r="A1" s="7" t="s">
        <v>106</v>
      </c>
      <c r="B1" s="7" t="s">
        <v>107</v>
      </c>
      <c r="C1" s="7" t="s">
        <v>108</v>
      </c>
      <c r="D1" s="7" t="s">
        <v>109</v>
      </c>
      <c r="E1" s="7" t="s">
        <v>110</v>
      </c>
      <c r="F1" s="7" t="s">
        <v>111</v>
      </c>
      <c r="G1" s="11" t="s">
        <v>112</v>
      </c>
      <c r="H1" s="11" t="s">
        <v>113</v>
      </c>
      <c r="I1" s="7" t="s">
        <v>116</v>
      </c>
      <c r="J1" s="7" t="s">
        <v>114</v>
      </c>
      <c r="K1" s="7" t="s">
        <v>115</v>
      </c>
      <c r="L1" s="1" t="s">
        <v>221</v>
      </c>
      <c r="M1" s="6" t="s">
        <v>226</v>
      </c>
    </row>
    <row r="2" spans="1:13" ht="180" x14ac:dyDescent="0.25">
      <c r="A2" s="7">
        <v>87</v>
      </c>
      <c r="B2" s="7" t="s">
        <v>1</v>
      </c>
      <c r="C2" s="7" t="s">
        <v>117</v>
      </c>
      <c r="D2" s="8" t="s">
        <v>0</v>
      </c>
      <c r="E2" s="9">
        <v>6</v>
      </c>
      <c r="F2" s="10">
        <v>965.80000000000007</v>
      </c>
      <c r="G2" s="7"/>
      <c r="H2" s="9">
        <v>1</v>
      </c>
      <c r="I2" s="10">
        <v>5794.8</v>
      </c>
      <c r="J2" s="9">
        <v>9.84</v>
      </c>
      <c r="K2" s="10">
        <v>57020.83</v>
      </c>
      <c r="L2" s="3" t="s">
        <v>222</v>
      </c>
      <c r="M2" s="4"/>
    </row>
    <row r="3" spans="1:13" ht="166" x14ac:dyDescent="0.25">
      <c r="A3" s="7">
        <v>88</v>
      </c>
      <c r="B3" s="7" t="s">
        <v>2</v>
      </c>
      <c r="C3" s="7" t="s">
        <v>118</v>
      </c>
      <c r="D3" s="8" t="s">
        <v>0</v>
      </c>
      <c r="E3" s="9">
        <v>2</v>
      </c>
      <c r="F3" s="10">
        <v>606.66</v>
      </c>
      <c r="G3" s="7"/>
      <c r="H3" s="9">
        <v>1</v>
      </c>
      <c r="I3" s="10">
        <v>1213.32</v>
      </c>
      <c r="J3" s="9">
        <v>9.84</v>
      </c>
      <c r="K3" s="10">
        <v>11939.07</v>
      </c>
      <c r="L3" s="2">
        <v>5956</v>
      </c>
      <c r="M3" s="4"/>
    </row>
    <row r="4" spans="1:13" ht="180" x14ac:dyDescent="0.25">
      <c r="A4" s="7">
        <v>89</v>
      </c>
      <c r="B4" s="7" t="s">
        <v>3</v>
      </c>
      <c r="C4" s="7" t="s">
        <v>119</v>
      </c>
      <c r="D4" s="8" t="s">
        <v>0</v>
      </c>
      <c r="E4" s="9">
        <v>21</v>
      </c>
      <c r="F4" s="10">
        <v>788.65000000000009</v>
      </c>
      <c r="G4" s="7"/>
      <c r="H4" s="9">
        <v>1</v>
      </c>
      <c r="I4" s="10">
        <v>16561.650000000001</v>
      </c>
      <c r="J4" s="9">
        <v>9.84</v>
      </c>
      <c r="K4" s="10">
        <v>162966.64000000001</v>
      </c>
      <c r="L4" s="2">
        <v>7500</v>
      </c>
      <c r="M4" s="4"/>
    </row>
    <row r="5" spans="1:13" ht="236" x14ac:dyDescent="0.25">
      <c r="A5" s="7">
        <v>90</v>
      </c>
      <c r="B5" s="7" t="s">
        <v>4</v>
      </c>
      <c r="C5" s="7" t="s">
        <v>120</v>
      </c>
      <c r="D5" s="8" t="s">
        <v>0</v>
      </c>
      <c r="E5" s="9">
        <v>26</v>
      </c>
      <c r="F5" s="10">
        <v>3027.59</v>
      </c>
      <c r="G5" s="7"/>
      <c r="H5" s="9">
        <v>1</v>
      </c>
      <c r="I5" s="10">
        <v>78717.34</v>
      </c>
      <c r="J5" s="9">
        <v>9.84</v>
      </c>
      <c r="K5" s="10">
        <v>774578.63</v>
      </c>
      <c r="L5" s="3">
        <v>27950</v>
      </c>
      <c r="M5" s="4"/>
    </row>
    <row r="6" spans="1:13" ht="278" x14ac:dyDescent="0.25">
      <c r="A6" s="7">
        <v>91</v>
      </c>
      <c r="B6" s="7" t="s">
        <v>5</v>
      </c>
      <c r="C6" s="7" t="s">
        <v>121</v>
      </c>
      <c r="D6" s="8" t="s">
        <v>0</v>
      </c>
      <c r="E6" s="9">
        <v>25</v>
      </c>
      <c r="F6" s="10">
        <v>3935.87</v>
      </c>
      <c r="G6" s="7"/>
      <c r="H6" s="9">
        <v>1</v>
      </c>
      <c r="I6" s="10">
        <v>98396.75</v>
      </c>
      <c r="J6" s="9">
        <v>9.84</v>
      </c>
      <c r="K6" s="10">
        <v>968224.02</v>
      </c>
      <c r="L6" s="2">
        <v>35000</v>
      </c>
      <c r="M6" s="4"/>
    </row>
    <row r="7" spans="1:13" ht="264" x14ac:dyDescent="0.25">
      <c r="A7" s="7">
        <v>93</v>
      </c>
      <c r="B7" s="7" t="s">
        <v>6</v>
      </c>
      <c r="C7" s="7" t="s">
        <v>122</v>
      </c>
      <c r="D7" s="8" t="s">
        <v>0</v>
      </c>
      <c r="E7" s="9">
        <v>6</v>
      </c>
      <c r="F7" s="10">
        <v>2198.0699999999997</v>
      </c>
      <c r="G7" s="7"/>
      <c r="H7" s="9">
        <v>1</v>
      </c>
      <c r="I7" s="10">
        <v>13188.42</v>
      </c>
      <c r="J7" s="9">
        <v>9.84</v>
      </c>
      <c r="K7" s="10">
        <v>129774.05</v>
      </c>
      <c r="L7" s="3" t="s">
        <v>222</v>
      </c>
      <c r="M7" s="4"/>
    </row>
    <row r="8" spans="1:13" ht="306" x14ac:dyDescent="0.25">
      <c r="A8" s="7">
        <v>94</v>
      </c>
      <c r="B8" s="7" t="s">
        <v>7</v>
      </c>
      <c r="C8" s="7" t="s">
        <v>123</v>
      </c>
      <c r="D8" s="8" t="s">
        <v>0</v>
      </c>
      <c r="E8" s="9">
        <v>3</v>
      </c>
      <c r="F8" s="10">
        <v>2857.4900000000002</v>
      </c>
      <c r="G8" s="7"/>
      <c r="H8" s="9">
        <v>1</v>
      </c>
      <c r="I8" s="10">
        <v>8572.4699999999993</v>
      </c>
      <c r="J8" s="9">
        <v>9.84</v>
      </c>
      <c r="K8" s="10">
        <v>84353.1</v>
      </c>
      <c r="L8" s="2">
        <v>32300</v>
      </c>
      <c r="M8" s="4"/>
    </row>
    <row r="9" spans="1:13" ht="236" x14ac:dyDescent="0.25">
      <c r="A9" s="7">
        <v>95</v>
      </c>
      <c r="B9" s="7" t="s">
        <v>8</v>
      </c>
      <c r="C9" s="7" t="s">
        <v>124</v>
      </c>
      <c r="D9" s="8" t="s">
        <v>0</v>
      </c>
      <c r="E9" s="9">
        <v>62</v>
      </c>
      <c r="F9" s="10">
        <v>1831.7</v>
      </c>
      <c r="G9" s="7"/>
      <c r="H9" s="9">
        <v>1</v>
      </c>
      <c r="I9" s="10">
        <v>113565.4</v>
      </c>
      <c r="J9" s="9">
        <v>9.84</v>
      </c>
      <c r="K9" s="10">
        <v>1117483.54</v>
      </c>
      <c r="L9" s="3" t="s">
        <v>222</v>
      </c>
      <c r="M9" s="4"/>
    </row>
    <row r="10" spans="1:13" ht="278" x14ac:dyDescent="0.25">
      <c r="A10" s="7">
        <v>96</v>
      </c>
      <c r="B10" s="7" t="s">
        <v>9</v>
      </c>
      <c r="C10" s="7" t="s">
        <v>125</v>
      </c>
      <c r="D10" s="8" t="s">
        <v>0</v>
      </c>
      <c r="E10" s="9">
        <v>17</v>
      </c>
      <c r="F10" s="10">
        <v>2381.21</v>
      </c>
      <c r="G10" s="7"/>
      <c r="H10" s="9">
        <v>1</v>
      </c>
      <c r="I10" s="10">
        <v>40480.57</v>
      </c>
      <c r="J10" s="9">
        <v>9.84</v>
      </c>
      <c r="K10" s="10">
        <v>398328.81</v>
      </c>
      <c r="L10" s="2">
        <v>25950</v>
      </c>
      <c r="M10" s="4"/>
    </row>
    <row r="11" spans="1:13" ht="236" x14ac:dyDescent="0.25">
      <c r="A11" s="7">
        <v>97</v>
      </c>
      <c r="B11" s="7" t="s">
        <v>10</v>
      </c>
      <c r="C11" s="7" t="s">
        <v>126</v>
      </c>
      <c r="D11" s="8" t="s">
        <v>0</v>
      </c>
      <c r="E11" s="9">
        <v>63</v>
      </c>
      <c r="F11" s="10">
        <v>1831.7</v>
      </c>
      <c r="G11" s="7"/>
      <c r="H11" s="9">
        <v>1</v>
      </c>
      <c r="I11" s="10">
        <v>115397.1</v>
      </c>
      <c r="J11" s="9">
        <v>9.84</v>
      </c>
      <c r="K11" s="10">
        <v>1135507.46</v>
      </c>
      <c r="L11" s="3">
        <v>19830</v>
      </c>
      <c r="M11" s="4"/>
    </row>
    <row r="12" spans="1:13" ht="292" x14ac:dyDescent="0.25">
      <c r="A12" s="7">
        <v>98</v>
      </c>
      <c r="B12" s="7" t="s">
        <v>11</v>
      </c>
      <c r="C12" s="7" t="s">
        <v>127</v>
      </c>
      <c r="D12" s="8" t="s">
        <v>0</v>
      </c>
      <c r="E12" s="9">
        <v>20</v>
      </c>
      <c r="F12" s="10">
        <v>2381.21</v>
      </c>
      <c r="G12" s="7"/>
      <c r="H12" s="9">
        <v>1</v>
      </c>
      <c r="I12" s="10">
        <v>47624.2</v>
      </c>
      <c r="J12" s="9">
        <v>9.84</v>
      </c>
      <c r="K12" s="10">
        <v>468622.13</v>
      </c>
      <c r="L12" s="2">
        <v>22870</v>
      </c>
      <c r="M12" s="4"/>
    </row>
    <row r="13" spans="1:13" ht="250" x14ac:dyDescent="0.25">
      <c r="A13" s="7">
        <v>99</v>
      </c>
      <c r="B13" s="7" t="s">
        <v>12</v>
      </c>
      <c r="C13" s="7" t="s">
        <v>128</v>
      </c>
      <c r="D13" s="8" t="s">
        <v>0</v>
      </c>
      <c r="E13" s="9">
        <v>13</v>
      </c>
      <c r="F13" s="10">
        <v>1831.7</v>
      </c>
      <c r="G13" s="7"/>
      <c r="H13" s="9">
        <v>1</v>
      </c>
      <c r="I13" s="10">
        <v>23812.1</v>
      </c>
      <c r="J13" s="9">
        <v>9.84</v>
      </c>
      <c r="K13" s="10">
        <v>234311.06</v>
      </c>
      <c r="L13" s="3">
        <v>19830</v>
      </c>
      <c r="M13" s="4"/>
    </row>
    <row r="14" spans="1:13" ht="306" x14ac:dyDescent="0.25">
      <c r="A14" s="7">
        <v>100</v>
      </c>
      <c r="B14" s="7" t="s">
        <v>13</v>
      </c>
      <c r="C14" s="7" t="s">
        <v>129</v>
      </c>
      <c r="D14" s="8" t="s">
        <v>0</v>
      </c>
      <c r="E14" s="9">
        <v>3</v>
      </c>
      <c r="F14" s="10">
        <v>2381.21</v>
      </c>
      <c r="G14" s="7"/>
      <c r="H14" s="9">
        <v>1</v>
      </c>
      <c r="I14" s="10">
        <v>7143.63</v>
      </c>
      <c r="J14" s="9">
        <v>9.84</v>
      </c>
      <c r="K14" s="10">
        <v>70293.320000000007</v>
      </c>
      <c r="L14" s="2">
        <v>22870</v>
      </c>
      <c r="M14" s="4"/>
    </row>
    <row r="15" spans="1:13" ht="236" x14ac:dyDescent="0.25">
      <c r="A15" s="7">
        <v>101</v>
      </c>
      <c r="B15" s="7" t="s">
        <v>14</v>
      </c>
      <c r="C15" s="7" t="s">
        <v>130</v>
      </c>
      <c r="D15" s="8" t="s">
        <v>0</v>
      </c>
      <c r="E15" s="9">
        <v>19</v>
      </c>
      <c r="F15" s="10">
        <v>1661.76</v>
      </c>
      <c r="G15" s="7"/>
      <c r="H15" s="9">
        <v>1</v>
      </c>
      <c r="I15" s="10">
        <v>31573.439999999999</v>
      </c>
      <c r="J15" s="9">
        <v>9.84</v>
      </c>
      <c r="K15" s="10">
        <v>310682.65000000002</v>
      </c>
      <c r="L15" s="3" t="s">
        <v>222</v>
      </c>
      <c r="M15" s="4"/>
    </row>
    <row r="16" spans="1:13" ht="194" x14ac:dyDescent="0.25">
      <c r="A16" s="7">
        <v>103</v>
      </c>
      <c r="B16" s="7" t="s">
        <v>15</v>
      </c>
      <c r="C16" s="7" t="s">
        <v>131</v>
      </c>
      <c r="D16" s="8" t="s">
        <v>0</v>
      </c>
      <c r="E16" s="9">
        <v>48</v>
      </c>
      <c r="F16" s="10">
        <v>1308.99</v>
      </c>
      <c r="G16" s="7"/>
      <c r="H16" s="9">
        <v>1</v>
      </c>
      <c r="I16" s="10">
        <v>62831.519999999997</v>
      </c>
      <c r="J16" s="9">
        <v>9.84</v>
      </c>
      <c r="K16" s="10">
        <v>618262.16</v>
      </c>
      <c r="L16" s="3" t="s">
        <v>222</v>
      </c>
      <c r="M16" s="4"/>
    </row>
    <row r="17" spans="1:13" ht="208" x14ac:dyDescent="0.25">
      <c r="A17" s="7">
        <v>104</v>
      </c>
      <c r="B17" s="7" t="s">
        <v>16</v>
      </c>
      <c r="C17" s="7" t="s">
        <v>132</v>
      </c>
      <c r="D17" s="8" t="s">
        <v>0</v>
      </c>
      <c r="E17" s="9">
        <v>10</v>
      </c>
      <c r="F17" s="10">
        <v>1701.6899999999998</v>
      </c>
      <c r="G17" s="7"/>
      <c r="H17" s="9">
        <v>1</v>
      </c>
      <c r="I17" s="10">
        <v>17016.900000000001</v>
      </c>
      <c r="J17" s="9">
        <v>9.84</v>
      </c>
      <c r="K17" s="10">
        <v>167446.29999999999</v>
      </c>
      <c r="L17" s="2">
        <v>17710</v>
      </c>
      <c r="M17" s="4"/>
    </row>
    <row r="18" spans="1:13" ht="222" x14ac:dyDescent="0.25">
      <c r="A18" s="7">
        <v>105</v>
      </c>
      <c r="B18" s="7" t="s">
        <v>17</v>
      </c>
      <c r="C18" s="7" t="s">
        <v>133</v>
      </c>
      <c r="D18" s="8" t="s">
        <v>0</v>
      </c>
      <c r="E18" s="9">
        <v>360</v>
      </c>
      <c r="F18" s="10">
        <v>852.21</v>
      </c>
      <c r="G18" s="7"/>
      <c r="H18" s="9">
        <v>1</v>
      </c>
      <c r="I18" s="10">
        <v>306795.59999999998</v>
      </c>
      <c r="J18" s="9">
        <v>9.84</v>
      </c>
      <c r="K18" s="10">
        <v>3018868.7</v>
      </c>
      <c r="L18" s="3" t="s">
        <v>222</v>
      </c>
      <c r="M18" s="4"/>
    </row>
    <row r="19" spans="1:13" ht="236" x14ac:dyDescent="0.25">
      <c r="A19" s="7">
        <v>106</v>
      </c>
      <c r="B19" s="7" t="s">
        <v>18</v>
      </c>
      <c r="C19" s="7" t="s">
        <v>134</v>
      </c>
      <c r="D19" s="8" t="s">
        <v>0</v>
      </c>
      <c r="E19" s="9">
        <v>56</v>
      </c>
      <c r="F19" s="10">
        <v>1107.8700000000001</v>
      </c>
      <c r="G19" s="7"/>
      <c r="H19" s="9">
        <v>1</v>
      </c>
      <c r="I19" s="10">
        <v>62040.72</v>
      </c>
      <c r="J19" s="9">
        <v>9.84</v>
      </c>
      <c r="K19" s="10">
        <v>610480.68000000005</v>
      </c>
      <c r="L19" s="2">
        <v>11700</v>
      </c>
      <c r="M19" s="4"/>
    </row>
    <row r="20" spans="1:13" ht="180" x14ac:dyDescent="0.25">
      <c r="A20" s="7">
        <v>107</v>
      </c>
      <c r="B20" s="7" t="s">
        <v>19</v>
      </c>
      <c r="C20" s="7" t="s">
        <v>135</v>
      </c>
      <c r="D20" s="8" t="s">
        <v>0</v>
      </c>
      <c r="E20" s="9">
        <v>15</v>
      </c>
      <c r="F20" s="10">
        <v>1284.01</v>
      </c>
      <c r="G20" s="7"/>
      <c r="H20" s="9">
        <v>1</v>
      </c>
      <c r="I20" s="10">
        <v>19260.150000000001</v>
      </c>
      <c r="J20" s="9">
        <v>9.84</v>
      </c>
      <c r="K20" s="10">
        <v>189519.88</v>
      </c>
      <c r="L20" s="2">
        <v>13000</v>
      </c>
      <c r="M20" s="4"/>
    </row>
    <row r="21" spans="1:13" ht="208" x14ac:dyDescent="0.25">
      <c r="A21" s="7">
        <v>108</v>
      </c>
      <c r="B21" s="7" t="s">
        <v>20</v>
      </c>
      <c r="C21" s="7" t="s">
        <v>136</v>
      </c>
      <c r="D21" s="8" t="s">
        <v>0</v>
      </c>
      <c r="E21" s="9">
        <v>2</v>
      </c>
      <c r="F21" s="10">
        <v>1669.21</v>
      </c>
      <c r="G21" s="7"/>
      <c r="H21" s="9">
        <v>1</v>
      </c>
      <c r="I21" s="10">
        <v>3338.42</v>
      </c>
      <c r="J21" s="9">
        <v>9.84</v>
      </c>
      <c r="K21" s="10">
        <v>32850.050000000003</v>
      </c>
      <c r="L21" s="2">
        <v>14710</v>
      </c>
      <c r="M21" s="4"/>
    </row>
    <row r="22" spans="1:13" ht="222" x14ac:dyDescent="0.25">
      <c r="A22" s="7">
        <v>110</v>
      </c>
      <c r="B22" s="7" t="s">
        <v>21</v>
      </c>
      <c r="C22" s="7" t="s">
        <v>137</v>
      </c>
      <c r="D22" s="8" t="s">
        <v>0</v>
      </c>
      <c r="E22" s="9">
        <v>28</v>
      </c>
      <c r="F22" s="10">
        <v>202.31</v>
      </c>
      <c r="G22" s="7"/>
      <c r="H22" s="9">
        <v>1</v>
      </c>
      <c r="I22" s="10">
        <v>5664.68</v>
      </c>
      <c r="J22" s="9">
        <v>9.84</v>
      </c>
      <c r="K22" s="10">
        <v>55740.45</v>
      </c>
      <c r="L22" s="3" t="s">
        <v>222</v>
      </c>
      <c r="M22" s="4"/>
    </row>
    <row r="23" spans="1:13" ht="250" x14ac:dyDescent="0.25">
      <c r="A23" s="7">
        <v>111</v>
      </c>
      <c r="B23" s="7" t="s">
        <v>22</v>
      </c>
      <c r="C23" s="7" t="s">
        <v>138</v>
      </c>
      <c r="D23" s="8" t="s">
        <v>0</v>
      </c>
      <c r="E23" s="9">
        <v>11</v>
      </c>
      <c r="F23" s="10">
        <v>263</v>
      </c>
      <c r="G23" s="7"/>
      <c r="H23" s="9">
        <v>1</v>
      </c>
      <c r="I23" s="10">
        <v>2893</v>
      </c>
      <c r="J23" s="9">
        <v>9.84</v>
      </c>
      <c r="K23" s="10">
        <v>28467.119999999999</v>
      </c>
      <c r="L23" s="2">
        <v>2610</v>
      </c>
      <c r="M23" s="4"/>
    </row>
    <row r="24" spans="1:13" ht="250" x14ac:dyDescent="0.25">
      <c r="A24" s="7">
        <v>112</v>
      </c>
      <c r="B24" s="7" t="s">
        <v>23</v>
      </c>
      <c r="C24" s="7" t="s">
        <v>139</v>
      </c>
      <c r="D24" s="8" t="s">
        <v>0</v>
      </c>
      <c r="E24" s="9">
        <v>100</v>
      </c>
      <c r="F24" s="10">
        <v>242.82999999999998</v>
      </c>
      <c r="G24" s="7"/>
      <c r="H24" s="9">
        <v>1</v>
      </c>
      <c r="I24" s="10">
        <v>24283</v>
      </c>
      <c r="J24" s="9">
        <v>9.84</v>
      </c>
      <c r="K24" s="10">
        <v>238944.72</v>
      </c>
      <c r="L24" s="3" t="s">
        <v>222</v>
      </c>
      <c r="M24" s="4"/>
    </row>
    <row r="25" spans="1:13" ht="264" x14ac:dyDescent="0.25">
      <c r="A25" s="7">
        <v>113</v>
      </c>
      <c r="B25" s="7" t="s">
        <v>24</v>
      </c>
      <c r="C25" s="7" t="s">
        <v>140</v>
      </c>
      <c r="D25" s="8" t="s">
        <v>0</v>
      </c>
      <c r="E25" s="9">
        <v>14</v>
      </c>
      <c r="F25" s="10">
        <v>315.68</v>
      </c>
      <c r="G25" s="7"/>
      <c r="H25" s="9">
        <v>1</v>
      </c>
      <c r="I25" s="10">
        <v>4419.5200000000004</v>
      </c>
      <c r="J25" s="9">
        <v>9.84</v>
      </c>
      <c r="K25" s="10">
        <v>43488.08</v>
      </c>
      <c r="L25" s="2">
        <v>3190</v>
      </c>
      <c r="M25" s="4"/>
    </row>
    <row r="26" spans="1:13" ht="250" x14ac:dyDescent="0.25">
      <c r="A26" s="7">
        <v>114</v>
      </c>
      <c r="B26" s="7" t="s">
        <v>25</v>
      </c>
      <c r="C26" s="7" t="s">
        <v>141</v>
      </c>
      <c r="D26" s="8" t="s">
        <v>0</v>
      </c>
      <c r="E26" s="9">
        <v>64</v>
      </c>
      <c r="F26" s="10">
        <v>242.82999999999998</v>
      </c>
      <c r="G26" s="7"/>
      <c r="H26" s="9">
        <v>1</v>
      </c>
      <c r="I26" s="10">
        <v>15541.12</v>
      </c>
      <c r="J26" s="9">
        <v>9.84</v>
      </c>
      <c r="K26" s="10">
        <v>152924.62</v>
      </c>
      <c r="L26" s="3" t="s">
        <v>222</v>
      </c>
      <c r="M26" s="4"/>
    </row>
    <row r="27" spans="1:13" ht="110" x14ac:dyDescent="0.25">
      <c r="A27" s="7">
        <v>116</v>
      </c>
      <c r="B27" s="7" t="s">
        <v>26</v>
      </c>
      <c r="C27" s="7" t="s">
        <v>142</v>
      </c>
      <c r="D27" s="8" t="s">
        <v>0</v>
      </c>
      <c r="E27" s="9">
        <v>82</v>
      </c>
      <c r="F27" s="10">
        <v>761.72</v>
      </c>
      <c r="G27" s="7"/>
      <c r="H27" s="9">
        <v>1</v>
      </c>
      <c r="I27" s="10">
        <v>62461.04</v>
      </c>
      <c r="J27" s="9">
        <v>9.84</v>
      </c>
      <c r="K27" s="10">
        <v>614616.63</v>
      </c>
      <c r="L27" s="3" t="s">
        <v>222</v>
      </c>
      <c r="M27" s="4"/>
    </row>
    <row r="28" spans="1:13" ht="152" x14ac:dyDescent="0.25">
      <c r="A28" s="7">
        <v>117</v>
      </c>
      <c r="B28" s="7" t="s">
        <v>27</v>
      </c>
      <c r="C28" s="7" t="s">
        <v>143</v>
      </c>
      <c r="D28" s="8" t="s">
        <v>0</v>
      </c>
      <c r="E28" s="9">
        <v>40</v>
      </c>
      <c r="F28" s="10">
        <v>990.24</v>
      </c>
      <c r="G28" s="7"/>
      <c r="H28" s="9">
        <v>1</v>
      </c>
      <c r="I28" s="10">
        <v>39609.599999999999</v>
      </c>
      <c r="J28" s="9">
        <v>9.84</v>
      </c>
      <c r="K28" s="10">
        <v>389758.46</v>
      </c>
      <c r="L28" s="2">
        <v>10200</v>
      </c>
      <c r="M28" s="4"/>
    </row>
    <row r="29" spans="1:13" ht="320" x14ac:dyDescent="0.25">
      <c r="A29" s="7">
        <v>118</v>
      </c>
      <c r="B29" s="7" t="s">
        <v>28</v>
      </c>
      <c r="C29" s="7" t="s">
        <v>144</v>
      </c>
      <c r="D29" s="8" t="s">
        <v>0</v>
      </c>
      <c r="E29" s="9">
        <v>24</v>
      </c>
      <c r="F29" s="10">
        <v>2408.63</v>
      </c>
      <c r="G29" s="7"/>
      <c r="H29" s="9">
        <v>1</v>
      </c>
      <c r="I29" s="10">
        <v>57807.12</v>
      </c>
      <c r="J29" s="9">
        <v>9.84</v>
      </c>
      <c r="K29" s="10">
        <v>568822.06000000006</v>
      </c>
      <c r="L29" s="3">
        <v>25125</v>
      </c>
      <c r="M29" s="4"/>
    </row>
    <row r="30" spans="1:13" ht="222" x14ac:dyDescent="0.25">
      <c r="A30" s="7">
        <v>120</v>
      </c>
      <c r="B30" s="7" t="s">
        <v>29</v>
      </c>
      <c r="C30" s="7" t="s">
        <v>145</v>
      </c>
      <c r="D30" s="8" t="s">
        <v>0</v>
      </c>
      <c r="E30" s="9">
        <v>47</v>
      </c>
      <c r="F30" s="10">
        <v>3848.79</v>
      </c>
      <c r="G30" s="7"/>
      <c r="H30" s="9">
        <v>1</v>
      </c>
      <c r="I30" s="10">
        <v>180893.13</v>
      </c>
      <c r="J30" s="9">
        <v>9.84</v>
      </c>
      <c r="K30" s="10">
        <v>1779988.4</v>
      </c>
      <c r="L30" s="3" t="s">
        <v>222</v>
      </c>
      <c r="M30" s="4"/>
    </row>
    <row r="31" spans="1:13" ht="264" x14ac:dyDescent="0.25">
      <c r="A31" s="7">
        <v>121</v>
      </c>
      <c r="B31" s="7" t="s">
        <v>30</v>
      </c>
      <c r="C31" s="7" t="s">
        <v>146</v>
      </c>
      <c r="D31" s="8" t="s">
        <v>0</v>
      </c>
      <c r="E31" s="9">
        <v>31</v>
      </c>
      <c r="F31" s="10">
        <v>4426.1099999999997</v>
      </c>
      <c r="G31" s="7"/>
      <c r="H31" s="9">
        <v>1</v>
      </c>
      <c r="I31" s="10">
        <v>137209.41</v>
      </c>
      <c r="J31" s="9">
        <v>9.84</v>
      </c>
      <c r="K31" s="10">
        <v>1350140.59</v>
      </c>
      <c r="L31" s="2">
        <v>51570</v>
      </c>
      <c r="M31" s="4"/>
    </row>
    <row r="32" spans="1:13" ht="278" x14ac:dyDescent="0.25">
      <c r="A32" s="7">
        <v>123</v>
      </c>
      <c r="B32" s="7" t="s">
        <v>31</v>
      </c>
      <c r="C32" s="7" t="s">
        <v>147</v>
      </c>
      <c r="D32" s="8" t="s">
        <v>0</v>
      </c>
      <c r="E32" s="9">
        <v>8</v>
      </c>
      <c r="F32" s="10">
        <v>2417.8799999999997</v>
      </c>
      <c r="G32" s="7"/>
      <c r="H32" s="9">
        <v>1</v>
      </c>
      <c r="I32" s="10">
        <v>19343.04</v>
      </c>
      <c r="J32" s="9">
        <v>9.84</v>
      </c>
      <c r="K32" s="10">
        <v>190335.51</v>
      </c>
      <c r="L32" s="2">
        <v>21000</v>
      </c>
      <c r="M32" s="4"/>
    </row>
    <row r="33" spans="1:13" ht="124" x14ac:dyDescent="0.25">
      <c r="A33" s="7">
        <v>125</v>
      </c>
      <c r="B33" s="7" t="s">
        <v>32</v>
      </c>
      <c r="C33" s="7" t="s">
        <v>148</v>
      </c>
      <c r="D33" s="8" t="s">
        <v>0</v>
      </c>
      <c r="E33" s="9">
        <v>7</v>
      </c>
      <c r="F33" s="10">
        <v>726.12</v>
      </c>
      <c r="G33" s="7"/>
      <c r="H33" s="9">
        <v>1</v>
      </c>
      <c r="I33" s="10">
        <v>5082.84</v>
      </c>
      <c r="J33" s="9">
        <v>9.84</v>
      </c>
      <c r="K33" s="10">
        <v>50015.15</v>
      </c>
      <c r="L33" s="2">
        <v>8200</v>
      </c>
      <c r="M33" s="4"/>
    </row>
    <row r="34" spans="1:13" ht="124" x14ac:dyDescent="0.25">
      <c r="A34" s="7">
        <v>126</v>
      </c>
      <c r="B34" s="7" t="s">
        <v>33</v>
      </c>
      <c r="C34" s="7" t="s">
        <v>149</v>
      </c>
      <c r="D34" s="8" t="s">
        <v>0</v>
      </c>
      <c r="E34" s="9">
        <v>4</v>
      </c>
      <c r="F34" s="10">
        <v>726.12</v>
      </c>
      <c r="G34" s="7"/>
      <c r="H34" s="9">
        <v>1</v>
      </c>
      <c r="I34" s="10">
        <v>2904.48</v>
      </c>
      <c r="J34" s="9">
        <v>9.84</v>
      </c>
      <c r="K34" s="10">
        <v>28580.080000000002</v>
      </c>
      <c r="L34" s="2">
        <v>8200</v>
      </c>
      <c r="M34" s="4"/>
    </row>
    <row r="35" spans="1:13" ht="124" x14ac:dyDescent="0.25">
      <c r="A35" s="7">
        <v>127</v>
      </c>
      <c r="B35" s="7" t="s">
        <v>34</v>
      </c>
      <c r="C35" s="7" t="s">
        <v>150</v>
      </c>
      <c r="D35" s="8" t="s">
        <v>0</v>
      </c>
      <c r="E35" s="9">
        <v>4</v>
      </c>
      <c r="F35" s="10">
        <v>726.12</v>
      </c>
      <c r="G35" s="7"/>
      <c r="H35" s="9">
        <v>1</v>
      </c>
      <c r="I35" s="10">
        <v>2904.48</v>
      </c>
      <c r="J35" s="9">
        <v>9.84</v>
      </c>
      <c r="K35" s="10">
        <v>28580.080000000002</v>
      </c>
      <c r="L35" s="2">
        <v>8200</v>
      </c>
      <c r="M35" s="4"/>
    </row>
    <row r="36" spans="1:13" ht="138" x14ac:dyDescent="0.25">
      <c r="A36" s="7">
        <v>128</v>
      </c>
      <c r="B36" s="7" t="s">
        <v>35</v>
      </c>
      <c r="C36" s="7" t="s">
        <v>151</v>
      </c>
      <c r="D36" s="8" t="s">
        <v>0</v>
      </c>
      <c r="E36" s="9">
        <v>32</v>
      </c>
      <c r="F36" s="10">
        <v>726.12</v>
      </c>
      <c r="G36" s="7"/>
      <c r="H36" s="9">
        <v>1</v>
      </c>
      <c r="I36" s="10">
        <v>23235.84</v>
      </c>
      <c r="J36" s="9">
        <v>9.84</v>
      </c>
      <c r="K36" s="10">
        <v>228640.67</v>
      </c>
      <c r="L36" s="2">
        <v>8200</v>
      </c>
      <c r="M36" s="4"/>
    </row>
    <row r="37" spans="1:13" ht="124" x14ac:dyDescent="0.25">
      <c r="A37" s="7">
        <v>129</v>
      </c>
      <c r="B37" s="7" t="s">
        <v>36</v>
      </c>
      <c r="C37" s="7" t="s">
        <v>152</v>
      </c>
      <c r="D37" s="8" t="s">
        <v>0</v>
      </c>
      <c r="E37" s="9">
        <v>11</v>
      </c>
      <c r="F37" s="10">
        <v>755.34999999999991</v>
      </c>
      <c r="G37" s="7"/>
      <c r="H37" s="9">
        <v>1</v>
      </c>
      <c r="I37" s="10">
        <v>8308.85</v>
      </c>
      <c r="J37" s="9">
        <v>9.84</v>
      </c>
      <c r="K37" s="10">
        <v>81759.08</v>
      </c>
      <c r="L37" s="3" t="s">
        <v>222</v>
      </c>
      <c r="M37" s="4"/>
    </row>
    <row r="38" spans="1:13" ht="124" x14ac:dyDescent="0.25">
      <c r="A38" s="7">
        <v>130</v>
      </c>
      <c r="B38" s="7" t="s">
        <v>37</v>
      </c>
      <c r="C38" s="7" t="s">
        <v>153</v>
      </c>
      <c r="D38" s="8" t="s">
        <v>0</v>
      </c>
      <c r="E38" s="9">
        <v>2</v>
      </c>
      <c r="F38" s="10">
        <v>755.34999999999991</v>
      </c>
      <c r="G38" s="7"/>
      <c r="H38" s="9">
        <v>1</v>
      </c>
      <c r="I38" s="10">
        <v>1510.7</v>
      </c>
      <c r="J38" s="9">
        <v>9.84</v>
      </c>
      <c r="K38" s="10">
        <v>14865.29</v>
      </c>
      <c r="L38" s="3" t="s">
        <v>222</v>
      </c>
      <c r="M38" s="4"/>
    </row>
    <row r="39" spans="1:13" ht="138" x14ac:dyDescent="0.25">
      <c r="A39" s="7">
        <v>131</v>
      </c>
      <c r="B39" s="7" t="s">
        <v>38</v>
      </c>
      <c r="C39" s="7" t="s">
        <v>154</v>
      </c>
      <c r="D39" s="8" t="s">
        <v>0</v>
      </c>
      <c r="E39" s="9">
        <v>8</v>
      </c>
      <c r="F39" s="10">
        <v>755.34999999999991</v>
      </c>
      <c r="G39" s="7"/>
      <c r="H39" s="9">
        <v>1</v>
      </c>
      <c r="I39" s="10">
        <v>6042.8</v>
      </c>
      <c r="J39" s="9">
        <v>9.84</v>
      </c>
      <c r="K39" s="10">
        <v>59461.15</v>
      </c>
      <c r="L39" s="3" t="s">
        <v>222</v>
      </c>
      <c r="M39" s="4"/>
    </row>
    <row r="40" spans="1:13" ht="124" x14ac:dyDescent="0.25">
      <c r="A40" s="7">
        <v>132</v>
      </c>
      <c r="B40" s="7" t="s">
        <v>39</v>
      </c>
      <c r="C40" s="7" t="s">
        <v>155</v>
      </c>
      <c r="D40" s="8" t="s">
        <v>0</v>
      </c>
      <c r="E40" s="9">
        <v>1</v>
      </c>
      <c r="F40" s="10">
        <v>296.7</v>
      </c>
      <c r="G40" s="7"/>
      <c r="H40" s="9">
        <v>1</v>
      </c>
      <c r="I40" s="10">
        <v>296.7</v>
      </c>
      <c r="J40" s="9">
        <v>9.84</v>
      </c>
      <c r="K40" s="10">
        <v>2919.53</v>
      </c>
      <c r="L40" s="2">
        <v>1570</v>
      </c>
      <c r="M40" s="4"/>
    </row>
    <row r="41" spans="1:13" ht="54" x14ac:dyDescent="0.25">
      <c r="A41" s="7">
        <v>141</v>
      </c>
      <c r="B41" s="7" t="s">
        <v>40</v>
      </c>
      <c r="C41" s="7" t="s">
        <v>156</v>
      </c>
      <c r="D41" s="8" t="s">
        <v>0</v>
      </c>
      <c r="E41" s="9">
        <v>8</v>
      </c>
      <c r="F41" s="10">
        <v>856.11</v>
      </c>
      <c r="G41" s="7"/>
      <c r="H41" s="9">
        <v>1</v>
      </c>
      <c r="I41" s="10">
        <v>6848.88</v>
      </c>
      <c r="J41" s="9">
        <v>9.84</v>
      </c>
      <c r="K41" s="10">
        <v>67392.98</v>
      </c>
      <c r="L41" s="2">
        <v>7053</v>
      </c>
      <c r="M41" s="4"/>
    </row>
    <row r="42" spans="1:13" ht="68" x14ac:dyDescent="0.25">
      <c r="A42" s="7">
        <v>142</v>
      </c>
      <c r="B42" s="7" t="s">
        <v>41</v>
      </c>
      <c r="C42" s="7" t="s">
        <v>157</v>
      </c>
      <c r="D42" s="8" t="s">
        <v>0</v>
      </c>
      <c r="E42" s="9">
        <v>77</v>
      </c>
      <c r="F42" s="10">
        <v>3061.4300000000003</v>
      </c>
      <c r="G42" s="7"/>
      <c r="H42" s="9">
        <v>1</v>
      </c>
      <c r="I42" s="10">
        <v>235730.11</v>
      </c>
      <c r="J42" s="9">
        <v>9.84</v>
      </c>
      <c r="K42" s="10">
        <v>2319584.2799999998</v>
      </c>
      <c r="L42" s="2">
        <v>34050</v>
      </c>
      <c r="M42" s="4"/>
    </row>
    <row r="43" spans="1:13" ht="68" x14ac:dyDescent="0.25">
      <c r="A43" s="7">
        <v>143</v>
      </c>
      <c r="B43" s="7" t="s">
        <v>42</v>
      </c>
      <c r="C43" s="7" t="s">
        <v>158</v>
      </c>
      <c r="D43" s="8" t="s">
        <v>0</v>
      </c>
      <c r="E43" s="9">
        <v>56</v>
      </c>
      <c r="F43" s="10">
        <v>3915.11</v>
      </c>
      <c r="G43" s="7"/>
      <c r="H43" s="9">
        <v>1</v>
      </c>
      <c r="I43" s="10">
        <v>219246.16</v>
      </c>
      <c r="J43" s="9">
        <v>9.84</v>
      </c>
      <c r="K43" s="10">
        <v>2157382.21</v>
      </c>
      <c r="L43" s="3" t="s">
        <v>222</v>
      </c>
      <c r="M43" s="4"/>
    </row>
    <row r="44" spans="1:13" ht="82" x14ac:dyDescent="0.25">
      <c r="A44" s="7">
        <v>145</v>
      </c>
      <c r="B44" s="7" t="s">
        <v>43</v>
      </c>
      <c r="C44" s="7" t="s">
        <v>159</v>
      </c>
      <c r="D44" s="8" t="s">
        <v>0</v>
      </c>
      <c r="E44" s="9">
        <v>470</v>
      </c>
      <c r="F44" s="10">
        <v>42.48</v>
      </c>
      <c r="G44" s="7"/>
      <c r="H44" s="9">
        <v>1</v>
      </c>
      <c r="I44" s="10">
        <v>19965.599999999999</v>
      </c>
      <c r="J44" s="9">
        <v>9.84</v>
      </c>
      <c r="K44" s="10">
        <v>196461.5</v>
      </c>
      <c r="L44" s="2">
        <v>384</v>
      </c>
      <c r="M44" s="4"/>
    </row>
    <row r="45" spans="1:13" ht="68" x14ac:dyDescent="0.25">
      <c r="A45" s="7">
        <v>152</v>
      </c>
      <c r="B45" s="7" t="s">
        <v>44</v>
      </c>
      <c r="C45" s="7" t="s">
        <v>160</v>
      </c>
      <c r="D45" s="8" t="s">
        <v>0</v>
      </c>
      <c r="E45" s="9">
        <v>2000</v>
      </c>
      <c r="F45" s="10">
        <v>5.45</v>
      </c>
      <c r="G45" s="7"/>
      <c r="H45" s="9">
        <v>1</v>
      </c>
      <c r="I45" s="10">
        <v>10900</v>
      </c>
      <c r="J45" s="9">
        <v>9.84</v>
      </c>
      <c r="K45" s="10">
        <v>107256</v>
      </c>
      <c r="L45" s="3" t="s">
        <v>222</v>
      </c>
      <c r="M45" s="4"/>
    </row>
    <row r="46" spans="1:13" ht="68" x14ac:dyDescent="0.25">
      <c r="A46" s="7">
        <v>153</v>
      </c>
      <c r="B46" s="7" t="s">
        <v>45</v>
      </c>
      <c r="C46" s="7" t="s">
        <v>161</v>
      </c>
      <c r="D46" s="8" t="s">
        <v>0</v>
      </c>
      <c r="E46" s="9">
        <v>1000</v>
      </c>
      <c r="F46" s="10">
        <v>7.92</v>
      </c>
      <c r="G46" s="7"/>
      <c r="H46" s="9">
        <v>1</v>
      </c>
      <c r="I46" s="10">
        <v>7920</v>
      </c>
      <c r="J46" s="9">
        <v>9.84</v>
      </c>
      <c r="K46" s="10">
        <v>77932.800000000003</v>
      </c>
      <c r="L46" s="3" t="s">
        <v>222</v>
      </c>
      <c r="M46" s="4"/>
    </row>
    <row r="47" spans="1:13" ht="82" x14ac:dyDescent="0.25">
      <c r="A47" s="7">
        <v>154</v>
      </c>
      <c r="B47" s="7" t="s">
        <v>46</v>
      </c>
      <c r="C47" s="7" t="s">
        <v>162</v>
      </c>
      <c r="D47" s="8" t="s">
        <v>0</v>
      </c>
      <c r="E47" s="9">
        <v>1500</v>
      </c>
      <c r="F47" s="10">
        <v>12.85</v>
      </c>
      <c r="G47" s="7"/>
      <c r="H47" s="9">
        <v>1</v>
      </c>
      <c r="I47" s="10">
        <v>19275</v>
      </c>
      <c r="J47" s="9">
        <v>9.84</v>
      </c>
      <c r="K47" s="10">
        <v>189666</v>
      </c>
      <c r="L47" s="3" t="s">
        <v>222</v>
      </c>
      <c r="M47" s="4"/>
    </row>
    <row r="48" spans="1:13" ht="96" x14ac:dyDescent="0.25">
      <c r="A48" s="7">
        <v>156</v>
      </c>
      <c r="B48" s="7" t="s">
        <v>47</v>
      </c>
      <c r="C48" s="7" t="s">
        <v>163</v>
      </c>
      <c r="D48" s="8" t="s">
        <v>0</v>
      </c>
      <c r="E48" s="9">
        <v>200</v>
      </c>
      <c r="F48" s="10">
        <v>105.36</v>
      </c>
      <c r="G48" s="7"/>
      <c r="H48" s="9">
        <v>1</v>
      </c>
      <c r="I48" s="10">
        <v>21072</v>
      </c>
      <c r="J48" s="9">
        <v>9.84</v>
      </c>
      <c r="K48" s="10">
        <v>207348.48000000001</v>
      </c>
      <c r="L48" s="3" t="s">
        <v>222</v>
      </c>
      <c r="M48" s="4"/>
    </row>
    <row r="49" spans="1:13" ht="68" x14ac:dyDescent="0.25">
      <c r="A49" s="7">
        <v>158</v>
      </c>
      <c r="B49" s="7" t="s">
        <v>48</v>
      </c>
      <c r="C49" s="7" t="s">
        <v>164</v>
      </c>
      <c r="D49" s="8" t="s">
        <v>0</v>
      </c>
      <c r="E49" s="9">
        <v>8</v>
      </c>
      <c r="F49" s="10">
        <v>96.4</v>
      </c>
      <c r="G49" s="7"/>
      <c r="H49" s="9">
        <v>1</v>
      </c>
      <c r="I49" s="10">
        <v>771.2</v>
      </c>
      <c r="J49" s="9">
        <v>9.84</v>
      </c>
      <c r="K49" s="10">
        <v>7588.61</v>
      </c>
      <c r="L49" s="3" t="s">
        <v>222</v>
      </c>
      <c r="M49" s="4"/>
    </row>
    <row r="50" spans="1:13" ht="54" x14ac:dyDescent="0.25">
      <c r="A50" s="7">
        <v>159</v>
      </c>
      <c r="B50" s="7" t="s">
        <v>49</v>
      </c>
      <c r="C50" s="7" t="s">
        <v>165</v>
      </c>
      <c r="D50" s="8" t="s">
        <v>0</v>
      </c>
      <c r="E50" s="9">
        <v>8</v>
      </c>
      <c r="F50" s="10">
        <v>12.450000000000001</v>
      </c>
      <c r="G50" s="7"/>
      <c r="H50" s="9">
        <v>1</v>
      </c>
      <c r="I50" s="10">
        <v>99.6</v>
      </c>
      <c r="J50" s="9">
        <v>9.84</v>
      </c>
      <c r="K50" s="10">
        <v>980.06</v>
      </c>
      <c r="L50" s="3" t="s">
        <v>222</v>
      </c>
      <c r="M50" s="4"/>
    </row>
    <row r="51" spans="1:13" ht="96" x14ac:dyDescent="0.25">
      <c r="A51" s="7">
        <v>162</v>
      </c>
      <c r="B51" s="7" t="s">
        <v>50</v>
      </c>
      <c r="C51" s="7" t="s">
        <v>166</v>
      </c>
      <c r="D51" s="8" t="s">
        <v>51</v>
      </c>
      <c r="E51" s="9">
        <v>25.5</v>
      </c>
      <c r="F51" s="10">
        <v>119.11</v>
      </c>
      <c r="G51" s="7"/>
      <c r="H51" s="9">
        <v>1</v>
      </c>
      <c r="I51" s="10">
        <v>3037.31</v>
      </c>
      <c r="J51" s="9">
        <v>9.84</v>
      </c>
      <c r="K51" s="10">
        <v>29887.13</v>
      </c>
      <c r="L51" s="3" t="s">
        <v>222</v>
      </c>
      <c r="M51" s="4"/>
    </row>
    <row r="52" spans="1:13" ht="96" x14ac:dyDescent="0.25">
      <c r="A52" s="7">
        <v>171</v>
      </c>
      <c r="B52" s="7" t="s">
        <v>52</v>
      </c>
      <c r="C52" s="7" t="s">
        <v>167</v>
      </c>
      <c r="D52" s="8" t="s">
        <v>51</v>
      </c>
      <c r="E52" s="9">
        <v>144.84</v>
      </c>
      <c r="F52" s="10">
        <v>24.97</v>
      </c>
      <c r="G52" s="7"/>
      <c r="H52" s="9">
        <v>1</v>
      </c>
      <c r="I52" s="10">
        <v>3616.65</v>
      </c>
      <c r="J52" s="9">
        <v>9.84</v>
      </c>
      <c r="K52" s="10">
        <v>35587.839999999997</v>
      </c>
      <c r="L52" s="2">
        <v>233.32</v>
      </c>
      <c r="M52" s="4"/>
    </row>
    <row r="53" spans="1:13" ht="110" x14ac:dyDescent="0.25">
      <c r="A53" s="7">
        <v>175</v>
      </c>
      <c r="B53" s="7" t="s">
        <v>53</v>
      </c>
      <c r="C53" s="7" t="s">
        <v>168</v>
      </c>
      <c r="D53" s="8" t="s">
        <v>51</v>
      </c>
      <c r="E53" s="9">
        <v>71.400000000000006</v>
      </c>
      <c r="F53" s="10">
        <v>165.5</v>
      </c>
      <c r="G53" s="7"/>
      <c r="H53" s="9">
        <v>1</v>
      </c>
      <c r="I53" s="10">
        <v>11816.7</v>
      </c>
      <c r="J53" s="9">
        <v>9.84</v>
      </c>
      <c r="K53" s="10">
        <v>116276.33</v>
      </c>
      <c r="L53" s="3" t="s">
        <v>222</v>
      </c>
      <c r="M53" s="4"/>
    </row>
    <row r="54" spans="1:13" ht="110" x14ac:dyDescent="0.25">
      <c r="A54" s="7">
        <v>176</v>
      </c>
      <c r="B54" s="7" t="s">
        <v>54</v>
      </c>
      <c r="C54" s="7" t="s">
        <v>169</v>
      </c>
      <c r="D54" s="8" t="s">
        <v>51</v>
      </c>
      <c r="E54" s="9">
        <v>225.42</v>
      </c>
      <c r="F54" s="10">
        <v>126.60000000000001</v>
      </c>
      <c r="G54" s="7"/>
      <c r="H54" s="9">
        <v>1</v>
      </c>
      <c r="I54" s="10">
        <v>28538.17</v>
      </c>
      <c r="J54" s="9">
        <v>9.84</v>
      </c>
      <c r="K54" s="10">
        <v>280815.59000000003</v>
      </c>
      <c r="L54" s="2">
        <v>1350.61</v>
      </c>
      <c r="M54" s="4"/>
    </row>
    <row r="55" spans="1:13" ht="110" x14ac:dyDescent="0.25">
      <c r="A55" s="7">
        <v>181</v>
      </c>
      <c r="B55" s="7" t="s">
        <v>55</v>
      </c>
      <c r="C55" s="7" t="s">
        <v>170</v>
      </c>
      <c r="D55" s="8" t="s">
        <v>51</v>
      </c>
      <c r="E55" s="9">
        <v>43.86</v>
      </c>
      <c r="F55" s="10">
        <v>103.62</v>
      </c>
      <c r="G55" s="7"/>
      <c r="H55" s="9">
        <v>1</v>
      </c>
      <c r="I55" s="10">
        <v>4544.7700000000004</v>
      </c>
      <c r="J55" s="9">
        <v>9.84</v>
      </c>
      <c r="K55" s="10">
        <v>44720.54</v>
      </c>
      <c r="L55" s="2">
        <v>815.75</v>
      </c>
      <c r="M55" s="4"/>
    </row>
    <row r="56" spans="1:13" ht="110" x14ac:dyDescent="0.25">
      <c r="A56" s="7">
        <v>182</v>
      </c>
      <c r="B56" s="7" t="s">
        <v>56</v>
      </c>
      <c r="C56" s="7" t="s">
        <v>171</v>
      </c>
      <c r="D56" s="8" t="s">
        <v>51</v>
      </c>
      <c r="E56" s="9">
        <v>44.88</v>
      </c>
      <c r="F56" s="10">
        <v>66.790000000000006</v>
      </c>
      <c r="G56" s="7"/>
      <c r="H56" s="9">
        <v>1</v>
      </c>
      <c r="I56" s="10">
        <v>2997.54</v>
      </c>
      <c r="J56" s="9">
        <v>9.84</v>
      </c>
      <c r="K56" s="10">
        <v>29495.79</v>
      </c>
      <c r="L56" s="3" t="s">
        <v>222</v>
      </c>
      <c r="M56" s="4"/>
    </row>
    <row r="57" spans="1:13" ht="110" x14ac:dyDescent="0.25">
      <c r="A57" s="7">
        <v>183</v>
      </c>
      <c r="B57" s="7" t="s">
        <v>57</v>
      </c>
      <c r="C57" s="7" t="s">
        <v>172</v>
      </c>
      <c r="D57" s="8" t="s">
        <v>51</v>
      </c>
      <c r="E57" s="9">
        <v>148.91999999999999</v>
      </c>
      <c r="F57" s="10">
        <v>40.779999999999994</v>
      </c>
      <c r="G57" s="7"/>
      <c r="H57" s="9">
        <v>1</v>
      </c>
      <c r="I57" s="10">
        <v>6072.96</v>
      </c>
      <c r="J57" s="9">
        <v>9.84</v>
      </c>
      <c r="K57" s="10">
        <v>59757.93</v>
      </c>
      <c r="L57" s="3" t="s">
        <v>222</v>
      </c>
      <c r="M57" s="4"/>
    </row>
    <row r="58" spans="1:13" ht="110" x14ac:dyDescent="0.25">
      <c r="A58" s="7">
        <v>184</v>
      </c>
      <c r="B58" s="7" t="s">
        <v>58</v>
      </c>
      <c r="C58" s="7" t="s">
        <v>173</v>
      </c>
      <c r="D58" s="8" t="s">
        <v>51</v>
      </c>
      <c r="E58" s="9">
        <v>74.459999999999994</v>
      </c>
      <c r="F58" s="10">
        <v>27.85</v>
      </c>
      <c r="G58" s="7"/>
      <c r="H58" s="9">
        <v>1</v>
      </c>
      <c r="I58" s="10">
        <v>2073.71</v>
      </c>
      <c r="J58" s="9">
        <v>9.84</v>
      </c>
      <c r="K58" s="10">
        <v>20405.310000000001</v>
      </c>
      <c r="L58" s="3" t="s">
        <v>222</v>
      </c>
      <c r="M58" s="4"/>
    </row>
    <row r="59" spans="1:13" ht="110" x14ac:dyDescent="0.25">
      <c r="A59" s="7">
        <v>185</v>
      </c>
      <c r="B59" s="7" t="s">
        <v>59</v>
      </c>
      <c r="C59" s="7" t="s">
        <v>174</v>
      </c>
      <c r="D59" s="8" t="s">
        <v>51</v>
      </c>
      <c r="E59" s="9">
        <v>3149.76</v>
      </c>
      <c r="F59" s="10">
        <v>15.940000000000001</v>
      </c>
      <c r="G59" s="7"/>
      <c r="H59" s="9">
        <v>1</v>
      </c>
      <c r="I59" s="10">
        <v>50207.17</v>
      </c>
      <c r="J59" s="9">
        <v>9.84</v>
      </c>
      <c r="K59" s="10">
        <v>494038.55</v>
      </c>
      <c r="L59" s="2">
        <v>156.26</v>
      </c>
      <c r="M59" s="4"/>
    </row>
    <row r="60" spans="1:13" ht="110" x14ac:dyDescent="0.25">
      <c r="A60" s="7">
        <v>186</v>
      </c>
      <c r="B60" s="7" t="s">
        <v>60</v>
      </c>
      <c r="C60" s="7" t="s">
        <v>175</v>
      </c>
      <c r="D60" s="8" t="s">
        <v>51</v>
      </c>
      <c r="E60" s="9">
        <v>117.3</v>
      </c>
      <c r="F60" s="10">
        <v>21.25</v>
      </c>
      <c r="G60" s="7"/>
      <c r="H60" s="9">
        <v>1</v>
      </c>
      <c r="I60" s="10">
        <v>2492.63</v>
      </c>
      <c r="J60" s="9">
        <v>9.84</v>
      </c>
      <c r="K60" s="10">
        <v>24527.48</v>
      </c>
      <c r="L60" s="3" t="s">
        <v>222</v>
      </c>
      <c r="M60" s="4"/>
    </row>
    <row r="61" spans="1:13" ht="96" x14ac:dyDescent="0.25">
      <c r="A61" s="7">
        <v>189</v>
      </c>
      <c r="B61" s="7" t="s">
        <v>61</v>
      </c>
      <c r="C61" s="7" t="s">
        <v>176</v>
      </c>
      <c r="D61" s="8" t="s">
        <v>51</v>
      </c>
      <c r="E61" s="9">
        <v>213.18</v>
      </c>
      <c r="F61" s="10">
        <v>20.439999999999998</v>
      </c>
      <c r="G61" s="7"/>
      <c r="H61" s="9">
        <v>1</v>
      </c>
      <c r="I61" s="10">
        <v>4357.3999999999996</v>
      </c>
      <c r="J61" s="9">
        <v>9.84</v>
      </c>
      <c r="K61" s="10">
        <v>42876.82</v>
      </c>
      <c r="L61" s="3" t="s">
        <v>222</v>
      </c>
      <c r="M61" s="4"/>
    </row>
    <row r="62" spans="1:13" ht="96" x14ac:dyDescent="0.25">
      <c r="A62" s="7">
        <v>190</v>
      </c>
      <c r="B62" s="7" t="s">
        <v>62</v>
      </c>
      <c r="C62" s="7" t="s">
        <v>177</v>
      </c>
      <c r="D62" s="8" t="s">
        <v>51</v>
      </c>
      <c r="E62" s="9">
        <v>262.14</v>
      </c>
      <c r="F62" s="10">
        <v>13.99</v>
      </c>
      <c r="G62" s="7"/>
      <c r="H62" s="9">
        <v>1</v>
      </c>
      <c r="I62" s="10">
        <v>3667.34</v>
      </c>
      <c r="J62" s="9">
        <v>9.84</v>
      </c>
      <c r="K62" s="10">
        <v>36086.629999999997</v>
      </c>
      <c r="L62" s="3" t="s">
        <v>222</v>
      </c>
      <c r="M62" s="4"/>
    </row>
    <row r="63" spans="1:13" ht="96" x14ac:dyDescent="0.25">
      <c r="A63" s="7">
        <v>191</v>
      </c>
      <c r="B63" s="7" t="s">
        <v>63</v>
      </c>
      <c r="C63" s="7" t="s">
        <v>178</v>
      </c>
      <c r="D63" s="8" t="s">
        <v>51</v>
      </c>
      <c r="E63" s="9">
        <v>786.42</v>
      </c>
      <c r="F63" s="10">
        <v>15.530000000000001</v>
      </c>
      <c r="G63" s="7"/>
      <c r="H63" s="9">
        <v>1</v>
      </c>
      <c r="I63" s="10">
        <v>12213.1</v>
      </c>
      <c r="J63" s="9">
        <v>9.84</v>
      </c>
      <c r="K63" s="10">
        <v>120176.9</v>
      </c>
      <c r="L63" s="2">
        <v>121.82</v>
      </c>
      <c r="M63" s="4"/>
    </row>
    <row r="64" spans="1:13" ht="96" x14ac:dyDescent="0.25">
      <c r="A64" s="7">
        <v>192</v>
      </c>
      <c r="B64" s="7" t="s">
        <v>64</v>
      </c>
      <c r="C64" s="7" t="s">
        <v>179</v>
      </c>
      <c r="D64" s="8" t="s">
        <v>51</v>
      </c>
      <c r="E64" s="9">
        <v>35.700000000000003</v>
      </c>
      <c r="F64" s="10">
        <v>12.61</v>
      </c>
      <c r="G64" s="7"/>
      <c r="H64" s="9">
        <v>1</v>
      </c>
      <c r="I64" s="10">
        <v>450.18</v>
      </c>
      <c r="J64" s="9">
        <v>9.84</v>
      </c>
      <c r="K64" s="10">
        <v>4429.7700000000004</v>
      </c>
      <c r="L64" s="2">
        <v>133.97</v>
      </c>
      <c r="M64" s="4"/>
    </row>
    <row r="65" spans="1:13" ht="96" x14ac:dyDescent="0.25">
      <c r="A65" s="7">
        <v>193</v>
      </c>
      <c r="B65" s="7" t="s">
        <v>65</v>
      </c>
      <c r="C65" s="7" t="s">
        <v>180</v>
      </c>
      <c r="D65" s="8" t="s">
        <v>51</v>
      </c>
      <c r="E65" s="12">
        <v>947.58</v>
      </c>
      <c r="F65" s="10">
        <v>18</v>
      </c>
      <c r="G65" s="7"/>
      <c r="H65" s="9">
        <v>1</v>
      </c>
      <c r="I65" s="10">
        <v>17056.439999999999</v>
      </c>
      <c r="J65" s="9">
        <v>9.84</v>
      </c>
      <c r="K65" s="10">
        <v>167835.37</v>
      </c>
      <c r="L65" s="2">
        <v>98.33</v>
      </c>
      <c r="M65" s="5" t="s">
        <v>224</v>
      </c>
    </row>
    <row r="66" spans="1:13" ht="110" x14ac:dyDescent="0.25">
      <c r="A66" s="7">
        <v>194</v>
      </c>
      <c r="B66" s="7" t="s">
        <v>66</v>
      </c>
      <c r="C66" s="7" t="s">
        <v>181</v>
      </c>
      <c r="D66" s="8" t="s">
        <v>51</v>
      </c>
      <c r="E66" s="9">
        <v>35.700000000000003</v>
      </c>
      <c r="F66" s="10">
        <v>28.02</v>
      </c>
      <c r="G66" s="7"/>
      <c r="H66" s="9">
        <v>1</v>
      </c>
      <c r="I66" s="10">
        <v>1000.31</v>
      </c>
      <c r="J66" s="9">
        <v>9.84</v>
      </c>
      <c r="K66" s="10">
        <v>9843.0499999999993</v>
      </c>
      <c r="L66" s="2">
        <v>182.32</v>
      </c>
      <c r="M66" s="4"/>
    </row>
    <row r="67" spans="1:13" ht="110" x14ac:dyDescent="0.25">
      <c r="A67" s="7">
        <v>195</v>
      </c>
      <c r="B67" s="7" t="s">
        <v>67</v>
      </c>
      <c r="C67" s="7" t="s">
        <v>182</v>
      </c>
      <c r="D67" s="8" t="s">
        <v>51</v>
      </c>
      <c r="E67" s="9">
        <v>357</v>
      </c>
      <c r="F67" s="10">
        <v>22.87</v>
      </c>
      <c r="G67" s="7"/>
      <c r="H67" s="9">
        <v>1</v>
      </c>
      <c r="I67" s="10">
        <v>8164.59</v>
      </c>
      <c r="J67" s="9">
        <v>9.84</v>
      </c>
      <c r="K67" s="10">
        <v>80339.570000000007</v>
      </c>
      <c r="L67" s="2">
        <v>170</v>
      </c>
      <c r="M67" s="4"/>
    </row>
    <row r="68" spans="1:13" ht="54" x14ac:dyDescent="0.25">
      <c r="A68" s="7">
        <v>210</v>
      </c>
      <c r="B68" s="7" t="s">
        <v>68</v>
      </c>
      <c r="C68" s="7" t="s">
        <v>183</v>
      </c>
      <c r="D68" s="8" t="s">
        <v>0</v>
      </c>
      <c r="E68" s="9">
        <v>6</v>
      </c>
      <c r="F68" s="10">
        <v>670.8</v>
      </c>
      <c r="G68" s="7"/>
      <c r="H68" s="9">
        <v>1</v>
      </c>
      <c r="I68" s="10">
        <v>4024.8</v>
      </c>
      <c r="J68" s="9">
        <v>9.84</v>
      </c>
      <c r="K68" s="10">
        <v>39604.03</v>
      </c>
      <c r="L68" s="3" t="s">
        <v>222</v>
      </c>
      <c r="M68" s="4"/>
    </row>
    <row r="69" spans="1:13" ht="54" x14ac:dyDescent="0.25">
      <c r="A69" s="7">
        <v>211</v>
      </c>
      <c r="B69" s="7" t="s">
        <v>69</v>
      </c>
      <c r="C69" s="7" t="s">
        <v>184</v>
      </c>
      <c r="D69" s="8" t="s">
        <v>0</v>
      </c>
      <c r="E69" s="9">
        <v>1</v>
      </c>
      <c r="F69" s="10">
        <v>403.59000000000003</v>
      </c>
      <c r="G69" s="7"/>
      <c r="H69" s="9">
        <v>1</v>
      </c>
      <c r="I69" s="10">
        <v>403.59</v>
      </c>
      <c r="J69" s="9">
        <v>9.84</v>
      </c>
      <c r="K69" s="10">
        <v>3971.33</v>
      </c>
      <c r="L69" s="3" t="s">
        <v>222</v>
      </c>
      <c r="M69" s="4"/>
    </row>
    <row r="70" spans="1:13" ht="54" x14ac:dyDescent="0.25">
      <c r="A70" s="7">
        <v>212</v>
      </c>
      <c r="B70" s="7" t="s">
        <v>70</v>
      </c>
      <c r="C70" s="7" t="s">
        <v>185</v>
      </c>
      <c r="D70" s="8" t="s">
        <v>0</v>
      </c>
      <c r="E70" s="9">
        <v>2</v>
      </c>
      <c r="F70" s="10">
        <v>373.84999999999997</v>
      </c>
      <c r="G70" s="7"/>
      <c r="H70" s="9">
        <v>1</v>
      </c>
      <c r="I70" s="10">
        <v>747.7</v>
      </c>
      <c r="J70" s="9">
        <v>9.84</v>
      </c>
      <c r="K70" s="10">
        <v>7357.37</v>
      </c>
      <c r="L70" s="3" t="s">
        <v>222</v>
      </c>
      <c r="M70" s="4"/>
    </row>
    <row r="71" spans="1:13" ht="54" x14ac:dyDescent="0.25">
      <c r="A71" s="7">
        <v>214</v>
      </c>
      <c r="B71" s="7" t="s">
        <v>71</v>
      </c>
      <c r="C71" s="7" t="s">
        <v>186</v>
      </c>
      <c r="D71" s="8" t="s">
        <v>0</v>
      </c>
      <c r="E71" s="9">
        <v>150</v>
      </c>
      <c r="F71" s="10">
        <v>2.04</v>
      </c>
      <c r="G71" s="7"/>
      <c r="H71" s="9">
        <v>1</v>
      </c>
      <c r="I71" s="10">
        <v>306</v>
      </c>
      <c r="J71" s="9">
        <v>9.84</v>
      </c>
      <c r="K71" s="10">
        <v>3011.04</v>
      </c>
      <c r="L71" s="3" t="s">
        <v>222</v>
      </c>
      <c r="M71" s="4"/>
    </row>
    <row r="72" spans="1:13" ht="54" x14ac:dyDescent="0.25">
      <c r="A72" s="7">
        <v>215</v>
      </c>
      <c r="B72" s="7" t="s">
        <v>72</v>
      </c>
      <c r="C72" s="7" t="s">
        <v>187</v>
      </c>
      <c r="D72" s="8" t="s">
        <v>0</v>
      </c>
      <c r="E72" s="9">
        <v>60</v>
      </c>
      <c r="F72" s="10">
        <v>5.08</v>
      </c>
      <c r="G72" s="7"/>
      <c r="H72" s="9">
        <v>1</v>
      </c>
      <c r="I72" s="10">
        <v>304.8</v>
      </c>
      <c r="J72" s="9">
        <v>9.84</v>
      </c>
      <c r="K72" s="10">
        <v>2999.23</v>
      </c>
      <c r="L72" s="3" t="s">
        <v>222</v>
      </c>
      <c r="M72" s="4"/>
    </row>
    <row r="73" spans="1:13" ht="54" x14ac:dyDescent="0.25">
      <c r="A73" s="7">
        <v>222</v>
      </c>
      <c r="B73" s="7" t="s">
        <v>73</v>
      </c>
      <c r="C73" s="7" t="s">
        <v>188</v>
      </c>
      <c r="D73" s="8" t="s">
        <v>0</v>
      </c>
      <c r="E73" s="9">
        <v>52</v>
      </c>
      <c r="F73" s="10">
        <v>43.17</v>
      </c>
      <c r="G73" s="7"/>
      <c r="H73" s="9">
        <v>1</v>
      </c>
      <c r="I73" s="10">
        <v>2244.84</v>
      </c>
      <c r="J73" s="9">
        <v>9.84</v>
      </c>
      <c r="K73" s="10">
        <v>22089.23</v>
      </c>
      <c r="L73" s="3">
        <v>466</v>
      </c>
      <c r="M73" s="4"/>
    </row>
    <row r="74" spans="1:13" ht="42" x14ac:dyDescent="0.25">
      <c r="A74" s="7">
        <v>223</v>
      </c>
      <c r="B74" s="7" t="s">
        <v>74</v>
      </c>
      <c r="C74" s="7" t="s">
        <v>189</v>
      </c>
      <c r="D74" s="8" t="s">
        <v>0</v>
      </c>
      <c r="E74" s="9">
        <v>104</v>
      </c>
      <c r="F74" s="10">
        <v>21.540000000000003</v>
      </c>
      <c r="G74" s="7"/>
      <c r="H74" s="9">
        <v>1</v>
      </c>
      <c r="I74" s="10">
        <v>2240.16</v>
      </c>
      <c r="J74" s="9">
        <v>9.84</v>
      </c>
      <c r="K74" s="10">
        <v>22043.17</v>
      </c>
      <c r="L74" s="3" t="s">
        <v>222</v>
      </c>
      <c r="M74" s="4"/>
    </row>
    <row r="75" spans="1:13" ht="54" x14ac:dyDescent="0.25">
      <c r="A75" s="7">
        <v>224</v>
      </c>
      <c r="B75" s="7" t="s">
        <v>75</v>
      </c>
      <c r="C75" s="7" t="s">
        <v>190</v>
      </c>
      <c r="D75" s="8" t="s">
        <v>0</v>
      </c>
      <c r="E75" s="9">
        <v>208</v>
      </c>
      <c r="F75" s="10">
        <v>0.36</v>
      </c>
      <c r="G75" s="7"/>
      <c r="H75" s="9">
        <v>1</v>
      </c>
      <c r="I75" s="10">
        <v>74.88</v>
      </c>
      <c r="J75" s="9">
        <v>9.84</v>
      </c>
      <c r="K75" s="10">
        <v>736.82</v>
      </c>
      <c r="L75" s="3" t="s">
        <v>222</v>
      </c>
      <c r="M75" s="4"/>
    </row>
    <row r="76" spans="1:13" ht="110" x14ac:dyDescent="0.25">
      <c r="A76" s="7">
        <v>232</v>
      </c>
      <c r="B76" s="7" t="s">
        <v>76</v>
      </c>
      <c r="C76" s="7" t="s">
        <v>191</v>
      </c>
      <c r="D76" s="14" t="s">
        <v>0</v>
      </c>
      <c r="E76" s="9">
        <v>9</v>
      </c>
      <c r="F76" s="10">
        <v>380.64</v>
      </c>
      <c r="G76" s="7"/>
      <c r="H76" s="9">
        <v>1</v>
      </c>
      <c r="I76" s="10">
        <v>3425.76</v>
      </c>
      <c r="J76" s="9">
        <v>9.84</v>
      </c>
      <c r="K76" s="10">
        <v>33709.480000000003</v>
      </c>
      <c r="L76" s="3" t="s">
        <v>222</v>
      </c>
      <c r="M76" s="5" t="s">
        <v>223</v>
      </c>
    </row>
    <row r="77" spans="1:13" ht="54" x14ac:dyDescent="0.25">
      <c r="A77" s="7">
        <v>236</v>
      </c>
      <c r="B77" s="7" t="s">
        <v>73</v>
      </c>
      <c r="C77" s="7" t="s">
        <v>188</v>
      </c>
      <c r="D77" s="8" t="s">
        <v>0</v>
      </c>
      <c r="E77" s="9">
        <v>48</v>
      </c>
      <c r="F77" s="10">
        <v>43.17</v>
      </c>
      <c r="G77" s="7"/>
      <c r="H77" s="9">
        <v>1</v>
      </c>
      <c r="I77" s="10">
        <v>2072.16</v>
      </c>
      <c r="J77" s="9">
        <v>9.84</v>
      </c>
      <c r="K77" s="10">
        <v>20390.05</v>
      </c>
      <c r="L77" s="2">
        <v>466</v>
      </c>
      <c r="M77" s="4"/>
    </row>
    <row r="78" spans="1:13" ht="42" x14ac:dyDescent="0.25">
      <c r="A78" s="7">
        <v>237</v>
      </c>
      <c r="B78" s="7" t="s">
        <v>74</v>
      </c>
      <c r="C78" s="7" t="s">
        <v>189</v>
      </c>
      <c r="D78" s="8" t="s">
        <v>0</v>
      </c>
      <c r="E78" s="9">
        <v>96</v>
      </c>
      <c r="F78" s="10">
        <v>21.540000000000003</v>
      </c>
      <c r="G78" s="7"/>
      <c r="H78" s="9">
        <v>1</v>
      </c>
      <c r="I78" s="10">
        <v>2067.84</v>
      </c>
      <c r="J78" s="9">
        <v>9.84</v>
      </c>
      <c r="K78" s="10">
        <v>20347.55</v>
      </c>
      <c r="L78" s="3" t="s">
        <v>222</v>
      </c>
      <c r="M78" s="4"/>
    </row>
    <row r="79" spans="1:13" ht="54" x14ac:dyDescent="0.25">
      <c r="A79" s="7">
        <v>238</v>
      </c>
      <c r="B79" s="7" t="s">
        <v>75</v>
      </c>
      <c r="C79" s="7" t="s">
        <v>190</v>
      </c>
      <c r="D79" s="8" t="s">
        <v>0</v>
      </c>
      <c r="E79" s="9">
        <v>192</v>
      </c>
      <c r="F79" s="10">
        <v>0.36</v>
      </c>
      <c r="G79" s="7"/>
      <c r="H79" s="9">
        <v>1</v>
      </c>
      <c r="I79" s="10">
        <v>69.12</v>
      </c>
      <c r="J79" s="9">
        <v>9.84</v>
      </c>
      <c r="K79" s="10">
        <v>680.14</v>
      </c>
      <c r="L79" s="3" t="s">
        <v>222</v>
      </c>
      <c r="M79" s="4"/>
    </row>
    <row r="80" spans="1:13" ht="110" x14ac:dyDescent="0.25">
      <c r="A80" s="7">
        <v>246</v>
      </c>
      <c r="B80" s="7" t="s">
        <v>77</v>
      </c>
      <c r="C80" s="7" t="s">
        <v>192</v>
      </c>
      <c r="D80" s="8" t="s">
        <v>0</v>
      </c>
      <c r="E80" s="9">
        <v>1</v>
      </c>
      <c r="F80" s="10">
        <v>337.96</v>
      </c>
      <c r="G80" s="7"/>
      <c r="H80" s="9">
        <v>1</v>
      </c>
      <c r="I80" s="10">
        <v>337.96</v>
      </c>
      <c r="J80" s="9">
        <v>9.84</v>
      </c>
      <c r="K80" s="10">
        <v>3325.53</v>
      </c>
      <c r="L80" s="3" t="s">
        <v>222</v>
      </c>
      <c r="M80" s="5" t="s">
        <v>225</v>
      </c>
    </row>
    <row r="81" spans="1:13" ht="124" x14ac:dyDescent="0.25">
      <c r="A81" s="7">
        <v>247</v>
      </c>
      <c r="B81" s="7" t="s">
        <v>78</v>
      </c>
      <c r="C81" s="7" t="s">
        <v>193</v>
      </c>
      <c r="D81" s="8" t="s">
        <v>0</v>
      </c>
      <c r="E81" s="9">
        <v>1</v>
      </c>
      <c r="F81" s="10">
        <v>317.35000000000002</v>
      </c>
      <c r="G81" s="7"/>
      <c r="H81" s="9">
        <v>1</v>
      </c>
      <c r="I81" s="10">
        <v>317.35000000000002</v>
      </c>
      <c r="J81" s="9">
        <v>9.84</v>
      </c>
      <c r="K81" s="10">
        <v>3122.72</v>
      </c>
      <c r="L81" s="3" t="s">
        <v>222</v>
      </c>
      <c r="M81" s="5" t="s">
        <v>225</v>
      </c>
    </row>
    <row r="82" spans="1:13" ht="124" x14ac:dyDescent="0.25">
      <c r="A82" s="7">
        <v>248</v>
      </c>
      <c r="B82" s="7" t="s">
        <v>79</v>
      </c>
      <c r="C82" s="7" t="s">
        <v>194</v>
      </c>
      <c r="D82" s="8" t="s">
        <v>0</v>
      </c>
      <c r="E82" s="9">
        <v>3</v>
      </c>
      <c r="F82" s="10">
        <v>329.5</v>
      </c>
      <c r="G82" s="7"/>
      <c r="H82" s="9">
        <v>1</v>
      </c>
      <c r="I82" s="10">
        <v>988.5</v>
      </c>
      <c r="J82" s="9">
        <v>9.84</v>
      </c>
      <c r="K82" s="10">
        <v>9726.84</v>
      </c>
      <c r="L82" s="3" t="s">
        <v>222</v>
      </c>
      <c r="M82" s="5" t="s">
        <v>225</v>
      </c>
    </row>
    <row r="83" spans="1:13" ht="54" x14ac:dyDescent="0.25">
      <c r="A83" s="7">
        <v>252</v>
      </c>
      <c r="B83" s="7" t="s">
        <v>73</v>
      </c>
      <c r="C83" s="7" t="s">
        <v>188</v>
      </c>
      <c r="D83" s="8" t="s">
        <v>0</v>
      </c>
      <c r="E83" s="9">
        <v>30</v>
      </c>
      <c r="F83" s="10">
        <v>43.17</v>
      </c>
      <c r="G83" s="7"/>
      <c r="H83" s="9">
        <v>1</v>
      </c>
      <c r="I83" s="10">
        <v>1295.0999999999999</v>
      </c>
      <c r="J83" s="9">
        <v>9.84</v>
      </c>
      <c r="K83" s="10">
        <v>12743.78</v>
      </c>
      <c r="L83" s="2">
        <v>466</v>
      </c>
      <c r="M83" s="4"/>
    </row>
    <row r="84" spans="1:13" ht="42" x14ac:dyDescent="0.25">
      <c r="A84" s="7">
        <v>253</v>
      </c>
      <c r="B84" s="7" t="s">
        <v>74</v>
      </c>
      <c r="C84" s="7" t="s">
        <v>189</v>
      </c>
      <c r="D84" s="8" t="s">
        <v>0</v>
      </c>
      <c r="E84" s="9">
        <v>60</v>
      </c>
      <c r="F84" s="10">
        <v>21.540000000000003</v>
      </c>
      <c r="G84" s="7"/>
      <c r="H84" s="9">
        <v>1</v>
      </c>
      <c r="I84" s="10">
        <v>1292.4000000000001</v>
      </c>
      <c r="J84" s="9">
        <v>9.84</v>
      </c>
      <c r="K84" s="10">
        <v>12717.22</v>
      </c>
      <c r="L84" s="3" t="s">
        <v>222</v>
      </c>
      <c r="M84" s="4"/>
    </row>
    <row r="85" spans="1:13" ht="54" x14ac:dyDescent="0.25">
      <c r="A85" s="7">
        <v>254</v>
      </c>
      <c r="B85" s="7" t="s">
        <v>75</v>
      </c>
      <c r="C85" s="7" t="s">
        <v>190</v>
      </c>
      <c r="D85" s="8" t="s">
        <v>0</v>
      </c>
      <c r="E85" s="9">
        <v>120</v>
      </c>
      <c r="F85" s="10">
        <v>0.36</v>
      </c>
      <c r="G85" s="7"/>
      <c r="H85" s="9">
        <v>1</v>
      </c>
      <c r="I85" s="10">
        <v>43.2</v>
      </c>
      <c r="J85" s="9">
        <v>9.84</v>
      </c>
      <c r="K85" s="10">
        <v>425.09</v>
      </c>
      <c r="L85" s="3" t="s">
        <v>222</v>
      </c>
      <c r="M85" s="4"/>
    </row>
    <row r="86" spans="1:13" ht="110" x14ac:dyDescent="0.25">
      <c r="A86" s="7">
        <v>262</v>
      </c>
      <c r="B86" s="7" t="s">
        <v>80</v>
      </c>
      <c r="C86" s="7" t="s">
        <v>195</v>
      </c>
      <c r="D86" s="8" t="s">
        <v>0</v>
      </c>
      <c r="E86" s="9">
        <v>1</v>
      </c>
      <c r="F86" s="10">
        <v>269.16999999999996</v>
      </c>
      <c r="G86" s="7"/>
      <c r="H86" s="9">
        <v>1</v>
      </c>
      <c r="I86" s="10">
        <v>269.17</v>
      </c>
      <c r="J86" s="9">
        <v>9.84</v>
      </c>
      <c r="K86" s="10">
        <v>2648.63</v>
      </c>
      <c r="L86" s="3" t="s">
        <v>222</v>
      </c>
      <c r="M86" s="5" t="s">
        <v>225</v>
      </c>
    </row>
    <row r="87" spans="1:13" ht="124" x14ac:dyDescent="0.25">
      <c r="A87" s="7">
        <v>263</v>
      </c>
      <c r="B87" s="7" t="s">
        <v>81</v>
      </c>
      <c r="C87" s="7" t="s">
        <v>196</v>
      </c>
      <c r="D87" s="8" t="s">
        <v>0</v>
      </c>
      <c r="E87" s="9">
        <v>2</v>
      </c>
      <c r="F87" s="10">
        <v>269.16999999999996</v>
      </c>
      <c r="G87" s="7"/>
      <c r="H87" s="9">
        <v>1</v>
      </c>
      <c r="I87" s="10">
        <v>538.34</v>
      </c>
      <c r="J87" s="9">
        <v>9.84</v>
      </c>
      <c r="K87" s="10">
        <v>5297.27</v>
      </c>
      <c r="L87" s="3" t="s">
        <v>222</v>
      </c>
      <c r="M87" s="5" t="s">
        <v>225</v>
      </c>
    </row>
    <row r="88" spans="1:13" ht="54" x14ac:dyDescent="0.25">
      <c r="A88" s="7">
        <v>267</v>
      </c>
      <c r="B88" s="7" t="s">
        <v>73</v>
      </c>
      <c r="C88" s="7" t="s">
        <v>188</v>
      </c>
      <c r="D88" s="8" t="s">
        <v>0</v>
      </c>
      <c r="E88" s="9">
        <v>300</v>
      </c>
      <c r="F88" s="10">
        <v>43.17</v>
      </c>
      <c r="G88" s="7"/>
      <c r="H88" s="9">
        <v>1</v>
      </c>
      <c r="I88" s="10">
        <v>12951</v>
      </c>
      <c r="J88" s="9">
        <v>9.84</v>
      </c>
      <c r="K88" s="10">
        <v>127437.84</v>
      </c>
      <c r="L88" s="2">
        <v>466</v>
      </c>
      <c r="M88" s="4"/>
    </row>
    <row r="89" spans="1:13" ht="42" x14ac:dyDescent="0.25">
      <c r="A89" s="7">
        <v>268</v>
      </c>
      <c r="B89" s="7" t="s">
        <v>74</v>
      </c>
      <c r="C89" s="7" t="s">
        <v>189</v>
      </c>
      <c r="D89" s="8" t="s">
        <v>0</v>
      </c>
      <c r="E89" s="9">
        <v>600</v>
      </c>
      <c r="F89" s="10">
        <v>21.540000000000003</v>
      </c>
      <c r="G89" s="7"/>
      <c r="H89" s="9">
        <v>1</v>
      </c>
      <c r="I89" s="10">
        <v>12924</v>
      </c>
      <c r="J89" s="9">
        <v>9.84</v>
      </c>
      <c r="K89" s="10">
        <v>127172.16</v>
      </c>
      <c r="L89" s="3" t="s">
        <v>222</v>
      </c>
      <c r="M89" s="4"/>
    </row>
    <row r="90" spans="1:13" ht="54" x14ac:dyDescent="0.25">
      <c r="A90" s="7">
        <v>269</v>
      </c>
      <c r="B90" s="7" t="s">
        <v>75</v>
      </c>
      <c r="C90" s="7" t="s">
        <v>190</v>
      </c>
      <c r="D90" s="8" t="s">
        <v>0</v>
      </c>
      <c r="E90" s="9">
        <v>1200</v>
      </c>
      <c r="F90" s="10">
        <v>0.36</v>
      </c>
      <c r="G90" s="7"/>
      <c r="H90" s="9">
        <v>1</v>
      </c>
      <c r="I90" s="10">
        <v>432</v>
      </c>
      <c r="J90" s="9">
        <v>9.84</v>
      </c>
      <c r="K90" s="10">
        <v>4250.88</v>
      </c>
      <c r="L90" s="3" t="s">
        <v>222</v>
      </c>
      <c r="M90" s="4"/>
    </row>
    <row r="91" spans="1:13" ht="110" x14ac:dyDescent="0.25">
      <c r="A91" s="7">
        <v>275</v>
      </c>
      <c r="B91" s="7" t="s">
        <v>82</v>
      </c>
      <c r="C91" s="7" t="s">
        <v>197</v>
      </c>
      <c r="D91" s="8" t="s">
        <v>0</v>
      </c>
      <c r="E91" s="9">
        <v>15</v>
      </c>
      <c r="F91" s="10">
        <v>318.28000000000003</v>
      </c>
      <c r="G91" s="7"/>
      <c r="H91" s="9">
        <v>1</v>
      </c>
      <c r="I91" s="10">
        <v>4774.2</v>
      </c>
      <c r="J91" s="9">
        <v>9.84</v>
      </c>
      <c r="K91" s="10">
        <v>46978.13</v>
      </c>
      <c r="L91" s="3" t="s">
        <v>222</v>
      </c>
      <c r="M91" s="4"/>
    </row>
    <row r="92" spans="1:13" ht="110" x14ac:dyDescent="0.25">
      <c r="A92" s="7">
        <v>276</v>
      </c>
      <c r="B92" s="7" t="s">
        <v>83</v>
      </c>
      <c r="C92" s="7" t="s">
        <v>198</v>
      </c>
      <c r="D92" s="8" t="s">
        <v>0</v>
      </c>
      <c r="E92" s="9">
        <v>10</v>
      </c>
      <c r="F92" s="10">
        <v>212.24</v>
      </c>
      <c r="G92" s="7"/>
      <c r="H92" s="9">
        <v>1</v>
      </c>
      <c r="I92" s="10">
        <v>2122.4</v>
      </c>
      <c r="J92" s="9">
        <v>9.84</v>
      </c>
      <c r="K92" s="10">
        <v>20884.419999999998</v>
      </c>
      <c r="L92" s="3" t="s">
        <v>222</v>
      </c>
      <c r="M92" s="4"/>
    </row>
    <row r="93" spans="1:13" ht="110" x14ac:dyDescent="0.25">
      <c r="A93" s="7">
        <v>277</v>
      </c>
      <c r="B93" s="7" t="s">
        <v>84</v>
      </c>
      <c r="C93" s="7" t="s">
        <v>199</v>
      </c>
      <c r="D93" s="8" t="s">
        <v>0</v>
      </c>
      <c r="E93" s="9">
        <v>2</v>
      </c>
      <c r="F93" s="10">
        <v>193.97</v>
      </c>
      <c r="G93" s="7"/>
      <c r="H93" s="9">
        <v>1</v>
      </c>
      <c r="I93" s="10">
        <v>387.94</v>
      </c>
      <c r="J93" s="9">
        <v>9.84</v>
      </c>
      <c r="K93" s="10">
        <v>3817.33</v>
      </c>
      <c r="L93" s="3" t="s">
        <v>222</v>
      </c>
      <c r="M93" s="4"/>
    </row>
    <row r="94" spans="1:13" ht="124" x14ac:dyDescent="0.25">
      <c r="A94" s="7">
        <v>278</v>
      </c>
      <c r="B94" s="7" t="s">
        <v>85</v>
      </c>
      <c r="C94" s="7" t="s">
        <v>200</v>
      </c>
      <c r="D94" s="8" t="s">
        <v>0</v>
      </c>
      <c r="E94" s="9">
        <v>6</v>
      </c>
      <c r="F94" s="10">
        <v>239.94</v>
      </c>
      <c r="G94" s="7"/>
      <c r="H94" s="9">
        <v>1</v>
      </c>
      <c r="I94" s="10">
        <v>1439.64</v>
      </c>
      <c r="J94" s="9">
        <v>9.84</v>
      </c>
      <c r="K94" s="10">
        <v>14166.06</v>
      </c>
      <c r="L94" s="3" t="s">
        <v>222</v>
      </c>
      <c r="M94" s="4"/>
    </row>
    <row r="95" spans="1:13" ht="54" x14ac:dyDescent="0.25">
      <c r="A95" s="7">
        <v>282</v>
      </c>
      <c r="B95" s="7" t="s">
        <v>86</v>
      </c>
      <c r="C95" s="7" t="s">
        <v>201</v>
      </c>
      <c r="D95" s="8" t="s">
        <v>0</v>
      </c>
      <c r="E95" s="9">
        <v>340</v>
      </c>
      <c r="F95" s="10">
        <v>64.66</v>
      </c>
      <c r="G95" s="7"/>
      <c r="H95" s="9">
        <v>1</v>
      </c>
      <c r="I95" s="10">
        <v>21984.400000000001</v>
      </c>
      <c r="J95" s="9">
        <v>9.84</v>
      </c>
      <c r="K95" s="10">
        <v>216326.5</v>
      </c>
      <c r="L95" s="3" t="s">
        <v>222</v>
      </c>
      <c r="M95" s="4"/>
    </row>
    <row r="96" spans="1:13" ht="42" x14ac:dyDescent="0.25">
      <c r="A96" s="7">
        <v>283</v>
      </c>
      <c r="B96" s="7" t="s">
        <v>74</v>
      </c>
      <c r="C96" s="7" t="s">
        <v>189</v>
      </c>
      <c r="D96" s="8" t="s">
        <v>0</v>
      </c>
      <c r="E96" s="9">
        <v>340</v>
      </c>
      <c r="F96" s="10">
        <v>21.540000000000003</v>
      </c>
      <c r="G96" s="7"/>
      <c r="H96" s="9">
        <v>1</v>
      </c>
      <c r="I96" s="10">
        <v>7323.6</v>
      </c>
      <c r="J96" s="9">
        <v>9.84</v>
      </c>
      <c r="K96" s="10">
        <v>72064.22</v>
      </c>
      <c r="L96" s="3" t="s">
        <v>222</v>
      </c>
      <c r="M96" s="4"/>
    </row>
    <row r="97" spans="1:13" ht="68" x14ac:dyDescent="0.25">
      <c r="A97" s="7">
        <v>287</v>
      </c>
      <c r="B97" s="7" t="s">
        <v>87</v>
      </c>
      <c r="C97" s="7" t="s">
        <v>202</v>
      </c>
      <c r="D97" s="8" t="s">
        <v>0</v>
      </c>
      <c r="E97" s="9">
        <v>340</v>
      </c>
      <c r="F97" s="10">
        <v>27.19</v>
      </c>
      <c r="G97" s="7"/>
      <c r="H97" s="9">
        <v>1</v>
      </c>
      <c r="I97" s="10">
        <v>9244.6</v>
      </c>
      <c r="J97" s="9">
        <v>9.84</v>
      </c>
      <c r="K97" s="10">
        <v>90966.86</v>
      </c>
      <c r="L97" s="3" t="s">
        <v>222</v>
      </c>
      <c r="M97" s="4"/>
    </row>
    <row r="98" spans="1:13" ht="110" x14ac:dyDescent="0.25">
      <c r="A98" s="7">
        <v>288</v>
      </c>
      <c r="B98" s="7" t="s">
        <v>88</v>
      </c>
      <c r="C98" s="7" t="s">
        <v>203</v>
      </c>
      <c r="D98" s="8" t="s">
        <v>0</v>
      </c>
      <c r="E98" s="9">
        <v>10</v>
      </c>
      <c r="F98" s="10">
        <v>279.62</v>
      </c>
      <c r="G98" s="7"/>
      <c r="H98" s="9">
        <v>1</v>
      </c>
      <c r="I98" s="10">
        <v>2796.2</v>
      </c>
      <c r="J98" s="9">
        <v>9.84</v>
      </c>
      <c r="K98" s="10">
        <v>27514.61</v>
      </c>
      <c r="L98" s="3" t="s">
        <v>222</v>
      </c>
      <c r="M98" s="4"/>
    </row>
    <row r="99" spans="1:13" ht="110" x14ac:dyDescent="0.25">
      <c r="A99" s="7">
        <v>289</v>
      </c>
      <c r="B99" s="7" t="s">
        <v>89</v>
      </c>
      <c r="C99" s="7" t="s">
        <v>204</v>
      </c>
      <c r="D99" s="8" t="s">
        <v>0</v>
      </c>
      <c r="E99" s="9">
        <v>23</v>
      </c>
      <c r="F99" s="10">
        <v>171.62</v>
      </c>
      <c r="G99" s="7"/>
      <c r="H99" s="9">
        <v>1</v>
      </c>
      <c r="I99" s="10">
        <v>3947.26</v>
      </c>
      <c r="J99" s="9">
        <v>9.84</v>
      </c>
      <c r="K99" s="10">
        <v>38841.040000000001</v>
      </c>
      <c r="L99" s="3" t="s">
        <v>222</v>
      </c>
      <c r="M99" s="4"/>
    </row>
    <row r="100" spans="1:13" ht="110" x14ac:dyDescent="0.25">
      <c r="A100" s="7">
        <v>290</v>
      </c>
      <c r="B100" s="7" t="s">
        <v>90</v>
      </c>
      <c r="C100" s="7" t="s">
        <v>205</v>
      </c>
      <c r="D100" s="8" t="s">
        <v>0</v>
      </c>
      <c r="E100" s="9">
        <v>2</v>
      </c>
      <c r="F100" s="10">
        <v>172.66</v>
      </c>
      <c r="G100" s="7"/>
      <c r="H100" s="9">
        <v>1</v>
      </c>
      <c r="I100" s="10">
        <v>345.32</v>
      </c>
      <c r="J100" s="9">
        <v>9.84</v>
      </c>
      <c r="K100" s="10">
        <v>3397.95</v>
      </c>
      <c r="L100" s="3" t="s">
        <v>222</v>
      </c>
      <c r="M100" s="4"/>
    </row>
    <row r="101" spans="1:13" ht="54" x14ac:dyDescent="0.25">
      <c r="A101" s="7">
        <v>296</v>
      </c>
      <c r="B101" s="7" t="s">
        <v>91</v>
      </c>
      <c r="C101" s="7" t="s">
        <v>206</v>
      </c>
      <c r="D101" s="8" t="s">
        <v>0</v>
      </c>
      <c r="E101" s="9">
        <v>64</v>
      </c>
      <c r="F101" s="10">
        <v>11.56</v>
      </c>
      <c r="G101" s="7"/>
      <c r="H101" s="9">
        <v>1</v>
      </c>
      <c r="I101" s="10">
        <v>739.84</v>
      </c>
      <c r="J101" s="9">
        <v>9.84</v>
      </c>
      <c r="K101" s="10">
        <v>7280.03</v>
      </c>
      <c r="L101" s="3" t="s">
        <v>222</v>
      </c>
      <c r="M101" s="4"/>
    </row>
    <row r="102" spans="1:13" ht="124" x14ac:dyDescent="0.25">
      <c r="A102" s="7">
        <v>298</v>
      </c>
      <c r="B102" s="7" t="s">
        <v>92</v>
      </c>
      <c r="C102" s="7" t="s">
        <v>207</v>
      </c>
      <c r="D102" s="8" t="s">
        <v>0</v>
      </c>
      <c r="E102" s="9">
        <v>2</v>
      </c>
      <c r="F102" s="10">
        <v>208.17000000000002</v>
      </c>
      <c r="G102" s="7"/>
      <c r="H102" s="9">
        <v>1</v>
      </c>
      <c r="I102" s="10">
        <v>416.34</v>
      </c>
      <c r="J102" s="9">
        <v>9.84</v>
      </c>
      <c r="K102" s="10">
        <v>4096.79</v>
      </c>
      <c r="L102" s="3" t="s">
        <v>222</v>
      </c>
      <c r="M102" s="4"/>
    </row>
    <row r="103" spans="1:13" ht="124" x14ac:dyDescent="0.25">
      <c r="A103" s="7">
        <v>299</v>
      </c>
      <c r="B103" s="7" t="s">
        <v>93</v>
      </c>
      <c r="C103" s="7" t="s">
        <v>208</v>
      </c>
      <c r="D103" s="8" t="s">
        <v>0</v>
      </c>
      <c r="E103" s="9">
        <v>2</v>
      </c>
      <c r="F103" s="10">
        <v>345.64</v>
      </c>
      <c r="G103" s="7"/>
      <c r="H103" s="9">
        <v>1</v>
      </c>
      <c r="I103" s="10">
        <v>691.28</v>
      </c>
      <c r="J103" s="9">
        <v>9.84</v>
      </c>
      <c r="K103" s="10">
        <v>6802.2</v>
      </c>
      <c r="L103" s="3" t="s">
        <v>222</v>
      </c>
      <c r="M103" s="4"/>
    </row>
    <row r="104" spans="1:13" ht="54" x14ac:dyDescent="0.25">
      <c r="A104" s="7">
        <v>306</v>
      </c>
      <c r="B104" s="7" t="s">
        <v>91</v>
      </c>
      <c r="C104" s="7" t="s">
        <v>206</v>
      </c>
      <c r="D104" s="8" t="s">
        <v>0</v>
      </c>
      <c r="E104" s="9">
        <v>396</v>
      </c>
      <c r="F104" s="10">
        <v>11.56</v>
      </c>
      <c r="G104" s="7"/>
      <c r="H104" s="9">
        <v>1</v>
      </c>
      <c r="I104" s="10">
        <v>4577.76</v>
      </c>
      <c r="J104" s="9">
        <v>9.84</v>
      </c>
      <c r="K104" s="10">
        <v>45045.16</v>
      </c>
      <c r="L104" s="3" t="s">
        <v>222</v>
      </c>
      <c r="M104" s="4"/>
    </row>
    <row r="105" spans="1:13" ht="54" x14ac:dyDescent="0.25">
      <c r="A105" s="7">
        <v>313</v>
      </c>
      <c r="B105" s="7" t="s">
        <v>91</v>
      </c>
      <c r="C105" s="7" t="s">
        <v>206</v>
      </c>
      <c r="D105" s="8" t="s">
        <v>0</v>
      </c>
      <c r="E105" s="9">
        <v>48</v>
      </c>
      <c r="F105" s="10">
        <v>11.56</v>
      </c>
      <c r="G105" s="7"/>
      <c r="H105" s="9">
        <v>1</v>
      </c>
      <c r="I105" s="10">
        <v>554.88</v>
      </c>
      <c r="J105" s="9">
        <v>9.84</v>
      </c>
      <c r="K105" s="10">
        <v>5460.02</v>
      </c>
      <c r="L105" s="3" t="s">
        <v>222</v>
      </c>
      <c r="M105" s="4"/>
    </row>
    <row r="106" spans="1:13" ht="82" x14ac:dyDescent="0.25">
      <c r="A106" s="7">
        <v>318</v>
      </c>
      <c r="B106" s="7" t="s">
        <v>94</v>
      </c>
      <c r="C106" s="7" t="s">
        <v>209</v>
      </c>
      <c r="D106" s="8" t="s">
        <v>0</v>
      </c>
      <c r="E106" s="9">
        <v>8</v>
      </c>
      <c r="F106" s="10">
        <v>348.41999999999996</v>
      </c>
      <c r="G106" s="7"/>
      <c r="H106" s="9">
        <v>1</v>
      </c>
      <c r="I106" s="10">
        <v>2787.36</v>
      </c>
      <c r="J106" s="9">
        <v>9.84</v>
      </c>
      <c r="K106" s="10">
        <v>27427.62</v>
      </c>
      <c r="L106" s="3" t="s">
        <v>222</v>
      </c>
      <c r="M106" s="4"/>
    </row>
    <row r="107" spans="1:13" ht="82" x14ac:dyDescent="0.25">
      <c r="A107" s="7">
        <v>320</v>
      </c>
      <c r="B107" s="7" t="s">
        <v>95</v>
      </c>
      <c r="C107" s="7" t="s">
        <v>210</v>
      </c>
      <c r="D107" s="8" t="s">
        <v>51</v>
      </c>
      <c r="E107" s="9">
        <v>625</v>
      </c>
      <c r="F107" s="10">
        <v>10.17</v>
      </c>
      <c r="G107" s="7"/>
      <c r="H107" s="9">
        <v>1</v>
      </c>
      <c r="I107" s="10">
        <v>6356.25</v>
      </c>
      <c r="J107" s="9">
        <v>9.84</v>
      </c>
      <c r="K107" s="10">
        <v>62545.5</v>
      </c>
      <c r="L107" s="3" t="s">
        <v>222</v>
      </c>
      <c r="M107" s="4"/>
    </row>
    <row r="108" spans="1:13" ht="96" x14ac:dyDescent="0.25">
      <c r="A108" s="7">
        <v>321</v>
      </c>
      <c r="B108" s="7" t="s">
        <v>96</v>
      </c>
      <c r="C108" s="7" t="s">
        <v>211</v>
      </c>
      <c r="D108" s="8" t="s">
        <v>0</v>
      </c>
      <c r="E108" s="9">
        <v>550</v>
      </c>
      <c r="F108" s="10">
        <v>14.7</v>
      </c>
      <c r="G108" s="7"/>
      <c r="H108" s="9">
        <v>1</v>
      </c>
      <c r="I108" s="10">
        <v>8085</v>
      </c>
      <c r="J108" s="9">
        <v>9.84</v>
      </c>
      <c r="K108" s="10">
        <v>79556.399999999994</v>
      </c>
      <c r="L108" s="3" t="s">
        <v>222</v>
      </c>
      <c r="M108" s="4"/>
    </row>
    <row r="109" spans="1:13" ht="82" x14ac:dyDescent="0.25">
      <c r="A109" s="7">
        <v>322</v>
      </c>
      <c r="B109" s="7" t="s">
        <v>97</v>
      </c>
      <c r="C109" s="7" t="s">
        <v>212</v>
      </c>
      <c r="D109" s="8" t="s">
        <v>0</v>
      </c>
      <c r="E109" s="9">
        <v>6</v>
      </c>
      <c r="F109" s="10">
        <v>22.43</v>
      </c>
      <c r="G109" s="7"/>
      <c r="H109" s="9">
        <v>1</v>
      </c>
      <c r="I109" s="10">
        <v>134.58000000000001</v>
      </c>
      <c r="J109" s="9">
        <v>9.84</v>
      </c>
      <c r="K109" s="10">
        <v>1324.27</v>
      </c>
      <c r="L109" s="3" t="s">
        <v>222</v>
      </c>
      <c r="M109" s="4"/>
    </row>
    <row r="110" spans="1:13" ht="82" x14ac:dyDescent="0.25">
      <c r="A110" s="7">
        <v>323</v>
      </c>
      <c r="B110" s="7" t="s">
        <v>98</v>
      </c>
      <c r="C110" s="7" t="s">
        <v>213</v>
      </c>
      <c r="D110" s="8" t="s">
        <v>0</v>
      </c>
      <c r="E110" s="9">
        <v>11</v>
      </c>
      <c r="F110" s="10">
        <v>43.5</v>
      </c>
      <c r="G110" s="7"/>
      <c r="H110" s="9">
        <v>1</v>
      </c>
      <c r="I110" s="10">
        <v>478.5</v>
      </c>
      <c r="J110" s="9">
        <v>9.84</v>
      </c>
      <c r="K110" s="10">
        <v>4708.4399999999996</v>
      </c>
      <c r="L110" s="3" t="s">
        <v>222</v>
      </c>
      <c r="M110" s="4"/>
    </row>
    <row r="111" spans="1:13" ht="82" x14ac:dyDescent="0.25">
      <c r="A111" s="7">
        <v>324</v>
      </c>
      <c r="B111" s="7" t="s">
        <v>99</v>
      </c>
      <c r="C111" s="7" t="s">
        <v>214</v>
      </c>
      <c r="D111" s="8" t="s">
        <v>0</v>
      </c>
      <c r="E111" s="9">
        <v>50</v>
      </c>
      <c r="F111" s="10">
        <v>10.11</v>
      </c>
      <c r="G111" s="7"/>
      <c r="H111" s="9">
        <v>1</v>
      </c>
      <c r="I111" s="10">
        <v>505.5</v>
      </c>
      <c r="J111" s="9">
        <v>9.84</v>
      </c>
      <c r="K111" s="10">
        <v>4974.12</v>
      </c>
      <c r="L111" s="3" t="s">
        <v>222</v>
      </c>
      <c r="M111" s="4"/>
    </row>
    <row r="112" spans="1:13" ht="54" x14ac:dyDescent="0.25">
      <c r="A112" s="7">
        <v>326</v>
      </c>
      <c r="B112" s="7" t="s">
        <v>100</v>
      </c>
      <c r="C112" s="7" t="s">
        <v>215</v>
      </c>
      <c r="D112" s="8" t="s">
        <v>0</v>
      </c>
      <c r="E112" s="9">
        <v>15</v>
      </c>
      <c r="F112" s="10">
        <v>28.89</v>
      </c>
      <c r="G112" s="7"/>
      <c r="H112" s="9">
        <v>1</v>
      </c>
      <c r="I112" s="10">
        <v>433.35</v>
      </c>
      <c r="J112" s="9">
        <v>9.84</v>
      </c>
      <c r="K112" s="10">
        <v>4264.16</v>
      </c>
      <c r="L112" s="3" t="s">
        <v>222</v>
      </c>
      <c r="M112" s="4"/>
    </row>
    <row r="113" spans="1:13" ht="54" x14ac:dyDescent="0.25">
      <c r="A113" s="7">
        <v>328</v>
      </c>
      <c r="B113" s="7" t="s">
        <v>101</v>
      </c>
      <c r="C113" s="7" t="s">
        <v>216</v>
      </c>
      <c r="D113" s="8" t="s">
        <v>51</v>
      </c>
      <c r="E113" s="9">
        <v>408</v>
      </c>
      <c r="F113" s="10">
        <v>5.8000000000000007</v>
      </c>
      <c r="G113" s="7"/>
      <c r="H113" s="9">
        <v>1</v>
      </c>
      <c r="I113" s="10">
        <v>2366.4</v>
      </c>
      <c r="J113" s="9">
        <v>9.84</v>
      </c>
      <c r="K113" s="10">
        <v>23285.38</v>
      </c>
      <c r="L113" s="2">
        <v>64.05</v>
      </c>
      <c r="M113" s="4"/>
    </row>
    <row r="114" spans="1:13" ht="54" x14ac:dyDescent="0.25">
      <c r="A114" s="7">
        <v>329</v>
      </c>
      <c r="B114" s="7" t="s">
        <v>102</v>
      </c>
      <c r="C114" s="7" t="s">
        <v>217</v>
      </c>
      <c r="D114" s="8" t="s">
        <v>51</v>
      </c>
      <c r="E114" s="9">
        <v>153</v>
      </c>
      <c r="F114" s="10">
        <v>8.32</v>
      </c>
      <c r="G114" s="7"/>
      <c r="H114" s="9">
        <v>1</v>
      </c>
      <c r="I114" s="10">
        <v>1272.96</v>
      </c>
      <c r="J114" s="9">
        <v>9.84</v>
      </c>
      <c r="K114" s="10">
        <v>12525.93</v>
      </c>
      <c r="L114" s="3" t="s">
        <v>222</v>
      </c>
      <c r="M114" s="4"/>
    </row>
    <row r="115" spans="1:13" ht="54" x14ac:dyDescent="0.25">
      <c r="A115" s="7">
        <v>330</v>
      </c>
      <c r="B115" s="7" t="s">
        <v>103</v>
      </c>
      <c r="C115" s="7" t="s">
        <v>218</v>
      </c>
      <c r="D115" s="8" t="s">
        <v>51</v>
      </c>
      <c r="E115" s="9">
        <v>459</v>
      </c>
      <c r="F115" s="10">
        <v>34.160000000000004</v>
      </c>
      <c r="G115" s="7"/>
      <c r="H115" s="9">
        <v>1</v>
      </c>
      <c r="I115" s="10">
        <v>15679.44</v>
      </c>
      <c r="J115" s="9">
        <v>9.84</v>
      </c>
      <c r="K115" s="10">
        <v>154285.69</v>
      </c>
      <c r="L115" s="2">
        <v>356.85</v>
      </c>
      <c r="M115" s="4"/>
    </row>
    <row r="116" spans="1:13" ht="68" x14ac:dyDescent="0.25">
      <c r="A116" s="7">
        <v>332</v>
      </c>
      <c r="B116" s="7" t="s">
        <v>104</v>
      </c>
      <c r="C116" s="7" t="s">
        <v>219</v>
      </c>
      <c r="D116" s="8" t="s">
        <v>0</v>
      </c>
      <c r="E116" s="9">
        <v>20</v>
      </c>
      <c r="F116" s="10">
        <v>1.84</v>
      </c>
      <c r="G116" s="7"/>
      <c r="H116" s="9">
        <v>1</v>
      </c>
      <c r="I116" s="10">
        <v>36.799999999999997</v>
      </c>
      <c r="J116" s="9">
        <v>9.84</v>
      </c>
      <c r="K116" s="10">
        <v>362.11</v>
      </c>
      <c r="L116" s="3" t="s">
        <v>222</v>
      </c>
      <c r="M116" s="4"/>
    </row>
    <row r="117" spans="1:13" ht="54" x14ac:dyDescent="0.25">
      <c r="A117" s="7">
        <v>333</v>
      </c>
      <c r="B117" s="7" t="s">
        <v>105</v>
      </c>
      <c r="C117" s="7" t="s">
        <v>220</v>
      </c>
      <c r="D117" s="8" t="s">
        <v>0</v>
      </c>
      <c r="E117" s="9">
        <v>20</v>
      </c>
      <c r="F117" s="10">
        <v>8.76</v>
      </c>
      <c r="G117" s="7"/>
      <c r="H117" s="9">
        <v>1</v>
      </c>
      <c r="I117" s="10">
        <v>175.2</v>
      </c>
      <c r="J117" s="9">
        <v>9.84</v>
      </c>
      <c r="K117" s="10">
        <v>1723.97</v>
      </c>
      <c r="L117" s="3" t="s">
        <v>222</v>
      </c>
      <c r="M117" s="4"/>
    </row>
  </sheetData>
  <conditionalFormatting sqref="M1">
    <cfRule type="dataBar" priority="1">
      <dataBar>
        <cfvo type="min"/>
        <cfvo type="max"/>
        <color rgb="FFD6007B"/>
      </dataBar>
      <extLst>
        <ext xmlns:x14="http://schemas.microsoft.com/office/spreadsheetml/2009/9/main" uri="{B025F937-C7B1-47D3-B67F-A62EFF666E3E}">
          <x14:id>{8DD73D4E-83E5-4347-B94C-67A48F10B34B}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DD73D4E-83E5-4347-B94C-67A48F10B34B}">
            <x14:dataBar minLength="0" maxLength="100" border="1" negativeBarBorderColorSameAsPositive="0">
              <x14:cfvo type="autoMin"/>
              <x14:cfvo type="autoMax"/>
              <x14:borderColor rgb="FFD6007B"/>
              <x14:negativeFillColor rgb="FFFF0000"/>
              <x14:negativeBorderColor rgb="FFFF0000"/>
              <x14:axisColor rgb="FF000000"/>
            </x14:dataBar>
          </x14:cfRule>
          <xm:sqref>M1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02-01-03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Царёва Оксана Ивановна</dc:creator>
  <cp:lastModifiedBy>Царёва Оксана Ивановна</cp:lastModifiedBy>
  <dcterms:created xsi:type="dcterms:W3CDTF">2026-06-05T09:56:08Z</dcterms:created>
  <dcterms:modified xsi:type="dcterms:W3CDTF">2026-07-13T13:27:50Z</dcterms:modified>
</cp:coreProperties>
</file>